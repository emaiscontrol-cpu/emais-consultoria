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898880bb4f6643f4/Anexos/Administrador/Documentos/Projetos/Palato/"/>
    </mc:Choice>
  </mc:AlternateContent>
  <xr:revisionPtr revIDLastSave="10" documentId="11_F8A6DB3BB34D1238845C38ADD0BF15375B606C48" xr6:coauthVersionLast="47" xr6:coauthVersionMax="47" xr10:uidLastSave="{B1CDAB62-B988-434E-A875-5B4DE4102D7F}"/>
  <bookViews>
    <workbookView xWindow="540" yWindow="864" windowWidth="22500" windowHeight="11376" tabRatio="837" firstSheet="1" activeTab="1" xr2:uid="{00000000-000D-0000-FFFF-FFFF00000000}"/>
  </bookViews>
  <sheets>
    <sheet name="MANUAL" sheetId="79" state="hidden" r:id="rId1"/>
    <sheet name="PALATO" sheetId="90" r:id="rId2"/>
    <sheet name="ESPECIARYA" sheetId="78" r:id="rId3"/>
    <sheet name="ALLCOOK" sheetId="89" r:id="rId4"/>
    <sheet name="MVTO E" sheetId="75" r:id="rId5"/>
    <sheet name="DESP E" sheetId="3" r:id="rId6"/>
    <sheet name="BD - E - Mvto Cx" sheetId="81" r:id="rId7"/>
    <sheet name="BD - E - Despesas" sheetId="82" r:id="rId8"/>
    <sheet name="MVTO A" sheetId="86" r:id="rId9"/>
    <sheet name="DESP A" sheetId="85" r:id="rId10"/>
    <sheet name="BD - A - Mvto Cx" sheetId="83" r:id="rId11"/>
    <sheet name="BD - A - Despesas" sheetId="84" r:id="rId12"/>
  </sheets>
  <definedNames>
    <definedName name="_xlnm._FilterDatabase" localSheetId="11" hidden="1">'BD - A - Despesas'!$A$13:$Z$13</definedName>
    <definedName name="_xlnm._FilterDatabase" localSheetId="10" hidden="1">'BD - A - Mvto Cx'!$A$13:$DC$13</definedName>
    <definedName name="_xlnm._FilterDatabase" localSheetId="7" hidden="1">'BD - E - Despesas'!$S$13:$Z$96</definedName>
    <definedName name="_xlnm._FilterDatabase" localSheetId="6" hidden="1">'BD - E - Mvto Cx'!$A$13:$DF$80</definedName>
    <definedName name="_xlnm._FilterDatabase" localSheetId="8" hidden="1">'MVTO A'!$B$2:$R$184</definedName>
    <definedName name="_xlnm._FilterDatabase" localSheetId="4" hidden="1">'MVTO E'!$B$2:$R$240</definedName>
    <definedName name="_xlnm._FilterDatabase" localSheetId="1" hidden="1">PALATO!$B$19:$BL$73</definedName>
    <definedName name="LucroLiquido" localSheetId="3">ALLCOOK!#REF!</definedName>
    <definedName name="LucroLiquido" localSheetId="2">ESPECIARYA!#REF!</definedName>
    <definedName name="LucroLiquido" localSheetId="1">PALATO!#REF!</definedName>
    <definedName name="LucroLiquido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0" l="1"/>
  <c r="B174" i="75" l="1"/>
  <c r="G66" i="75"/>
  <c r="H66" i="75"/>
  <c r="I66" i="75"/>
  <c r="J66" i="75"/>
  <c r="K66" i="75"/>
  <c r="L66" i="75"/>
  <c r="M66" i="75"/>
  <c r="N66" i="75"/>
  <c r="O66" i="75"/>
  <c r="P66" i="75"/>
  <c r="Q66" i="75"/>
  <c r="R66" i="75"/>
  <c r="B66" i="75"/>
  <c r="G9" i="3"/>
  <c r="H9" i="3"/>
  <c r="I9" i="3"/>
  <c r="J9" i="3"/>
  <c r="K9" i="3"/>
  <c r="L9" i="3"/>
  <c r="M9" i="3"/>
  <c r="N9" i="3"/>
  <c r="O9" i="3"/>
  <c r="P9" i="3"/>
  <c r="Q9" i="3"/>
  <c r="R9" i="3"/>
  <c r="G148" i="86"/>
  <c r="H148" i="86"/>
  <c r="I148" i="86"/>
  <c r="J148" i="86"/>
  <c r="K148" i="86"/>
  <c r="L148" i="86"/>
  <c r="M148" i="86"/>
  <c r="N148" i="86"/>
  <c r="O148" i="86"/>
  <c r="P148" i="86"/>
  <c r="Q148" i="86"/>
  <c r="R148" i="86"/>
  <c r="B148" i="86"/>
  <c r="G66" i="86"/>
  <c r="H66" i="86"/>
  <c r="I66" i="86"/>
  <c r="J66" i="86"/>
  <c r="K66" i="86"/>
  <c r="L66" i="86"/>
  <c r="M66" i="86"/>
  <c r="N66" i="86"/>
  <c r="O66" i="86"/>
  <c r="P66" i="86"/>
  <c r="Q66" i="86"/>
  <c r="R66" i="86"/>
  <c r="B66" i="86"/>
  <c r="G57" i="86"/>
  <c r="H57" i="86"/>
  <c r="I57" i="86"/>
  <c r="J57" i="86"/>
  <c r="K57" i="86"/>
  <c r="L57" i="86"/>
  <c r="M57" i="86"/>
  <c r="N57" i="86"/>
  <c r="O57" i="86"/>
  <c r="P57" i="86"/>
  <c r="Q57" i="86"/>
  <c r="R57" i="86"/>
  <c r="B57" i="86"/>
  <c r="I128" i="75" l="1"/>
  <c r="G195" i="75" l="1"/>
  <c r="H195" i="75"/>
  <c r="I195" i="75"/>
  <c r="J195" i="75"/>
  <c r="K195" i="75"/>
  <c r="L195" i="75"/>
  <c r="M195" i="75"/>
  <c r="N195" i="75"/>
  <c r="O195" i="75"/>
  <c r="P195" i="75"/>
  <c r="Q195" i="75"/>
  <c r="R195" i="75"/>
  <c r="B195" i="75"/>
  <c r="G80" i="75"/>
  <c r="H80" i="75"/>
  <c r="I80" i="75"/>
  <c r="J80" i="75"/>
  <c r="K80" i="75"/>
  <c r="L80" i="75"/>
  <c r="M80" i="75"/>
  <c r="N80" i="75"/>
  <c r="O80" i="75"/>
  <c r="P80" i="75"/>
  <c r="Q80" i="75"/>
  <c r="R80" i="75"/>
  <c r="B80" i="75"/>
  <c r="I246" i="75"/>
  <c r="I245" i="75"/>
  <c r="Y14" i="83" l="1"/>
  <c r="V14" i="83"/>
  <c r="I178" i="75"/>
  <c r="W12" i="82"/>
  <c r="Y14" i="81"/>
  <c r="V14" i="81"/>
  <c r="M14" i="81"/>
  <c r="I247" i="75" l="1"/>
  <c r="G15" i="3" l="1"/>
  <c r="H15" i="3"/>
  <c r="I15" i="3"/>
  <c r="J15" i="3"/>
  <c r="K15" i="3"/>
  <c r="L15" i="3"/>
  <c r="M15" i="3"/>
  <c r="N15" i="3"/>
  <c r="O15" i="3"/>
  <c r="P15" i="3"/>
  <c r="Q15" i="3"/>
  <c r="R15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G119" i="75"/>
  <c r="H119" i="75"/>
  <c r="I119" i="75"/>
  <c r="J119" i="75"/>
  <c r="K119" i="75"/>
  <c r="L119" i="75"/>
  <c r="M119" i="75"/>
  <c r="N119" i="75"/>
  <c r="O119" i="75"/>
  <c r="P119" i="75"/>
  <c r="Q119" i="75"/>
  <c r="R119" i="75"/>
  <c r="B119" i="75"/>
  <c r="G14" i="81"/>
  <c r="G245" i="75"/>
  <c r="C76" i="78" s="1"/>
  <c r="G112" i="75"/>
  <c r="H112" i="75"/>
  <c r="I112" i="75"/>
  <c r="J112" i="75"/>
  <c r="K112" i="75"/>
  <c r="L112" i="75"/>
  <c r="M112" i="75"/>
  <c r="N112" i="75"/>
  <c r="O112" i="75"/>
  <c r="P112" i="75"/>
  <c r="Q112" i="75"/>
  <c r="R112" i="75"/>
  <c r="B112" i="75"/>
  <c r="B113" i="75"/>
  <c r="G196" i="75"/>
  <c r="H196" i="75"/>
  <c r="I196" i="75"/>
  <c r="J196" i="75"/>
  <c r="K196" i="75"/>
  <c r="L196" i="75"/>
  <c r="M196" i="75"/>
  <c r="N196" i="75"/>
  <c r="O196" i="75"/>
  <c r="P196" i="75"/>
  <c r="Q196" i="75"/>
  <c r="R196" i="75"/>
  <c r="B196" i="75"/>
  <c r="G106" i="75"/>
  <c r="H106" i="75"/>
  <c r="I106" i="75"/>
  <c r="J106" i="75"/>
  <c r="K106" i="75"/>
  <c r="L106" i="75"/>
  <c r="M106" i="75"/>
  <c r="N106" i="75"/>
  <c r="O106" i="75"/>
  <c r="P106" i="75"/>
  <c r="Q106" i="75"/>
  <c r="R106" i="75"/>
  <c r="B106" i="75"/>
  <c r="G225" i="75"/>
  <c r="H225" i="75"/>
  <c r="I225" i="75"/>
  <c r="J225" i="75"/>
  <c r="K225" i="75"/>
  <c r="L225" i="75"/>
  <c r="M225" i="75"/>
  <c r="N225" i="75"/>
  <c r="O225" i="75"/>
  <c r="P225" i="75"/>
  <c r="Q225" i="75"/>
  <c r="R225" i="75"/>
  <c r="B225" i="75"/>
  <c r="G29" i="75" l="1"/>
  <c r="H29" i="75"/>
  <c r="I29" i="75"/>
  <c r="J29" i="75"/>
  <c r="K29" i="75"/>
  <c r="L29" i="75"/>
  <c r="M29" i="75"/>
  <c r="N29" i="75"/>
  <c r="O29" i="75"/>
  <c r="P29" i="75"/>
  <c r="Q29" i="75"/>
  <c r="R29" i="75"/>
  <c r="B29" i="75"/>
  <c r="B67" i="75"/>
  <c r="G67" i="75"/>
  <c r="H67" i="75"/>
  <c r="I67" i="75"/>
  <c r="J67" i="75"/>
  <c r="K67" i="75"/>
  <c r="L67" i="75"/>
  <c r="M67" i="75"/>
  <c r="N67" i="75"/>
  <c r="O67" i="75"/>
  <c r="P67" i="75"/>
  <c r="Q67" i="75"/>
  <c r="R67" i="75"/>
  <c r="H161" i="75" l="1"/>
  <c r="G161" i="75"/>
  <c r="P14" i="81"/>
  <c r="D14" i="81"/>
  <c r="G97" i="3"/>
  <c r="H97" i="3"/>
  <c r="I97" i="3"/>
  <c r="J97" i="3"/>
  <c r="K97" i="3"/>
  <c r="L97" i="3"/>
  <c r="M97" i="3"/>
  <c r="N97" i="3"/>
  <c r="O97" i="3"/>
  <c r="P97" i="3"/>
  <c r="Q97" i="3"/>
  <c r="R97" i="3"/>
  <c r="G16" i="3"/>
  <c r="H16" i="3"/>
  <c r="I16" i="3"/>
  <c r="J16" i="3"/>
  <c r="K16" i="3"/>
  <c r="L16" i="3"/>
  <c r="M16" i="3"/>
  <c r="N16" i="3"/>
  <c r="O16" i="3"/>
  <c r="P16" i="3"/>
  <c r="Q16" i="3"/>
  <c r="R16" i="3"/>
  <c r="G50" i="85"/>
  <c r="H50" i="85"/>
  <c r="I50" i="85"/>
  <c r="J50" i="85"/>
  <c r="K50" i="85"/>
  <c r="L50" i="85"/>
  <c r="M50" i="85"/>
  <c r="N50" i="85"/>
  <c r="O50" i="85"/>
  <c r="P50" i="85"/>
  <c r="Q50" i="85"/>
  <c r="R50" i="85"/>
  <c r="H123" i="86"/>
  <c r="P14" i="83"/>
  <c r="M14" i="83"/>
  <c r="G14" i="83"/>
  <c r="D14" i="83"/>
  <c r="R151" i="86"/>
  <c r="Q151" i="86"/>
  <c r="P151" i="86"/>
  <c r="O151" i="86"/>
  <c r="N151" i="86"/>
  <c r="M151" i="86"/>
  <c r="L151" i="86"/>
  <c r="K151" i="86"/>
  <c r="J151" i="86"/>
  <c r="I151" i="86"/>
  <c r="H151" i="86"/>
  <c r="G151" i="86"/>
  <c r="B151" i="86"/>
  <c r="B149" i="86"/>
  <c r="R149" i="86"/>
  <c r="Q149" i="86"/>
  <c r="P149" i="86"/>
  <c r="O149" i="86"/>
  <c r="N149" i="86"/>
  <c r="M149" i="86"/>
  <c r="L149" i="86"/>
  <c r="K149" i="86"/>
  <c r="J149" i="86"/>
  <c r="I149" i="86"/>
  <c r="H149" i="86"/>
  <c r="G149" i="86"/>
  <c r="B74" i="86"/>
  <c r="B73" i="86"/>
  <c r="R74" i="86"/>
  <c r="Q74" i="86"/>
  <c r="P74" i="86"/>
  <c r="O74" i="86"/>
  <c r="N74" i="86"/>
  <c r="M74" i="86"/>
  <c r="L74" i="86"/>
  <c r="K74" i="86"/>
  <c r="J74" i="86"/>
  <c r="I74" i="86"/>
  <c r="H74" i="86"/>
  <c r="G74" i="86"/>
  <c r="R73" i="86"/>
  <c r="Q73" i="86"/>
  <c r="P73" i="86"/>
  <c r="O73" i="86"/>
  <c r="N73" i="86"/>
  <c r="M73" i="86"/>
  <c r="L73" i="86"/>
  <c r="K73" i="86"/>
  <c r="J73" i="86"/>
  <c r="I73" i="86"/>
  <c r="H73" i="86"/>
  <c r="G73" i="86"/>
  <c r="B60" i="86"/>
  <c r="B58" i="86"/>
  <c r="B59" i="86"/>
  <c r="R60" i="86"/>
  <c r="Q60" i="86"/>
  <c r="P60" i="86"/>
  <c r="O60" i="86"/>
  <c r="N60" i="86"/>
  <c r="M60" i="86"/>
  <c r="L60" i="86"/>
  <c r="K60" i="86"/>
  <c r="J60" i="86"/>
  <c r="I60" i="86"/>
  <c r="H60" i="86"/>
  <c r="G60" i="86"/>
  <c r="R59" i="86"/>
  <c r="Q59" i="86"/>
  <c r="P59" i="86"/>
  <c r="O59" i="86"/>
  <c r="N59" i="86"/>
  <c r="M59" i="86"/>
  <c r="L59" i="86"/>
  <c r="K59" i="86"/>
  <c r="J59" i="86"/>
  <c r="I59" i="86"/>
  <c r="H59" i="86"/>
  <c r="G59" i="86"/>
  <c r="R58" i="86"/>
  <c r="Q58" i="86"/>
  <c r="P58" i="86"/>
  <c r="O58" i="86"/>
  <c r="N58" i="86"/>
  <c r="M58" i="86"/>
  <c r="L58" i="86"/>
  <c r="K58" i="86"/>
  <c r="J58" i="86"/>
  <c r="I58" i="86"/>
  <c r="H58" i="86"/>
  <c r="G58" i="86"/>
  <c r="R53" i="86"/>
  <c r="Q53" i="86"/>
  <c r="P53" i="86"/>
  <c r="O53" i="86"/>
  <c r="N53" i="86"/>
  <c r="M53" i="86"/>
  <c r="L53" i="86"/>
  <c r="K53" i="86"/>
  <c r="J53" i="86"/>
  <c r="I53" i="86"/>
  <c r="H53" i="86"/>
  <c r="G53" i="86"/>
  <c r="B53" i="86"/>
  <c r="R64" i="75"/>
  <c r="Q64" i="75"/>
  <c r="P64" i="75"/>
  <c r="O64" i="75"/>
  <c r="N64" i="75"/>
  <c r="M64" i="75"/>
  <c r="L64" i="75"/>
  <c r="K64" i="75"/>
  <c r="J64" i="75"/>
  <c r="I64" i="75"/>
  <c r="H64" i="75"/>
  <c r="G64" i="75"/>
  <c r="B64" i="75"/>
  <c r="R60" i="75"/>
  <c r="Q60" i="75"/>
  <c r="P60" i="75"/>
  <c r="O60" i="75"/>
  <c r="N60" i="75"/>
  <c r="M60" i="75"/>
  <c r="L60" i="75"/>
  <c r="K60" i="75"/>
  <c r="J60" i="75"/>
  <c r="I60" i="75"/>
  <c r="H60" i="75"/>
  <c r="G60" i="75"/>
  <c r="B60" i="75"/>
  <c r="R100" i="75"/>
  <c r="Q100" i="75"/>
  <c r="P100" i="75"/>
  <c r="O100" i="75"/>
  <c r="N100" i="75"/>
  <c r="M100" i="75"/>
  <c r="L100" i="75"/>
  <c r="K100" i="75"/>
  <c r="J100" i="75"/>
  <c r="I100" i="75"/>
  <c r="H100" i="75"/>
  <c r="G100" i="75"/>
  <c r="B100" i="75"/>
  <c r="R75" i="75"/>
  <c r="Q75" i="75"/>
  <c r="P75" i="75"/>
  <c r="O75" i="75"/>
  <c r="N75" i="75"/>
  <c r="M75" i="75"/>
  <c r="L75" i="75"/>
  <c r="K75" i="75"/>
  <c r="J75" i="75"/>
  <c r="I75" i="75"/>
  <c r="H75" i="75"/>
  <c r="G75" i="75"/>
  <c r="B75" i="75"/>
  <c r="R99" i="75"/>
  <c r="Q99" i="75"/>
  <c r="P99" i="75"/>
  <c r="O99" i="75"/>
  <c r="N99" i="75"/>
  <c r="M99" i="75"/>
  <c r="L99" i="75"/>
  <c r="K99" i="75"/>
  <c r="J99" i="75"/>
  <c r="I99" i="75"/>
  <c r="H99" i="75"/>
  <c r="G99" i="75"/>
  <c r="R98" i="75"/>
  <c r="Q98" i="75"/>
  <c r="P98" i="75"/>
  <c r="O98" i="75"/>
  <c r="N98" i="75"/>
  <c r="M98" i="75"/>
  <c r="L98" i="75"/>
  <c r="K98" i="75"/>
  <c r="J98" i="75"/>
  <c r="I98" i="75"/>
  <c r="H98" i="75"/>
  <c r="G98" i="75"/>
  <c r="B99" i="75"/>
  <c r="B98" i="75"/>
  <c r="B96" i="75"/>
  <c r="R96" i="75"/>
  <c r="Q96" i="75"/>
  <c r="P96" i="75"/>
  <c r="O96" i="75"/>
  <c r="N96" i="75"/>
  <c r="M96" i="75"/>
  <c r="L96" i="75"/>
  <c r="K96" i="75"/>
  <c r="J96" i="75"/>
  <c r="I96" i="75"/>
  <c r="H96" i="75"/>
  <c r="G96" i="75"/>
  <c r="R121" i="75"/>
  <c r="Q121" i="75"/>
  <c r="P121" i="75"/>
  <c r="O121" i="75"/>
  <c r="N121" i="75"/>
  <c r="M121" i="75"/>
  <c r="L121" i="75"/>
  <c r="K121" i="75"/>
  <c r="J121" i="75"/>
  <c r="I121" i="75"/>
  <c r="H121" i="75"/>
  <c r="G121" i="75"/>
  <c r="R120" i="75"/>
  <c r="Q120" i="75"/>
  <c r="P120" i="75"/>
  <c r="O120" i="75"/>
  <c r="N120" i="75"/>
  <c r="M120" i="75"/>
  <c r="L120" i="75"/>
  <c r="K120" i="75"/>
  <c r="J120" i="75"/>
  <c r="I120" i="75"/>
  <c r="H120" i="75"/>
  <c r="G120" i="75"/>
  <c r="B121" i="75"/>
  <c r="B120" i="75"/>
  <c r="B202" i="75"/>
  <c r="B203" i="75"/>
  <c r="R203" i="75"/>
  <c r="Q203" i="75"/>
  <c r="P203" i="75"/>
  <c r="O203" i="75"/>
  <c r="N203" i="75"/>
  <c r="M203" i="75"/>
  <c r="L203" i="75"/>
  <c r="K203" i="75"/>
  <c r="J203" i="75"/>
  <c r="I203" i="75"/>
  <c r="H203" i="75"/>
  <c r="G203" i="75"/>
  <c r="R202" i="75"/>
  <c r="Q202" i="75"/>
  <c r="P202" i="75"/>
  <c r="O202" i="75"/>
  <c r="N202" i="75"/>
  <c r="M202" i="75"/>
  <c r="L202" i="75"/>
  <c r="K202" i="75"/>
  <c r="J202" i="75"/>
  <c r="I202" i="75"/>
  <c r="H202" i="75"/>
  <c r="G202" i="75"/>
  <c r="B207" i="75"/>
  <c r="G207" i="75"/>
  <c r="H207" i="75"/>
  <c r="I207" i="75"/>
  <c r="J207" i="75"/>
  <c r="K207" i="75"/>
  <c r="L207" i="75"/>
  <c r="M207" i="75"/>
  <c r="N207" i="75"/>
  <c r="O207" i="75"/>
  <c r="P207" i="75"/>
  <c r="Q207" i="75"/>
  <c r="R207" i="75"/>
  <c r="G104" i="75" l="1"/>
  <c r="H104" i="75"/>
  <c r="I104" i="75"/>
  <c r="J104" i="75"/>
  <c r="K104" i="75"/>
  <c r="L104" i="75"/>
  <c r="M104" i="75"/>
  <c r="N104" i="75"/>
  <c r="O104" i="75"/>
  <c r="P104" i="75"/>
  <c r="Q104" i="75"/>
  <c r="R104" i="75"/>
  <c r="G105" i="75"/>
  <c r="H105" i="75"/>
  <c r="I105" i="75"/>
  <c r="J105" i="75"/>
  <c r="K105" i="75"/>
  <c r="L105" i="75"/>
  <c r="M105" i="75"/>
  <c r="N105" i="75"/>
  <c r="O105" i="75"/>
  <c r="P105" i="75"/>
  <c r="Q105" i="75"/>
  <c r="R105" i="75"/>
  <c r="G107" i="75"/>
  <c r="H107" i="75"/>
  <c r="I107" i="75"/>
  <c r="J107" i="75"/>
  <c r="K107" i="75"/>
  <c r="L107" i="75"/>
  <c r="M107" i="75"/>
  <c r="N107" i="75"/>
  <c r="O107" i="75"/>
  <c r="P107" i="75"/>
  <c r="Q107" i="75"/>
  <c r="R107" i="75"/>
  <c r="G108" i="75"/>
  <c r="H108" i="75"/>
  <c r="I108" i="75"/>
  <c r="J108" i="75"/>
  <c r="K108" i="75"/>
  <c r="L108" i="75"/>
  <c r="M108" i="75"/>
  <c r="N108" i="75"/>
  <c r="O108" i="75"/>
  <c r="P108" i="75"/>
  <c r="Q108" i="75"/>
  <c r="R108" i="75"/>
  <c r="G109" i="75"/>
  <c r="H109" i="75"/>
  <c r="I109" i="75"/>
  <c r="J109" i="75"/>
  <c r="K109" i="75"/>
  <c r="L109" i="75"/>
  <c r="M109" i="75"/>
  <c r="N109" i="75"/>
  <c r="O109" i="75"/>
  <c r="P109" i="75"/>
  <c r="Q109" i="75"/>
  <c r="R109" i="75"/>
  <c r="G110" i="75"/>
  <c r="H110" i="75"/>
  <c r="I110" i="75"/>
  <c r="J110" i="75"/>
  <c r="K110" i="75"/>
  <c r="L110" i="75"/>
  <c r="M110" i="75"/>
  <c r="N110" i="75"/>
  <c r="O110" i="75"/>
  <c r="P110" i="75"/>
  <c r="Q110" i="75"/>
  <c r="R110" i="75"/>
  <c r="G111" i="75"/>
  <c r="H111" i="75"/>
  <c r="I111" i="75"/>
  <c r="J111" i="75"/>
  <c r="K111" i="75"/>
  <c r="L111" i="75"/>
  <c r="M111" i="75"/>
  <c r="N111" i="75"/>
  <c r="O111" i="75"/>
  <c r="P111" i="75"/>
  <c r="Q111" i="75"/>
  <c r="R111" i="75"/>
  <c r="G113" i="75"/>
  <c r="H113" i="75"/>
  <c r="I113" i="75"/>
  <c r="J113" i="75"/>
  <c r="K113" i="75"/>
  <c r="L113" i="75"/>
  <c r="M113" i="75"/>
  <c r="N113" i="75"/>
  <c r="O113" i="75"/>
  <c r="P113" i="75"/>
  <c r="Q113" i="75"/>
  <c r="R113" i="75"/>
  <c r="G114" i="75"/>
  <c r="H114" i="75"/>
  <c r="I114" i="75"/>
  <c r="J114" i="75"/>
  <c r="K114" i="75"/>
  <c r="L114" i="75"/>
  <c r="M114" i="75"/>
  <c r="N114" i="75"/>
  <c r="O114" i="75"/>
  <c r="P114" i="75"/>
  <c r="Q114" i="75"/>
  <c r="R114" i="75"/>
  <c r="G115" i="75"/>
  <c r="H115" i="75"/>
  <c r="I115" i="75"/>
  <c r="J115" i="75"/>
  <c r="K115" i="75"/>
  <c r="L115" i="75"/>
  <c r="M115" i="75"/>
  <c r="N115" i="75"/>
  <c r="O115" i="75"/>
  <c r="P115" i="75"/>
  <c r="Q115" i="75"/>
  <c r="R115" i="75"/>
  <c r="G116" i="75"/>
  <c r="H116" i="75"/>
  <c r="I116" i="75"/>
  <c r="J116" i="75"/>
  <c r="K116" i="75"/>
  <c r="L116" i="75"/>
  <c r="M116" i="75"/>
  <c r="N116" i="75"/>
  <c r="O116" i="75"/>
  <c r="P116" i="75"/>
  <c r="Q116" i="75"/>
  <c r="R116" i="75"/>
  <c r="G117" i="75"/>
  <c r="H117" i="75"/>
  <c r="I117" i="75"/>
  <c r="J117" i="75"/>
  <c r="K117" i="75"/>
  <c r="L117" i="75"/>
  <c r="M117" i="75"/>
  <c r="N117" i="75"/>
  <c r="O117" i="75"/>
  <c r="P117" i="75"/>
  <c r="Q117" i="75"/>
  <c r="R117" i="75"/>
  <c r="G118" i="75"/>
  <c r="H118" i="75"/>
  <c r="I118" i="75"/>
  <c r="J118" i="75"/>
  <c r="K118" i="75"/>
  <c r="L118" i="75"/>
  <c r="M118" i="75"/>
  <c r="N118" i="75"/>
  <c r="O118" i="75"/>
  <c r="P118" i="75"/>
  <c r="Q118" i="75"/>
  <c r="R118" i="75"/>
  <c r="B104" i="75"/>
  <c r="B105" i="75"/>
  <c r="B107" i="75"/>
  <c r="B108" i="75"/>
  <c r="B109" i="75"/>
  <c r="B110" i="75"/>
  <c r="B111" i="75"/>
  <c r="B114" i="75"/>
  <c r="B115" i="75"/>
  <c r="B116" i="75"/>
  <c r="B117" i="75"/>
  <c r="B118" i="75"/>
  <c r="B103" i="75"/>
  <c r="B102" i="75"/>
  <c r="B101" i="75"/>
  <c r="B97" i="75"/>
  <c r="B95" i="75"/>
  <c r="R103" i="75"/>
  <c r="Q103" i="75"/>
  <c r="P103" i="75"/>
  <c r="O103" i="75"/>
  <c r="N103" i="75"/>
  <c r="M103" i="75"/>
  <c r="L103" i="75"/>
  <c r="K103" i="75"/>
  <c r="J103" i="75"/>
  <c r="I103" i="75"/>
  <c r="H103" i="75"/>
  <c r="G103" i="75"/>
  <c r="R102" i="75"/>
  <c r="Q102" i="75"/>
  <c r="P102" i="75"/>
  <c r="O102" i="75"/>
  <c r="N102" i="75"/>
  <c r="M102" i="75"/>
  <c r="L102" i="75"/>
  <c r="K102" i="75"/>
  <c r="J102" i="75"/>
  <c r="I102" i="75"/>
  <c r="H102" i="75"/>
  <c r="G102" i="75"/>
  <c r="R101" i="75"/>
  <c r="Q101" i="75"/>
  <c r="P101" i="75"/>
  <c r="O101" i="75"/>
  <c r="N101" i="75"/>
  <c r="M101" i="75"/>
  <c r="L101" i="75"/>
  <c r="K101" i="75"/>
  <c r="J101" i="75"/>
  <c r="I101" i="75"/>
  <c r="H101" i="75"/>
  <c r="G101" i="75"/>
  <c r="R97" i="75"/>
  <c r="Q97" i="75"/>
  <c r="P97" i="75"/>
  <c r="O97" i="75"/>
  <c r="N97" i="75"/>
  <c r="M97" i="75"/>
  <c r="L97" i="75"/>
  <c r="K97" i="75"/>
  <c r="J97" i="75"/>
  <c r="I97" i="75"/>
  <c r="H97" i="75"/>
  <c r="G97" i="75"/>
  <c r="G95" i="75" l="1"/>
  <c r="H95" i="75"/>
  <c r="I95" i="75"/>
  <c r="J95" i="75"/>
  <c r="K95" i="75"/>
  <c r="L95" i="75"/>
  <c r="M95" i="75"/>
  <c r="N95" i="75"/>
  <c r="O95" i="75"/>
  <c r="P95" i="75"/>
  <c r="Q95" i="75"/>
  <c r="R95" i="75"/>
  <c r="G76" i="75"/>
  <c r="H76" i="75"/>
  <c r="I76" i="75"/>
  <c r="J76" i="75"/>
  <c r="K76" i="75"/>
  <c r="L76" i="75"/>
  <c r="M76" i="75"/>
  <c r="N76" i="75"/>
  <c r="O76" i="75"/>
  <c r="P76" i="75"/>
  <c r="Q76" i="75"/>
  <c r="R76" i="75"/>
  <c r="B76" i="75"/>
  <c r="G77" i="75"/>
  <c r="H77" i="75"/>
  <c r="I77" i="75"/>
  <c r="J77" i="75"/>
  <c r="K77" i="75"/>
  <c r="L77" i="75"/>
  <c r="M77" i="75"/>
  <c r="N77" i="75"/>
  <c r="O77" i="75"/>
  <c r="P77" i="75"/>
  <c r="Q77" i="75"/>
  <c r="R77" i="75"/>
  <c r="B77" i="75"/>
  <c r="G73" i="75"/>
  <c r="H73" i="75"/>
  <c r="I73" i="75"/>
  <c r="J73" i="75"/>
  <c r="K73" i="75"/>
  <c r="L73" i="75"/>
  <c r="M73" i="75"/>
  <c r="N73" i="75"/>
  <c r="O73" i="75"/>
  <c r="P73" i="75"/>
  <c r="Q73" i="75"/>
  <c r="R73" i="75"/>
  <c r="B73" i="75"/>
  <c r="G62" i="75"/>
  <c r="H62" i="75"/>
  <c r="I62" i="75"/>
  <c r="J62" i="75"/>
  <c r="K62" i="75"/>
  <c r="L62" i="75"/>
  <c r="M62" i="75"/>
  <c r="N62" i="75"/>
  <c r="O62" i="75"/>
  <c r="P62" i="75"/>
  <c r="Q62" i="75"/>
  <c r="R62" i="75"/>
  <c r="B62" i="75"/>
  <c r="G59" i="75"/>
  <c r="H59" i="75"/>
  <c r="I59" i="75"/>
  <c r="J59" i="75"/>
  <c r="K59" i="75"/>
  <c r="L59" i="75"/>
  <c r="M59" i="75"/>
  <c r="N59" i="75"/>
  <c r="O59" i="75"/>
  <c r="P59" i="75"/>
  <c r="Q59" i="75"/>
  <c r="R59" i="75"/>
  <c r="B59" i="75"/>
  <c r="G89" i="75"/>
  <c r="H89" i="75"/>
  <c r="I89" i="75"/>
  <c r="J89" i="75"/>
  <c r="K89" i="75"/>
  <c r="L89" i="75"/>
  <c r="M89" i="75"/>
  <c r="N89" i="75"/>
  <c r="O89" i="75"/>
  <c r="P89" i="75"/>
  <c r="Q89" i="75"/>
  <c r="R89" i="75"/>
  <c r="B89" i="75"/>
  <c r="G69" i="75"/>
  <c r="H69" i="75"/>
  <c r="I69" i="75"/>
  <c r="J69" i="75"/>
  <c r="K69" i="75"/>
  <c r="L69" i="75"/>
  <c r="M69" i="75"/>
  <c r="N69" i="75"/>
  <c r="O69" i="75"/>
  <c r="P69" i="75"/>
  <c r="Q69" i="75"/>
  <c r="R69" i="75"/>
  <c r="G70" i="75"/>
  <c r="H70" i="75"/>
  <c r="I70" i="75"/>
  <c r="J70" i="75"/>
  <c r="K70" i="75"/>
  <c r="L70" i="75"/>
  <c r="M70" i="75"/>
  <c r="N70" i="75"/>
  <c r="O70" i="75"/>
  <c r="P70" i="75"/>
  <c r="Q70" i="75"/>
  <c r="R70" i="75"/>
  <c r="G71" i="75"/>
  <c r="H71" i="75"/>
  <c r="I71" i="75"/>
  <c r="J71" i="75"/>
  <c r="K71" i="75"/>
  <c r="L71" i="75"/>
  <c r="M71" i="75"/>
  <c r="N71" i="75"/>
  <c r="O71" i="75"/>
  <c r="P71" i="75"/>
  <c r="Q71" i="75"/>
  <c r="R71" i="75"/>
  <c r="G72" i="75"/>
  <c r="H72" i="75"/>
  <c r="I72" i="75"/>
  <c r="J72" i="75"/>
  <c r="K72" i="75"/>
  <c r="L72" i="75"/>
  <c r="M72" i="75"/>
  <c r="N72" i="75"/>
  <c r="O72" i="75"/>
  <c r="P72" i="75"/>
  <c r="Q72" i="75"/>
  <c r="R72" i="75"/>
  <c r="G74" i="75"/>
  <c r="H74" i="75"/>
  <c r="I74" i="75"/>
  <c r="J74" i="75"/>
  <c r="K74" i="75"/>
  <c r="L74" i="75"/>
  <c r="M74" i="75"/>
  <c r="N74" i="75"/>
  <c r="O74" i="75"/>
  <c r="P74" i="75"/>
  <c r="Q74" i="75"/>
  <c r="R74" i="75"/>
  <c r="G78" i="75"/>
  <c r="H78" i="75"/>
  <c r="I78" i="75"/>
  <c r="J78" i="75"/>
  <c r="K78" i="75"/>
  <c r="L78" i="75"/>
  <c r="M78" i="75"/>
  <c r="N78" i="75"/>
  <c r="O78" i="75"/>
  <c r="P78" i="75"/>
  <c r="Q78" i="75"/>
  <c r="R78" i="75"/>
  <c r="G79" i="75"/>
  <c r="H79" i="75"/>
  <c r="I79" i="75"/>
  <c r="J79" i="75"/>
  <c r="K79" i="75"/>
  <c r="L79" i="75"/>
  <c r="M79" i="75"/>
  <c r="N79" i="75"/>
  <c r="O79" i="75"/>
  <c r="P79" i="75"/>
  <c r="Q79" i="75"/>
  <c r="R79" i="75"/>
  <c r="G86" i="75"/>
  <c r="H86" i="75"/>
  <c r="I86" i="75"/>
  <c r="J86" i="75"/>
  <c r="K86" i="75"/>
  <c r="L86" i="75"/>
  <c r="M86" i="75"/>
  <c r="N86" i="75"/>
  <c r="O86" i="75"/>
  <c r="P86" i="75"/>
  <c r="Q86" i="75"/>
  <c r="R86" i="75"/>
  <c r="B69" i="75"/>
  <c r="B70" i="75"/>
  <c r="B71" i="75"/>
  <c r="B72" i="75"/>
  <c r="B74" i="75"/>
  <c r="B78" i="75"/>
  <c r="B79" i="75"/>
  <c r="B86" i="75"/>
  <c r="G35" i="75" l="1"/>
  <c r="H35" i="75"/>
  <c r="I35" i="75"/>
  <c r="J35" i="75"/>
  <c r="K35" i="75"/>
  <c r="L35" i="75"/>
  <c r="M35" i="75"/>
  <c r="N35" i="75"/>
  <c r="O35" i="75"/>
  <c r="P35" i="75"/>
  <c r="Q35" i="75"/>
  <c r="R35" i="75"/>
  <c r="B35" i="75"/>
  <c r="B10" i="86"/>
  <c r="G10" i="86"/>
  <c r="H10" i="86"/>
  <c r="I10" i="86"/>
  <c r="J10" i="86"/>
  <c r="K10" i="86"/>
  <c r="L10" i="86"/>
  <c r="M10" i="86"/>
  <c r="N10" i="86"/>
  <c r="O10" i="86"/>
  <c r="P10" i="86"/>
  <c r="Q10" i="86"/>
  <c r="R10" i="86"/>
  <c r="G9" i="86"/>
  <c r="B39" i="75" l="1"/>
  <c r="B91" i="75"/>
  <c r="B11" i="75"/>
  <c r="CV9" i="81"/>
  <c r="CZ12" i="82" l="1"/>
  <c r="CZ10" i="82" s="1"/>
  <c r="O245" i="75"/>
  <c r="G39" i="75"/>
  <c r="H39" i="75"/>
  <c r="I39" i="75"/>
  <c r="J39" i="75"/>
  <c r="K39" i="75"/>
  <c r="L39" i="75"/>
  <c r="M39" i="75"/>
  <c r="N39" i="75"/>
  <c r="O39" i="75"/>
  <c r="P39" i="75"/>
  <c r="Q39" i="75"/>
  <c r="R39" i="75"/>
  <c r="G11" i="75"/>
  <c r="H11" i="75"/>
  <c r="I11" i="75"/>
  <c r="J11" i="75"/>
  <c r="K11" i="75"/>
  <c r="L11" i="75"/>
  <c r="M11" i="75"/>
  <c r="N11" i="75"/>
  <c r="O11" i="75"/>
  <c r="P11" i="75"/>
  <c r="Q11" i="75"/>
  <c r="R11" i="75"/>
  <c r="R246" i="75"/>
  <c r="G91" i="75"/>
  <c r="H91" i="75"/>
  <c r="I91" i="75"/>
  <c r="J91" i="75"/>
  <c r="K91" i="75"/>
  <c r="L91" i="75"/>
  <c r="M91" i="75"/>
  <c r="N91" i="75"/>
  <c r="O91" i="75"/>
  <c r="P91" i="75"/>
  <c r="Q91" i="75"/>
  <c r="R91" i="75"/>
  <c r="Q209" i="75"/>
  <c r="B37" i="75" l="1"/>
  <c r="G37" i="75"/>
  <c r="H37" i="75"/>
  <c r="I37" i="75"/>
  <c r="J37" i="75"/>
  <c r="K37" i="75"/>
  <c r="L37" i="75"/>
  <c r="M37" i="75"/>
  <c r="N37" i="75"/>
  <c r="O37" i="75"/>
  <c r="P37" i="75"/>
  <c r="Q37" i="75"/>
  <c r="R37" i="75"/>
  <c r="G194" i="75"/>
  <c r="H194" i="75"/>
  <c r="I194" i="75"/>
  <c r="J194" i="75"/>
  <c r="K194" i="75"/>
  <c r="L194" i="75"/>
  <c r="M194" i="75"/>
  <c r="N194" i="75"/>
  <c r="O194" i="75"/>
  <c r="P194" i="75"/>
  <c r="Q194" i="75"/>
  <c r="R194" i="75"/>
  <c r="B194" i="75"/>
  <c r="B5" i="75"/>
  <c r="R5" i="75"/>
  <c r="G5" i="75"/>
  <c r="H5" i="75"/>
  <c r="I5" i="75"/>
  <c r="J5" i="75"/>
  <c r="K5" i="75"/>
  <c r="L5" i="75"/>
  <c r="M5" i="75"/>
  <c r="N5" i="75"/>
  <c r="O5" i="75"/>
  <c r="P5" i="75"/>
  <c r="Q5" i="75"/>
  <c r="P245" i="75"/>
  <c r="BM76" i="90" s="1"/>
  <c r="P246" i="75"/>
  <c r="P247" i="75" l="1"/>
  <c r="BM77" i="90"/>
  <c r="BM78" i="90" s="1"/>
  <c r="R171" i="75"/>
  <c r="Q162" i="75"/>
  <c r="P162" i="75" l="1"/>
  <c r="H245" i="75"/>
  <c r="CA77" i="90" l="1"/>
  <c r="R245" i="75"/>
  <c r="Q246" i="75"/>
  <c r="BT77" i="90" s="1"/>
  <c r="Q245" i="75"/>
  <c r="BT76" i="90" s="1"/>
  <c r="R190" i="86"/>
  <c r="CC77" i="90" s="1"/>
  <c r="R189" i="86"/>
  <c r="CC76" i="90" s="1"/>
  <c r="Q190" i="86"/>
  <c r="BV77" i="90" s="1"/>
  <c r="Q189" i="86"/>
  <c r="BV76" i="90" s="1"/>
  <c r="P190" i="86"/>
  <c r="BO77" i="90" s="1"/>
  <c r="P189" i="86"/>
  <c r="BO76" i="90" s="1"/>
  <c r="BV78" i="90" l="1"/>
  <c r="BX76" i="90"/>
  <c r="R191" i="86"/>
  <c r="CC78" i="90"/>
  <c r="CA76" i="90"/>
  <c r="CE76" i="90" s="1"/>
  <c r="R247" i="75"/>
  <c r="BT78" i="90"/>
  <c r="BX77" i="90"/>
  <c r="CE77" i="90"/>
  <c r="Q247" i="75"/>
  <c r="BX78" i="90" l="1"/>
  <c r="CE78" i="90"/>
  <c r="CA78" i="90"/>
  <c r="CE71" i="90"/>
  <c r="CE70" i="90"/>
  <c r="CE66" i="90"/>
  <c r="CE60" i="90"/>
  <c r="CE59" i="90"/>
  <c r="CG47" i="90"/>
  <c r="R3" i="3"/>
  <c r="R4" i="85"/>
  <c r="R5" i="85"/>
  <c r="R6" i="85"/>
  <c r="R7" i="85"/>
  <c r="R8" i="85"/>
  <c r="R9" i="85"/>
  <c r="CC22" i="90" s="1"/>
  <c r="R10" i="85"/>
  <c r="R11" i="85"/>
  <c r="R12" i="85"/>
  <c r="R13" i="85"/>
  <c r="R14" i="85"/>
  <c r="R15" i="85"/>
  <c r="R16" i="85"/>
  <c r="R17" i="85"/>
  <c r="R18" i="85"/>
  <c r="R19" i="85"/>
  <c r="R20" i="85"/>
  <c r="R21" i="85"/>
  <c r="R22" i="85"/>
  <c r="R23" i="85"/>
  <c r="R24" i="85"/>
  <c r="R25" i="85"/>
  <c r="R26" i="85"/>
  <c r="R27" i="85"/>
  <c r="R28" i="85"/>
  <c r="R29" i="85"/>
  <c r="R30" i="85"/>
  <c r="R31" i="85"/>
  <c r="R32" i="85"/>
  <c r="Y25" i="89" s="1"/>
  <c r="R33" i="85"/>
  <c r="R34" i="85"/>
  <c r="R35" i="85"/>
  <c r="R36" i="85"/>
  <c r="R37" i="85"/>
  <c r="R38" i="85"/>
  <c r="R39" i="85"/>
  <c r="R40" i="85"/>
  <c r="R41" i="85"/>
  <c r="R42" i="85"/>
  <c r="R43" i="85"/>
  <c r="R44" i="85"/>
  <c r="R45" i="85"/>
  <c r="R46" i="85"/>
  <c r="R47" i="85"/>
  <c r="R48" i="85"/>
  <c r="R49" i="85"/>
  <c r="R51" i="85"/>
  <c r="R52" i="85"/>
  <c r="R53" i="85"/>
  <c r="R54" i="85"/>
  <c r="R55" i="85"/>
  <c r="R56" i="85"/>
  <c r="R57" i="85"/>
  <c r="R58" i="85"/>
  <c r="R59" i="85"/>
  <c r="R60" i="85"/>
  <c r="R61" i="85"/>
  <c r="R62" i="85"/>
  <c r="R63" i="85"/>
  <c r="R64" i="85"/>
  <c r="R65" i="85"/>
  <c r="R66" i="85"/>
  <c r="R67" i="85"/>
  <c r="R68" i="85"/>
  <c r="R69" i="85"/>
  <c r="R70" i="85"/>
  <c r="R71" i="85"/>
  <c r="R72" i="85"/>
  <c r="R73" i="85"/>
  <c r="R74" i="85"/>
  <c r="R75" i="85"/>
  <c r="R76" i="85"/>
  <c r="R77" i="85"/>
  <c r="R78" i="85"/>
  <c r="R79" i="85"/>
  <c r="R80" i="85"/>
  <c r="R81" i="85"/>
  <c r="R82" i="85"/>
  <c r="R83" i="85"/>
  <c r="R84" i="85"/>
  <c r="R85" i="85"/>
  <c r="R86" i="85"/>
  <c r="R87" i="85"/>
  <c r="R88" i="85"/>
  <c r="R89" i="85"/>
  <c r="R90" i="85"/>
  <c r="R91" i="85"/>
  <c r="R92" i="85"/>
  <c r="R93" i="85"/>
  <c r="R94" i="85"/>
  <c r="R95" i="85"/>
  <c r="R96" i="85"/>
  <c r="R97" i="85"/>
  <c r="R98" i="85"/>
  <c r="R99" i="85"/>
  <c r="R100" i="85"/>
  <c r="R101" i="85"/>
  <c r="R102" i="85"/>
  <c r="R103" i="85"/>
  <c r="R104" i="85"/>
  <c r="R105" i="85"/>
  <c r="R107" i="85"/>
  <c r="R108" i="85"/>
  <c r="R109" i="85"/>
  <c r="Y36" i="89" s="1"/>
  <c r="R110" i="85"/>
  <c r="R106" i="85"/>
  <c r="R111" i="85"/>
  <c r="R112" i="85"/>
  <c r="R113" i="85"/>
  <c r="R114" i="85"/>
  <c r="R115" i="85"/>
  <c r="R116" i="85"/>
  <c r="R117" i="85"/>
  <c r="R118" i="85"/>
  <c r="R119" i="85"/>
  <c r="R120" i="85"/>
  <c r="R121" i="85"/>
  <c r="R122" i="85"/>
  <c r="R123" i="85"/>
  <c r="R124" i="85"/>
  <c r="R125" i="85"/>
  <c r="R126" i="85"/>
  <c r="R127" i="85"/>
  <c r="R128" i="85"/>
  <c r="R129" i="85"/>
  <c r="R130" i="85"/>
  <c r="R131" i="85"/>
  <c r="R3" i="85"/>
  <c r="R72" i="86"/>
  <c r="R75" i="86"/>
  <c r="CC52" i="90" s="1"/>
  <c r="R76" i="86"/>
  <c r="R77" i="86"/>
  <c r="R78" i="86"/>
  <c r="R79" i="86"/>
  <c r="R80" i="86"/>
  <c r="R81" i="86"/>
  <c r="R82" i="86"/>
  <c r="R83" i="86"/>
  <c r="R84" i="86"/>
  <c r="R85" i="86"/>
  <c r="R86" i="86"/>
  <c r="R87" i="86"/>
  <c r="R88" i="86"/>
  <c r="R89" i="86"/>
  <c r="R90" i="86"/>
  <c r="R91" i="86"/>
  <c r="R92" i="86"/>
  <c r="R93" i="86"/>
  <c r="R94" i="86"/>
  <c r="R95" i="86"/>
  <c r="R96" i="86"/>
  <c r="R97" i="86"/>
  <c r="R98" i="86"/>
  <c r="R99" i="86"/>
  <c r="R100" i="86"/>
  <c r="R101" i="86"/>
  <c r="R102" i="86"/>
  <c r="R103" i="86"/>
  <c r="R104" i="86"/>
  <c r="R105" i="86"/>
  <c r="R106" i="86"/>
  <c r="R107" i="86"/>
  <c r="R108" i="86"/>
  <c r="R109" i="86"/>
  <c r="R110" i="86"/>
  <c r="R114" i="86"/>
  <c r="R123" i="86"/>
  <c r="R127" i="86"/>
  <c r="R128" i="86"/>
  <c r="R129" i="86"/>
  <c r="R130" i="86"/>
  <c r="Y39" i="89" s="1"/>
  <c r="R131" i="86"/>
  <c r="R132" i="86"/>
  <c r="R133" i="86"/>
  <c r="R134" i="86"/>
  <c r="R135" i="86"/>
  <c r="R136" i="86"/>
  <c r="R137" i="86"/>
  <c r="R138" i="86"/>
  <c r="R139" i="86"/>
  <c r="R140" i="86"/>
  <c r="R141" i="86"/>
  <c r="R142" i="86"/>
  <c r="R143" i="86"/>
  <c r="R144" i="86"/>
  <c r="R145" i="86"/>
  <c r="R146" i="86"/>
  <c r="Y69" i="89" s="1"/>
  <c r="R147" i="86"/>
  <c r="R150" i="86"/>
  <c r="R152" i="86"/>
  <c r="R153" i="86"/>
  <c r="R154" i="86"/>
  <c r="R155" i="86"/>
  <c r="R156" i="86"/>
  <c r="R157" i="86"/>
  <c r="R158" i="86"/>
  <c r="R159" i="86"/>
  <c r="R160" i="86"/>
  <c r="R161" i="86"/>
  <c r="R162" i="86"/>
  <c r="R163" i="86"/>
  <c r="R164" i="86"/>
  <c r="R165" i="86"/>
  <c r="R166" i="86"/>
  <c r="R167" i="86"/>
  <c r="R168" i="86"/>
  <c r="R169" i="86"/>
  <c r="R170" i="86"/>
  <c r="R171" i="86"/>
  <c r="R172" i="86"/>
  <c r="R173" i="86"/>
  <c r="R174" i="86"/>
  <c r="R175" i="86"/>
  <c r="R176" i="86"/>
  <c r="R177" i="86"/>
  <c r="R178" i="86"/>
  <c r="R179" i="86"/>
  <c r="R180" i="86"/>
  <c r="R181" i="86"/>
  <c r="R182" i="86"/>
  <c r="R183" i="86"/>
  <c r="R184" i="86"/>
  <c r="R71" i="86"/>
  <c r="R4" i="86"/>
  <c r="R5" i="86"/>
  <c r="R6" i="86"/>
  <c r="R7" i="86"/>
  <c r="R8" i="86"/>
  <c r="R9" i="86"/>
  <c r="R11" i="86"/>
  <c r="R12" i="86"/>
  <c r="R13" i="86"/>
  <c r="R14" i="86"/>
  <c r="R15" i="86"/>
  <c r="R16" i="86"/>
  <c r="R17" i="86"/>
  <c r="R18" i="86"/>
  <c r="R19" i="86"/>
  <c r="R20" i="86"/>
  <c r="R21" i="86"/>
  <c r="R22" i="86"/>
  <c r="R23" i="86"/>
  <c r="R24" i="86"/>
  <c r="R25" i="86"/>
  <c r="R26" i="86"/>
  <c r="R27" i="86"/>
  <c r="R28" i="86"/>
  <c r="R29" i="86"/>
  <c r="R30" i="86"/>
  <c r="R31" i="86"/>
  <c r="R32" i="86"/>
  <c r="R33" i="86"/>
  <c r="R34" i="86"/>
  <c r="R35" i="86"/>
  <c r="R36" i="86"/>
  <c r="Y15" i="89" s="1"/>
  <c r="R37" i="86"/>
  <c r="R38" i="86"/>
  <c r="R39" i="86"/>
  <c r="R40" i="86"/>
  <c r="R41" i="86"/>
  <c r="R42" i="86"/>
  <c r="R43" i="86"/>
  <c r="R44" i="86"/>
  <c r="R45" i="86"/>
  <c r="R46" i="86"/>
  <c r="R47" i="86"/>
  <c r="R48" i="86"/>
  <c r="R49" i="86"/>
  <c r="R50" i="86"/>
  <c r="R51" i="86"/>
  <c r="R52" i="86"/>
  <c r="R54" i="86"/>
  <c r="R55" i="86"/>
  <c r="R56" i="86"/>
  <c r="R61" i="86"/>
  <c r="R62" i="86"/>
  <c r="R63" i="86"/>
  <c r="R64" i="86"/>
  <c r="R65" i="86"/>
  <c r="R67" i="86"/>
  <c r="R68" i="86"/>
  <c r="R69" i="86"/>
  <c r="R70" i="86"/>
  <c r="R3" i="86"/>
  <c r="CC4" i="90" s="1"/>
  <c r="R4" i="3"/>
  <c r="R5" i="3"/>
  <c r="R6" i="3"/>
  <c r="R7" i="3"/>
  <c r="R8" i="3"/>
  <c r="R10" i="3"/>
  <c r="Y22" i="78" s="1"/>
  <c r="R11" i="3"/>
  <c r="R12" i="3"/>
  <c r="R13" i="3"/>
  <c r="R14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Y25" i="78" s="1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3" i="3"/>
  <c r="R94" i="3"/>
  <c r="R95" i="3"/>
  <c r="R96" i="3"/>
  <c r="R98" i="3"/>
  <c r="R99" i="3"/>
  <c r="R101" i="3"/>
  <c r="R102" i="3"/>
  <c r="R103" i="3"/>
  <c r="R104" i="3"/>
  <c r="R105" i="3"/>
  <c r="R106" i="3"/>
  <c r="R107" i="3"/>
  <c r="R108" i="3"/>
  <c r="R109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6" i="3"/>
  <c r="R127" i="3"/>
  <c r="R128" i="3"/>
  <c r="Y36" i="78" s="1"/>
  <c r="R129" i="3"/>
  <c r="R74" i="3"/>
  <c r="R92" i="3"/>
  <c r="R125" i="3"/>
  <c r="R100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23" i="75"/>
  <c r="R124" i="75"/>
  <c r="R125" i="75"/>
  <c r="Y52" i="78" s="1"/>
  <c r="R126" i="75"/>
  <c r="R127" i="75"/>
  <c r="R128" i="75"/>
  <c r="R129" i="75"/>
  <c r="R130" i="75"/>
  <c r="R131" i="75"/>
  <c r="R132" i="75"/>
  <c r="R133" i="75"/>
  <c r="R134" i="75"/>
  <c r="R135" i="75"/>
  <c r="R136" i="75"/>
  <c r="R137" i="75"/>
  <c r="R138" i="75"/>
  <c r="R139" i="75"/>
  <c r="R140" i="75"/>
  <c r="R141" i="75"/>
  <c r="R142" i="75"/>
  <c r="R143" i="75"/>
  <c r="R144" i="75"/>
  <c r="R145" i="75"/>
  <c r="R146" i="75"/>
  <c r="R147" i="75"/>
  <c r="R148" i="75"/>
  <c r="R149" i="75"/>
  <c r="R150" i="75"/>
  <c r="R151" i="75"/>
  <c r="R152" i="75"/>
  <c r="R153" i="75"/>
  <c r="R154" i="75"/>
  <c r="R155" i="75"/>
  <c r="R156" i="75"/>
  <c r="R157" i="75"/>
  <c r="R158" i="75"/>
  <c r="R162" i="75"/>
  <c r="R176" i="75"/>
  <c r="R177" i="75"/>
  <c r="R178" i="75"/>
  <c r="R179" i="75"/>
  <c r="CA39" i="90" s="1"/>
  <c r="R180" i="75"/>
  <c r="R181" i="75"/>
  <c r="R182" i="75"/>
  <c r="R183" i="75"/>
  <c r="R184" i="75"/>
  <c r="R185" i="75"/>
  <c r="R186" i="75"/>
  <c r="R187" i="75"/>
  <c r="R188" i="75"/>
  <c r="R189" i="75"/>
  <c r="R190" i="75"/>
  <c r="R191" i="75"/>
  <c r="R192" i="75"/>
  <c r="R193" i="75"/>
  <c r="R197" i="75"/>
  <c r="R198" i="75"/>
  <c r="R199" i="75"/>
  <c r="R200" i="75"/>
  <c r="CA69" i="90" s="1"/>
  <c r="R201" i="75"/>
  <c r="R204" i="75"/>
  <c r="R205" i="75"/>
  <c r="R206" i="75"/>
  <c r="R208" i="75"/>
  <c r="R209" i="75"/>
  <c r="R210" i="75"/>
  <c r="R211" i="75"/>
  <c r="R212" i="75"/>
  <c r="R213" i="75"/>
  <c r="R214" i="75"/>
  <c r="R215" i="75"/>
  <c r="R216" i="75"/>
  <c r="R217" i="75"/>
  <c r="R218" i="75"/>
  <c r="R219" i="75"/>
  <c r="R220" i="75"/>
  <c r="R221" i="75"/>
  <c r="R222" i="75"/>
  <c r="R223" i="75"/>
  <c r="R224" i="75"/>
  <c r="R226" i="75"/>
  <c r="R227" i="75"/>
  <c r="R228" i="75"/>
  <c r="R229" i="75"/>
  <c r="R230" i="75"/>
  <c r="R231" i="75"/>
  <c r="R232" i="75"/>
  <c r="R233" i="75"/>
  <c r="R234" i="75"/>
  <c r="R235" i="75"/>
  <c r="R236" i="75"/>
  <c r="R237" i="75"/>
  <c r="R238" i="75"/>
  <c r="R239" i="75"/>
  <c r="R240" i="75"/>
  <c r="R122" i="75"/>
  <c r="R7" i="75"/>
  <c r="R8" i="75"/>
  <c r="R9" i="75"/>
  <c r="R10" i="75"/>
  <c r="R12" i="75"/>
  <c r="R13" i="75"/>
  <c r="R14" i="75"/>
  <c r="R15" i="75"/>
  <c r="R16" i="75"/>
  <c r="R17" i="75"/>
  <c r="R18" i="75"/>
  <c r="R19" i="75"/>
  <c r="R20" i="75"/>
  <c r="R21" i="75"/>
  <c r="R22" i="75"/>
  <c r="R23" i="75"/>
  <c r="R24" i="75"/>
  <c r="R25" i="75"/>
  <c r="R26" i="75"/>
  <c r="R27" i="75"/>
  <c r="R28" i="75"/>
  <c r="R30" i="75"/>
  <c r="R31" i="75"/>
  <c r="R32" i="75"/>
  <c r="R33" i="75"/>
  <c r="R34" i="75"/>
  <c r="R36" i="75"/>
  <c r="R38" i="75"/>
  <c r="R40" i="75"/>
  <c r="R41" i="75"/>
  <c r="R42" i="75"/>
  <c r="R43" i="75"/>
  <c r="R44" i="75"/>
  <c r="R45" i="75"/>
  <c r="R46" i="75"/>
  <c r="R47" i="75"/>
  <c r="R48" i="75"/>
  <c r="R49" i="75"/>
  <c r="R50" i="75"/>
  <c r="R51" i="75"/>
  <c r="R52" i="75"/>
  <c r="R53" i="75"/>
  <c r="R54" i="75"/>
  <c r="R55" i="75"/>
  <c r="R56" i="75"/>
  <c r="R57" i="75"/>
  <c r="R58" i="75"/>
  <c r="R61" i="75"/>
  <c r="R63" i="75"/>
  <c r="R65" i="75"/>
  <c r="R68" i="75"/>
  <c r="R82" i="75"/>
  <c r="R83" i="75"/>
  <c r="R84" i="75"/>
  <c r="R85" i="75"/>
  <c r="R87" i="75"/>
  <c r="R88" i="75"/>
  <c r="R92" i="75"/>
  <c r="R93" i="75"/>
  <c r="R94" i="75"/>
  <c r="R81" i="75"/>
  <c r="R90" i="75"/>
  <c r="R4" i="75"/>
  <c r="R6" i="75"/>
  <c r="R3" i="75"/>
  <c r="CA4" i="90" s="1"/>
  <c r="CC6" i="90" l="1"/>
  <c r="CC9" i="90"/>
  <c r="CC24" i="90"/>
  <c r="CC8" i="90"/>
  <c r="CC5" i="90"/>
  <c r="CC7" i="90"/>
  <c r="CA24" i="90"/>
  <c r="CA6" i="90"/>
  <c r="CA8" i="90"/>
  <c r="CA5" i="90"/>
  <c r="CE4" i="90"/>
  <c r="CA9" i="90"/>
  <c r="CA7" i="90"/>
  <c r="Y37" i="89"/>
  <c r="CC16" i="90"/>
  <c r="Y35" i="89"/>
  <c r="Y6" i="89"/>
  <c r="Y61" i="89"/>
  <c r="Y58" i="89"/>
  <c r="Y41" i="89"/>
  <c r="Y44" i="89"/>
  <c r="Y9" i="89"/>
  <c r="Y4" i="89"/>
  <c r="R192" i="86"/>
  <c r="Y5" i="89"/>
  <c r="Y72" i="89"/>
  <c r="Y7" i="89"/>
  <c r="Y63" i="89"/>
  <c r="Y8" i="89"/>
  <c r="CC53" i="90"/>
  <c r="Y56" i="78"/>
  <c r="R249" i="75"/>
  <c r="Y4" i="78"/>
  <c r="R248" i="75"/>
  <c r="Y31" i="89"/>
  <c r="Y28" i="89"/>
  <c r="CC32" i="90"/>
  <c r="Y27" i="89"/>
  <c r="Y30" i="89"/>
  <c r="Y29" i="89"/>
  <c r="Y23" i="89"/>
  <c r="Y34" i="89"/>
  <c r="CC33" i="90"/>
  <c r="Y26" i="89"/>
  <c r="Y38" i="89"/>
  <c r="Y45" i="89"/>
  <c r="R193" i="86"/>
  <c r="CC21" i="90"/>
  <c r="Y24" i="89"/>
  <c r="Y67" i="89"/>
  <c r="Y65" i="89" s="1"/>
  <c r="CC54" i="90"/>
  <c r="Y40" i="89"/>
  <c r="R133" i="85"/>
  <c r="Y55" i="89"/>
  <c r="CC11" i="90"/>
  <c r="Y14" i="89"/>
  <c r="CC51" i="90"/>
  <c r="Y64" i="89"/>
  <c r="Y56" i="89"/>
  <c r="Y11" i="78"/>
  <c r="CC23" i="90"/>
  <c r="CC34" i="90"/>
  <c r="CC55" i="90"/>
  <c r="Y16" i="89"/>
  <c r="Y32" i="89"/>
  <c r="Y51" i="89"/>
  <c r="CC35" i="90"/>
  <c r="CC56" i="90"/>
  <c r="Y21" i="89"/>
  <c r="Y33" i="89"/>
  <c r="Y53" i="89"/>
  <c r="CA25" i="90"/>
  <c r="CC36" i="90"/>
  <c r="CC58" i="90"/>
  <c r="Y22" i="89"/>
  <c r="Y54" i="89"/>
  <c r="CC25" i="90"/>
  <c r="CC37" i="90"/>
  <c r="CC61" i="90"/>
  <c r="CC26" i="90"/>
  <c r="CC38" i="90"/>
  <c r="CC63" i="90"/>
  <c r="CC27" i="90"/>
  <c r="CC39" i="90"/>
  <c r="CE39" i="90" s="1"/>
  <c r="CC64" i="90"/>
  <c r="CC28" i="90"/>
  <c r="CC40" i="90"/>
  <c r="CC67" i="90"/>
  <c r="CC14" i="90"/>
  <c r="CC29" i="90"/>
  <c r="CC41" i="90"/>
  <c r="CC69" i="90"/>
  <c r="CE69" i="90" s="1"/>
  <c r="CC15" i="90"/>
  <c r="CC30" i="90"/>
  <c r="CC44" i="90"/>
  <c r="CC72" i="90"/>
  <c r="CC31" i="90"/>
  <c r="CC45" i="90"/>
  <c r="Y11" i="89"/>
  <c r="CC12" i="90"/>
  <c r="Y12" i="89"/>
  <c r="CA67" i="90"/>
  <c r="Y55" i="78"/>
  <c r="CA38" i="90"/>
  <c r="Y72" i="78"/>
  <c r="CA15" i="90"/>
  <c r="Y8" i="78"/>
  <c r="Y44" i="78"/>
  <c r="CA61" i="90"/>
  <c r="R149" i="3"/>
  <c r="CA64" i="90"/>
  <c r="CA40" i="90"/>
  <c r="Y54" i="78"/>
  <c r="Y14" i="78"/>
  <c r="Y51" i="78"/>
  <c r="CA63" i="90"/>
  <c r="CA41" i="90"/>
  <c r="CA58" i="90"/>
  <c r="CA17" i="90"/>
  <c r="Y9" i="78"/>
  <c r="Y15" i="78"/>
  <c r="Y58" i="78"/>
  <c r="CA44" i="90"/>
  <c r="CA72" i="90"/>
  <c r="Y17" i="78"/>
  <c r="Y61" i="78"/>
  <c r="Y38" i="78"/>
  <c r="Y63" i="78"/>
  <c r="Y39" i="78"/>
  <c r="Y64" i="78"/>
  <c r="CA16" i="90"/>
  <c r="CA11" i="90"/>
  <c r="CA51" i="90"/>
  <c r="Y40" i="78"/>
  <c r="Y67" i="78"/>
  <c r="Y65" i="78" s="1"/>
  <c r="CA14" i="90"/>
  <c r="Y5" i="78"/>
  <c r="Y41" i="78"/>
  <c r="Y69" i="78"/>
  <c r="CA52" i="90"/>
  <c r="CE52" i="90" s="1"/>
  <c r="Y6" i="78"/>
  <c r="CA54" i="90"/>
  <c r="Y7" i="78"/>
  <c r="CA45" i="90"/>
  <c r="CA55" i="90"/>
  <c r="CA56" i="90"/>
  <c r="Y35" i="78"/>
  <c r="Y12" i="78"/>
  <c r="CA29" i="90"/>
  <c r="Y23" i="78"/>
  <c r="CA23" i="90"/>
  <c r="CA12" i="90"/>
  <c r="Y34" i="78"/>
  <c r="Y37" i="78"/>
  <c r="CA31" i="90"/>
  <c r="CA26" i="90"/>
  <c r="Y53" i="78"/>
  <c r="R148" i="3"/>
  <c r="CA53" i="90"/>
  <c r="Y28" i="78"/>
  <c r="Y31" i="78"/>
  <c r="Y24" i="78"/>
  <c r="CA32" i="90"/>
  <c r="Y27" i="78"/>
  <c r="Y33" i="78"/>
  <c r="CA30" i="90"/>
  <c r="Y26" i="78"/>
  <c r="CA21" i="90"/>
  <c r="CA27" i="90"/>
  <c r="CA33" i="90"/>
  <c r="CA22" i="90"/>
  <c r="CE22" i="90" s="1"/>
  <c r="CA28" i="90"/>
  <c r="CA34" i="90"/>
  <c r="Y29" i="78"/>
  <c r="Y30" i="78"/>
  <c r="CA35" i="90"/>
  <c r="Y16" i="78"/>
  <c r="Y45" i="78"/>
  <c r="Y32" i="78"/>
  <c r="CA36" i="90"/>
  <c r="Y21" i="78"/>
  <c r="CA37" i="90"/>
  <c r="CQ12" i="82"/>
  <c r="CH12" i="82"/>
  <c r="BY12" i="82"/>
  <c r="BG12" i="82"/>
  <c r="AX12" i="82"/>
  <c r="AO12" i="82"/>
  <c r="N12" i="82"/>
  <c r="P7" i="3"/>
  <c r="BX71" i="90"/>
  <c r="CG71" i="90" s="1"/>
  <c r="BX70" i="90"/>
  <c r="CG70" i="90" s="1"/>
  <c r="BX66" i="90"/>
  <c r="BX60" i="90"/>
  <c r="CG60" i="90" s="1"/>
  <c r="BX59" i="90"/>
  <c r="BZ47" i="90"/>
  <c r="BQ71" i="90"/>
  <c r="BQ70" i="90"/>
  <c r="BQ66" i="90"/>
  <c r="BQ60" i="90"/>
  <c r="BQ59" i="90"/>
  <c r="BS47" i="90"/>
  <c r="Q4" i="85"/>
  <c r="Q5" i="85"/>
  <c r="Q6" i="85"/>
  <c r="Q7" i="85"/>
  <c r="Q8" i="85"/>
  <c r="Q9" i="85"/>
  <c r="BV22" i="90" s="1"/>
  <c r="Q10" i="85"/>
  <c r="Q11" i="85"/>
  <c r="Q12" i="85"/>
  <c r="Q13" i="85"/>
  <c r="Q14" i="85"/>
  <c r="Q15" i="85"/>
  <c r="Q16" i="85"/>
  <c r="Q17" i="85"/>
  <c r="Q18" i="85"/>
  <c r="Q19" i="85"/>
  <c r="Q20" i="85"/>
  <c r="Q21" i="85"/>
  <c r="Q22" i="85"/>
  <c r="Q23" i="85"/>
  <c r="Q24" i="85"/>
  <c r="Q25" i="85"/>
  <c r="Q26" i="85"/>
  <c r="Q27" i="85"/>
  <c r="Q28" i="85"/>
  <c r="Q29" i="85"/>
  <c r="Q30" i="85"/>
  <c r="Q31" i="85"/>
  <c r="Q32" i="85"/>
  <c r="W25" i="89" s="1"/>
  <c r="Q33" i="85"/>
  <c r="Q34" i="85"/>
  <c r="Q35" i="85"/>
  <c r="Q36" i="85"/>
  <c r="Q37" i="85"/>
  <c r="Q38" i="85"/>
  <c r="Q39" i="85"/>
  <c r="Q40" i="85"/>
  <c r="Q41" i="85"/>
  <c r="Q42" i="85"/>
  <c r="Q43" i="85"/>
  <c r="Q44" i="85"/>
  <c r="Q45" i="85"/>
  <c r="Q46" i="85"/>
  <c r="Q47" i="85"/>
  <c r="Q48" i="85"/>
  <c r="Q49" i="85"/>
  <c r="Q51" i="85"/>
  <c r="Q52" i="85"/>
  <c r="Q53" i="85"/>
  <c r="Q54" i="85"/>
  <c r="Q55" i="85"/>
  <c r="Q56" i="85"/>
  <c r="Q57" i="85"/>
  <c r="Q58" i="85"/>
  <c r="Q59" i="85"/>
  <c r="Q60" i="85"/>
  <c r="Q61" i="85"/>
  <c r="Q62" i="85"/>
  <c r="Q63" i="85"/>
  <c r="Q64" i="85"/>
  <c r="Q65" i="85"/>
  <c r="Q66" i="85"/>
  <c r="Q67" i="85"/>
  <c r="Q68" i="85"/>
  <c r="Q69" i="85"/>
  <c r="Q70" i="85"/>
  <c r="Q71" i="85"/>
  <c r="Q72" i="85"/>
  <c r="Q73" i="85"/>
  <c r="Q74" i="85"/>
  <c r="Q75" i="85"/>
  <c r="Q76" i="85"/>
  <c r="Q77" i="85"/>
  <c r="Q78" i="85"/>
  <c r="Q79" i="85"/>
  <c r="Q80" i="85"/>
  <c r="Q81" i="85"/>
  <c r="Q82" i="85"/>
  <c r="Q83" i="85"/>
  <c r="Q84" i="85"/>
  <c r="Q85" i="85"/>
  <c r="Q86" i="85"/>
  <c r="Q87" i="85"/>
  <c r="Q88" i="85"/>
  <c r="Q89" i="85"/>
  <c r="Q90" i="85"/>
  <c r="Q91" i="85"/>
  <c r="Q92" i="85"/>
  <c r="Q93" i="85"/>
  <c r="Q94" i="85"/>
  <c r="Q95" i="85"/>
  <c r="Q96" i="85"/>
  <c r="Q97" i="85"/>
  <c r="Q98" i="85"/>
  <c r="Q99" i="85"/>
  <c r="Q100" i="85"/>
  <c r="Q101" i="85"/>
  <c r="Q102" i="85"/>
  <c r="Q103" i="85"/>
  <c r="Q104" i="85"/>
  <c r="Q105" i="85"/>
  <c r="Q107" i="85"/>
  <c r="Q108" i="85"/>
  <c r="Q109" i="85"/>
  <c r="BV36" i="90" s="1"/>
  <c r="Q110" i="85"/>
  <c r="Q106" i="85"/>
  <c r="Q111" i="85"/>
  <c r="Q112" i="85"/>
  <c r="Q113" i="85"/>
  <c r="Q114" i="85"/>
  <c r="Q115" i="85"/>
  <c r="Q116" i="85"/>
  <c r="Q117" i="85"/>
  <c r="Q118" i="85"/>
  <c r="Q119" i="85"/>
  <c r="Q120" i="85"/>
  <c r="Q121" i="85"/>
  <c r="Q122" i="85"/>
  <c r="Q123" i="85"/>
  <c r="Q124" i="85"/>
  <c r="Q125" i="85"/>
  <c r="Q126" i="85"/>
  <c r="Q127" i="85"/>
  <c r="Q128" i="85"/>
  <c r="Q129" i="85"/>
  <c r="Q130" i="85"/>
  <c r="Q131" i="85"/>
  <c r="Q134" i="85"/>
  <c r="Q3" i="85"/>
  <c r="P4" i="85"/>
  <c r="P5" i="85"/>
  <c r="P6" i="85"/>
  <c r="P7" i="85"/>
  <c r="P8" i="85"/>
  <c r="P9" i="85"/>
  <c r="BO22" i="90" s="1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BO25" i="90" s="1"/>
  <c r="P33" i="85"/>
  <c r="P34" i="85"/>
  <c r="P35" i="85"/>
  <c r="P36" i="85"/>
  <c r="P37" i="85"/>
  <c r="P38" i="85"/>
  <c r="P39" i="85"/>
  <c r="P40" i="85"/>
  <c r="P41" i="85"/>
  <c r="P42" i="85"/>
  <c r="P43" i="85"/>
  <c r="P44" i="85"/>
  <c r="P45" i="85"/>
  <c r="P46" i="85"/>
  <c r="P47" i="85"/>
  <c r="P48" i="85"/>
  <c r="P49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7" i="85"/>
  <c r="P88" i="85"/>
  <c r="P89" i="85"/>
  <c r="P90" i="85"/>
  <c r="P91" i="85"/>
  <c r="P92" i="85"/>
  <c r="P93" i="85"/>
  <c r="P94" i="85"/>
  <c r="P95" i="85"/>
  <c r="P96" i="85"/>
  <c r="P97" i="85"/>
  <c r="P98" i="85"/>
  <c r="P99" i="85"/>
  <c r="P100" i="85"/>
  <c r="P101" i="85"/>
  <c r="P102" i="85"/>
  <c r="P103" i="85"/>
  <c r="P104" i="85"/>
  <c r="P105" i="85"/>
  <c r="P107" i="85"/>
  <c r="P108" i="85"/>
  <c r="P109" i="85"/>
  <c r="BO36" i="90" s="1"/>
  <c r="P110" i="85"/>
  <c r="P106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6" i="85"/>
  <c r="P127" i="85"/>
  <c r="P128" i="85"/>
  <c r="P129" i="85"/>
  <c r="P130" i="85"/>
  <c r="P131" i="85"/>
  <c r="P134" i="85"/>
  <c r="P3" i="85"/>
  <c r="Q71" i="86"/>
  <c r="Q72" i="86"/>
  <c r="Q75" i="86"/>
  <c r="Q76" i="86"/>
  <c r="Q77" i="86"/>
  <c r="Q78" i="86"/>
  <c r="Q79" i="86"/>
  <c r="Q80" i="86"/>
  <c r="Q81" i="86"/>
  <c r="Q82" i="86"/>
  <c r="Q83" i="86"/>
  <c r="Q84" i="86"/>
  <c r="Q85" i="86"/>
  <c r="Q86" i="86"/>
  <c r="Q87" i="86"/>
  <c r="Q88" i="86"/>
  <c r="Q89" i="86"/>
  <c r="Q90" i="86"/>
  <c r="Q91" i="86"/>
  <c r="Q92" i="86"/>
  <c r="Q93" i="86"/>
  <c r="Q94" i="86"/>
  <c r="Q95" i="86"/>
  <c r="Q96" i="86"/>
  <c r="Q97" i="86"/>
  <c r="Q98" i="86"/>
  <c r="Q99" i="86"/>
  <c r="Q100" i="86"/>
  <c r="Q101" i="86"/>
  <c r="Q102" i="86"/>
  <c r="Q103" i="86"/>
  <c r="Q104" i="86"/>
  <c r="Q105" i="86"/>
  <c r="Q106" i="86"/>
  <c r="Q107" i="86"/>
  <c r="Q108" i="86"/>
  <c r="Q109" i="86"/>
  <c r="Q110" i="86"/>
  <c r="Q114" i="86"/>
  <c r="Q123" i="86"/>
  <c r="Q127" i="86"/>
  <c r="Q128" i="86"/>
  <c r="Q129" i="86"/>
  <c r="Q130" i="86"/>
  <c r="BV39" i="90" s="1"/>
  <c r="Q131" i="86"/>
  <c r="Q132" i="86"/>
  <c r="Q133" i="86"/>
  <c r="Q134" i="86"/>
  <c r="Q135" i="86"/>
  <c r="Q136" i="86"/>
  <c r="Q137" i="86"/>
  <c r="Q138" i="86"/>
  <c r="Q139" i="86"/>
  <c r="Q140" i="86"/>
  <c r="Q141" i="86"/>
  <c r="Q142" i="86"/>
  <c r="Q143" i="86"/>
  <c r="Q144" i="86"/>
  <c r="Q145" i="86"/>
  <c r="Q146" i="86"/>
  <c r="BV69" i="90" s="1"/>
  <c r="Q147" i="86"/>
  <c r="Q150" i="86"/>
  <c r="Q152" i="86"/>
  <c r="Q153" i="86"/>
  <c r="Q154" i="86"/>
  <c r="Q155" i="86"/>
  <c r="Q156" i="86"/>
  <c r="Q157" i="86"/>
  <c r="Q158" i="86"/>
  <c r="Q159" i="86"/>
  <c r="Q160" i="86"/>
  <c r="Q161" i="86"/>
  <c r="Q162" i="86"/>
  <c r="Q163" i="86"/>
  <c r="Q164" i="86"/>
  <c r="Q165" i="86"/>
  <c r="Q166" i="86"/>
  <c r="Q167" i="86"/>
  <c r="Q168" i="86"/>
  <c r="Q169" i="86"/>
  <c r="Q170" i="86"/>
  <c r="Q171" i="86"/>
  <c r="Q172" i="86"/>
  <c r="Q173" i="86"/>
  <c r="Q174" i="86"/>
  <c r="Q175" i="86"/>
  <c r="Q176" i="86"/>
  <c r="Q177" i="86"/>
  <c r="Q178" i="86"/>
  <c r="Q179" i="86"/>
  <c r="Q180" i="86"/>
  <c r="Q181" i="86"/>
  <c r="Q182" i="86"/>
  <c r="Q183" i="86"/>
  <c r="Q184" i="86"/>
  <c r="P71" i="86"/>
  <c r="P72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7" i="86"/>
  <c r="P88" i="86"/>
  <c r="P89" i="86"/>
  <c r="P90" i="86"/>
  <c r="P91" i="86"/>
  <c r="P92" i="86"/>
  <c r="P93" i="86"/>
  <c r="P94" i="86"/>
  <c r="P95" i="86"/>
  <c r="P96" i="86"/>
  <c r="P97" i="86"/>
  <c r="P98" i="86"/>
  <c r="P99" i="86"/>
  <c r="P100" i="86"/>
  <c r="P101" i="86"/>
  <c r="P102" i="86"/>
  <c r="P103" i="86"/>
  <c r="P104" i="86"/>
  <c r="P105" i="86"/>
  <c r="P106" i="86"/>
  <c r="P107" i="86"/>
  <c r="P108" i="86"/>
  <c r="P109" i="86"/>
  <c r="P110" i="86"/>
  <c r="P114" i="86"/>
  <c r="P123" i="86"/>
  <c r="P127" i="86"/>
  <c r="P128" i="86"/>
  <c r="P129" i="86"/>
  <c r="P130" i="86"/>
  <c r="BO39" i="90" s="1"/>
  <c r="P131" i="86"/>
  <c r="P132" i="86"/>
  <c r="P133" i="86"/>
  <c r="P134" i="86"/>
  <c r="P135" i="86"/>
  <c r="P136" i="86"/>
  <c r="P137" i="86"/>
  <c r="P138" i="86"/>
  <c r="P139" i="86"/>
  <c r="P140" i="86"/>
  <c r="P141" i="86"/>
  <c r="P142" i="86"/>
  <c r="P143" i="86"/>
  <c r="P144" i="86"/>
  <c r="P145" i="86"/>
  <c r="P146" i="86"/>
  <c r="U69" i="89" s="1"/>
  <c r="P147" i="86"/>
  <c r="P150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7" i="86"/>
  <c r="P178" i="86"/>
  <c r="P179" i="86"/>
  <c r="P180" i="86"/>
  <c r="P181" i="86"/>
  <c r="P182" i="86"/>
  <c r="P183" i="86"/>
  <c r="P184" i="86"/>
  <c r="Q4" i="86"/>
  <c r="Q5" i="86"/>
  <c r="Q6" i="86"/>
  <c r="Q7" i="86"/>
  <c r="Q8" i="86"/>
  <c r="Q9" i="86"/>
  <c r="Q11" i="86"/>
  <c r="Q12" i="86"/>
  <c r="Q13" i="86"/>
  <c r="Q14" i="86"/>
  <c r="Q15" i="86"/>
  <c r="Q16" i="86"/>
  <c r="Q17" i="86"/>
  <c r="Q18" i="86"/>
  <c r="Q19" i="86"/>
  <c r="Q20" i="86"/>
  <c r="Q21" i="86"/>
  <c r="Q22" i="86"/>
  <c r="Q23" i="86"/>
  <c r="Q24" i="86"/>
  <c r="Q25" i="86"/>
  <c r="Q26" i="86"/>
  <c r="Q27" i="86"/>
  <c r="Q28" i="86"/>
  <c r="Q29" i="86"/>
  <c r="Q30" i="86"/>
  <c r="Q31" i="86"/>
  <c r="Q32" i="86"/>
  <c r="Q33" i="86"/>
  <c r="Q34" i="86"/>
  <c r="Q35" i="86"/>
  <c r="Q36" i="86"/>
  <c r="BV15" i="90" s="1"/>
  <c r="Q37" i="86"/>
  <c r="Q38" i="86"/>
  <c r="Q39" i="86"/>
  <c r="Q40" i="86"/>
  <c r="Q41" i="86"/>
  <c r="Q42" i="86"/>
  <c r="Q43" i="86"/>
  <c r="Q44" i="86"/>
  <c r="Q45" i="86"/>
  <c r="Q46" i="86"/>
  <c r="Q47" i="86"/>
  <c r="Q48" i="86"/>
  <c r="Q49" i="86"/>
  <c r="Q50" i="86"/>
  <c r="Q51" i="86"/>
  <c r="Q52" i="86"/>
  <c r="Q54" i="86"/>
  <c r="Q55" i="86"/>
  <c r="Q56" i="86"/>
  <c r="Q61" i="86"/>
  <c r="Q62" i="86"/>
  <c r="Q63" i="86"/>
  <c r="Q64" i="86"/>
  <c r="Q65" i="86"/>
  <c r="Q67" i="86"/>
  <c r="Q68" i="86"/>
  <c r="Q69" i="86"/>
  <c r="Q70" i="86"/>
  <c r="Q3" i="86"/>
  <c r="BV4" i="90" s="1"/>
  <c r="P4" i="86"/>
  <c r="P5" i="86"/>
  <c r="P6" i="86"/>
  <c r="P7" i="86"/>
  <c r="P8" i="86"/>
  <c r="P9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U15" i="89" s="1"/>
  <c r="P37" i="86"/>
  <c r="P38" i="86"/>
  <c r="P39" i="86"/>
  <c r="P40" i="86"/>
  <c r="P41" i="86"/>
  <c r="P42" i="86"/>
  <c r="P43" i="86"/>
  <c r="P44" i="86"/>
  <c r="P45" i="86"/>
  <c r="P46" i="86"/>
  <c r="P47" i="86"/>
  <c r="P48" i="86"/>
  <c r="P49" i="86"/>
  <c r="P50" i="86"/>
  <c r="P51" i="86"/>
  <c r="P52" i="86"/>
  <c r="P54" i="86"/>
  <c r="P55" i="86"/>
  <c r="P56" i="86"/>
  <c r="P61" i="86"/>
  <c r="P62" i="86"/>
  <c r="P63" i="86"/>
  <c r="P64" i="86"/>
  <c r="P65" i="86"/>
  <c r="P67" i="86"/>
  <c r="P68" i="86"/>
  <c r="P69" i="86"/>
  <c r="P70" i="86"/>
  <c r="P3" i="86"/>
  <c r="BO4" i="90" s="1"/>
  <c r="Q191" i="86"/>
  <c r="Q123" i="75"/>
  <c r="Q124" i="75"/>
  <c r="Q125" i="75"/>
  <c r="BT52" i="90" s="1"/>
  <c r="Q126" i="75"/>
  <c r="Q127" i="75"/>
  <c r="Q128" i="75"/>
  <c r="Q129" i="75"/>
  <c r="Q130" i="75"/>
  <c r="Q131" i="75"/>
  <c r="Q132" i="75"/>
  <c r="Q133" i="75"/>
  <c r="Q134" i="75"/>
  <c r="Q135" i="75"/>
  <c r="Q136" i="75"/>
  <c r="Q137" i="75"/>
  <c r="Q138" i="75"/>
  <c r="Q139" i="75"/>
  <c r="Q140" i="75"/>
  <c r="Q141" i="75"/>
  <c r="Q142" i="75"/>
  <c r="Q143" i="75"/>
  <c r="Q144" i="75"/>
  <c r="Q145" i="75"/>
  <c r="Q146" i="75"/>
  <c r="Q147" i="75"/>
  <c r="Q148" i="75"/>
  <c r="Q149" i="75"/>
  <c r="Q150" i="75"/>
  <c r="Q151" i="75"/>
  <c r="Q152" i="75"/>
  <c r="Q153" i="75"/>
  <c r="Q154" i="75"/>
  <c r="Q155" i="75"/>
  <c r="Q156" i="75"/>
  <c r="Q157" i="75"/>
  <c r="Q158" i="75"/>
  <c r="Q171" i="75"/>
  <c r="Q176" i="75"/>
  <c r="Q177" i="75"/>
  <c r="Q178" i="75"/>
  <c r="Q179" i="75"/>
  <c r="BT39" i="90" s="1"/>
  <c r="Q180" i="75"/>
  <c r="Q181" i="75"/>
  <c r="Q182" i="75"/>
  <c r="Q183" i="75"/>
  <c r="Q184" i="75"/>
  <c r="Q185" i="75"/>
  <c r="Q186" i="75"/>
  <c r="Q187" i="75"/>
  <c r="Q188" i="75"/>
  <c r="Q189" i="75"/>
  <c r="Q190" i="75"/>
  <c r="Q191" i="75"/>
  <c r="Q192" i="75"/>
  <c r="Q193" i="75"/>
  <c r="Q197" i="75"/>
  <c r="Q198" i="75"/>
  <c r="Q199" i="75"/>
  <c r="Q200" i="75"/>
  <c r="BT69" i="90" s="1"/>
  <c r="Q201" i="75"/>
  <c r="Q204" i="75"/>
  <c r="Q205" i="75"/>
  <c r="Q206" i="75"/>
  <c r="Q208" i="75"/>
  <c r="Q210" i="75"/>
  <c r="Q211" i="75"/>
  <c r="Q212" i="75"/>
  <c r="Q213" i="75"/>
  <c r="Q214" i="75"/>
  <c r="Q215" i="75"/>
  <c r="Q216" i="75"/>
  <c r="Q217" i="75"/>
  <c r="Q218" i="75"/>
  <c r="Q219" i="75"/>
  <c r="Q220" i="75"/>
  <c r="Q221" i="75"/>
  <c r="Q222" i="75"/>
  <c r="Q223" i="75"/>
  <c r="Q224" i="75"/>
  <c r="Q226" i="75"/>
  <c r="Q227" i="75"/>
  <c r="Q228" i="75"/>
  <c r="Q229" i="75"/>
  <c r="Q230" i="75"/>
  <c r="Q231" i="75"/>
  <c r="Q232" i="75"/>
  <c r="Q233" i="75"/>
  <c r="Q234" i="75"/>
  <c r="Q235" i="75"/>
  <c r="Q236" i="75"/>
  <c r="Q237" i="75"/>
  <c r="Q238" i="75"/>
  <c r="Q239" i="75"/>
  <c r="Q240" i="75"/>
  <c r="Q122" i="75"/>
  <c r="P123" i="75"/>
  <c r="P124" i="75"/>
  <c r="P125" i="75"/>
  <c r="U52" i="78" s="1"/>
  <c r="P126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39" i="75"/>
  <c r="P140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71" i="75"/>
  <c r="P176" i="75"/>
  <c r="P177" i="75"/>
  <c r="P178" i="75"/>
  <c r="P179" i="75"/>
  <c r="U39" i="78" s="1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7" i="75"/>
  <c r="P198" i="75"/>
  <c r="P199" i="75"/>
  <c r="P200" i="75"/>
  <c r="BM69" i="90" s="1"/>
  <c r="P201" i="75"/>
  <c r="P204" i="75"/>
  <c r="P205" i="75"/>
  <c r="P206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226" i="75"/>
  <c r="P227" i="75"/>
  <c r="P228" i="75"/>
  <c r="P229" i="75"/>
  <c r="P230" i="75"/>
  <c r="P231" i="75"/>
  <c r="P232" i="75"/>
  <c r="P233" i="75"/>
  <c r="P234" i="75"/>
  <c r="P235" i="75"/>
  <c r="P236" i="75"/>
  <c r="P237" i="75"/>
  <c r="P238" i="75"/>
  <c r="P239" i="75"/>
  <c r="P240" i="75"/>
  <c r="P122" i="75"/>
  <c r="Q4" i="3"/>
  <c r="Q5" i="3"/>
  <c r="Q6" i="3"/>
  <c r="Q7" i="3"/>
  <c r="Q8" i="3"/>
  <c r="Q10" i="3"/>
  <c r="W22" i="78" s="1"/>
  <c r="Q11" i="3"/>
  <c r="Q12" i="3"/>
  <c r="Q13" i="3"/>
  <c r="Q14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W25" i="78" s="1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3" i="3"/>
  <c r="Q94" i="3"/>
  <c r="Q95" i="3"/>
  <c r="Q96" i="3"/>
  <c r="Q98" i="3"/>
  <c r="Q99" i="3"/>
  <c r="Q101" i="3"/>
  <c r="Q102" i="3"/>
  <c r="Q103" i="3"/>
  <c r="Q104" i="3"/>
  <c r="Q105" i="3"/>
  <c r="Q106" i="3"/>
  <c r="Q107" i="3"/>
  <c r="Q108" i="3"/>
  <c r="Q109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6" i="3"/>
  <c r="Q127" i="3"/>
  <c r="Q128" i="3"/>
  <c r="W36" i="78" s="1"/>
  <c r="Q129" i="3"/>
  <c r="Q74" i="3"/>
  <c r="Q92" i="3"/>
  <c r="Q125" i="3"/>
  <c r="Q100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50" i="3"/>
  <c r="Q3" i="3"/>
  <c r="P4" i="3"/>
  <c r="P5" i="3"/>
  <c r="P6" i="3"/>
  <c r="P8" i="3"/>
  <c r="P10" i="3"/>
  <c r="BM22" i="90" s="1"/>
  <c r="P11" i="3"/>
  <c r="P12" i="3"/>
  <c r="P13" i="3"/>
  <c r="P14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U25" i="78" s="1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3" i="3"/>
  <c r="P94" i="3"/>
  <c r="P95" i="3"/>
  <c r="P96" i="3"/>
  <c r="P98" i="3"/>
  <c r="P99" i="3"/>
  <c r="P101" i="3"/>
  <c r="P102" i="3"/>
  <c r="P103" i="3"/>
  <c r="P104" i="3"/>
  <c r="P105" i="3"/>
  <c r="P106" i="3"/>
  <c r="P107" i="3"/>
  <c r="P108" i="3"/>
  <c r="P109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6" i="3"/>
  <c r="P127" i="3"/>
  <c r="P128" i="3"/>
  <c r="BM36" i="90" s="1"/>
  <c r="P129" i="3"/>
  <c r="P74" i="3"/>
  <c r="P92" i="3"/>
  <c r="P125" i="3"/>
  <c r="P100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50" i="3"/>
  <c r="P3" i="3"/>
  <c r="Q4" i="75"/>
  <c r="Q6" i="75"/>
  <c r="Q7" i="75"/>
  <c r="Q8" i="75"/>
  <c r="Q9" i="75"/>
  <c r="Q10" i="75"/>
  <c r="Q12" i="75"/>
  <c r="Q13" i="75"/>
  <c r="Q14" i="75"/>
  <c r="Q15" i="75"/>
  <c r="Q16" i="75"/>
  <c r="Q17" i="75"/>
  <c r="Q18" i="75"/>
  <c r="Q19" i="75"/>
  <c r="Q20" i="75"/>
  <c r="Q21" i="75"/>
  <c r="Q22" i="75"/>
  <c r="Q23" i="75"/>
  <c r="Q24" i="75"/>
  <c r="Q25" i="75"/>
  <c r="Q26" i="75"/>
  <c r="Q27" i="75"/>
  <c r="Q28" i="75"/>
  <c r="Q30" i="75"/>
  <c r="Q31" i="75"/>
  <c r="Q32" i="75"/>
  <c r="Q33" i="75"/>
  <c r="Q34" i="75"/>
  <c r="Q36" i="75"/>
  <c r="Q38" i="75"/>
  <c r="Q40" i="75"/>
  <c r="Q41" i="75"/>
  <c r="Q42" i="75"/>
  <c r="Q43" i="75"/>
  <c r="Q44" i="75"/>
  <c r="Q45" i="75"/>
  <c r="Q46" i="75"/>
  <c r="Q47" i="75"/>
  <c r="Q48" i="75"/>
  <c r="Q49" i="75"/>
  <c r="Q50" i="75"/>
  <c r="Q51" i="75"/>
  <c r="Q52" i="75"/>
  <c r="Q53" i="75"/>
  <c r="Q54" i="75"/>
  <c r="Q55" i="75"/>
  <c r="Q56" i="75"/>
  <c r="Q57" i="75"/>
  <c r="Q58" i="75"/>
  <c r="Q61" i="75"/>
  <c r="Q63" i="75"/>
  <c r="Q65" i="75"/>
  <c r="Q68" i="75"/>
  <c r="Q82" i="75"/>
  <c r="Q83" i="75"/>
  <c r="Q84" i="75"/>
  <c r="Q85" i="75"/>
  <c r="Q87" i="75"/>
  <c r="Q88" i="75"/>
  <c r="Q92" i="75"/>
  <c r="Q93" i="75"/>
  <c r="Q94" i="75"/>
  <c r="Q81" i="75"/>
  <c r="Q90" i="75"/>
  <c r="Q3" i="75"/>
  <c r="BT4" i="90" s="1"/>
  <c r="P3" i="75"/>
  <c r="BM4" i="90" s="1"/>
  <c r="P4" i="75"/>
  <c r="P6" i="75"/>
  <c r="P7" i="75"/>
  <c r="P8" i="75"/>
  <c r="P9" i="75"/>
  <c r="P10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30" i="75"/>
  <c r="P31" i="75"/>
  <c r="P32" i="75"/>
  <c r="P33" i="75"/>
  <c r="P34" i="75"/>
  <c r="P36" i="75"/>
  <c r="P38" i="75"/>
  <c r="P40" i="75"/>
  <c r="P41" i="75"/>
  <c r="P42" i="75"/>
  <c r="P43" i="75"/>
  <c r="P44" i="75"/>
  <c r="P45" i="75"/>
  <c r="P46" i="75"/>
  <c r="P47" i="75"/>
  <c r="P48" i="75"/>
  <c r="P49" i="75"/>
  <c r="P50" i="75"/>
  <c r="P51" i="75"/>
  <c r="P52" i="75"/>
  <c r="P53" i="75"/>
  <c r="P54" i="75"/>
  <c r="P55" i="75"/>
  <c r="P56" i="75"/>
  <c r="P57" i="75"/>
  <c r="P58" i="75"/>
  <c r="P61" i="75"/>
  <c r="P63" i="75"/>
  <c r="P65" i="75"/>
  <c r="P68" i="75"/>
  <c r="P82" i="75"/>
  <c r="P83" i="75"/>
  <c r="P84" i="75"/>
  <c r="P85" i="75"/>
  <c r="P87" i="75"/>
  <c r="P88" i="75"/>
  <c r="P92" i="75"/>
  <c r="P93" i="75"/>
  <c r="P94" i="75"/>
  <c r="P81" i="75"/>
  <c r="P90" i="75"/>
  <c r="CE6" i="90" l="1"/>
  <c r="BM5" i="90"/>
  <c r="BT24" i="90"/>
  <c r="BV6" i="90"/>
  <c r="BV24" i="90"/>
  <c r="BO5" i="90"/>
  <c r="BV5" i="90"/>
  <c r="BO24" i="90"/>
  <c r="BO8" i="90"/>
  <c r="BV8" i="90"/>
  <c r="BV9" i="90"/>
  <c r="BO6" i="90"/>
  <c r="BO7" i="90"/>
  <c r="BO9" i="90"/>
  <c r="BV7" i="90"/>
  <c r="BM24" i="90"/>
  <c r="CE24" i="90"/>
  <c r="BT8" i="90"/>
  <c r="BQ4" i="90"/>
  <c r="BX4" i="90"/>
  <c r="BM7" i="90"/>
  <c r="BT6" i="90"/>
  <c r="BT9" i="90"/>
  <c r="CE7" i="90"/>
  <c r="CE9" i="90"/>
  <c r="BM8" i="90"/>
  <c r="BT5" i="90"/>
  <c r="BM6" i="90"/>
  <c r="BT7" i="90"/>
  <c r="BM9" i="90"/>
  <c r="CE5" i="90"/>
  <c r="CE8" i="90"/>
  <c r="CE16" i="90"/>
  <c r="CE34" i="90"/>
  <c r="Y57" i="89"/>
  <c r="R194" i="86"/>
  <c r="R195" i="86" s="1"/>
  <c r="BO11" i="90"/>
  <c r="W64" i="89"/>
  <c r="U58" i="89"/>
  <c r="BV11" i="90"/>
  <c r="Y10" i="89"/>
  <c r="Y13" i="89" s="1"/>
  <c r="U5" i="89"/>
  <c r="W58" i="89"/>
  <c r="CE55" i="90"/>
  <c r="BV56" i="90"/>
  <c r="Y62" i="89"/>
  <c r="U38" i="89"/>
  <c r="BO15" i="90"/>
  <c r="BO69" i="90"/>
  <c r="BQ69" i="90" s="1"/>
  <c r="U67" i="89"/>
  <c r="U65" i="89" s="1"/>
  <c r="U61" i="89"/>
  <c r="P133" i="85"/>
  <c r="BO14" i="90"/>
  <c r="W55" i="89"/>
  <c r="BV38" i="90"/>
  <c r="Q133" i="85"/>
  <c r="W61" i="89"/>
  <c r="W14" i="89"/>
  <c r="W56" i="89"/>
  <c r="CE23" i="90"/>
  <c r="U4" i="89"/>
  <c r="P192" i="86"/>
  <c r="P193" i="86"/>
  <c r="BO72" i="90"/>
  <c r="BV14" i="90"/>
  <c r="W51" i="89"/>
  <c r="U51" i="78"/>
  <c r="BM72" i="90"/>
  <c r="U41" i="89"/>
  <c r="BO63" i="90"/>
  <c r="W7" i="89"/>
  <c r="BO64" i="90"/>
  <c r="Q193" i="86"/>
  <c r="BV72" i="90"/>
  <c r="BZ66" i="90"/>
  <c r="U12" i="78"/>
  <c r="U7" i="89"/>
  <c r="BV41" i="90"/>
  <c r="BV63" i="90"/>
  <c r="U56" i="89"/>
  <c r="U16" i="78"/>
  <c r="BO40" i="90"/>
  <c r="U8" i="89"/>
  <c r="BV64" i="90"/>
  <c r="W8" i="89"/>
  <c r="U6" i="89"/>
  <c r="BO55" i="90"/>
  <c r="BO67" i="90"/>
  <c r="BO65" i="90" s="1"/>
  <c r="U54" i="89"/>
  <c r="BO38" i="90"/>
  <c r="U39" i="89"/>
  <c r="Q192" i="86"/>
  <c r="W6" i="89"/>
  <c r="BO58" i="90"/>
  <c r="U44" i="89"/>
  <c r="U9" i="89"/>
  <c r="BV61" i="90"/>
  <c r="U55" i="89"/>
  <c r="U40" i="89"/>
  <c r="BV44" i="90"/>
  <c r="U11" i="89"/>
  <c r="BV67" i="90"/>
  <c r="BV65" i="90" s="1"/>
  <c r="BV54" i="90"/>
  <c r="BV51" i="90"/>
  <c r="W16" i="89"/>
  <c r="BO61" i="90"/>
  <c r="Y43" i="89"/>
  <c r="U14" i="89"/>
  <c r="U51" i="89"/>
  <c r="BO12" i="90"/>
  <c r="BV40" i="90"/>
  <c r="W11" i="89"/>
  <c r="P249" i="75"/>
  <c r="P248" i="75"/>
  <c r="W72" i="78"/>
  <c r="BM52" i="90"/>
  <c r="W58" i="78"/>
  <c r="BT56" i="90"/>
  <c r="R250" i="75"/>
  <c r="R251" i="75" s="1"/>
  <c r="W6" i="78"/>
  <c r="BM58" i="90"/>
  <c r="P149" i="3"/>
  <c r="Q249" i="75"/>
  <c r="U4" i="78"/>
  <c r="Q248" i="75"/>
  <c r="BV23" i="90"/>
  <c r="CE11" i="90"/>
  <c r="CE61" i="90"/>
  <c r="CE72" i="90"/>
  <c r="CE29" i="90"/>
  <c r="CE26" i="90"/>
  <c r="BO78" i="90"/>
  <c r="CC43" i="90"/>
  <c r="BZ60" i="90"/>
  <c r="CE35" i="90"/>
  <c r="CC20" i="90"/>
  <c r="BQ76" i="90"/>
  <c r="W64" i="78"/>
  <c r="BT41" i="90"/>
  <c r="W54" i="78"/>
  <c r="BT38" i="90"/>
  <c r="W38" i="78"/>
  <c r="BT40" i="90"/>
  <c r="W56" i="78"/>
  <c r="BT67" i="90"/>
  <c r="BT65" i="90" s="1"/>
  <c r="BT55" i="90"/>
  <c r="U7" i="78"/>
  <c r="U41" i="78"/>
  <c r="U5" i="78"/>
  <c r="U44" i="78"/>
  <c r="BM44" i="90"/>
  <c r="BT63" i="90"/>
  <c r="U55" i="78"/>
  <c r="U38" i="78"/>
  <c r="W39" i="78"/>
  <c r="W17" i="78"/>
  <c r="U11" i="78"/>
  <c r="W55" i="78"/>
  <c r="W67" i="78"/>
  <c r="W65" i="78" s="1"/>
  <c r="W14" i="78"/>
  <c r="BT54" i="90"/>
  <c r="W61" i="78"/>
  <c r="U56" i="78"/>
  <c r="W11" i="78"/>
  <c r="BT44" i="90"/>
  <c r="U63" i="78"/>
  <c r="BM51" i="90"/>
  <c r="U54" i="78"/>
  <c r="BT51" i="90"/>
  <c r="BM61" i="90"/>
  <c r="W45" i="78"/>
  <c r="BM14" i="90"/>
  <c r="BM63" i="90"/>
  <c r="U6" i="78"/>
  <c r="U14" i="78"/>
  <c r="W15" i="78"/>
  <c r="W63" i="78"/>
  <c r="U64" i="78"/>
  <c r="BT72" i="90"/>
  <c r="U17" i="78"/>
  <c r="U61" i="78"/>
  <c r="U40" i="78"/>
  <c r="U67" i="78"/>
  <c r="U65" i="78" s="1"/>
  <c r="W40" i="78"/>
  <c r="BT14" i="90"/>
  <c r="U69" i="78"/>
  <c r="W9" i="78"/>
  <c r="U15" i="78"/>
  <c r="U9" i="78"/>
  <c r="W44" i="78"/>
  <c r="BT61" i="90"/>
  <c r="BT17" i="90"/>
  <c r="BM45" i="90"/>
  <c r="BT64" i="90"/>
  <c r="W4" i="78"/>
  <c r="BX39" i="90"/>
  <c r="CG39" i="90" s="1"/>
  <c r="W9" i="89"/>
  <c r="BT11" i="90"/>
  <c r="BV55" i="90"/>
  <c r="U63" i="89"/>
  <c r="CE67" i="90"/>
  <c r="BV12" i="90"/>
  <c r="W12" i="89"/>
  <c r="BO16" i="90"/>
  <c r="BM11" i="90"/>
  <c r="BM55" i="90"/>
  <c r="BZ70" i="90"/>
  <c r="BT15" i="90"/>
  <c r="BX15" i="90" s="1"/>
  <c r="BT58" i="90"/>
  <c r="U8" i="78"/>
  <c r="W5" i="78"/>
  <c r="W41" i="78"/>
  <c r="W69" i="78"/>
  <c r="U64" i="89"/>
  <c r="W15" i="89"/>
  <c r="W63" i="89"/>
  <c r="CA65" i="90"/>
  <c r="BM15" i="90"/>
  <c r="BO41" i="90"/>
  <c r="BZ59" i="90"/>
  <c r="CG59" i="90"/>
  <c r="W7" i="78"/>
  <c r="W51" i="78"/>
  <c r="W39" i="89"/>
  <c r="W67" i="89"/>
  <c r="CC10" i="90"/>
  <c r="CC13" i="90" s="1"/>
  <c r="BM21" i="90"/>
  <c r="BM54" i="90"/>
  <c r="BM56" i="90"/>
  <c r="W45" i="89"/>
  <c r="BM17" i="90"/>
  <c r="BO44" i="90"/>
  <c r="BM67" i="90"/>
  <c r="BM65" i="90" s="1"/>
  <c r="W8" i="78"/>
  <c r="W52" i="78"/>
  <c r="U72" i="89"/>
  <c r="W40" i="89"/>
  <c r="W69" i="89"/>
  <c r="CC62" i="90"/>
  <c r="CC57" i="90"/>
  <c r="CG66" i="90"/>
  <c r="BV21" i="90"/>
  <c r="BM64" i="90"/>
  <c r="W38" i="89"/>
  <c r="CE25" i="90"/>
  <c r="W16" i="78"/>
  <c r="BO21" i="90"/>
  <c r="BM38" i="90"/>
  <c r="BO51" i="90"/>
  <c r="U58" i="78"/>
  <c r="W4" i="89"/>
  <c r="W41" i="89"/>
  <c r="W72" i="89"/>
  <c r="U72" i="78"/>
  <c r="BM39" i="90"/>
  <c r="BQ39" i="90" s="1"/>
  <c r="BO54" i="90"/>
  <c r="W5" i="89"/>
  <c r="W44" i="89"/>
  <c r="CE45" i="90"/>
  <c r="CE41" i="90"/>
  <c r="CE15" i="90"/>
  <c r="CC65" i="90"/>
  <c r="BV58" i="90"/>
  <c r="Q149" i="3"/>
  <c r="BO45" i="90"/>
  <c r="BM40" i="90"/>
  <c r="CC50" i="90"/>
  <c r="Y20" i="89"/>
  <c r="CE30" i="90"/>
  <c r="BM41" i="90"/>
  <c r="BO56" i="90"/>
  <c r="W54" i="89"/>
  <c r="U12" i="89"/>
  <c r="BO35" i="90"/>
  <c r="CE12" i="90"/>
  <c r="CE38" i="90"/>
  <c r="R150" i="3"/>
  <c r="CE64" i="90"/>
  <c r="CE44" i="90"/>
  <c r="CA62" i="90"/>
  <c r="CA10" i="90"/>
  <c r="CE40" i="90"/>
  <c r="Y62" i="78"/>
  <c r="Y10" i="78"/>
  <c r="CE63" i="90"/>
  <c r="CE58" i="90"/>
  <c r="CA57" i="90"/>
  <c r="CA43" i="90"/>
  <c r="Y57" i="78"/>
  <c r="Y50" i="78"/>
  <c r="CE56" i="90"/>
  <c r="CE14" i="90"/>
  <c r="CE51" i="90"/>
  <c r="CE54" i="90"/>
  <c r="W12" i="78"/>
  <c r="CE33" i="90"/>
  <c r="CE32" i="90"/>
  <c r="CA20" i="90"/>
  <c r="CE53" i="90"/>
  <c r="CE31" i="90"/>
  <c r="CA50" i="90"/>
  <c r="Y20" i="78"/>
  <c r="Y43" i="78"/>
  <c r="CE27" i="90"/>
  <c r="CE21" i="90"/>
  <c r="CE37" i="90"/>
  <c r="CE28" i="90"/>
  <c r="BM23" i="90"/>
  <c r="CE36" i="90"/>
  <c r="U29" i="89"/>
  <c r="W28" i="89"/>
  <c r="BO34" i="90"/>
  <c r="BO31" i="90"/>
  <c r="W27" i="89"/>
  <c r="BV53" i="90"/>
  <c r="U28" i="89"/>
  <c r="BV37" i="90"/>
  <c r="W30" i="89"/>
  <c r="W32" i="89"/>
  <c r="U27" i="89"/>
  <c r="BO53" i="90"/>
  <c r="BO37" i="90"/>
  <c r="BO30" i="90"/>
  <c r="BV33" i="90"/>
  <c r="BO32" i="90"/>
  <c r="BO23" i="90"/>
  <c r="W26" i="89"/>
  <c r="BV35" i="90"/>
  <c r="BO33" i="90"/>
  <c r="W29" i="89"/>
  <c r="BO26" i="90"/>
  <c r="BV34" i="90"/>
  <c r="W31" i="89"/>
  <c r="P132" i="85"/>
  <c r="BO27" i="90"/>
  <c r="BV25" i="90"/>
  <c r="U30" i="89"/>
  <c r="W21" i="89"/>
  <c r="W33" i="89"/>
  <c r="W53" i="89"/>
  <c r="BO28" i="90"/>
  <c r="BV26" i="90"/>
  <c r="U31" i="89"/>
  <c r="U45" i="89"/>
  <c r="W22" i="89"/>
  <c r="W34" i="89"/>
  <c r="Q132" i="85"/>
  <c r="BO29" i="90"/>
  <c r="BV27" i="90"/>
  <c r="U16" i="89"/>
  <c r="U32" i="89"/>
  <c r="W23" i="89"/>
  <c r="W35" i="89"/>
  <c r="BV28" i="90"/>
  <c r="U21" i="89"/>
  <c r="U33" i="89"/>
  <c r="U53" i="89"/>
  <c r="W24" i="89"/>
  <c r="W36" i="89"/>
  <c r="BV29" i="90"/>
  <c r="U22" i="89"/>
  <c r="U34" i="89"/>
  <c r="W37" i="89"/>
  <c r="BV30" i="90"/>
  <c r="U23" i="89"/>
  <c r="U35" i="89"/>
  <c r="BV31" i="90"/>
  <c r="BV45" i="90"/>
  <c r="U24" i="89"/>
  <c r="U36" i="89"/>
  <c r="BV16" i="90"/>
  <c r="BV32" i="90"/>
  <c r="U25" i="89"/>
  <c r="U37" i="89"/>
  <c r="U26" i="89"/>
  <c r="BQ36" i="90"/>
  <c r="W37" i="78"/>
  <c r="U37" i="78"/>
  <c r="BM29" i="90"/>
  <c r="BM35" i="90"/>
  <c r="W32" i="78"/>
  <c r="W30" i="78"/>
  <c r="W27" i="78"/>
  <c r="BM31" i="90"/>
  <c r="W35" i="78"/>
  <c r="BM34" i="90"/>
  <c r="W29" i="78"/>
  <c r="W33" i="78"/>
  <c r="U27" i="78"/>
  <c r="BT29" i="90"/>
  <c r="BM30" i="90"/>
  <c r="BM27" i="90"/>
  <c r="BT12" i="90"/>
  <c r="BM32" i="90"/>
  <c r="W34" i="78"/>
  <c r="BM28" i="90"/>
  <c r="BM33" i="90"/>
  <c r="W26" i="78"/>
  <c r="W53" i="78"/>
  <c r="W23" i="78"/>
  <c r="BM16" i="90"/>
  <c r="Q148" i="3"/>
  <c r="W28" i="78"/>
  <c r="U26" i="78"/>
  <c r="BM53" i="90"/>
  <c r="BT28" i="90"/>
  <c r="BM25" i="90"/>
  <c r="BQ25" i="90" s="1"/>
  <c r="W31" i="78"/>
  <c r="W24" i="78"/>
  <c r="BM37" i="90"/>
  <c r="BM26" i="90"/>
  <c r="BT30" i="90"/>
  <c r="U28" i="78"/>
  <c r="BT16" i="90"/>
  <c r="BT31" i="90"/>
  <c r="BT45" i="90"/>
  <c r="U29" i="78"/>
  <c r="BT32" i="90"/>
  <c r="U30" i="78"/>
  <c r="BM12" i="90"/>
  <c r="BT21" i="90"/>
  <c r="BT33" i="90"/>
  <c r="U31" i="78"/>
  <c r="U45" i="78"/>
  <c r="BT22" i="90"/>
  <c r="BT34" i="90"/>
  <c r="BT53" i="90"/>
  <c r="U32" i="78"/>
  <c r="W21" i="78"/>
  <c r="BT23" i="90"/>
  <c r="BT35" i="90"/>
  <c r="U21" i="78"/>
  <c r="U33" i="78"/>
  <c r="BT36" i="90"/>
  <c r="U22" i="78"/>
  <c r="U34" i="78"/>
  <c r="U53" i="78"/>
  <c r="BT25" i="90"/>
  <c r="BT37" i="90"/>
  <c r="U23" i="78"/>
  <c r="U35" i="78"/>
  <c r="BT26" i="90"/>
  <c r="U24" i="78"/>
  <c r="U36" i="78"/>
  <c r="BT27" i="90"/>
  <c r="P148" i="3"/>
  <c r="BX69" i="90"/>
  <c r="CG69" i="90" s="1"/>
  <c r="BZ71" i="90"/>
  <c r="BQ22" i="90"/>
  <c r="BQ77" i="90"/>
  <c r="M190" i="86"/>
  <c r="K21" i="85"/>
  <c r="K22" i="85"/>
  <c r="K23" i="85"/>
  <c r="K24" i="85"/>
  <c r="K25" i="85"/>
  <c r="K26" i="85"/>
  <c r="K27" i="85"/>
  <c r="K28" i="85"/>
  <c r="K29" i="85"/>
  <c r="K30" i="85"/>
  <c r="K31" i="85"/>
  <c r="J114" i="86"/>
  <c r="N110" i="86"/>
  <c r="BQ5" i="90" l="1"/>
  <c r="BX24" i="90"/>
  <c r="CG24" i="90" s="1"/>
  <c r="BX8" i="90"/>
  <c r="CG8" i="90" s="1"/>
  <c r="BZ4" i="90"/>
  <c r="CG4" i="90"/>
  <c r="BQ24" i="90"/>
  <c r="BQ9" i="90"/>
  <c r="BX7" i="90"/>
  <c r="CG7" i="90" s="1"/>
  <c r="BX9" i="90"/>
  <c r="BQ6" i="90"/>
  <c r="BX6" i="90"/>
  <c r="CG6" i="90" s="1"/>
  <c r="BQ7" i="90"/>
  <c r="BQ8" i="90"/>
  <c r="BX5" i="90"/>
  <c r="CG5" i="90" s="1"/>
  <c r="BQ11" i="90"/>
  <c r="BQ35" i="90"/>
  <c r="U57" i="78"/>
  <c r="BX64" i="90"/>
  <c r="CG64" i="90" s="1"/>
  <c r="BX14" i="90"/>
  <c r="CG14" i="90" s="1"/>
  <c r="BV57" i="90"/>
  <c r="W62" i="89"/>
  <c r="BX72" i="90"/>
  <c r="CG72" i="90" s="1"/>
  <c r="BX61" i="90"/>
  <c r="CG61" i="90" s="1"/>
  <c r="BX41" i="90"/>
  <c r="CG41" i="90" s="1"/>
  <c r="BV43" i="90"/>
  <c r="BX56" i="90"/>
  <c r="CG56" i="90" s="1"/>
  <c r="BX38" i="90"/>
  <c r="CG38" i="90" s="1"/>
  <c r="BX11" i="90"/>
  <c r="CG11" i="90" s="1"/>
  <c r="BQ14" i="90"/>
  <c r="BQ55" i="90"/>
  <c r="BQ38" i="90"/>
  <c r="U43" i="89"/>
  <c r="BO62" i="90"/>
  <c r="BV62" i="90"/>
  <c r="U57" i="89"/>
  <c r="W57" i="89"/>
  <c r="BQ65" i="90"/>
  <c r="BQ72" i="90"/>
  <c r="BX40" i="90"/>
  <c r="CG40" i="90" s="1"/>
  <c r="U10" i="89"/>
  <c r="BO57" i="90"/>
  <c r="BQ15" i="90"/>
  <c r="BZ15" i="90" s="1"/>
  <c r="BQ63" i="90"/>
  <c r="BX54" i="90"/>
  <c r="CG54" i="90" s="1"/>
  <c r="BQ58" i="90"/>
  <c r="BQ41" i="90"/>
  <c r="BV10" i="90"/>
  <c r="BV13" i="90" s="1"/>
  <c r="P194" i="86"/>
  <c r="BX44" i="90"/>
  <c r="CG44" i="90" s="1"/>
  <c r="BX65" i="90"/>
  <c r="BX63" i="90"/>
  <c r="CG63" i="90" s="1"/>
  <c r="BQ16" i="90"/>
  <c r="BQ27" i="90"/>
  <c r="P250" i="75"/>
  <c r="P251" i="75" s="1"/>
  <c r="BQ40" i="90"/>
  <c r="BX33" i="90"/>
  <c r="CG33" i="90" s="1"/>
  <c r="BX51" i="90"/>
  <c r="CG51" i="90" s="1"/>
  <c r="BQ33" i="90"/>
  <c r="U20" i="78"/>
  <c r="BQ51" i="90"/>
  <c r="U62" i="78"/>
  <c r="BX23" i="90"/>
  <c r="CG23" i="90" s="1"/>
  <c r="W57" i="78"/>
  <c r="Q250" i="75"/>
  <c r="BQ78" i="90"/>
  <c r="BM57" i="90"/>
  <c r="W62" i="78"/>
  <c r="CE62" i="90"/>
  <c r="U62" i="89"/>
  <c r="BQ23" i="90"/>
  <c r="BQ30" i="90"/>
  <c r="CC49" i="90"/>
  <c r="BQ21" i="90"/>
  <c r="CE43" i="90"/>
  <c r="BX21" i="90"/>
  <c r="CG21" i="90" s="1"/>
  <c r="BQ44" i="90"/>
  <c r="CG15" i="90"/>
  <c r="W43" i="78"/>
  <c r="BT57" i="90"/>
  <c r="BX67" i="90"/>
  <c r="CG67" i="90" s="1"/>
  <c r="BT10" i="90"/>
  <c r="BZ39" i="90"/>
  <c r="BX58" i="90"/>
  <c r="BQ61" i="90"/>
  <c r="U10" i="78"/>
  <c r="BM43" i="90"/>
  <c r="BQ45" i="90"/>
  <c r="BQ67" i="90"/>
  <c r="BT62" i="90"/>
  <c r="BT43" i="90"/>
  <c r="W50" i="78"/>
  <c r="BM10" i="90"/>
  <c r="BM13" i="90" s="1"/>
  <c r="BM19" i="90" s="1"/>
  <c r="BX55" i="90"/>
  <c r="W65" i="89"/>
  <c r="BX26" i="90"/>
  <c r="CG26" i="90" s="1"/>
  <c r="BQ37" i="90"/>
  <c r="BO43" i="90"/>
  <c r="W43" i="89"/>
  <c r="BQ64" i="90"/>
  <c r="BM62" i="90"/>
  <c r="W10" i="89"/>
  <c r="BQ34" i="90"/>
  <c r="BQ31" i="90"/>
  <c r="BX28" i="90"/>
  <c r="CG28" i="90" s="1"/>
  <c r="BQ32" i="90"/>
  <c r="BQ53" i="90"/>
  <c r="BO10" i="90"/>
  <c r="CE65" i="90"/>
  <c r="W10" i="78"/>
  <c r="CE10" i="90"/>
  <c r="BQ56" i="90"/>
  <c r="BQ54" i="90"/>
  <c r="CA13" i="90"/>
  <c r="CA19" i="90" s="1"/>
  <c r="CE20" i="90"/>
  <c r="Y49" i="78"/>
  <c r="CA49" i="90"/>
  <c r="CE57" i="90"/>
  <c r="CE50" i="90"/>
  <c r="BX12" i="90"/>
  <c r="CG12" i="90" s="1"/>
  <c r="BO20" i="90"/>
  <c r="BQ28" i="90"/>
  <c r="BQ29" i="90"/>
  <c r="BQ26" i="90"/>
  <c r="BX16" i="90"/>
  <c r="CG16" i="90" s="1"/>
  <c r="W20" i="89"/>
  <c r="U20" i="89"/>
  <c r="BX29" i="90"/>
  <c r="CG29" i="90" s="1"/>
  <c r="BV20" i="90"/>
  <c r="BM50" i="90"/>
  <c r="BX30" i="90"/>
  <c r="U43" i="78"/>
  <c r="BT20" i="90"/>
  <c r="BX32" i="90"/>
  <c r="BM20" i="90"/>
  <c r="BX25" i="90"/>
  <c r="CG25" i="90" s="1"/>
  <c r="BX31" i="90"/>
  <c r="U50" i="78"/>
  <c r="BX22" i="90"/>
  <c r="CG22" i="90" s="1"/>
  <c r="BX34" i="90"/>
  <c r="BQ12" i="90"/>
  <c r="BX36" i="90"/>
  <c r="CG36" i="90" s="1"/>
  <c r="BX53" i="90"/>
  <c r="BX45" i="90"/>
  <c r="W20" i="78"/>
  <c r="BX27" i="90"/>
  <c r="CG27" i="90" s="1"/>
  <c r="BT50" i="90"/>
  <c r="BX35" i="90"/>
  <c r="CG35" i="90" s="1"/>
  <c r="BX37" i="90"/>
  <c r="CG37" i="90" s="1"/>
  <c r="BZ69" i="90"/>
  <c r="L162" i="75"/>
  <c r="G158" i="75"/>
  <c r="H162" i="75"/>
  <c r="G246" i="75"/>
  <c r="C77" i="90" l="1"/>
  <c r="C77" i="78"/>
  <c r="C78" i="78" s="1"/>
  <c r="BZ24" i="90"/>
  <c r="BZ9" i="90"/>
  <c r="BZ7" i="90"/>
  <c r="BZ5" i="90"/>
  <c r="BZ6" i="90"/>
  <c r="CG9" i="90"/>
  <c r="BZ8" i="90"/>
  <c r="U49" i="78"/>
  <c r="BZ33" i="90"/>
  <c r="BZ64" i="90"/>
  <c r="BZ72" i="90"/>
  <c r="BZ14" i="90"/>
  <c r="BQ62" i="90"/>
  <c r="BZ38" i="90"/>
  <c r="BX57" i="90"/>
  <c r="CG57" i="90" s="1"/>
  <c r="BZ61" i="90"/>
  <c r="BZ11" i="90"/>
  <c r="BZ56" i="90"/>
  <c r="BZ63" i="90"/>
  <c r="BX43" i="90"/>
  <c r="CG43" i="90" s="1"/>
  <c r="BX62" i="90"/>
  <c r="CG62" i="90" s="1"/>
  <c r="BZ41" i="90"/>
  <c r="BZ65" i="90"/>
  <c r="BQ57" i="90"/>
  <c r="BZ40" i="90"/>
  <c r="BZ58" i="90"/>
  <c r="BZ54" i="90"/>
  <c r="BX10" i="90"/>
  <c r="CG10" i="90" s="1"/>
  <c r="BZ51" i="90"/>
  <c r="BZ44" i="90"/>
  <c r="BZ23" i="90"/>
  <c r="Q251" i="75"/>
  <c r="W49" i="78"/>
  <c r="BM49" i="90"/>
  <c r="BZ21" i="90"/>
  <c r="BQ43" i="90"/>
  <c r="CE49" i="90"/>
  <c r="BZ26" i="90"/>
  <c r="BZ28" i="90"/>
  <c r="BZ67" i="90"/>
  <c r="BT13" i="90"/>
  <c r="BT19" i="90" s="1"/>
  <c r="BT42" i="90" s="1"/>
  <c r="CG58" i="90"/>
  <c r="CE13" i="90"/>
  <c r="BZ55" i="90"/>
  <c r="CG55" i="90"/>
  <c r="BZ16" i="90"/>
  <c r="CG65" i="90"/>
  <c r="BQ10" i="90"/>
  <c r="BO13" i="90"/>
  <c r="CG30" i="90"/>
  <c r="CG45" i="90"/>
  <c r="BZ53" i="90"/>
  <c r="CG53" i="90"/>
  <c r="CG34" i="90"/>
  <c r="CG32" i="90"/>
  <c r="BZ31" i="90"/>
  <c r="CG31" i="90"/>
  <c r="CA42" i="90"/>
  <c r="BQ20" i="90"/>
  <c r="BZ29" i="90"/>
  <c r="BZ30" i="90"/>
  <c r="BZ32" i="90"/>
  <c r="BZ12" i="90"/>
  <c r="BX20" i="90"/>
  <c r="CG20" i="90" s="1"/>
  <c r="BZ45" i="90"/>
  <c r="BZ25" i="90"/>
  <c r="BZ37" i="90"/>
  <c r="BZ27" i="90"/>
  <c r="BZ34" i="90"/>
  <c r="BZ22" i="90"/>
  <c r="BZ35" i="90"/>
  <c r="BZ36" i="90"/>
  <c r="BT49" i="90"/>
  <c r="BM42" i="90"/>
  <c r="G5" i="3"/>
  <c r="G6" i="3"/>
  <c r="G7" i="3"/>
  <c r="G8" i="3"/>
  <c r="G11" i="3"/>
  <c r="G12" i="3"/>
  <c r="O77" i="89"/>
  <c r="S76" i="78"/>
  <c r="BL47" i="90"/>
  <c r="BE47" i="90"/>
  <c r="AX47" i="90"/>
  <c r="AQ47" i="90"/>
  <c r="AJ47" i="90"/>
  <c r="AC47" i="90"/>
  <c r="V47" i="90"/>
  <c r="O47" i="90"/>
  <c r="BF76" i="90"/>
  <c r="AT77" i="90"/>
  <c r="BZ10" i="90" l="1"/>
  <c r="BZ62" i="90"/>
  <c r="BZ57" i="90"/>
  <c r="BZ43" i="90"/>
  <c r="BX13" i="90"/>
  <c r="CG13" i="90" s="1"/>
  <c r="BQ13" i="90"/>
  <c r="CA48" i="90"/>
  <c r="CA46" i="90"/>
  <c r="BZ20" i="90"/>
  <c r="BT48" i="90"/>
  <c r="BT46" i="90"/>
  <c r="BM46" i="90"/>
  <c r="BM48" i="90"/>
  <c r="BJ71" i="90"/>
  <c r="BS71" i="90" s="1"/>
  <c r="BJ70" i="90"/>
  <c r="BS70" i="90" s="1"/>
  <c r="BJ66" i="90"/>
  <c r="BS66" i="90" s="1"/>
  <c r="BJ60" i="90"/>
  <c r="BS60" i="90" s="1"/>
  <c r="BJ59" i="90"/>
  <c r="BS59" i="90" s="1"/>
  <c r="BC71" i="90"/>
  <c r="BC70" i="90"/>
  <c r="BC66" i="90"/>
  <c r="BC60" i="90"/>
  <c r="BC59" i="90"/>
  <c r="AV71" i="90"/>
  <c r="AV70" i="90"/>
  <c r="AV66" i="90"/>
  <c r="AV60" i="90"/>
  <c r="AV59" i="90"/>
  <c r="AO71" i="90"/>
  <c r="AO70" i="90"/>
  <c r="AO66" i="90"/>
  <c r="AO60" i="90"/>
  <c r="AO59" i="90"/>
  <c r="AH71" i="90"/>
  <c r="AH70" i="90"/>
  <c r="AH66" i="90"/>
  <c r="AH60" i="90"/>
  <c r="AH59" i="90"/>
  <c r="AQ59" i="90" s="1"/>
  <c r="AA71" i="90"/>
  <c r="AA70" i="90"/>
  <c r="AJ70" i="90" s="1"/>
  <c r="AA66" i="90"/>
  <c r="AA60" i="90"/>
  <c r="AA59" i="90"/>
  <c r="O131" i="85"/>
  <c r="O130" i="85"/>
  <c r="O129" i="85"/>
  <c r="O128" i="85"/>
  <c r="O126" i="85"/>
  <c r="O125" i="85"/>
  <c r="O124" i="85"/>
  <c r="O123" i="85"/>
  <c r="O122" i="85"/>
  <c r="O121" i="85"/>
  <c r="O120" i="85"/>
  <c r="O119" i="85"/>
  <c r="O118" i="85"/>
  <c r="O117" i="85"/>
  <c r="O116" i="85"/>
  <c r="O115" i="85"/>
  <c r="O114" i="85"/>
  <c r="O113" i="85"/>
  <c r="O112" i="85"/>
  <c r="O111" i="85"/>
  <c r="O106" i="85"/>
  <c r="O110" i="85"/>
  <c r="O109" i="85"/>
  <c r="BH36" i="90" s="1"/>
  <c r="O108" i="85"/>
  <c r="O107" i="85"/>
  <c r="O105" i="85"/>
  <c r="O104" i="85"/>
  <c r="O103" i="85"/>
  <c r="O102" i="85"/>
  <c r="O101" i="85"/>
  <c r="O100" i="85"/>
  <c r="O99" i="85"/>
  <c r="O98" i="85"/>
  <c r="O97" i="85"/>
  <c r="O96" i="85"/>
  <c r="O95" i="85"/>
  <c r="O94" i="85"/>
  <c r="O93" i="85"/>
  <c r="O92" i="85"/>
  <c r="O91" i="85"/>
  <c r="O90" i="85"/>
  <c r="O89" i="85"/>
  <c r="O88" i="85"/>
  <c r="O87" i="85"/>
  <c r="O86" i="85"/>
  <c r="O85" i="85"/>
  <c r="O84" i="85"/>
  <c r="O83" i="85"/>
  <c r="O82" i="85"/>
  <c r="O81" i="85"/>
  <c r="O80" i="85"/>
  <c r="O79" i="85"/>
  <c r="O78" i="85"/>
  <c r="O77" i="85"/>
  <c r="O76" i="85"/>
  <c r="O75" i="85"/>
  <c r="O74" i="85"/>
  <c r="O73" i="85"/>
  <c r="O72" i="85"/>
  <c r="O71" i="85"/>
  <c r="O70" i="85"/>
  <c r="O69" i="85"/>
  <c r="O68" i="85"/>
  <c r="O67" i="85"/>
  <c r="O66" i="85"/>
  <c r="O65" i="85"/>
  <c r="O64" i="85"/>
  <c r="O63" i="85"/>
  <c r="O62" i="85"/>
  <c r="O61" i="85"/>
  <c r="O60" i="85"/>
  <c r="O59" i="85"/>
  <c r="O58" i="85"/>
  <c r="O57" i="85"/>
  <c r="O56" i="85"/>
  <c r="O55" i="85"/>
  <c r="O54" i="85"/>
  <c r="O53" i="85"/>
  <c r="O52" i="85"/>
  <c r="O51" i="85"/>
  <c r="O49" i="85"/>
  <c r="O48" i="85"/>
  <c r="O47" i="85"/>
  <c r="O46" i="85"/>
  <c r="O45" i="85"/>
  <c r="O44" i="85"/>
  <c r="O43" i="85"/>
  <c r="O42" i="85"/>
  <c r="O41" i="85"/>
  <c r="O40" i="85"/>
  <c r="O39" i="85"/>
  <c r="O38" i="85"/>
  <c r="O37" i="85"/>
  <c r="O36" i="85"/>
  <c r="O35" i="85"/>
  <c r="O34" i="85"/>
  <c r="O33" i="85"/>
  <c r="O32" i="85"/>
  <c r="BH25" i="90" s="1"/>
  <c r="O31" i="85"/>
  <c r="O30" i="85"/>
  <c r="O29" i="85"/>
  <c r="O28" i="85"/>
  <c r="O27" i="85"/>
  <c r="O26" i="85"/>
  <c r="O25" i="85"/>
  <c r="O24" i="85"/>
  <c r="O23" i="85"/>
  <c r="O22" i="85"/>
  <c r="O21" i="85"/>
  <c r="O20" i="85"/>
  <c r="O19" i="85"/>
  <c r="O18" i="85"/>
  <c r="O17" i="85"/>
  <c r="O16" i="85"/>
  <c r="O15" i="85"/>
  <c r="O14" i="85"/>
  <c r="O13" i="85"/>
  <c r="O12" i="85"/>
  <c r="O11" i="85"/>
  <c r="O10" i="85"/>
  <c r="O9" i="85"/>
  <c r="BH22" i="90" s="1"/>
  <c r="O8" i="85"/>
  <c r="O7" i="85"/>
  <c r="O6" i="85"/>
  <c r="O5" i="85"/>
  <c r="O4" i="85"/>
  <c r="O3" i="85"/>
  <c r="N131" i="85"/>
  <c r="N130" i="85"/>
  <c r="N129" i="85"/>
  <c r="N128" i="85"/>
  <c r="N126" i="85"/>
  <c r="N125" i="85"/>
  <c r="N124" i="85"/>
  <c r="N123" i="85"/>
  <c r="N122" i="85"/>
  <c r="N121" i="85"/>
  <c r="N120" i="85"/>
  <c r="N119" i="85"/>
  <c r="N118" i="85"/>
  <c r="N117" i="85"/>
  <c r="N116" i="85"/>
  <c r="N115" i="85"/>
  <c r="N114" i="85"/>
  <c r="N113" i="85"/>
  <c r="N112" i="85"/>
  <c r="N111" i="85"/>
  <c r="N106" i="85"/>
  <c r="N110" i="85"/>
  <c r="N109" i="85"/>
  <c r="N108" i="85"/>
  <c r="N107" i="85"/>
  <c r="N105" i="85"/>
  <c r="N104" i="85"/>
  <c r="N103" i="85"/>
  <c r="N102" i="85"/>
  <c r="N101" i="85"/>
  <c r="N100" i="85"/>
  <c r="N99" i="85"/>
  <c r="N98" i="85"/>
  <c r="N97" i="85"/>
  <c r="N96" i="85"/>
  <c r="N95" i="85"/>
  <c r="N94" i="85"/>
  <c r="N93" i="85"/>
  <c r="N92" i="85"/>
  <c r="N91" i="85"/>
  <c r="N90" i="85"/>
  <c r="N89" i="85"/>
  <c r="N88" i="85"/>
  <c r="N87" i="85"/>
  <c r="N86" i="85"/>
  <c r="N85" i="85"/>
  <c r="N84" i="85"/>
  <c r="N83" i="85"/>
  <c r="N82" i="85"/>
  <c r="N81" i="85"/>
  <c r="N80" i="85"/>
  <c r="N79" i="85"/>
  <c r="N78" i="85"/>
  <c r="N77" i="85"/>
  <c r="N76" i="85"/>
  <c r="N75" i="85"/>
  <c r="N74" i="85"/>
  <c r="N73" i="85"/>
  <c r="N72" i="85"/>
  <c r="N71" i="85"/>
  <c r="N70" i="85"/>
  <c r="N69" i="85"/>
  <c r="N68" i="85"/>
  <c r="N67" i="85"/>
  <c r="N66" i="85"/>
  <c r="N65" i="85"/>
  <c r="N64" i="85"/>
  <c r="N63" i="85"/>
  <c r="N62" i="85"/>
  <c r="N61" i="85"/>
  <c r="N60" i="85"/>
  <c r="N59" i="85"/>
  <c r="N58" i="85"/>
  <c r="N57" i="85"/>
  <c r="N56" i="85"/>
  <c r="N55" i="85"/>
  <c r="N54" i="85"/>
  <c r="N53" i="85"/>
  <c r="N52" i="85"/>
  <c r="N51" i="85"/>
  <c r="N49" i="85"/>
  <c r="N48" i="85"/>
  <c r="N47" i="85"/>
  <c r="N46" i="85"/>
  <c r="N45" i="85"/>
  <c r="N44" i="85"/>
  <c r="N43" i="85"/>
  <c r="N42" i="85"/>
  <c r="N41" i="85"/>
  <c r="N40" i="85"/>
  <c r="N39" i="85"/>
  <c r="N38" i="85"/>
  <c r="N37" i="85"/>
  <c r="N36" i="85"/>
  <c r="N35" i="85"/>
  <c r="N34" i="85"/>
  <c r="N33" i="85"/>
  <c r="N32" i="85"/>
  <c r="N31" i="85"/>
  <c r="N30" i="85"/>
  <c r="N29" i="85"/>
  <c r="N28" i="85"/>
  <c r="N27" i="85"/>
  <c r="N26" i="85"/>
  <c r="N25" i="85"/>
  <c r="N24" i="85"/>
  <c r="N23" i="85"/>
  <c r="N22" i="85"/>
  <c r="N21" i="85"/>
  <c r="N20" i="85"/>
  <c r="N19" i="85"/>
  <c r="N18" i="85"/>
  <c r="N17" i="85"/>
  <c r="N16" i="85"/>
  <c r="N15" i="85"/>
  <c r="N14" i="85"/>
  <c r="N13" i="85"/>
  <c r="N12" i="85"/>
  <c r="N11" i="85"/>
  <c r="N10" i="85"/>
  <c r="N9" i="85"/>
  <c r="N8" i="85"/>
  <c r="N7" i="85"/>
  <c r="N6" i="85"/>
  <c r="N5" i="85"/>
  <c r="N4" i="85"/>
  <c r="N3" i="85"/>
  <c r="M131" i="85"/>
  <c r="M130" i="85"/>
  <c r="M129" i="85"/>
  <c r="M128" i="85"/>
  <c r="M126" i="85"/>
  <c r="M125" i="85"/>
  <c r="M124" i="85"/>
  <c r="M123" i="85"/>
  <c r="M122" i="85"/>
  <c r="M121" i="85"/>
  <c r="M120" i="85"/>
  <c r="M119" i="85"/>
  <c r="M118" i="85"/>
  <c r="M117" i="85"/>
  <c r="M116" i="85"/>
  <c r="M115" i="85"/>
  <c r="M114" i="85"/>
  <c r="M113" i="85"/>
  <c r="M112" i="85"/>
  <c r="M111" i="85"/>
  <c r="M106" i="85"/>
  <c r="M110" i="85"/>
  <c r="M109" i="85"/>
  <c r="M108" i="85"/>
  <c r="M107" i="85"/>
  <c r="M105" i="85"/>
  <c r="M104" i="85"/>
  <c r="M103" i="85"/>
  <c r="M102" i="85"/>
  <c r="M101" i="85"/>
  <c r="M100" i="85"/>
  <c r="M99" i="85"/>
  <c r="M98" i="85"/>
  <c r="M97" i="85"/>
  <c r="M96" i="85"/>
  <c r="M95" i="85"/>
  <c r="M94" i="85"/>
  <c r="M93" i="85"/>
  <c r="M92" i="85"/>
  <c r="M91" i="85"/>
  <c r="M90" i="85"/>
  <c r="M89" i="85"/>
  <c r="M88" i="85"/>
  <c r="M87" i="85"/>
  <c r="M86" i="85"/>
  <c r="M85" i="85"/>
  <c r="M84" i="85"/>
  <c r="M83" i="85"/>
  <c r="M82" i="85"/>
  <c r="M81" i="85"/>
  <c r="M80" i="85"/>
  <c r="M79" i="85"/>
  <c r="M78" i="85"/>
  <c r="M77" i="85"/>
  <c r="M76" i="85"/>
  <c r="M75" i="85"/>
  <c r="M74" i="85"/>
  <c r="M73" i="85"/>
  <c r="M72" i="85"/>
  <c r="M71" i="85"/>
  <c r="M70" i="85"/>
  <c r="M69" i="85"/>
  <c r="M68" i="85"/>
  <c r="M67" i="85"/>
  <c r="M66" i="85"/>
  <c r="M65" i="85"/>
  <c r="M64" i="85"/>
  <c r="M63" i="85"/>
  <c r="M62" i="85"/>
  <c r="M61" i="85"/>
  <c r="M60" i="85"/>
  <c r="M59" i="85"/>
  <c r="M58" i="85"/>
  <c r="M57" i="85"/>
  <c r="M56" i="85"/>
  <c r="M55" i="85"/>
  <c r="M54" i="85"/>
  <c r="M53" i="85"/>
  <c r="M52" i="85"/>
  <c r="M51" i="85"/>
  <c r="M49" i="85"/>
  <c r="M48" i="85"/>
  <c r="M47" i="85"/>
  <c r="M46" i="85"/>
  <c r="M45" i="85"/>
  <c r="M44" i="85"/>
  <c r="M43" i="85"/>
  <c r="M42" i="85"/>
  <c r="M41" i="85"/>
  <c r="M40" i="85"/>
  <c r="M39" i="85"/>
  <c r="M38" i="85"/>
  <c r="M37" i="85"/>
  <c r="M36" i="85"/>
  <c r="M35" i="85"/>
  <c r="M34" i="85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M17" i="85"/>
  <c r="M16" i="85"/>
  <c r="M15" i="85"/>
  <c r="M14" i="85"/>
  <c r="M13" i="85"/>
  <c r="M12" i="85"/>
  <c r="M11" i="85"/>
  <c r="M10" i="85"/>
  <c r="M9" i="85"/>
  <c r="M8" i="85"/>
  <c r="M7" i="85"/>
  <c r="M6" i="85"/>
  <c r="M5" i="85"/>
  <c r="M4" i="85"/>
  <c r="M3" i="85"/>
  <c r="L131" i="85"/>
  <c r="L130" i="85"/>
  <c r="L129" i="85"/>
  <c r="L128" i="85"/>
  <c r="L126" i="85"/>
  <c r="L125" i="85"/>
  <c r="L124" i="85"/>
  <c r="L123" i="85"/>
  <c r="L122" i="85"/>
  <c r="L121" i="85"/>
  <c r="L120" i="85"/>
  <c r="L119" i="85"/>
  <c r="L118" i="85"/>
  <c r="L117" i="85"/>
  <c r="L116" i="85"/>
  <c r="L115" i="85"/>
  <c r="L114" i="85"/>
  <c r="L113" i="85"/>
  <c r="L112" i="85"/>
  <c r="L111" i="85"/>
  <c r="L106" i="85"/>
  <c r="L110" i="85"/>
  <c r="L109" i="85"/>
  <c r="L108" i="85"/>
  <c r="L107" i="85"/>
  <c r="L105" i="85"/>
  <c r="L104" i="85"/>
  <c r="L103" i="85"/>
  <c r="L102" i="85"/>
  <c r="L101" i="85"/>
  <c r="L100" i="85"/>
  <c r="L99" i="85"/>
  <c r="L98" i="85"/>
  <c r="L97" i="85"/>
  <c r="L96" i="85"/>
  <c r="L95" i="85"/>
  <c r="L94" i="85"/>
  <c r="L93" i="85"/>
  <c r="L92" i="85"/>
  <c r="L91" i="85"/>
  <c r="L90" i="85"/>
  <c r="L89" i="85"/>
  <c r="L88" i="85"/>
  <c r="L87" i="85"/>
  <c r="L86" i="85"/>
  <c r="L85" i="85"/>
  <c r="L84" i="85"/>
  <c r="L83" i="85"/>
  <c r="L82" i="85"/>
  <c r="L81" i="85"/>
  <c r="L80" i="85"/>
  <c r="L79" i="85"/>
  <c r="L78" i="85"/>
  <c r="L77" i="85"/>
  <c r="L76" i="85"/>
  <c r="L75" i="85"/>
  <c r="L74" i="85"/>
  <c r="L73" i="85"/>
  <c r="L72" i="85"/>
  <c r="L71" i="85"/>
  <c r="L70" i="85"/>
  <c r="L69" i="85"/>
  <c r="L68" i="85"/>
  <c r="L67" i="85"/>
  <c r="L66" i="85"/>
  <c r="L65" i="85"/>
  <c r="L64" i="85"/>
  <c r="L63" i="85"/>
  <c r="L62" i="85"/>
  <c r="L61" i="85"/>
  <c r="L60" i="85"/>
  <c r="L59" i="85"/>
  <c r="L58" i="85"/>
  <c r="L57" i="85"/>
  <c r="L56" i="85"/>
  <c r="L55" i="85"/>
  <c r="L54" i="85"/>
  <c r="L53" i="85"/>
  <c r="L52" i="85"/>
  <c r="L51" i="85"/>
  <c r="L49" i="85"/>
  <c r="L48" i="85"/>
  <c r="L47" i="85"/>
  <c r="L46" i="85"/>
  <c r="L45" i="85"/>
  <c r="L44" i="85"/>
  <c r="L43" i="85"/>
  <c r="L42" i="85"/>
  <c r="L41" i="85"/>
  <c r="L40" i="85"/>
  <c r="L39" i="85"/>
  <c r="L38" i="85"/>
  <c r="L37" i="85"/>
  <c r="L36" i="85"/>
  <c r="L35" i="85"/>
  <c r="L34" i="85"/>
  <c r="L33" i="85"/>
  <c r="L32" i="85"/>
  <c r="L31" i="85"/>
  <c r="L30" i="85"/>
  <c r="L29" i="85"/>
  <c r="L28" i="85"/>
  <c r="L27" i="85"/>
  <c r="L26" i="85"/>
  <c r="L25" i="85"/>
  <c r="L24" i="85"/>
  <c r="L23" i="85"/>
  <c r="L22" i="85"/>
  <c r="L21" i="85"/>
  <c r="L20" i="85"/>
  <c r="L19" i="85"/>
  <c r="L18" i="85"/>
  <c r="L17" i="85"/>
  <c r="L16" i="85"/>
  <c r="L15" i="85"/>
  <c r="L14" i="85"/>
  <c r="L13" i="85"/>
  <c r="L12" i="85"/>
  <c r="L11" i="85"/>
  <c r="L10" i="85"/>
  <c r="L9" i="85"/>
  <c r="L8" i="85"/>
  <c r="L7" i="85"/>
  <c r="L6" i="85"/>
  <c r="L5" i="85"/>
  <c r="L4" i="85"/>
  <c r="L3" i="85"/>
  <c r="G13" i="85"/>
  <c r="H13" i="85"/>
  <c r="I13" i="85"/>
  <c r="J13" i="85"/>
  <c r="K13" i="85"/>
  <c r="G19" i="85"/>
  <c r="H19" i="85"/>
  <c r="I19" i="85"/>
  <c r="J19" i="85"/>
  <c r="K19" i="85"/>
  <c r="K131" i="85"/>
  <c r="K130" i="85"/>
  <c r="K129" i="85"/>
  <c r="K128" i="85"/>
  <c r="K126" i="85"/>
  <c r="K125" i="85"/>
  <c r="K124" i="85"/>
  <c r="K123" i="85"/>
  <c r="K122" i="85"/>
  <c r="K121" i="85"/>
  <c r="K120" i="85"/>
  <c r="K119" i="85"/>
  <c r="K118" i="85"/>
  <c r="K117" i="85"/>
  <c r="K116" i="85"/>
  <c r="K115" i="85"/>
  <c r="K114" i="85"/>
  <c r="K113" i="85"/>
  <c r="K112" i="85"/>
  <c r="K111" i="85"/>
  <c r="K106" i="85"/>
  <c r="K110" i="85"/>
  <c r="K109" i="85"/>
  <c r="K36" i="89" s="1"/>
  <c r="K108" i="85"/>
  <c r="K107" i="85"/>
  <c r="K105" i="85"/>
  <c r="K104" i="85"/>
  <c r="K103" i="85"/>
  <c r="K102" i="85"/>
  <c r="K101" i="85"/>
  <c r="K100" i="85"/>
  <c r="K99" i="85"/>
  <c r="K98" i="85"/>
  <c r="K97" i="85"/>
  <c r="K96" i="85"/>
  <c r="K95" i="85"/>
  <c r="K94" i="85"/>
  <c r="K93" i="85"/>
  <c r="K92" i="85"/>
  <c r="K91" i="85"/>
  <c r="K90" i="85"/>
  <c r="K89" i="85"/>
  <c r="K88" i="85"/>
  <c r="K87" i="85"/>
  <c r="K86" i="85"/>
  <c r="K85" i="85"/>
  <c r="K84" i="85"/>
  <c r="K83" i="85"/>
  <c r="K82" i="85"/>
  <c r="K81" i="85"/>
  <c r="K80" i="85"/>
  <c r="K79" i="85"/>
  <c r="K78" i="85"/>
  <c r="K77" i="85"/>
  <c r="K76" i="85"/>
  <c r="K75" i="85"/>
  <c r="K74" i="85"/>
  <c r="K73" i="85"/>
  <c r="K72" i="85"/>
  <c r="K71" i="85"/>
  <c r="K70" i="85"/>
  <c r="K69" i="85"/>
  <c r="K68" i="85"/>
  <c r="K67" i="85"/>
  <c r="K66" i="85"/>
  <c r="K65" i="85"/>
  <c r="K64" i="85"/>
  <c r="K63" i="85"/>
  <c r="K62" i="85"/>
  <c r="K61" i="85"/>
  <c r="K60" i="85"/>
  <c r="K59" i="85"/>
  <c r="K58" i="85"/>
  <c r="K57" i="85"/>
  <c r="K56" i="85"/>
  <c r="K55" i="85"/>
  <c r="K54" i="85"/>
  <c r="K53" i="85"/>
  <c r="K52" i="85"/>
  <c r="K51" i="85"/>
  <c r="K49" i="85"/>
  <c r="K48" i="85"/>
  <c r="K47" i="85"/>
  <c r="K46" i="85"/>
  <c r="K45" i="85"/>
  <c r="K44" i="85"/>
  <c r="K43" i="85"/>
  <c r="K42" i="85"/>
  <c r="K41" i="85"/>
  <c r="K40" i="85"/>
  <c r="K39" i="85"/>
  <c r="K38" i="85"/>
  <c r="K37" i="85"/>
  <c r="K36" i="85"/>
  <c r="K35" i="85"/>
  <c r="K34" i="85"/>
  <c r="K33" i="85"/>
  <c r="K32" i="85"/>
  <c r="K25" i="89" s="1"/>
  <c r="K20" i="85"/>
  <c r="K18" i="85"/>
  <c r="K17" i="85"/>
  <c r="K16" i="85"/>
  <c r="K15" i="85"/>
  <c r="K14" i="85"/>
  <c r="K12" i="85"/>
  <c r="K11" i="85"/>
  <c r="K10" i="85"/>
  <c r="K9" i="85"/>
  <c r="K22" i="89" s="1"/>
  <c r="K8" i="85"/>
  <c r="K7" i="85"/>
  <c r="K6" i="85"/>
  <c r="K5" i="85"/>
  <c r="K4" i="85"/>
  <c r="K3" i="85"/>
  <c r="J131" i="85"/>
  <c r="J130" i="85"/>
  <c r="J129" i="85"/>
  <c r="J128" i="85"/>
  <c r="J126" i="85"/>
  <c r="J125" i="85"/>
  <c r="J124" i="85"/>
  <c r="J123" i="85"/>
  <c r="J122" i="85"/>
  <c r="J121" i="85"/>
  <c r="J120" i="85"/>
  <c r="J119" i="85"/>
  <c r="J118" i="85"/>
  <c r="J117" i="85"/>
  <c r="J116" i="85"/>
  <c r="J115" i="85"/>
  <c r="J114" i="85"/>
  <c r="J113" i="85"/>
  <c r="J112" i="85"/>
  <c r="J111" i="85"/>
  <c r="J106" i="85"/>
  <c r="J110" i="85"/>
  <c r="J109" i="85"/>
  <c r="I36" i="89" s="1"/>
  <c r="J108" i="85"/>
  <c r="J107" i="85"/>
  <c r="J105" i="85"/>
  <c r="J104" i="85"/>
  <c r="J103" i="85"/>
  <c r="J102" i="85"/>
  <c r="J101" i="85"/>
  <c r="J100" i="85"/>
  <c r="J99" i="85"/>
  <c r="J98" i="85"/>
  <c r="J97" i="85"/>
  <c r="J96" i="85"/>
  <c r="J95" i="85"/>
  <c r="J94" i="85"/>
  <c r="J93" i="85"/>
  <c r="J92" i="85"/>
  <c r="J91" i="85"/>
  <c r="J90" i="85"/>
  <c r="J89" i="85"/>
  <c r="J88" i="85"/>
  <c r="J87" i="85"/>
  <c r="J86" i="85"/>
  <c r="J85" i="85"/>
  <c r="J84" i="85"/>
  <c r="J83" i="85"/>
  <c r="J82" i="85"/>
  <c r="J81" i="85"/>
  <c r="J80" i="85"/>
  <c r="J79" i="85"/>
  <c r="J78" i="85"/>
  <c r="J77" i="85"/>
  <c r="J76" i="85"/>
  <c r="J75" i="85"/>
  <c r="J74" i="85"/>
  <c r="J73" i="85"/>
  <c r="J72" i="85"/>
  <c r="J71" i="85"/>
  <c r="J70" i="85"/>
  <c r="J69" i="85"/>
  <c r="J68" i="85"/>
  <c r="J67" i="85"/>
  <c r="J66" i="85"/>
  <c r="J65" i="85"/>
  <c r="J64" i="85"/>
  <c r="J63" i="85"/>
  <c r="J62" i="85"/>
  <c r="J61" i="85"/>
  <c r="J60" i="85"/>
  <c r="J59" i="85"/>
  <c r="J58" i="85"/>
  <c r="J57" i="85"/>
  <c r="J56" i="85"/>
  <c r="J55" i="85"/>
  <c r="J54" i="85"/>
  <c r="J53" i="85"/>
  <c r="J52" i="85"/>
  <c r="J51" i="85"/>
  <c r="J49" i="85"/>
  <c r="J48" i="85"/>
  <c r="J47" i="85"/>
  <c r="J46" i="85"/>
  <c r="J45" i="85"/>
  <c r="J44" i="85"/>
  <c r="J43" i="85"/>
  <c r="J42" i="85"/>
  <c r="J41" i="85"/>
  <c r="J40" i="85"/>
  <c r="J39" i="85"/>
  <c r="J38" i="85"/>
  <c r="J37" i="85"/>
  <c r="J36" i="85"/>
  <c r="J35" i="85"/>
  <c r="J34" i="85"/>
  <c r="J33" i="85"/>
  <c r="J32" i="85"/>
  <c r="J31" i="85"/>
  <c r="J30" i="85"/>
  <c r="J29" i="85"/>
  <c r="J28" i="85"/>
  <c r="J27" i="85"/>
  <c r="J26" i="85"/>
  <c r="J25" i="85"/>
  <c r="J24" i="85"/>
  <c r="J23" i="85"/>
  <c r="J22" i="85"/>
  <c r="J21" i="85"/>
  <c r="J20" i="85"/>
  <c r="J18" i="85"/>
  <c r="J17" i="85"/>
  <c r="J16" i="85"/>
  <c r="J15" i="85"/>
  <c r="J14" i="85"/>
  <c r="J12" i="85"/>
  <c r="J11" i="85"/>
  <c r="J10" i="85"/>
  <c r="J9" i="85"/>
  <c r="J8" i="85"/>
  <c r="J7" i="85"/>
  <c r="J6" i="85"/>
  <c r="J5" i="85"/>
  <c r="J4" i="85"/>
  <c r="J3" i="85"/>
  <c r="O190" i="86"/>
  <c r="O189" i="86"/>
  <c r="O71" i="86"/>
  <c r="O72" i="86"/>
  <c r="BH23" i="90" s="1"/>
  <c r="O75" i="86"/>
  <c r="O76" i="86"/>
  <c r="O77" i="86"/>
  <c r="O78" i="86"/>
  <c r="O79" i="86"/>
  <c r="O80" i="86"/>
  <c r="O81" i="86"/>
  <c r="O82" i="86"/>
  <c r="O83" i="86"/>
  <c r="O84" i="86"/>
  <c r="O85" i="86"/>
  <c r="O86" i="86"/>
  <c r="O87" i="86"/>
  <c r="O88" i="86"/>
  <c r="O89" i="86"/>
  <c r="O90" i="86"/>
  <c r="O91" i="86"/>
  <c r="O92" i="86"/>
  <c r="O93" i="86"/>
  <c r="O94" i="86"/>
  <c r="O95" i="86"/>
  <c r="O96" i="86"/>
  <c r="O97" i="86"/>
  <c r="O98" i="86"/>
  <c r="O99" i="86"/>
  <c r="O100" i="86"/>
  <c r="O101" i="86"/>
  <c r="O102" i="86"/>
  <c r="O103" i="86"/>
  <c r="O104" i="86"/>
  <c r="O105" i="86"/>
  <c r="O106" i="86"/>
  <c r="O107" i="86"/>
  <c r="O108" i="86"/>
  <c r="O109" i="86"/>
  <c r="O110" i="86"/>
  <c r="O114" i="86"/>
  <c r="O123" i="86"/>
  <c r="O127" i="86"/>
  <c r="O128" i="86"/>
  <c r="O129" i="86"/>
  <c r="O130" i="86"/>
  <c r="O131" i="86"/>
  <c r="O132" i="86"/>
  <c r="O133" i="86"/>
  <c r="O134" i="86"/>
  <c r="O135" i="86"/>
  <c r="O136" i="86"/>
  <c r="O137" i="86"/>
  <c r="O138" i="86"/>
  <c r="O139" i="86"/>
  <c r="O140" i="86"/>
  <c r="O141" i="86"/>
  <c r="O142" i="86"/>
  <c r="O143" i="86"/>
  <c r="O144" i="86"/>
  <c r="O145" i="86"/>
  <c r="O146" i="86"/>
  <c r="O147" i="86"/>
  <c r="O150" i="86"/>
  <c r="O152" i="86"/>
  <c r="O153" i="86"/>
  <c r="O154" i="86"/>
  <c r="O155" i="86"/>
  <c r="O156" i="86"/>
  <c r="O157" i="86"/>
  <c r="O158" i="86"/>
  <c r="O159" i="86"/>
  <c r="O160" i="86"/>
  <c r="O161" i="86"/>
  <c r="O162" i="86"/>
  <c r="O163" i="86"/>
  <c r="O164" i="86"/>
  <c r="O165" i="86"/>
  <c r="O166" i="86"/>
  <c r="O167" i="86"/>
  <c r="O168" i="86"/>
  <c r="O169" i="86"/>
  <c r="O170" i="86"/>
  <c r="O171" i="86"/>
  <c r="O172" i="86"/>
  <c r="O173" i="86"/>
  <c r="O174" i="86"/>
  <c r="O175" i="86"/>
  <c r="O176" i="86"/>
  <c r="O177" i="86"/>
  <c r="O178" i="86"/>
  <c r="O179" i="86"/>
  <c r="O180" i="86"/>
  <c r="O181" i="86"/>
  <c r="O182" i="86"/>
  <c r="O183" i="86"/>
  <c r="O184" i="86"/>
  <c r="O69" i="86"/>
  <c r="O70" i="86"/>
  <c r="O4" i="86"/>
  <c r="BH5" i="90" s="1"/>
  <c r="O5" i="86"/>
  <c r="O6" i="86"/>
  <c r="O7" i="86"/>
  <c r="O8" i="86"/>
  <c r="O9" i="86"/>
  <c r="O11" i="86"/>
  <c r="O12" i="86"/>
  <c r="O13" i="86"/>
  <c r="O14" i="86"/>
  <c r="O15" i="86"/>
  <c r="O16" i="86"/>
  <c r="O17" i="86"/>
  <c r="O18" i="86"/>
  <c r="O19" i="86"/>
  <c r="O20" i="86"/>
  <c r="O21" i="86"/>
  <c r="O22" i="86"/>
  <c r="O23" i="86"/>
  <c r="O24" i="86"/>
  <c r="O25" i="86"/>
  <c r="O26" i="86"/>
  <c r="O27" i="86"/>
  <c r="O28" i="86"/>
  <c r="O29" i="86"/>
  <c r="O30" i="86"/>
  <c r="O31" i="86"/>
  <c r="O32" i="86"/>
  <c r="O33" i="86"/>
  <c r="O34" i="86"/>
  <c r="O35" i="86"/>
  <c r="O36" i="86"/>
  <c r="BH15" i="90" s="1"/>
  <c r="O37" i="86"/>
  <c r="O38" i="86"/>
  <c r="O39" i="86"/>
  <c r="O40" i="86"/>
  <c r="O41" i="86"/>
  <c r="O42" i="86"/>
  <c r="O43" i="86"/>
  <c r="O44" i="86"/>
  <c r="O45" i="86"/>
  <c r="O46" i="86"/>
  <c r="O47" i="86"/>
  <c r="O48" i="86"/>
  <c r="O49" i="86"/>
  <c r="O50" i="86"/>
  <c r="O51" i="86"/>
  <c r="O52" i="86"/>
  <c r="O54" i="86"/>
  <c r="O55" i="86"/>
  <c r="O56" i="86"/>
  <c r="O61" i="86"/>
  <c r="O62" i="86"/>
  <c r="O63" i="86"/>
  <c r="O64" i="86"/>
  <c r="O65" i="86"/>
  <c r="O67" i="86"/>
  <c r="O68" i="86"/>
  <c r="O3" i="86"/>
  <c r="BH4" i="90" s="1"/>
  <c r="P191" i="86"/>
  <c r="N190" i="86"/>
  <c r="BA77" i="90" s="1"/>
  <c r="N189" i="86"/>
  <c r="BA76" i="90" s="1"/>
  <c r="N71" i="86"/>
  <c r="N72" i="86"/>
  <c r="N75" i="86"/>
  <c r="N76" i="86"/>
  <c r="N77" i="86"/>
  <c r="N78" i="86"/>
  <c r="N79" i="86"/>
  <c r="N80" i="86"/>
  <c r="N81" i="86"/>
  <c r="N82" i="86"/>
  <c r="N83" i="86"/>
  <c r="N84" i="86"/>
  <c r="N85" i="86"/>
  <c r="N86" i="86"/>
  <c r="N87" i="86"/>
  <c r="N88" i="86"/>
  <c r="N89" i="86"/>
  <c r="N90" i="86"/>
  <c r="N91" i="86"/>
  <c r="N92" i="86"/>
  <c r="N93" i="86"/>
  <c r="N94" i="86"/>
  <c r="N95" i="86"/>
  <c r="N96" i="86"/>
  <c r="N97" i="86"/>
  <c r="N98" i="86"/>
  <c r="N99" i="86"/>
  <c r="N100" i="86"/>
  <c r="N101" i="86"/>
  <c r="N102" i="86"/>
  <c r="N103" i="86"/>
  <c r="N104" i="86"/>
  <c r="N105" i="86"/>
  <c r="N106" i="86"/>
  <c r="N107" i="86"/>
  <c r="N108" i="86"/>
  <c r="N109" i="86"/>
  <c r="N114" i="86"/>
  <c r="N123" i="86"/>
  <c r="N127" i="86"/>
  <c r="N128" i="86"/>
  <c r="N129" i="86"/>
  <c r="N130" i="86"/>
  <c r="Q39" i="89" s="1"/>
  <c r="N131" i="86"/>
  <c r="N132" i="86"/>
  <c r="N133" i="86"/>
  <c r="N134" i="86"/>
  <c r="N135" i="86"/>
  <c r="N136" i="86"/>
  <c r="N137" i="86"/>
  <c r="N138" i="86"/>
  <c r="N139" i="86"/>
  <c r="N140" i="86"/>
  <c r="N141" i="86"/>
  <c r="N142" i="86"/>
  <c r="N143" i="86"/>
  <c r="N144" i="86"/>
  <c r="N145" i="86"/>
  <c r="N146" i="86"/>
  <c r="N147" i="86"/>
  <c r="N150" i="86"/>
  <c r="N152" i="86"/>
  <c r="N153" i="86"/>
  <c r="N154" i="86"/>
  <c r="N155" i="86"/>
  <c r="N156" i="86"/>
  <c r="N157" i="86"/>
  <c r="N158" i="86"/>
  <c r="N159" i="86"/>
  <c r="N160" i="86"/>
  <c r="N161" i="86"/>
  <c r="N162" i="86"/>
  <c r="N163" i="86"/>
  <c r="N164" i="86"/>
  <c r="N165" i="86"/>
  <c r="N166" i="86"/>
  <c r="N167" i="86"/>
  <c r="N168" i="86"/>
  <c r="N169" i="86"/>
  <c r="N170" i="86"/>
  <c r="N171" i="86"/>
  <c r="N172" i="86"/>
  <c r="N173" i="86"/>
  <c r="N174" i="86"/>
  <c r="N175" i="86"/>
  <c r="N176" i="86"/>
  <c r="N177" i="86"/>
  <c r="N178" i="86"/>
  <c r="N179" i="86"/>
  <c r="N180" i="86"/>
  <c r="N181" i="86"/>
  <c r="N182" i="86"/>
  <c r="N183" i="86"/>
  <c r="N184" i="86"/>
  <c r="N70" i="86"/>
  <c r="N4" i="86"/>
  <c r="N5" i="86"/>
  <c r="N6" i="86"/>
  <c r="N7" i="86"/>
  <c r="N8" i="86"/>
  <c r="N9" i="86"/>
  <c r="N11" i="86"/>
  <c r="N12" i="86"/>
  <c r="N13" i="86"/>
  <c r="N14" i="86"/>
  <c r="N15" i="86"/>
  <c r="N16" i="86"/>
  <c r="N17" i="86"/>
  <c r="N18" i="86"/>
  <c r="N19" i="86"/>
  <c r="N20" i="86"/>
  <c r="N21" i="86"/>
  <c r="N22" i="86"/>
  <c r="N23" i="86"/>
  <c r="N24" i="86"/>
  <c r="N25" i="86"/>
  <c r="N26" i="86"/>
  <c r="N27" i="86"/>
  <c r="N28" i="86"/>
  <c r="N29" i="86"/>
  <c r="N30" i="86"/>
  <c r="N31" i="86"/>
  <c r="N32" i="86"/>
  <c r="N33" i="86"/>
  <c r="N34" i="86"/>
  <c r="N35" i="86"/>
  <c r="N36" i="86"/>
  <c r="Q15" i="89" s="1"/>
  <c r="N37" i="86"/>
  <c r="N38" i="86"/>
  <c r="N39" i="86"/>
  <c r="N40" i="86"/>
  <c r="N41" i="86"/>
  <c r="N42" i="86"/>
  <c r="N43" i="86"/>
  <c r="N44" i="86"/>
  <c r="N45" i="86"/>
  <c r="N46" i="86"/>
  <c r="N47" i="86"/>
  <c r="N48" i="86"/>
  <c r="N49" i="86"/>
  <c r="N50" i="86"/>
  <c r="N51" i="86"/>
  <c r="N52" i="86"/>
  <c r="N54" i="86"/>
  <c r="N55" i="86"/>
  <c r="N56" i="86"/>
  <c r="N61" i="86"/>
  <c r="N62" i="86"/>
  <c r="N63" i="86"/>
  <c r="N64" i="86"/>
  <c r="N65" i="86"/>
  <c r="N67" i="86"/>
  <c r="N68" i="86"/>
  <c r="N69" i="86"/>
  <c r="N3" i="86"/>
  <c r="B26" i="86"/>
  <c r="G26" i="86"/>
  <c r="H26" i="86"/>
  <c r="I26" i="86"/>
  <c r="J26" i="86"/>
  <c r="K26" i="86"/>
  <c r="L26" i="86"/>
  <c r="M26" i="86"/>
  <c r="B167" i="86"/>
  <c r="G167" i="86"/>
  <c r="H167" i="86"/>
  <c r="I167" i="86"/>
  <c r="J167" i="86"/>
  <c r="K167" i="86"/>
  <c r="L167" i="86"/>
  <c r="M167" i="86"/>
  <c r="M189" i="86"/>
  <c r="M71" i="86"/>
  <c r="M72" i="86"/>
  <c r="M75" i="86"/>
  <c r="M76" i="86"/>
  <c r="M77" i="86"/>
  <c r="M78" i="86"/>
  <c r="M79" i="86"/>
  <c r="M80" i="86"/>
  <c r="M81" i="86"/>
  <c r="M82" i="86"/>
  <c r="M83" i="86"/>
  <c r="M84" i="86"/>
  <c r="M85" i="86"/>
  <c r="M86" i="86"/>
  <c r="M87" i="86"/>
  <c r="M88" i="86"/>
  <c r="M89" i="86"/>
  <c r="M90" i="86"/>
  <c r="M91" i="86"/>
  <c r="M92" i="86"/>
  <c r="M93" i="86"/>
  <c r="M94" i="86"/>
  <c r="M95" i="86"/>
  <c r="M96" i="86"/>
  <c r="M97" i="86"/>
  <c r="M98" i="86"/>
  <c r="M99" i="86"/>
  <c r="M100" i="86"/>
  <c r="M101" i="86"/>
  <c r="M102" i="86"/>
  <c r="M103" i="86"/>
  <c r="M104" i="86"/>
  <c r="M105" i="86"/>
  <c r="M106" i="86"/>
  <c r="M107" i="86"/>
  <c r="M108" i="86"/>
  <c r="M109" i="86"/>
  <c r="M110" i="86"/>
  <c r="M114" i="86"/>
  <c r="M123" i="86"/>
  <c r="M127" i="86"/>
  <c r="M128" i="86"/>
  <c r="M129" i="86"/>
  <c r="M130" i="86"/>
  <c r="M131" i="86"/>
  <c r="M132" i="86"/>
  <c r="M133" i="86"/>
  <c r="M134" i="86"/>
  <c r="M135" i="86"/>
  <c r="M136" i="86"/>
  <c r="M137" i="86"/>
  <c r="M138" i="86"/>
  <c r="M139" i="86"/>
  <c r="M140" i="86"/>
  <c r="M141" i="86"/>
  <c r="M142" i="86"/>
  <c r="M143" i="86"/>
  <c r="M144" i="86"/>
  <c r="M145" i="86"/>
  <c r="M146" i="86"/>
  <c r="M147" i="86"/>
  <c r="M150" i="86"/>
  <c r="M152" i="86"/>
  <c r="M153" i="86"/>
  <c r="M154" i="86"/>
  <c r="M155" i="86"/>
  <c r="M156" i="86"/>
  <c r="M157" i="86"/>
  <c r="M158" i="86"/>
  <c r="M159" i="86"/>
  <c r="M160" i="86"/>
  <c r="M161" i="86"/>
  <c r="M162" i="86"/>
  <c r="M163" i="86"/>
  <c r="M164" i="86"/>
  <c r="M165" i="86"/>
  <c r="M166" i="86"/>
  <c r="M168" i="86"/>
  <c r="M169" i="86"/>
  <c r="M170" i="86"/>
  <c r="M171" i="86"/>
  <c r="M172" i="86"/>
  <c r="M173" i="86"/>
  <c r="M174" i="86"/>
  <c r="M175" i="86"/>
  <c r="M176" i="86"/>
  <c r="M177" i="86"/>
  <c r="M178" i="86"/>
  <c r="M179" i="86"/>
  <c r="M180" i="86"/>
  <c r="M181" i="86"/>
  <c r="M182" i="86"/>
  <c r="M183" i="86"/>
  <c r="M184" i="86"/>
  <c r="M4" i="86"/>
  <c r="M5" i="86"/>
  <c r="M6" i="86"/>
  <c r="M7" i="86"/>
  <c r="M8" i="86"/>
  <c r="M9" i="86"/>
  <c r="M11" i="86"/>
  <c r="M12" i="86"/>
  <c r="M13" i="86"/>
  <c r="M14" i="86"/>
  <c r="M15" i="86"/>
  <c r="M16" i="86"/>
  <c r="M17" i="86"/>
  <c r="M18" i="86"/>
  <c r="M19" i="86"/>
  <c r="M20" i="86"/>
  <c r="M21" i="86"/>
  <c r="M22" i="86"/>
  <c r="M23" i="86"/>
  <c r="M24" i="86"/>
  <c r="M25" i="86"/>
  <c r="M27" i="86"/>
  <c r="M28" i="86"/>
  <c r="M29" i="86"/>
  <c r="M30" i="86"/>
  <c r="M31" i="86"/>
  <c r="M32" i="86"/>
  <c r="M33" i="86"/>
  <c r="M34" i="86"/>
  <c r="M35" i="86"/>
  <c r="M36" i="86"/>
  <c r="M37" i="86"/>
  <c r="M38" i="86"/>
  <c r="M39" i="86"/>
  <c r="M40" i="86"/>
  <c r="M41" i="86"/>
  <c r="M42" i="86"/>
  <c r="M43" i="86"/>
  <c r="M44" i="86"/>
  <c r="M45" i="86"/>
  <c r="M46" i="86"/>
  <c r="M47" i="86"/>
  <c r="M48" i="86"/>
  <c r="M49" i="86"/>
  <c r="M50" i="86"/>
  <c r="M51" i="86"/>
  <c r="M52" i="86"/>
  <c r="M54" i="86"/>
  <c r="M55" i="86"/>
  <c r="M56" i="86"/>
  <c r="M61" i="86"/>
  <c r="M62" i="86"/>
  <c r="M63" i="86"/>
  <c r="M64" i="86"/>
  <c r="M65" i="86"/>
  <c r="M67" i="86"/>
  <c r="M68" i="86"/>
  <c r="M69" i="86"/>
  <c r="M70" i="86"/>
  <c r="M3" i="86"/>
  <c r="AT4" i="90" s="1"/>
  <c r="B84" i="86"/>
  <c r="G84" i="86"/>
  <c r="H84" i="86"/>
  <c r="I84" i="86"/>
  <c r="J84" i="86"/>
  <c r="K84" i="86"/>
  <c r="L84" i="86"/>
  <c r="B56" i="86"/>
  <c r="G56" i="86"/>
  <c r="H56" i="86"/>
  <c r="I56" i="86"/>
  <c r="J56" i="86"/>
  <c r="K56" i="86"/>
  <c r="L56" i="86"/>
  <c r="L190" i="86"/>
  <c r="L189" i="86"/>
  <c r="L71" i="86"/>
  <c r="L72" i="86"/>
  <c r="L75" i="86"/>
  <c r="L76" i="86"/>
  <c r="L77" i="86"/>
  <c r="L78" i="86"/>
  <c r="L79" i="86"/>
  <c r="L80" i="86"/>
  <c r="L81" i="86"/>
  <c r="L82" i="86"/>
  <c r="L83" i="86"/>
  <c r="L85" i="86"/>
  <c r="L86" i="86"/>
  <c r="L87" i="86"/>
  <c r="L88" i="86"/>
  <c r="L89" i="86"/>
  <c r="L90" i="86"/>
  <c r="L91" i="86"/>
  <c r="L92" i="86"/>
  <c r="L93" i="86"/>
  <c r="L94" i="86"/>
  <c r="L95" i="86"/>
  <c r="L96" i="86"/>
  <c r="L97" i="86"/>
  <c r="L98" i="86"/>
  <c r="L99" i="86"/>
  <c r="L100" i="86"/>
  <c r="L101" i="86"/>
  <c r="L102" i="86"/>
  <c r="L103" i="86"/>
  <c r="L104" i="86"/>
  <c r="L105" i="86"/>
  <c r="L106" i="86"/>
  <c r="L107" i="86"/>
  <c r="L108" i="86"/>
  <c r="L109" i="86"/>
  <c r="L110" i="86"/>
  <c r="L114" i="86"/>
  <c r="L123" i="86"/>
  <c r="L127" i="86"/>
  <c r="L128" i="86"/>
  <c r="L129" i="86"/>
  <c r="L130" i="86"/>
  <c r="L131" i="86"/>
  <c r="L132" i="86"/>
  <c r="L133" i="86"/>
  <c r="L134" i="86"/>
  <c r="L135" i="86"/>
  <c r="L136" i="86"/>
  <c r="L137" i="86"/>
  <c r="L138" i="86"/>
  <c r="L139" i="86"/>
  <c r="L140" i="86"/>
  <c r="L141" i="86"/>
  <c r="L142" i="86"/>
  <c r="L143" i="86"/>
  <c r="L144" i="86"/>
  <c r="L145" i="86"/>
  <c r="L146" i="86"/>
  <c r="M69" i="89" s="1"/>
  <c r="L147" i="86"/>
  <c r="L150" i="86"/>
  <c r="L152" i="86"/>
  <c r="L153" i="86"/>
  <c r="L154" i="86"/>
  <c r="L155" i="86"/>
  <c r="L156" i="86"/>
  <c r="L157" i="86"/>
  <c r="L158" i="86"/>
  <c r="L159" i="86"/>
  <c r="L160" i="86"/>
  <c r="L161" i="86"/>
  <c r="L162" i="86"/>
  <c r="L163" i="86"/>
  <c r="L164" i="86"/>
  <c r="L165" i="86"/>
  <c r="L166" i="86"/>
  <c r="L168" i="86"/>
  <c r="L169" i="86"/>
  <c r="L170" i="86"/>
  <c r="L171" i="86"/>
  <c r="L172" i="86"/>
  <c r="L173" i="86"/>
  <c r="L174" i="86"/>
  <c r="L175" i="86"/>
  <c r="L176" i="86"/>
  <c r="L177" i="86"/>
  <c r="L178" i="86"/>
  <c r="L179" i="86"/>
  <c r="L180" i="86"/>
  <c r="L181" i="86"/>
  <c r="L182" i="86"/>
  <c r="L183" i="86"/>
  <c r="L184" i="86"/>
  <c r="L4" i="86"/>
  <c r="L5" i="86"/>
  <c r="L6" i="86"/>
  <c r="L7" i="86"/>
  <c r="L8" i="86"/>
  <c r="L9" i="86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7" i="86"/>
  <c r="L28" i="86"/>
  <c r="L29" i="86"/>
  <c r="L30" i="86"/>
  <c r="L31" i="86"/>
  <c r="L32" i="86"/>
  <c r="L33" i="86"/>
  <c r="L34" i="86"/>
  <c r="L35" i="86"/>
  <c r="L36" i="86"/>
  <c r="M15" i="89" s="1"/>
  <c r="L37" i="86"/>
  <c r="L38" i="86"/>
  <c r="L39" i="86"/>
  <c r="L40" i="86"/>
  <c r="L41" i="86"/>
  <c r="L42" i="86"/>
  <c r="L43" i="86"/>
  <c r="L44" i="86"/>
  <c r="L45" i="86"/>
  <c r="L46" i="86"/>
  <c r="L47" i="86"/>
  <c r="L48" i="86"/>
  <c r="L49" i="86"/>
  <c r="L50" i="86"/>
  <c r="L51" i="86"/>
  <c r="L52" i="86"/>
  <c r="L54" i="86"/>
  <c r="L55" i="86"/>
  <c r="L61" i="86"/>
  <c r="L62" i="86"/>
  <c r="L63" i="86"/>
  <c r="L64" i="86"/>
  <c r="L65" i="86"/>
  <c r="L67" i="86"/>
  <c r="L68" i="86"/>
  <c r="L69" i="86"/>
  <c r="L70" i="86"/>
  <c r="L3" i="86"/>
  <c r="AM4" i="90" s="1"/>
  <c r="B107" i="86"/>
  <c r="B106" i="86"/>
  <c r="G107" i="86"/>
  <c r="H107" i="86"/>
  <c r="I107" i="86"/>
  <c r="J107" i="86"/>
  <c r="K107" i="86"/>
  <c r="G106" i="86"/>
  <c r="H106" i="86"/>
  <c r="I106" i="86"/>
  <c r="J106" i="86"/>
  <c r="K106" i="86"/>
  <c r="K190" i="86"/>
  <c r="K189" i="86"/>
  <c r="K72" i="86"/>
  <c r="K75" i="86"/>
  <c r="K52" i="89" s="1"/>
  <c r="K76" i="86"/>
  <c r="K77" i="86"/>
  <c r="K78" i="86"/>
  <c r="K79" i="86"/>
  <c r="K80" i="86"/>
  <c r="K81" i="86"/>
  <c r="K82" i="86"/>
  <c r="K83" i="86"/>
  <c r="K85" i="86"/>
  <c r="K86" i="86"/>
  <c r="K87" i="86"/>
  <c r="K88" i="86"/>
  <c r="K89" i="86"/>
  <c r="K90" i="86"/>
  <c r="K91" i="86"/>
  <c r="K92" i="86"/>
  <c r="K93" i="86"/>
  <c r="K94" i="86"/>
  <c r="K95" i="86"/>
  <c r="K96" i="86"/>
  <c r="K97" i="86"/>
  <c r="K98" i="86"/>
  <c r="K99" i="86"/>
  <c r="K100" i="86"/>
  <c r="K101" i="86"/>
  <c r="K102" i="86"/>
  <c r="K103" i="86"/>
  <c r="K104" i="86"/>
  <c r="K105" i="86"/>
  <c r="K108" i="86"/>
  <c r="K109" i="86"/>
  <c r="K110" i="86"/>
  <c r="K114" i="86"/>
  <c r="K123" i="86"/>
  <c r="K127" i="86"/>
  <c r="K128" i="86"/>
  <c r="K129" i="86"/>
  <c r="K130" i="86"/>
  <c r="K39" i="89" s="1"/>
  <c r="K131" i="86"/>
  <c r="K132" i="86"/>
  <c r="K133" i="86"/>
  <c r="K134" i="86"/>
  <c r="K135" i="86"/>
  <c r="K136" i="86"/>
  <c r="K137" i="86"/>
  <c r="K138" i="86"/>
  <c r="K139" i="86"/>
  <c r="K140" i="86"/>
  <c r="K141" i="86"/>
  <c r="K142" i="86"/>
  <c r="K143" i="86"/>
  <c r="K144" i="86"/>
  <c r="K145" i="86"/>
  <c r="K146" i="86"/>
  <c r="K69" i="89" s="1"/>
  <c r="K147" i="86"/>
  <c r="K150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8" i="86"/>
  <c r="K169" i="86"/>
  <c r="K170" i="86"/>
  <c r="K171" i="86"/>
  <c r="K172" i="86"/>
  <c r="K173" i="86"/>
  <c r="K174" i="86"/>
  <c r="K175" i="86"/>
  <c r="K176" i="86"/>
  <c r="K177" i="86"/>
  <c r="K178" i="86"/>
  <c r="K179" i="86"/>
  <c r="K180" i="86"/>
  <c r="K181" i="86"/>
  <c r="K182" i="86"/>
  <c r="K183" i="86"/>
  <c r="K184" i="86"/>
  <c r="K71" i="86"/>
  <c r="K4" i="86"/>
  <c r="K5" i="86"/>
  <c r="K6" i="86"/>
  <c r="K7" i="86"/>
  <c r="K8" i="86"/>
  <c r="K9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7" i="86"/>
  <c r="K28" i="86"/>
  <c r="K29" i="86"/>
  <c r="K30" i="86"/>
  <c r="K31" i="86"/>
  <c r="K32" i="86"/>
  <c r="K33" i="86"/>
  <c r="K34" i="86"/>
  <c r="K35" i="86"/>
  <c r="K36" i="86"/>
  <c r="K15" i="89" s="1"/>
  <c r="K37" i="86"/>
  <c r="K38" i="86"/>
  <c r="K39" i="86"/>
  <c r="K40" i="86"/>
  <c r="K41" i="86"/>
  <c r="K42" i="86"/>
  <c r="K43" i="86"/>
  <c r="K44" i="86"/>
  <c r="K45" i="86"/>
  <c r="K46" i="86"/>
  <c r="K47" i="86"/>
  <c r="K48" i="86"/>
  <c r="K49" i="86"/>
  <c r="K50" i="86"/>
  <c r="K51" i="86"/>
  <c r="K52" i="86"/>
  <c r="K54" i="86"/>
  <c r="K55" i="86"/>
  <c r="K61" i="86"/>
  <c r="K62" i="86"/>
  <c r="K63" i="86"/>
  <c r="K64" i="86"/>
  <c r="K65" i="86"/>
  <c r="K67" i="86"/>
  <c r="K68" i="86"/>
  <c r="K69" i="86"/>
  <c r="K70" i="86"/>
  <c r="K3" i="86"/>
  <c r="J190" i="86"/>
  <c r="I77" i="89" s="1"/>
  <c r="J189" i="86"/>
  <c r="I76" i="89" s="1"/>
  <c r="J72" i="86"/>
  <c r="J75" i="86"/>
  <c r="I52" i="89" s="1"/>
  <c r="J76" i="86"/>
  <c r="J77" i="86"/>
  <c r="J78" i="86"/>
  <c r="J79" i="86"/>
  <c r="J80" i="86"/>
  <c r="J81" i="86"/>
  <c r="J82" i="86"/>
  <c r="J83" i="86"/>
  <c r="J85" i="86"/>
  <c r="J86" i="86"/>
  <c r="J87" i="86"/>
  <c r="J88" i="86"/>
  <c r="J89" i="86"/>
  <c r="J90" i="86"/>
  <c r="J91" i="86"/>
  <c r="J92" i="86"/>
  <c r="J93" i="86"/>
  <c r="J94" i="86"/>
  <c r="J95" i="86"/>
  <c r="J96" i="86"/>
  <c r="J97" i="86"/>
  <c r="J98" i="86"/>
  <c r="J99" i="86"/>
  <c r="J100" i="86"/>
  <c r="J101" i="86"/>
  <c r="J102" i="86"/>
  <c r="J103" i="86"/>
  <c r="J104" i="86"/>
  <c r="J105" i="86"/>
  <c r="J108" i="86"/>
  <c r="J109" i="86"/>
  <c r="J110" i="86"/>
  <c r="J123" i="86"/>
  <c r="J127" i="86"/>
  <c r="J128" i="86"/>
  <c r="J129" i="86"/>
  <c r="J130" i="86"/>
  <c r="I39" i="89" s="1"/>
  <c r="J131" i="86"/>
  <c r="J132" i="86"/>
  <c r="J133" i="86"/>
  <c r="J134" i="86"/>
  <c r="J135" i="86"/>
  <c r="J136" i="86"/>
  <c r="J137" i="86"/>
  <c r="J138" i="86"/>
  <c r="J139" i="86"/>
  <c r="J140" i="86"/>
  <c r="J141" i="86"/>
  <c r="J142" i="86"/>
  <c r="J143" i="86"/>
  <c r="J144" i="86"/>
  <c r="J145" i="86"/>
  <c r="J146" i="86"/>
  <c r="I69" i="89" s="1"/>
  <c r="J147" i="86"/>
  <c r="J150" i="86"/>
  <c r="J152" i="86"/>
  <c r="J153" i="86"/>
  <c r="J154" i="86"/>
  <c r="J155" i="86"/>
  <c r="J156" i="86"/>
  <c r="J157" i="86"/>
  <c r="J158" i="86"/>
  <c r="J159" i="86"/>
  <c r="J160" i="86"/>
  <c r="J161" i="86"/>
  <c r="J162" i="86"/>
  <c r="J163" i="86"/>
  <c r="J164" i="86"/>
  <c r="J165" i="86"/>
  <c r="J166" i="86"/>
  <c r="J168" i="86"/>
  <c r="J169" i="86"/>
  <c r="J170" i="86"/>
  <c r="J171" i="86"/>
  <c r="J172" i="86"/>
  <c r="J173" i="86"/>
  <c r="J174" i="86"/>
  <c r="J175" i="86"/>
  <c r="J176" i="86"/>
  <c r="J177" i="86"/>
  <c r="J178" i="86"/>
  <c r="J179" i="86"/>
  <c r="J180" i="86"/>
  <c r="J181" i="86"/>
  <c r="J182" i="86"/>
  <c r="J183" i="86"/>
  <c r="J184" i="86"/>
  <c r="J71" i="86"/>
  <c r="J4" i="86"/>
  <c r="J5" i="86"/>
  <c r="J6" i="86"/>
  <c r="J7" i="86"/>
  <c r="J8" i="86"/>
  <c r="J9" i="86"/>
  <c r="J11" i="86"/>
  <c r="J12" i="86"/>
  <c r="J13" i="86"/>
  <c r="J14" i="86"/>
  <c r="J15" i="86"/>
  <c r="J16" i="86"/>
  <c r="J17" i="86"/>
  <c r="J18" i="86"/>
  <c r="J19" i="86"/>
  <c r="J20" i="86"/>
  <c r="J21" i="86"/>
  <c r="J22" i="86"/>
  <c r="J23" i="86"/>
  <c r="J24" i="86"/>
  <c r="J25" i="86"/>
  <c r="J27" i="86"/>
  <c r="J28" i="86"/>
  <c r="J29" i="86"/>
  <c r="J30" i="86"/>
  <c r="J31" i="86"/>
  <c r="J32" i="86"/>
  <c r="J33" i="86"/>
  <c r="J34" i="86"/>
  <c r="J35" i="86"/>
  <c r="J36" i="86"/>
  <c r="I15" i="89" s="1"/>
  <c r="J37" i="86"/>
  <c r="J38" i="86"/>
  <c r="J39" i="86"/>
  <c r="J40" i="86"/>
  <c r="J41" i="86"/>
  <c r="J42" i="86"/>
  <c r="J43" i="86"/>
  <c r="J44" i="86"/>
  <c r="J45" i="86"/>
  <c r="J46" i="86"/>
  <c r="J47" i="86"/>
  <c r="J48" i="86"/>
  <c r="J49" i="86"/>
  <c r="J50" i="86"/>
  <c r="J51" i="86"/>
  <c r="J52" i="86"/>
  <c r="J54" i="86"/>
  <c r="J55" i="86"/>
  <c r="J61" i="86"/>
  <c r="J62" i="86"/>
  <c r="J63" i="86"/>
  <c r="J64" i="86"/>
  <c r="J65" i="86"/>
  <c r="J67" i="86"/>
  <c r="J68" i="86"/>
  <c r="J69" i="86"/>
  <c r="J70" i="86"/>
  <c r="J3" i="86"/>
  <c r="BP12" i="82"/>
  <c r="G122" i="3"/>
  <c r="H122" i="3"/>
  <c r="I122" i="3"/>
  <c r="J122" i="3"/>
  <c r="K122" i="3"/>
  <c r="L122" i="3"/>
  <c r="M122" i="3"/>
  <c r="N122" i="3"/>
  <c r="O122" i="3"/>
  <c r="H12" i="3"/>
  <c r="I12" i="3"/>
  <c r="J12" i="3"/>
  <c r="K12" i="3"/>
  <c r="L12" i="3"/>
  <c r="M12" i="3"/>
  <c r="N12" i="3"/>
  <c r="O12" i="3"/>
  <c r="G101" i="3"/>
  <c r="H101" i="3"/>
  <c r="I101" i="3"/>
  <c r="J101" i="3"/>
  <c r="K101" i="3"/>
  <c r="L101" i="3"/>
  <c r="M101" i="3"/>
  <c r="N101" i="3"/>
  <c r="O101" i="3"/>
  <c r="O147" i="3"/>
  <c r="O146" i="3"/>
  <c r="O145" i="3"/>
  <c r="O144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00" i="3"/>
  <c r="O125" i="3"/>
  <c r="O92" i="3"/>
  <c r="O74" i="3"/>
  <c r="O129" i="3"/>
  <c r="O128" i="3"/>
  <c r="O127" i="3"/>
  <c r="O126" i="3"/>
  <c r="O124" i="3"/>
  <c r="O123" i="3"/>
  <c r="O121" i="3"/>
  <c r="O120" i="3"/>
  <c r="O119" i="3"/>
  <c r="O118" i="3"/>
  <c r="O117" i="3"/>
  <c r="O116" i="3"/>
  <c r="O115" i="3"/>
  <c r="O114" i="3"/>
  <c r="O113" i="3"/>
  <c r="O112" i="3"/>
  <c r="O111" i="3"/>
  <c r="O109" i="3"/>
  <c r="O108" i="3"/>
  <c r="O107" i="3"/>
  <c r="O106" i="3"/>
  <c r="O105" i="3"/>
  <c r="O104" i="3"/>
  <c r="O103" i="3"/>
  <c r="O102" i="3"/>
  <c r="O99" i="3"/>
  <c r="O98" i="3"/>
  <c r="O96" i="3"/>
  <c r="O95" i="3"/>
  <c r="O94" i="3"/>
  <c r="O93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4" i="3"/>
  <c r="O13" i="3"/>
  <c r="O11" i="3"/>
  <c r="O10" i="3"/>
  <c r="O8" i="3"/>
  <c r="O7" i="3"/>
  <c r="O6" i="3"/>
  <c r="O5" i="3"/>
  <c r="O4" i="3"/>
  <c r="O3" i="3"/>
  <c r="N57" i="3"/>
  <c r="G89" i="3"/>
  <c r="H89" i="3"/>
  <c r="I89" i="3"/>
  <c r="J89" i="3"/>
  <c r="K89" i="3"/>
  <c r="L89" i="3"/>
  <c r="M89" i="3"/>
  <c r="N89" i="3"/>
  <c r="N147" i="3"/>
  <c r="N146" i="3"/>
  <c r="N145" i="3"/>
  <c r="N144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00" i="3"/>
  <c r="N125" i="3"/>
  <c r="N92" i="3"/>
  <c r="N74" i="3"/>
  <c r="N129" i="3"/>
  <c r="N128" i="3"/>
  <c r="N127" i="3"/>
  <c r="N126" i="3"/>
  <c r="N124" i="3"/>
  <c r="N123" i="3"/>
  <c r="N121" i="3"/>
  <c r="N120" i="3"/>
  <c r="N119" i="3"/>
  <c r="N118" i="3"/>
  <c r="N117" i="3"/>
  <c r="N116" i="3"/>
  <c r="N115" i="3"/>
  <c r="N114" i="3"/>
  <c r="N113" i="3"/>
  <c r="N112" i="3"/>
  <c r="N111" i="3"/>
  <c r="N109" i="3"/>
  <c r="N108" i="3"/>
  <c r="N107" i="3"/>
  <c r="N106" i="3"/>
  <c r="N105" i="3"/>
  <c r="N104" i="3"/>
  <c r="N103" i="3"/>
  <c r="N102" i="3"/>
  <c r="N99" i="3"/>
  <c r="N98" i="3"/>
  <c r="N96" i="3"/>
  <c r="N95" i="3"/>
  <c r="N94" i="3"/>
  <c r="N93" i="3"/>
  <c r="N91" i="3"/>
  <c r="N90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4" i="3"/>
  <c r="N13" i="3"/>
  <c r="N11" i="3"/>
  <c r="N10" i="3"/>
  <c r="N8" i="3"/>
  <c r="N7" i="3"/>
  <c r="N6" i="3"/>
  <c r="N5" i="3"/>
  <c r="N4" i="3"/>
  <c r="N3" i="3"/>
  <c r="G119" i="3"/>
  <c r="H119" i="3"/>
  <c r="I119" i="3"/>
  <c r="J119" i="3"/>
  <c r="K119" i="3"/>
  <c r="L119" i="3"/>
  <c r="M119" i="3"/>
  <c r="M147" i="3"/>
  <c r="M146" i="3"/>
  <c r="M145" i="3"/>
  <c r="M144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00" i="3"/>
  <c r="M125" i="3"/>
  <c r="M92" i="3"/>
  <c r="M74" i="3"/>
  <c r="M129" i="3"/>
  <c r="M128" i="3"/>
  <c r="M127" i="3"/>
  <c r="M126" i="3"/>
  <c r="M124" i="3"/>
  <c r="M123" i="3"/>
  <c r="M121" i="3"/>
  <c r="M120" i="3"/>
  <c r="M118" i="3"/>
  <c r="M117" i="3"/>
  <c r="M116" i="3"/>
  <c r="M115" i="3"/>
  <c r="M114" i="3"/>
  <c r="M113" i="3"/>
  <c r="M112" i="3"/>
  <c r="M111" i="3"/>
  <c r="M109" i="3"/>
  <c r="M108" i="3"/>
  <c r="M107" i="3"/>
  <c r="M106" i="3"/>
  <c r="M105" i="3"/>
  <c r="M104" i="3"/>
  <c r="M103" i="3"/>
  <c r="M102" i="3"/>
  <c r="M99" i="3"/>
  <c r="M98" i="3"/>
  <c r="M96" i="3"/>
  <c r="M95" i="3"/>
  <c r="M94" i="3"/>
  <c r="M93" i="3"/>
  <c r="M91" i="3"/>
  <c r="M90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4" i="3"/>
  <c r="M13" i="3"/>
  <c r="M11" i="3"/>
  <c r="M10" i="3"/>
  <c r="M8" i="3"/>
  <c r="M7" i="3"/>
  <c r="M6" i="3"/>
  <c r="M5" i="3"/>
  <c r="M4" i="3"/>
  <c r="M3" i="3"/>
  <c r="L147" i="3"/>
  <c r="L146" i="3"/>
  <c r="L145" i="3"/>
  <c r="L144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00" i="3"/>
  <c r="L125" i="3"/>
  <c r="L92" i="3"/>
  <c r="L74" i="3"/>
  <c r="L129" i="3"/>
  <c r="L128" i="3"/>
  <c r="L127" i="3"/>
  <c r="L126" i="3"/>
  <c r="L124" i="3"/>
  <c r="L123" i="3"/>
  <c r="L121" i="3"/>
  <c r="L120" i="3"/>
  <c r="L118" i="3"/>
  <c r="L117" i="3"/>
  <c r="L116" i="3"/>
  <c r="L115" i="3"/>
  <c r="L114" i="3"/>
  <c r="L113" i="3"/>
  <c r="L112" i="3"/>
  <c r="L111" i="3"/>
  <c r="L109" i="3"/>
  <c r="L108" i="3"/>
  <c r="L107" i="3"/>
  <c r="L106" i="3"/>
  <c r="L105" i="3"/>
  <c r="L104" i="3"/>
  <c r="L103" i="3"/>
  <c r="L102" i="3"/>
  <c r="L99" i="3"/>
  <c r="L98" i="3"/>
  <c r="L96" i="3"/>
  <c r="L95" i="3"/>
  <c r="L94" i="3"/>
  <c r="L93" i="3"/>
  <c r="L91" i="3"/>
  <c r="L90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4" i="3"/>
  <c r="L13" i="3"/>
  <c r="L11" i="3"/>
  <c r="L10" i="3"/>
  <c r="L8" i="3"/>
  <c r="L7" i="3"/>
  <c r="L6" i="3"/>
  <c r="L5" i="3"/>
  <c r="L4" i="3"/>
  <c r="L3" i="3"/>
  <c r="G30" i="3"/>
  <c r="H30" i="3"/>
  <c r="I30" i="3"/>
  <c r="J30" i="3"/>
  <c r="K30" i="3"/>
  <c r="G51" i="3"/>
  <c r="H51" i="3"/>
  <c r="I51" i="3"/>
  <c r="J51" i="3"/>
  <c r="K51" i="3"/>
  <c r="G38" i="3"/>
  <c r="H38" i="3"/>
  <c r="I38" i="3"/>
  <c r="J38" i="3"/>
  <c r="K38" i="3"/>
  <c r="G66" i="3"/>
  <c r="H66" i="3"/>
  <c r="I66" i="3"/>
  <c r="J66" i="3"/>
  <c r="K66" i="3"/>
  <c r="K147" i="3"/>
  <c r="K146" i="3"/>
  <c r="K145" i="3"/>
  <c r="K144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00" i="3"/>
  <c r="K125" i="3"/>
  <c r="K92" i="3"/>
  <c r="K74" i="3"/>
  <c r="K129" i="3"/>
  <c r="K128" i="3"/>
  <c r="K36" i="78" s="1"/>
  <c r="K127" i="3"/>
  <c r="K126" i="3"/>
  <c r="K124" i="3"/>
  <c r="K123" i="3"/>
  <c r="K121" i="3"/>
  <c r="K120" i="3"/>
  <c r="K118" i="3"/>
  <c r="K117" i="3"/>
  <c r="K116" i="3"/>
  <c r="K115" i="3"/>
  <c r="K114" i="3"/>
  <c r="K113" i="3"/>
  <c r="K112" i="3"/>
  <c r="K111" i="3"/>
  <c r="K109" i="3"/>
  <c r="K108" i="3"/>
  <c r="K107" i="3"/>
  <c r="K106" i="3"/>
  <c r="K105" i="3"/>
  <c r="K104" i="3"/>
  <c r="K103" i="3"/>
  <c r="K102" i="3"/>
  <c r="K99" i="3"/>
  <c r="K98" i="3"/>
  <c r="K96" i="3"/>
  <c r="K95" i="3"/>
  <c r="K94" i="3"/>
  <c r="K93" i="3"/>
  <c r="K91" i="3"/>
  <c r="K90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3" i="3"/>
  <c r="K72" i="3"/>
  <c r="K71" i="3"/>
  <c r="K70" i="3"/>
  <c r="K69" i="3"/>
  <c r="K68" i="3"/>
  <c r="K67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0" i="3"/>
  <c r="K49" i="3"/>
  <c r="K48" i="3"/>
  <c r="K47" i="3"/>
  <c r="K46" i="3"/>
  <c r="K45" i="3"/>
  <c r="K44" i="3"/>
  <c r="K43" i="3"/>
  <c r="K42" i="3"/>
  <c r="K41" i="3"/>
  <c r="K40" i="3"/>
  <c r="K25" i="78" s="1"/>
  <c r="K39" i="3"/>
  <c r="K37" i="3"/>
  <c r="K36" i="3"/>
  <c r="K35" i="3"/>
  <c r="K34" i="3"/>
  <c r="K33" i="3"/>
  <c r="K32" i="3"/>
  <c r="K31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4" i="3"/>
  <c r="K13" i="3"/>
  <c r="K11" i="3"/>
  <c r="K10" i="3"/>
  <c r="K22" i="78" s="1"/>
  <c r="K8" i="3"/>
  <c r="K7" i="3"/>
  <c r="K6" i="3"/>
  <c r="K5" i="3"/>
  <c r="K4" i="3"/>
  <c r="K3" i="3"/>
  <c r="B187" i="75"/>
  <c r="G187" i="75"/>
  <c r="H187" i="75"/>
  <c r="I187" i="75"/>
  <c r="J187" i="75"/>
  <c r="K187" i="75"/>
  <c r="L187" i="75"/>
  <c r="M187" i="75"/>
  <c r="N187" i="75"/>
  <c r="O187" i="75"/>
  <c r="B36" i="75"/>
  <c r="G36" i="75"/>
  <c r="H36" i="75"/>
  <c r="I36" i="75"/>
  <c r="J36" i="75"/>
  <c r="K36" i="75"/>
  <c r="L36" i="75"/>
  <c r="M36" i="75"/>
  <c r="N36" i="75"/>
  <c r="O36" i="75"/>
  <c r="B48" i="75"/>
  <c r="G48" i="75"/>
  <c r="H48" i="75"/>
  <c r="I48" i="75"/>
  <c r="J48" i="75"/>
  <c r="K48" i="75"/>
  <c r="L48" i="75"/>
  <c r="M48" i="75"/>
  <c r="N48" i="75"/>
  <c r="O48" i="75"/>
  <c r="B43" i="75"/>
  <c r="G43" i="75"/>
  <c r="H43" i="75"/>
  <c r="I43" i="75"/>
  <c r="J43" i="75"/>
  <c r="K43" i="75"/>
  <c r="L43" i="75"/>
  <c r="M43" i="75"/>
  <c r="N43" i="75"/>
  <c r="O43" i="75"/>
  <c r="B124" i="75"/>
  <c r="B123" i="75"/>
  <c r="G124" i="75"/>
  <c r="H124" i="75"/>
  <c r="I124" i="75"/>
  <c r="J124" i="75"/>
  <c r="K124" i="75"/>
  <c r="L124" i="75"/>
  <c r="M124" i="75"/>
  <c r="N124" i="75"/>
  <c r="O124" i="75"/>
  <c r="B68" i="75"/>
  <c r="G68" i="75"/>
  <c r="H68" i="75"/>
  <c r="I68" i="75"/>
  <c r="J68" i="75"/>
  <c r="K68" i="75"/>
  <c r="L68" i="75"/>
  <c r="M68" i="75"/>
  <c r="N68" i="75"/>
  <c r="O68" i="75"/>
  <c r="B81" i="75"/>
  <c r="G81" i="75"/>
  <c r="H81" i="75"/>
  <c r="I81" i="75"/>
  <c r="J81" i="75"/>
  <c r="K81" i="75"/>
  <c r="L81" i="75"/>
  <c r="M81" i="75"/>
  <c r="N81" i="75"/>
  <c r="O81" i="75"/>
  <c r="B90" i="75"/>
  <c r="G90" i="75"/>
  <c r="H90" i="75"/>
  <c r="I90" i="75"/>
  <c r="J90" i="75"/>
  <c r="K90" i="75"/>
  <c r="L90" i="75"/>
  <c r="M90" i="75"/>
  <c r="N90" i="75"/>
  <c r="O90" i="75"/>
  <c r="B51" i="75"/>
  <c r="G51" i="75"/>
  <c r="H51" i="75"/>
  <c r="I51" i="75"/>
  <c r="J51" i="75"/>
  <c r="K51" i="75"/>
  <c r="L51" i="75"/>
  <c r="M51" i="75"/>
  <c r="N51" i="75"/>
  <c r="O51" i="75"/>
  <c r="B10" i="75"/>
  <c r="G10" i="75"/>
  <c r="H10" i="75"/>
  <c r="I10" i="75"/>
  <c r="J10" i="75"/>
  <c r="K10" i="75"/>
  <c r="L10" i="75"/>
  <c r="M10" i="75"/>
  <c r="N10" i="75"/>
  <c r="O10" i="75"/>
  <c r="B85" i="75"/>
  <c r="G85" i="75"/>
  <c r="H85" i="75"/>
  <c r="I85" i="75"/>
  <c r="J85" i="75"/>
  <c r="K85" i="75"/>
  <c r="L85" i="75"/>
  <c r="M85" i="75"/>
  <c r="N85" i="75"/>
  <c r="O85" i="75"/>
  <c r="K122" i="75"/>
  <c r="B205" i="75"/>
  <c r="G205" i="75"/>
  <c r="H205" i="75"/>
  <c r="I205" i="75"/>
  <c r="J205" i="75"/>
  <c r="K205" i="75"/>
  <c r="L205" i="75"/>
  <c r="M205" i="75"/>
  <c r="N205" i="75"/>
  <c r="O205" i="75"/>
  <c r="B184" i="75"/>
  <c r="G184" i="75"/>
  <c r="H184" i="75"/>
  <c r="I184" i="75"/>
  <c r="J184" i="75"/>
  <c r="K184" i="75"/>
  <c r="L184" i="75"/>
  <c r="M184" i="75"/>
  <c r="N184" i="75"/>
  <c r="O184" i="75"/>
  <c r="B65" i="75"/>
  <c r="G65" i="75"/>
  <c r="H65" i="75"/>
  <c r="I65" i="75"/>
  <c r="J65" i="75"/>
  <c r="K65" i="75"/>
  <c r="L65" i="75"/>
  <c r="M65" i="75"/>
  <c r="N65" i="75"/>
  <c r="O65" i="75"/>
  <c r="J246" i="75"/>
  <c r="I77" i="78" s="1"/>
  <c r="J3" i="75"/>
  <c r="I4" i="78" s="1"/>
  <c r="H4" i="75"/>
  <c r="H6" i="75"/>
  <c r="H7" i="75"/>
  <c r="H8" i="75"/>
  <c r="H9" i="75"/>
  <c r="H12" i="75"/>
  <c r="H13" i="75"/>
  <c r="H14" i="75"/>
  <c r="H15" i="75"/>
  <c r="H16" i="75"/>
  <c r="H17" i="75"/>
  <c r="H18" i="75"/>
  <c r="H19" i="75"/>
  <c r="H20" i="75"/>
  <c r="H21" i="75"/>
  <c r="H22" i="75"/>
  <c r="H23" i="75"/>
  <c r="H24" i="75"/>
  <c r="H25" i="75"/>
  <c r="H26" i="75"/>
  <c r="H27" i="75"/>
  <c r="H28" i="75"/>
  <c r="H30" i="75"/>
  <c r="H31" i="75"/>
  <c r="H32" i="75"/>
  <c r="H33" i="75"/>
  <c r="H34" i="75"/>
  <c r="H38" i="75"/>
  <c r="H40" i="75"/>
  <c r="H41" i="75"/>
  <c r="H42" i="75"/>
  <c r="H44" i="75"/>
  <c r="H45" i="75"/>
  <c r="H46" i="75"/>
  <c r="H47" i="75"/>
  <c r="H49" i="75"/>
  <c r="H50" i="75"/>
  <c r="H52" i="75"/>
  <c r="H53" i="75"/>
  <c r="H54" i="75"/>
  <c r="H55" i="75"/>
  <c r="H56" i="75"/>
  <c r="H57" i="75"/>
  <c r="H58" i="75"/>
  <c r="H61" i="75"/>
  <c r="H63" i="75"/>
  <c r="H82" i="75"/>
  <c r="H83" i="75"/>
  <c r="H84" i="75"/>
  <c r="H87" i="75"/>
  <c r="H88" i="75"/>
  <c r="H92" i="75"/>
  <c r="H93" i="75"/>
  <c r="H94" i="75"/>
  <c r="H123" i="75"/>
  <c r="H125" i="75"/>
  <c r="H126" i="75"/>
  <c r="H127" i="75"/>
  <c r="H128" i="75"/>
  <c r="H129" i="75"/>
  <c r="H130" i="75"/>
  <c r="H131" i="75"/>
  <c r="H132" i="75"/>
  <c r="H133" i="75"/>
  <c r="H134" i="75"/>
  <c r="H135" i="75"/>
  <c r="H136" i="75"/>
  <c r="H137" i="75"/>
  <c r="H138" i="75"/>
  <c r="H139" i="75"/>
  <c r="H140" i="75"/>
  <c r="H141" i="75"/>
  <c r="H142" i="75"/>
  <c r="H143" i="75"/>
  <c r="H144" i="75"/>
  <c r="H145" i="75"/>
  <c r="H146" i="75"/>
  <c r="H147" i="75"/>
  <c r="H148" i="75"/>
  <c r="H149" i="75"/>
  <c r="H150" i="75"/>
  <c r="H151" i="75"/>
  <c r="H152" i="75"/>
  <c r="H153" i="75"/>
  <c r="H154" i="75"/>
  <c r="H155" i="75"/>
  <c r="H156" i="75"/>
  <c r="H157" i="75"/>
  <c r="H158" i="75"/>
  <c r="H171" i="75"/>
  <c r="H176" i="75"/>
  <c r="H177" i="75"/>
  <c r="H178" i="75"/>
  <c r="H179" i="75"/>
  <c r="H180" i="75"/>
  <c r="H181" i="75"/>
  <c r="H182" i="75"/>
  <c r="H183" i="75"/>
  <c r="H185" i="75"/>
  <c r="H186" i="75"/>
  <c r="H188" i="75"/>
  <c r="H189" i="75"/>
  <c r="H190" i="75"/>
  <c r="H191" i="75"/>
  <c r="H192" i="75"/>
  <c r="H193" i="75"/>
  <c r="H197" i="75"/>
  <c r="H198" i="75"/>
  <c r="H199" i="75"/>
  <c r="H200" i="75"/>
  <c r="H201" i="75"/>
  <c r="H204" i="75"/>
  <c r="H206" i="75"/>
  <c r="H208" i="75"/>
  <c r="H209" i="75"/>
  <c r="H210" i="75"/>
  <c r="H211" i="75"/>
  <c r="H212" i="75"/>
  <c r="H213" i="75"/>
  <c r="H214" i="75"/>
  <c r="H215" i="75"/>
  <c r="H216" i="75"/>
  <c r="H217" i="75"/>
  <c r="H218" i="75"/>
  <c r="H219" i="75"/>
  <c r="H220" i="75"/>
  <c r="H221" i="75"/>
  <c r="H222" i="75"/>
  <c r="H223" i="75"/>
  <c r="H224" i="75"/>
  <c r="H226" i="75"/>
  <c r="H227" i="75"/>
  <c r="H228" i="75"/>
  <c r="H229" i="75"/>
  <c r="H230" i="75"/>
  <c r="H231" i="75"/>
  <c r="H232" i="75"/>
  <c r="H233" i="75"/>
  <c r="H234" i="75"/>
  <c r="H235" i="75"/>
  <c r="H236" i="75"/>
  <c r="H237" i="75"/>
  <c r="H238" i="75"/>
  <c r="H239" i="75"/>
  <c r="H240" i="75"/>
  <c r="H246" i="75"/>
  <c r="H247" i="75" s="1"/>
  <c r="BE59" i="90" l="1"/>
  <c r="BE66" i="90"/>
  <c r="AT5" i="90"/>
  <c r="AM8" i="90"/>
  <c r="BH6" i="90"/>
  <c r="BH9" i="90"/>
  <c r="AF5" i="90"/>
  <c r="BA5" i="90"/>
  <c r="Y8" i="90"/>
  <c r="E8" i="78"/>
  <c r="E6" i="78"/>
  <c r="E9" i="78"/>
  <c r="E5" i="78"/>
  <c r="E7" i="78"/>
  <c r="I7" i="90"/>
  <c r="AM24" i="90"/>
  <c r="BA7" i="90"/>
  <c r="AT6" i="90"/>
  <c r="BA9" i="90"/>
  <c r="BH24" i="90"/>
  <c r="Q4" i="89"/>
  <c r="BA4" i="90"/>
  <c r="BH7" i="90"/>
  <c r="I4" i="89"/>
  <c r="Y4" i="90"/>
  <c r="AT7" i="90"/>
  <c r="BH8" i="90"/>
  <c r="BA6" i="90"/>
  <c r="K4" i="89"/>
  <c r="AF4" i="90"/>
  <c r="AT24" i="90"/>
  <c r="AT9" i="90"/>
  <c r="BA24" i="90"/>
  <c r="Y9" i="90"/>
  <c r="Y5" i="90"/>
  <c r="AF8" i="90"/>
  <c r="AM5" i="90"/>
  <c r="Y7" i="90"/>
  <c r="AF6" i="90"/>
  <c r="AF24" i="90"/>
  <c r="AM7" i="90"/>
  <c r="AF7" i="90"/>
  <c r="BA8" i="90"/>
  <c r="Y6" i="90"/>
  <c r="Y24" i="90"/>
  <c r="AM6" i="90"/>
  <c r="AM9" i="90"/>
  <c r="AF9" i="90"/>
  <c r="AT8" i="90"/>
  <c r="I6" i="90"/>
  <c r="I9" i="90"/>
  <c r="I5" i="90"/>
  <c r="I8" i="90"/>
  <c r="W4" i="90"/>
  <c r="BH16" i="90"/>
  <c r="BH37" i="90"/>
  <c r="BH14" i="90"/>
  <c r="O191" i="86"/>
  <c r="BH72" i="90"/>
  <c r="K37" i="89"/>
  <c r="BH67" i="90"/>
  <c r="BH65" i="90" s="1"/>
  <c r="BA78" i="90"/>
  <c r="BH21" i="90"/>
  <c r="O193" i="86"/>
  <c r="BH11" i="90"/>
  <c r="O192" i="86"/>
  <c r="AT45" i="90"/>
  <c r="BH35" i="90"/>
  <c r="M192" i="86"/>
  <c r="BH41" i="90"/>
  <c r="BH63" i="90"/>
  <c r="BH64" i="90"/>
  <c r="BH45" i="90"/>
  <c r="BH12" i="90"/>
  <c r="AJ60" i="90"/>
  <c r="AX70" i="90"/>
  <c r="BZ13" i="90"/>
  <c r="AX71" i="90"/>
  <c r="S39" i="89"/>
  <c r="BH39" i="90"/>
  <c r="BH38" i="90"/>
  <c r="BH56" i="90"/>
  <c r="BH51" i="90"/>
  <c r="AJ71" i="90"/>
  <c r="O76" i="89"/>
  <c r="O78" i="89" s="1"/>
  <c r="AT76" i="90"/>
  <c r="AT78" i="90" s="1"/>
  <c r="BH61" i="90"/>
  <c r="BH54" i="90"/>
  <c r="Q76" i="89"/>
  <c r="BH44" i="90"/>
  <c r="BH55" i="90"/>
  <c r="BH40" i="90"/>
  <c r="Y76" i="90"/>
  <c r="AM76" i="90"/>
  <c r="M76" i="89"/>
  <c r="N191" i="86"/>
  <c r="Q77" i="89"/>
  <c r="BH58" i="90"/>
  <c r="Y77" i="90"/>
  <c r="AX60" i="90"/>
  <c r="M77" i="89"/>
  <c r="AM77" i="90"/>
  <c r="BH76" i="90"/>
  <c r="BJ76" i="90" s="1"/>
  <c r="S76" i="89"/>
  <c r="BH34" i="90"/>
  <c r="AX66" i="90"/>
  <c r="BL71" i="90"/>
  <c r="BH77" i="90"/>
  <c r="S77" i="89"/>
  <c r="S69" i="89"/>
  <c r="BH69" i="90"/>
  <c r="I78" i="89"/>
  <c r="W77" i="90"/>
  <c r="Y13" i="78"/>
  <c r="CA68" i="90"/>
  <c r="I37" i="89"/>
  <c r="K16" i="89"/>
  <c r="BH33" i="90"/>
  <c r="BH30" i="90"/>
  <c r="BH53" i="90"/>
  <c r="BH29" i="90"/>
  <c r="BH26" i="90"/>
  <c r="BH32" i="90"/>
  <c r="BH27" i="90"/>
  <c r="BH28" i="90"/>
  <c r="BH31" i="90"/>
  <c r="K37" i="78"/>
  <c r="K28" i="78"/>
  <c r="K33" i="78"/>
  <c r="K34" i="78"/>
  <c r="M36" i="78"/>
  <c r="AK36" i="90"/>
  <c r="K26" i="78"/>
  <c r="K35" i="78"/>
  <c r="AR35" i="90"/>
  <c r="O35" i="78"/>
  <c r="AY27" i="90"/>
  <c r="Q27" i="78"/>
  <c r="Q30" i="78"/>
  <c r="AY30" i="90"/>
  <c r="AY36" i="90"/>
  <c r="Q36" i="78"/>
  <c r="Q37" i="78"/>
  <c r="AY37" i="90"/>
  <c r="BF27" i="90"/>
  <c r="S27" i="78"/>
  <c r="BF30" i="90"/>
  <c r="S30" i="78"/>
  <c r="AK27" i="90"/>
  <c r="M27" i="78"/>
  <c r="AK30" i="90"/>
  <c r="M30" i="78"/>
  <c r="M37" i="78"/>
  <c r="AK37" i="90"/>
  <c r="Q31" i="78"/>
  <c r="AY31" i="90"/>
  <c r="BF36" i="90"/>
  <c r="S36" i="78"/>
  <c r="O36" i="78"/>
  <c r="AR36" i="90"/>
  <c r="BF22" i="90"/>
  <c r="S22" i="78"/>
  <c r="K30" i="78"/>
  <c r="M22" i="78"/>
  <c r="AK22" i="90"/>
  <c r="M31" i="78"/>
  <c r="AK31" i="90"/>
  <c r="AR27" i="90"/>
  <c r="O27" i="78"/>
  <c r="O30" i="78"/>
  <c r="AR30" i="90"/>
  <c r="O37" i="78"/>
  <c r="AR37" i="90"/>
  <c r="BF28" i="90"/>
  <c r="S28" i="78"/>
  <c r="Q28" i="78"/>
  <c r="AY28" i="90"/>
  <c r="BF37" i="90"/>
  <c r="S37" i="78"/>
  <c r="K31" i="78"/>
  <c r="O22" i="78"/>
  <c r="AR22" i="90"/>
  <c r="AR31" i="90"/>
  <c r="O31" i="78"/>
  <c r="Q25" i="78"/>
  <c r="AY25" i="90"/>
  <c r="Q34" i="78"/>
  <c r="AY34" i="90"/>
  <c r="BF25" i="90"/>
  <c r="S25" i="78"/>
  <c r="BF29" i="90"/>
  <c r="S29" i="78"/>
  <c r="O33" i="78"/>
  <c r="AR33" i="90"/>
  <c r="M25" i="78"/>
  <c r="AK25" i="90"/>
  <c r="AK29" i="90"/>
  <c r="M29" i="78"/>
  <c r="M34" i="78"/>
  <c r="AK34" i="90"/>
  <c r="AR28" i="90"/>
  <c r="O28" i="78"/>
  <c r="Q26" i="78"/>
  <c r="AY26" i="90"/>
  <c r="BF26" i="90"/>
  <c r="S26" i="78"/>
  <c r="Q22" i="78"/>
  <c r="AY22" i="90"/>
  <c r="K27" i="78"/>
  <c r="AK26" i="90"/>
  <c r="M26" i="78"/>
  <c r="BF34" i="90"/>
  <c r="S34" i="78"/>
  <c r="AK28" i="90"/>
  <c r="M28" i="78"/>
  <c r="O25" i="78"/>
  <c r="AR25" i="90"/>
  <c r="AR29" i="90"/>
  <c r="O29" i="78"/>
  <c r="O34" i="78"/>
  <c r="AR34" i="90"/>
  <c r="Q33" i="78"/>
  <c r="AY33" i="90"/>
  <c r="AY35" i="90"/>
  <c r="Q35" i="78"/>
  <c r="BF31" i="90"/>
  <c r="S31" i="78"/>
  <c r="K29" i="78"/>
  <c r="M35" i="78"/>
  <c r="AK35" i="90"/>
  <c r="AR26" i="90"/>
  <c r="O26" i="78"/>
  <c r="Q29" i="78"/>
  <c r="AY29" i="90"/>
  <c r="M33" i="78"/>
  <c r="AK33" i="90"/>
  <c r="BF33" i="90"/>
  <c r="S33" i="78"/>
  <c r="BF35" i="90"/>
  <c r="S35" i="78"/>
  <c r="BT68" i="90"/>
  <c r="BM68" i="90"/>
  <c r="K77" i="89"/>
  <c r="AF77" i="90"/>
  <c r="K191" i="86"/>
  <c r="K76" i="89"/>
  <c r="AF76" i="90"/>
  <c r="K29" i="89"/>
  <c r="Q72" i="89"/>
  <c r="K35" i="89"/>
  <c r="I53" i="89"/>
  <c r="K30" i="89"/>
  <c r="K53" i="89"/>
  <c r="I27" i="89"/>
  <c r="O25" i="89"/>
  <c r="AT25" i="90"/>
  <c r="AT35" i="90"/>
  <c r="O35" i="89"/>
  <c r="Q30" i="89"/>
  <c r="BA30" i="90"/>
  <c r="I16" i="89"/>
  <c r="K26" i="89"/>
  <c r="M28" i="89"/>
  <c r="AM28" i="90"/>
  <c r="O22" i="89"/>
  <c r="AT22" i="90"/>
  <c r="O26" i="89"/>
  <c r="AT26" i="90"/>
  <c r="Q27" i="89"/>
  <c r="BA27" i="90"/>
  <c r="S29" i="89"/>
  <c r="S31" i="89"/>
  <c r="S34" i="89"/>
  <c r="Y28" i="90"/>
  <c r="I28" i="89"/>
  <c r="K33" i="89"/>
  <c r="O33" i="89"/>
  <c r="AT33" i="90"/>
  <c r="S25" i="89"/>
  <c r="S35" i="89"/>
  <c r="M27" i="89"/>
  <c r="AM27" i="90"/>
  <c r="K23" i="89"/>
  <c r="S26" i="89"/>
  <c r="I31" i="89"/>
  <c r="I34" i="89"/>
  <c r="M29" i="89"/>
  <c r="AM29" i="90"/>
  <c r="O37" i="89"/>
  <c r="AT37" i="90"/>
  <c r="S33" i="89"/>
  <c r="Y30" i="90"/>
  <c r="I30" i="89"/>
  <c r="M31" i="89"/>
  <c r="AM31" i="90"/>
  <c r="AT36" i="90"/>
  <c r="O36" i="89"/>
  <c r="S22" i="89"/>
  <c r="Y29" i="90"/>
  <c r="I29" i="89"/>
  <c r="AM25" i="90"/>
  <c r="M25" i="89"/>
  <c r="AM35" i="90"/>
  <c r="M35" i="89"/>
  <c r="O30" i="89"/>
  <c r="AT30" i="90"/>
  <c r="Q31" i="89"/>
  <c r="BA31" i="90"/>
  <c r="BA34" i="90"/>
  <c r="Q34" i="89"/>
  <c r="S36" i="89"/>
  <c r="I32" i="89"/>
  <c r="Y25" i="90"/>
  <c r="I25" i="89"/>
  <c r="I35" i="89"/>
  <c r="K27" i="89"/>
  <c r="M22" i="89"/>
  <c r="AM22" i="90"/>
  <c r="AM26" i="90"/>
  <c r="M26" i="89"/>
  <c r="O27" i="89"/>
  <c r="AT27" i="90"/>
  <c r="Q29" i="89"/>
  <c r="BA29" i="90"/>
  <c r="S37" i="89"/>
  <c r="M34" i="89"/>
  <c r="AM34" i="90"/>
  <c r="BA28" i="90"/>
  <c r="Q28" i="89"/>
  <c r="I23" i="89"/>
  <c r="I26" i="89"/>
  <c r="M33" i="89"/>
  <c r="AM33" i="90"/>
  <c r="Q25" i="89"/>
  <c r="BA25" i="90"/>
  <c r="BA35" i="90"/>
  <c r="Q35" i="89"/>
  <c r="S30" i="89"/>
  <c r="I33" i="89"/>
  <c r="K28" i="89"/>
  <c r="AM36" i="90"/>
  <c r="M36" i="89"/>
  <c r="O28" i="89"/>
  <c r="AT28" i="90"/>
  <c r="Q22" i="89"/>
  <c r="BA22" i="90"/>
  <c r="BA26" i="90"/>
  <c r="Q26" i="89"/>
  <c r="S27" i="89"/>
  <c r="Y22" i="90"/>
  <c r="I22" i="89"/>
  <c r="M37" i="89"/>
  <c r="AM37" i="90"/>
  <c r="BA33" i="90"/>
  <c r="Q33" i="89"/>
  <c r="AT29" i="90"/>
  <c r="O29" i="89"/>
  <c r="BA37" i="90"/>
  <c r="Q37" i="89"/>
  <c r="K32" i="89"/>
  <c r="K31" i="89"/>
  <c r="K34" i="89"/>
  <c r="AM30" i="90"/>
  <c r="M30" i="89"/>
  <c r="AT31" i="90"/>
  <c r="O31" i="89"/>
  <c r="O34" i="89"/>
  <c r="AT34" i="90"/>
  <c r="BA36" i="90"/>
  <c r="Q36" i="89"/>
  <c r="S28" i="89"/>
  <c r="M5" i="89"/>
  <c r="O38" i="89"/>
  <c r="S58" i="89"/>
  <c r="I58" i="89"/>
  <c r="O6" i="89"/>
  <c r="O11" i="89"/>
  <c r="Q6" i="89"/>
  <c r="O56" i="89"/>
  <c r="Q64" i="89"/>
  <c r="Q38" i="89"/>
  <c r="S38" i="89"/>
  <c r="K6" i="89"/>
  <c r="I41" i="89"/>
  <c r="M63" i="89"/>
  <c r="O41" i="89"/>
  <c r="S7" i="89"/>
  <c r="K41" i="89"/>
  <c r="S56" i="89"/>
  <c r="I63" i="89"/>
  <c r="I56" i="89"/>
  <c r="Q67" i="89"/>
  <c r="Q65" i="89" s="1"/>
  <c r="Q54" i="89"/>
  <c r="M55" i="89"/>
  <c r="Q61" i="89"/>
  <c r="Q55" i="89"/>
  <c r="Q40" i="89"/>
  <c r="K58" i="89"/>
  <c r="O58" i="89"/>
  <c r="K12" i="89"/>
  <c r="K55" i="89"/>
  <c r="K24" i="89"/>
  <c r="I21" i="89"/>
  <c r="Q14" i="89"/>
  <c r="Q51" i="89"/>
  <c r="BA12" i="90"/>
  <c r="Q12" i="89"/>
  <c r="S53" i="89"/>
  <c r="I64" i="89"/>
  <c r="I38" i="89"/>
  <c r="K8" i="89"/>
  <c r="M41" i="89"/>
  <c r="M14" i="89"/>
  <c r="M51" i="89"/>
  <c r="AT15" i="90"/>
  <c r="O15" i="89"/>
  <c r="O8" i="89"/>
  <c r="O67" i="89"/>
  <c r="O65" i="89" s="1"/>
  <c r="O54" i="89"/>
  <c r="O21" i="89"/>
  <c r="AT21" i="90"/>
  <c r="Q8" i="89"/>
  <c r="S41" i="89"/>
  <c r="S63" i="89"/>
  <c r="S64" i="89"/>
  <c r="O24" i="89"/>
  <c r="M12" i="89"/>
  <c r="AM12" i="90"/>
  <c r="O23" i="89"/>
  <c r="AT23" i="90"/>
  <c r="I7" i="89"/>
  <c r="I12" i="89"/>
  <c r="K17" i="89"/>
  <c r="K67" i="89"/>
  <c r="K65" i="89" s="1"/>
  <c r="K54" i="89"/>
  <c r="M8" i="89"/>
  <c r="M67" i="89"/>
  <c r="M65" i="89" s="1"/>
  <c r="M54" i="89"/>
  <c r="M23" i="89"/>
  <c r="AM23" i="90"/>
  <c r="AT17" i="90"/>
  <c r="O17" i="89"/>
  <c r="O40" i="89"/>
  <c r="Q23" i="89"/>
  <c r="BA23" i="90"/>
  <c r="S15" i="89"/>
  <c r="I14" i="89"/>
  <c r="I51" i="89"/>
  <c r="K40" i="89"/>
  <c r="M40" i="89"/>
  <c r="M21" i="89"/>
  <c r="AM21" i="90"/>
  <c r="O55" i="89"/>
  <c r="Q21" i="89"/>
  <c r="BA21" i="90"/>
  <c r="S8" i="89"/>
  <c r="M6" i="89"/>
  <c r="M32" i="89"/>
  <c r="AM32" i="90"/>
  <c r="AM45" i="90"/>
  <c r="M45" i="89"/>
  <c r="O9" i="89"/>
  <c r="O53" i="89"/>
  <c r="AT53" i="90"/>
  <c r="Q44" i="89"/>
  <c r="Q9" i="89"/>
  <c r="Q32" i="89"/>
  <c r="BA32" i="90"/>
  <c r="S14" i="89"/>
  <c r="S51" i="89"/>
  <c r="S12" i="89"/>
  <c r="K61" i="89"/>
  <c r="K11" i="89"/>
  <c r="M11" i="89"/>
  <c r="O61" i="89"/>
  <c r="AT16" i="90"/>
  <c r="O16" i="89"/>
  <c r="I17" i="89"/>
  <c r="I67" i="89"/>
  <c r="I65" i="89" s="1"/>
  <c r="I54" i="89"/>
  <c r="M61" i="89"/>
  <c r="M9" i="89"/>
  <c r="AM16" i="90"/>
  <c r="M16" i="89"/>
  <c r="M24" i="89"/>
  <c r="M44" i="89"/>
  <c r="O44" i="89"/>
  <c r="AT69" i="90"/>
  <c r="O69" i="89"/>
  <c r="O72" i="89"/>
  <c r="Q58" i="89"/>
  <c r="Q45" i="89"/>
  <c r="BA45" i="90"/>
  <c r="Q11" i="89"/>
  <c r="Q24" i="89"/>
  <c r="S61" i="89"/>
  <c r="S6" i="89"/>
  <c r="S67" i="89"/>
  <c r="S65" i="89" s="1"/>
  <c r="S54" i="89"/>
  <c r="I40" i="89"/>
  <c r="K72" i="89"/>
  <c r="M58" i="89"/>
  <c r="M72" i="89"/>
  <c r="M53" i="89"/>
  <c r="AM53" i="90"/>
  <c r="K44" i="89"/>
  <c r="O5" i="89"/>
  <c r="Q5" i="89"/>
  <c r="BA16" i="90"/>
  <c r="Q16" i="89"/>
  <c r="Q53" i="89"/>
  <c r="BA53" i="90"/>
  <c r="S44" i="89"/>
  <c r="S9" i="89"/>
  <c r="S55" i="89"/>
  <c r="S40" i="89"/>
  <c r="S23" i="89"/>
  <c r="O32" i="89"/>
  <c r="AT32" i="90"/>
  <c r="K5" i="89"/>
  <c r="I55" i="89"/>
  <c r="I24" i="89"/>
  <c r="K21" i="89"/>
  <c r="I44" i="89"/>
  <c r="O4" i="89"/>
  <c r="O64" i="89"/>
  <c r="BA69" i="90"/>
  <c r="Q69" i="89"/>
  <c r="S32" i="89"/>
  <c r="S21" i="89"/>
  <c r="I6" i="89"/>
  <c r="I61" i="89"/>
  <c r="I9" i="89"/>
  <c r="I45" i="89"/>
  <c r="I11" i="89"/>
  <c r="K64" i="89"/>
  <c r="K38" i="89"/>
  <c r="M64" i="89"/>
  <c r="S5" i="89"/>
  <c r="S45" i="89"/>
  <c r="S11" i="89"/>
  <c r="K9" i="89"/>
  <c r="O7" i="89"/>
  <c r="AT39" i="90"/>
  <c r="O39" i="89"/>
  <c r="O14" i="89"/>
  <c r="O51" i="89"/>
  <c r="AT12" i="90"/>
  <c r="O12" i="89"/>
  <c r="Q7" i="89"/>
  <c r="S16" i="89"/>
  <c r="O45" i="89"/>
  <c r="I8" i="89"/>
  <c r="K45" i="89"/>
  <c r="K7" i="89"/>
  <c r="M4" i="89"/>
  <c r="I5" i="89"/>
  <c r="I72" i="89"/>
  <c r="K63" i="89"/>
  <c r="K56" i="89"/>
  <c r="K14" i="89"/>
  <c r="K51" i="89"/>
  <c r="M7" i="89"/>
  <c r="M56" i="89"/>
  <c r="AM39" i="90"/>
  <c r="M39" i="89"/>
  <c r="M38" i="89"/>
  <c r="O63" i="89"/>
  <c r="AT52" i="90"/>
  <c r="O52" i="89"/>
  <c r="Q41" i="89"/>
  <c r="Q63" i="89"/>
  <c r="Q56" i="89"/>
  <c r="S4" i="89"/>
  <c r="S72" i="89"/>
  <c r="S24" i="89"/>
  <c r="BL70" i="90"/>
  <c r="BL59" i="90"/>
  <c r="BL60" i="90"/>
  <c r="BL66" i="90"/>
  <c r="BE71" i="90"/>
  <c r="BE60" i="90"/>
  <c r="BE70" i="90"/>
  <c r="AX59" i="90"/>
  <c r="AQ60" i="90"/>
  <c r="AQ66" i="90"/>
  <c r="AQ70" i="90"/>
  <c r="AQ71" i="90"/>
  <c r="AJ59" i="90"/>
  <c r="AJ66" i="90"/>
  <c r="Y12" i="90"/>
  <c r="Y23" i="90"/>
  <c r="Y17" i="90"/>
  <c r="Y52" i="90"/>
  <c r="Y21" i="90"/>
  <c r="Y16" i="90"/>
  <c r="Y27" i="90"/>
  <c r="Y53" i="90"/>
  <c r="Y31" i="90"/>
  <c r="Y34" i="90"/>
  <c r="Y35" i="90"/>
  <c r="Y26" i="90"/>
  <c r="Y33" i="90"/>
  <c r="Y45" i="90"/>
  <c r="Y36" i="90"/>
  <c r="Y32" i="90"/>
  <c r="Y37" i="90"/>
  <c r="AF31" i="90"/>
  <c r="AF34" i="90"/>
  <c r="AF28" i="90"/>
  <c r="N132" i="85"/>
  <c r="AF35" i="90"/>
  <c r="AF26" i="90"/>
  <c r="AF29" i="90"/>
  <c r="M132" i="85"/>
  <c r="AF22" i="90"/>
  <c r="AF36" i="90"/>
  <c r="O132" i="85"/>
  <c r="AF30" i="90"/>
  <c r="AF33" i="90"/>
  <c r="AF27" i="90"/>
  <c r="AF25" i="90"/>
  <c r="AF37" i="90"/>
  <c r="L132" i="85"/>
  <c r="AF38" i="90"/>
  <c r="AT72" i="90"/>
  <c r="AT11" i="90"/>
  <c r="AF72" i="90"/>
  <c r="AF64" i="90"/>
  <c r="AT41" i="90"/>
  <c r="M133" i="85"/>
  <c r="BA41" i="90"/>
  <c r="BA63" i="90"/>
  <c r="AT38" i="90"/>
  <c r="AT56" i="90"/>
  <c r="AT63" i="90"/>
  <c r="AM63" i="90"/>
  <c r="BA11" i="90"/>
  <c r="O133" i="85"/>
  <c r="AM69" i="90"/>
  <c r="AT40" i="90"/>
  <c r="BA64" i="90"/>
  <c r="N133" i="85"/>
  <c r="AM67" i="90"/>
  <c r="AM65" i="90" s="1"/>
  <c r="AT54" i="90"/>
  <c r="AM55" i="90"/>
  <c r="BA61" i="90"/>
  <c r="AM44" i="90"/>
  <c r="AT61" i="90"/>
  <c r="AT55" i="90"/>
  <c r="AF67" i="90"/>
  <c r="AF65" i="90" s="1"/>
  <c r="AM51" i="90"/>
  <c r="AM40" i="90"/>
  <c r="AT14" i="90"/>
  <c r="AM61" i="90"/>
  <c r="K133" i="85"/>
  <c r="AT44" i="90"/>
  <c r="BA44" i="90"/>
  <c r="BA40" i="90"/>
  <c r="AF40" i="90"/>
  <c r="BA14" i="90"/>
  <c r="AF11" i="90"/>
  <c r="AF44" i="90"/>
  <c r="AF69" i="90"/>
  <c r="N193" i="86"/>
  <c r="AT67" i="90"/>
  <c r="AT65" i="90" s="1"/>
  <c r="BA67" i="90"/>
  <c r="BA65" i="90" s="1"/>
  <c r="BA39" i="90"/>
  <c r="AM64" i="90"/>
  <c r="N192" i="86"/>
  <c r="AM15" i="90"/>
  <c r="AM56" i="90"/>
  <c r="L133" i="85"/>
  <c r="AT51" i="90"/>
  <c r="BA72" i="90"/>
  <c r="AT64" i="90"/>
  <c r="BA55" i="90"/>
  <c r="AF15" i="90"/>
  <c r="AF63" i="90"/>
  <c r="AM11" i="90"/>
  <c r="AM41" i="90"/>
  <c r="AT58" i="90"/>
  <c r="BA15" i="90"/>
  <c r="BA51" i="90"/>
  <c r="AF23" i="90"/>
  <c r="AF39" i="90"/>
  <c r="AM14" i="90"/>
  <c r="AM72" i="90"/>
  <c r="BA54" i="90"/>
  <c r="AF52" i="90"/>
  <c r="BA56" i="90"/>
  <c r="AF41" i="90"/>
  <c r="AM54" i="90"/>
  <c r="BA58" i="90"/>
  <c r="Y69" i="90"/>
  <c r="AF45" i="90"/>
  <c r="AF51" i="90"/>
  <c r="BA38" i="90"/>
  <c r="AF54" i="90"/>
  <c r="AF55" i="90"/>
  <c r="AM58" i="90"/>
  <c r="AF16" i="90"/>
  <c r="AF21" i="90"/>
  <c r="AF56" i="90"/>
  <c r="AM38" i="90"/>
  <c r="AF17" i="90"/>
  <c r="Y15" i="90"/>
  <c r="AF32" i="90"/>
  <c r="AF53" i="90"/>
  <c r="AF58" i="90"/>
  <c r="AF12" i="90"/>
  <c r="AF14" i="90"/>
  <c r="AF61" i="90"/>
  <c r="Y56" i="90"/>
  <c r="Y58" i="90"/>
  <c r="Y63" i="90"/>
  <c r="Y61" i="90"/>
  <c r="Y41" i="90"/>
  <c r="Y44" i="90"/>
  <c r="Y55" i="90"/>
  <c r="J133" i="85"/>
  <c r="Y38" i="90"/>
  <c r="Y54" i="90"/>
  <c r="Y67" i="90"/>
  <c r="Y65" i="90" s="1"/>
  <c r="Y39" i="90"/>
  <c r="Y40" i="90"/>
  <c r="Y64" i="90"/>
  <c r="Y14" i="90"/>
  <c r="Y72" i="90"/>
  <c r="Y11" i="90"/>
  <c r="Y51" i="90"/>
  <c r="AD30" i="90"/>
  <c r="AD27" i="90"/>
  <c r="AD31" i="90"/>
  <c r="AD28" i="90"/>
  <c r="AD29" i="90"/>
  <c r="AD26" i="90"/>
  <c r="AD35" i="90"/>
  <c r="AD34" i="90"/>
  <c r="AD33" i="90"/>
  <c r="AD22" i="90"/>
  <c r="AD25" i="90"/>
  <c r="AD37" i="90"/>
  <c r="AD36" i="90"/>
  <c r="I67" i="90"/>
  <c r="I65" i="90" s="1"/>
  <c r="I64" i="90"/>
  <c r="J132" i="85"/>
  <c r="M191" i="86"/>
  <c r="M193" i="86"/>
  <c r="L193" i="86"/>
  <c r="L192" i="86"/>
  <c r="L191" i="86"/>
  <c r="K192" i="86"/>
  <c r="J192" i="86"/>
  <c r="J193" i="86"/>
  <c r="J191" i="86"/>
  <c r="K193" i="86"/>
  <c r="N148" i="3"/>
  <c r="O148" i="3"/>
  <c r="L148" i="3"/>
  <c r="K148" i="3"/>
  <c r="O123" i="75"/>
  <c r="BF23" i="90" s="1"/>
  <c r="O125" i="75"/>
  <c r="O126" i="75"/>
  <c r="O127" i="75"/>
  <c r="O128" i="75"/>
  <c r="O129" i="75"/>
  <c r="O130" i="75"/>
  <c r="O131" i="75"/>
  <c r="BF53" i="90" s="1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62" i="75"/>
  <c r="O171" i="75"/>
  <c r="O176" i="75"/>
  <c r="O177" i="75"/>
  <c r="O178" i="75"/>
  <c r="O179" i="75"/>
  <c r="O180" i="75"/>
  <c r="O181" i="75"/>
  <c r="O182" i="75"/>
  <c r="O183" i="75"/>
  <c r="O185" i="75"/>
  <c r="BF16" i="90" s="1"/>
  <c r="O186" i="75"/>
  <c r="O188" i="75"/>
  <c r="O189" i="75"/>
  <c r="O190" i="75"/>
  <c r="O191" i="75"/>
  <c r="O192" i="75"/>
  <c r="O193" i="75"/>
  <c r="O197" i="75"/>
  <c r="O198" i="75"/>
  <c r="O199" i="75"/>
  <c r="O200" i="75"/>
  <c r="BF69" i="90" s="1"/>
  <c r="O201" i="75"/>
  <c r="O204" i="75"/>
  <c r="O206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6" i="75"/>
  <c r="O227" i="75"/>
  <c r="O228" i="75"/>
  <c r="O229" i="75"/>
  <c r="O230" i="75"/>
  <c r="O231" i="75"/>
  <c r="BF32" i="90" s="1"/>
  <c r="O232" i="75"/>
  <c r="O233" i="75"/>
  <c r="O234" i="75"/>
  <c r="O235" i="75"/>
  <c r="O236" i="75"/>
  <c r="O237" i="75"/>
  <c r="O238" i="75"/>
  <c r="O239" i="75"/>
  <c r="O240" i="75"/>
  <c r="O122" i="75"/>
  <c r="O246" i="75"/>
  <c r="O247" i="75" s="1"/>
  <c r="G178" i="75"/>
  <c r="AF12" i="82"/>
  <c r="E12" i="82"/>
  <c r="J129" i="75"/>
  <c r="J128" i="75"/>
  <c r="J178" i="75"/>
  <c r="G21" i="3"/>
  <c r="H21" i="3"/>
  <c r="I21" i="3"/>
  <c r="J21" i="3"/>
  <c r="G120" i="3"/>
  <c r="H120" i="3"/>
  <c r="I120" i="3"/>
  <c r="J120" i="3"/>
  <c r="G23" i="3"/>
  <c r="H23" i="3"/>
  <c r="I23" i="3"/>
  <c r="J23" i="3"/>
  <c r="G34" i="3"/>
  <c r="H34" i="3"/>
  <c r="I34" i="3"/>
  <c r="J34" i="3"/>
  <c r="G86" i="3"/>
  <c r="H86" i="3"/>
  <c r="I86" i="3"/>
  <c r="J86" i="3"/>
  <c r="G39" i="3"/>
  <c r="H39" i="3"/>
  <c r="I39" i="3"/>
  <c r="J39" i="3"/>
  <c r="J147" i="3"/>
  <c r="J146" i="3"/>
  <c r="J145" i="3"/>
  <c r="J144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00" i="3"/>
  <c r="J125" i="3"/>
  <c r="J92" i="3"/>
  <c r="J74" i="3"/>
  <c r="J129" i="3"/>
  <c r="J128" i="3"/>
  <c r="I36" i="78" s="1"/>
  <c r="J127" i="3"/>
  <c r="J126" i="3"/>
  <c r="J124" i="3"/>
  <c r="J123" i="3"/>
  <c r="J121" i="3"/>
  <c r="J118" i="3"/>
  <c r="J117" i="3"/>
  <c r="J116" i="3"/>
  <c r="J115" i="3"/>
  <c r="J114" i="3"/>
  <c r="J113" i="3"/>
  <c r="J112" i="3"/>
  <c r="J111" i="3"/>
  <c r="J109" i="3"/>
  <c r="J108" i="3"/>
  <c r="J107" i="3"/>
  <c r="J106" i="3"/>
  <c r="J105" i="3"/>
  <c r="J104" i="3"/>
  <c r="J103" i="3"/>
  <c r="J102" i="3"/>
  <c r="J99" i="3"/>
  <c r="J98" i="3"/>
  <c r="J96" i="3"/>
  <c r="J95" i="3"/>
  <c r="J94" i="3"/>
  <c r="J93" i="3"/>
  <c r="J91" i="3"/>
  <c r="J90" i="3"/>
  <c r="J88" i="3"/>
  <c r="J87" i="3"/>
  <c r="J85" i="3"/>
  <c r="J84" i="3"/>
  <c r="J83" i="3"/>
  <c r="J82" i="3"/>
  <c r="J81" i="3"/>
  <c r="J80" i="3"/>
  <c r="J79" i="3"/>
  <c r="J78" i="3"/>
  <c r="J77" i="3"/>
  <c r="J76" i="3"/>
  <c r="J75" i="3"/>
  <c r="J73" i="3"/>
  <c r="J72" i="3"/>
  <c r="J71" i="3"/>
  <c r="J70" i="3"/>
  <c r="J69" i="3"/>
  <c r="J68" i="3"/>
  <c r="J67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0" i="3"/>
  <c r="J49" i="3"/>
  <c r="J48" i="3"/>
  <c r="J47" i="3"/>
  <c r="J46" i="3"/>
  <c r="J45" i="3"/>
  <c r="J44" i="3"/>
  <c r="J43" i="3"/>
  <c r="J42" i="3"/>
  <c r="J41" i="3"/>
  <c r="J40" i="3"/>
  <c r="I25" i="78" s="1"/>
  <c r="J37" i="3"/>
  <c r="J36" i="3"/>
  <c r="J35" i="3"/>
  <c r="J33" i="3"/>
  <c r="J32" i="3"/>
  <c r="J31" i="3"/>
  <c r="J29" i="3"/>
  <c r="J28" i="3"/>
  <c r="J27" i="3"/>
  <c r="J26" i="3"/>
  <c r="J25" i="3"/>
  <c r="J24" i="3"/>
  <c r="J22" i="3"/>
  <c r="J20" i="3"/>
  <c r="J19" i="3"/>
  <c r="J18" i="3"/>
  <c r="J17" i="3"/>
  <c r="J14" i="3"/>
  <c r="J13" i="3"/>
  <c r="J11" i="3"/>
  <c r="J10" i="3"/>
  <c r="I22" i="78" s="1"/>
  <c r="J8" i="3"/>
  <c r="J7" i="3"/>
  <c r="J6" i="3"/>
  <c r="J5" i="3"/>
  <c r="J4" i="3"/>
  <c r="J3" i="3"/>
  <c r="O4" i="75"/>
  <c r="O6" i="75"/>
  <c r="O7" i="75"/>
  <c r="O8" i="75"/>
  <c r="O9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30" i="75"/>
  <c r="O31" i="75"/>
  <c r="O32" i="75"/>
  <c r="O33" i="75"/>
  <c r="O34" i="75"/>
  <c r="O38" i="75"/>
  <c r="O40" i="75"/>
  <c r="S15" i="78" s="1"/>
  <c r="O41" i="75"/>
  <c r="O42" i="75"/>
  <c r="O44" i="75"/>
  <c r="O45" i="75"/>
  <c r="O46" i="75"/>
  <c r="O47" i="75"/>
  <c r="O49" i="75"/>
  <c r="O50" i="75"/>
  <c r="O52" i="75"/>
  <c r="O53" i="75"/>
  <c r="O54" i="75"/>
  <c r="O55" i="75"/>
  <c r="O56" i="75"/>
  <c r="O57" i="75"/>
  <c r="O58" i="75"/>
  <c r="O61" i="75"/>
  <c r="O63" i="75"/>
  <c r="O82" i="75"/>
  <c r="O83" i="75"/>
  <c r="O84" i="75"/>
  <c r="O87" i="75"/>
  <c r="O88" i="75"/>
  <c r="O92" i="75"/>
  <c r="O93" i="75"/>
  <c r="O94" i="75"/>
  <c r="O3" i="75"/>
  <c r="BF4" i="90" s="1"/>
  <c r="N246" i="75"/>
  <c r="N245" i="75"/>
  <c r="N123" i="75"/>
  <c r="AY23" i="90" s="1"/>
  <c r="N125" i="75"/>
  <c r="Q52" i="78" s="1"/>
  <c r="N126" i="75"/>
  <c r="N127" i="75"/>
  <c r="N128" i="75"/>
  <c r="N129" i="75"/>
  <c r="N130" i="75"/>
  <c r="N131" i="75"/>
  <c r="Q53" i="78" s="1"/>
  <c r="N132" i="75"/>
  <c r="N133" i="75"/>
  <c r="N134" i="75"/>
  <c r="N135" i="75"/>
  <c r="N136" i="75"/>
  <c r="N137" i="75"/>
  <c r="N138" i="75"/>
  <c r="N139" i="75"/>
  <c r="N140" i="75"/>
  <c r="N141" i="75"/>
  <c r="N142" i="75"/>
  <c r="N143" i="75"/>
  <c r="N144" i="75"/>
  <c r="N145" i="75"/>
  <c r="N146" i="75"/>
  <c r="N147" i="75"/>
  <c r="N148" i="75"/>
  <c r="N149" i="75"/>
  <c r="N150" i="75"/>
  <c r="N151" i="75"/>
  <c r="N152" i="75"/>
  <c r="N153" i="75"/>
  <c r="N154" i="75"/>
  <c r="N155" i="75"/>
  <c r="N156" i="75"/>
  <c r="N157" i="75"/>
  <c r="N158" i="75"/>
  <c r="N162" i="75"/>
  <c r="N171" i="75"/>
  <c r="N176" i="75"/>
  <c r="N177" i="75"/>
  <c r="N178" i="75"/>
  <c r="N179" i="75"/>
  <c r="Q39" i="78" s="1"/>
  <c r="N180" i="75"/>
  <c r="N181" i="75"/>
  <c r="N182" i="75"/>
  <c r="N183" i="75"/>
  <c r="N185" i="75"/>
  <c r="AY16" i="90" s="1"/>
  <c r="N186" i="75"/>
  <c r="N188" i="75"/>
  <c r="N189" i="75"/>
  <c r="N190" i="75"/>
  <c r="N191" i="75"/>
  <c r="N192" i="75"/>
  <c r="N193" i="75"/>
  <c r="N197" i="75"/>
  <c r="N198" i="75"/>
  <c r="N199" i="75"/>
  <c r="N200" i="75"/>
  <c r="N201" i="75"/>
  <c r="N204" i="75"/>
  <c r="N206" i="75"/>
  <c r="N208" i="75"/>
  <c r="N209" i="75"/>
  <c r="N210" i="75"/>
  <c r="N211" i="75"/>
  <c r="N212" i="75"/>
  <c r="N213" i="75"/>
  <c r="N214" i="75"/>
  <c r="N215" i="75"/>
  <c r="N216" i="75"/>
  <c r="N217" i="75"/>
  <c r="N218" i="75"/>
  <c r="N219" i="75"/>
  <c r="N220" i="75"/>
  <c r="N221" i="75"/>
  <c r="N222" i="75"/>
  <c r="N223" i="75"/>
  <c r="N224" i="75"/>
  <c r="N226" i="75"/>
  <c r="N227" i="75"/>
  <c r="N228" i="75"/>
  <c r="N229" i="75"/>
  <c r="N230" i="75"/>
  <c r="N231" i="75"/>
  <c r="Q32" i="78" s="1"/>
  <c r="N232" i="75"/>
  <c r="N233" i="75"/>
  <c r="N234" i="75"/>
  <c r="N235" i="75"/>
  <c r="N236" i="75"/>
  <c r="N237" i="75"/>
  <c r="N238" i="75"/>
  <c r="N239" i="75"/>
  <c r="N240" i="75"/>
  <c r="N122" i="75"/>
  <c r="M246" i="75"/>
  <c r="M245" i="75"/>
  <c r="M125" i="75"/>
  <c r="O52" i="78" s="1"/>
  <c r="M126" i="75"/>
  <c r="M127" i="75"/>
  <c r="M128" i="75"/>
  <c r="M129" i="75"/>
  <c r="M130" i="75"/>
  <c r="M131" i="75"/>
  <c r="O53" i="78" s="1"/>
  <c r="M132" i="75"/>
  <c r="M133" i="75"/>
  <c r="M134" i="75"/>
  <c r="M135" i="75"/>
  <c r="M136" i="75"/>
  <c r="M137" i="75"/>
  <c r="M138" i="75"/>
  <c r="M139" i="75"/>
  <c r="M140" i="75"/>
  <c r="M141" i="75"/>
  <c r="M142" i="75"/>
  <c r="M143" i="75"/>
  <c r="M144" i="75"/>
  <c r="M145" i="75"/>
  <c r="M146" i="75"/>
  <c r="M147" i="75"/>
  <c r="M148" i="75"/>
  <c r="M149" i="75"/>
  <c r="M150" i="75"/>
  <c r="M151" i="75"/>
  <c r="M152" i="75"/>
  <c r="M153" i="75"/>
  <c r="M154" i="75"/>
  <c r="M155" i="75"/>
  <c r="M156" i="75"/>
  <c r="M157" i="75"/>
  <c r="M158" i="75"/>
  <c r="M162" i="75"/>
  <c r="M171" i="75"/>
  <c r="M176" i="75"/>
  <c r="M177" i="75"/>
  <c r="M178" i="75"/>
  <c r="M179" i="75"/>
  <c r="O39" i="78" s="1"/>
  <c r="M180" i="75"/>
  <c r="M181" i="75"/>
  <c r="M182" i="75"/>
  <c r="M183" i="75"/>
  <c r="M185" i="75"/>
  <c r="O16" i="78" s="1"/>
  <c r="M186" i="75"/>
  <c r="M188" i="75"/>
  <c r="M189" i="75"/>
  <c r="M190" i="75"/>
  <c r="M191" i="75"/>
  <c r="M192" i="75"/>
  <c r="M193" i="75"/>
  <c r="M197" i="75"/>
  <c r="M198" i="75"/>
  <c r="M199" i="75"/>
  <c r="M200" i="75"/>
  <c r="M201" i="75"/>
  <c r="M204" i="75"/>
  <c r="M206" i="75"/>
  <c r="M208" i="75"/>
  <c r="M209" i="75"/>
  <c r="M210" i="75"/>
  <c r="M211" i="75"/>
  <c r="M212" i="75"/>
  <c r="M213" i="75"/>
  <c r="M214" i="75"/>
  <c r="M215" i="75"/>
  <c r="M216" i="75"/>
  <c r="M217" i="75"/>
  <c r="M218" i="75"/>
  <c r="M219" i="75"/>
  <c r="M220" i="75"/>
  <c r="M221" i="75"/>
  <c r="M222" i="75"/>
  <c r="M223" i="75"/>
  <c r="M224" i="75"/>
  <c r="M226" i="75"/>
  <c r="M227" i="75"/>
  <c r="M228" i="75"/>
  <c r="M229" i="75"/>
  <c r="M230" i="75"/>
  <c r="M231" i="75"/>
  <c r="AR32" i="90" s="1"/>
  <c r="M232" i="75"/>
  <c r="M233" i="75"/>
  <c r="M234" i="75"/>
  <c r="M235" i="75"/>
  <c r="M236" i="75"/>
  <c r="M237" i="75"/>
  <c r="M238" i="75"/>
  <c r="M239" i="75"/>
  <c r="M240" i="75"/>
  <c r="M122" i="75"/>
  <c r="M123" i="75"/>
  <c r="AR23" i="90" s="1"/>
  <c r="N3" i="75"/>
  <c r="AY4" i="90" s="1"/>
  <c r="N4" i="75"/>
  <c r="N6" i="75"/>
  <c r="N7" i="75"/>
  <c r="N8" i="75"/>
  <c r="N9" i="75"/>
  <c r="N12" i="75"/>
  <c r="N13" i="75"/>
  <c r="N14" i="75"/>
  <c r="N15" i="75"/>
  <c r="N16" i="75"/>
  <c r="N17" i="75"/>
  <c r="N18" i="75"/>
  <c r="N19" i="75"/>
  <c r="N20" i="75"/>
  <c r="N21" i="75"/>
  <c r="N22" i="75"/>
  <c r="N23" i="75"/>
  <c r="N24" i="75"/>
  <c r="N25" i="75"/>
  <c r="N26" i="75"/>
  <c r="N27" i="75"/>
  <c r="N28" i="75"/>
  <c r="N30" i="75"/>
  <c r="N31" i="75"/>
  <c r="N32" i="75"/>
  <c r="N33" i="75"/>
  <c r="N34" i="75"/>
  <c r="N38" i="75"/>
  <c r="N40" i="75"/>
  <c r="AY15" i="90" s="1"/>
  <c r="N41" i="75"/>
  <c r="N42" i="75"/>
  <c r="N44" i="75"/>
  <c r="N45" i="75"/>
  <c r="N46" i="75"/>
  <c r="N47" i="75"/>
  <c r="N49" i="75"/>
  <c r="N50" i="75"/>
  <c r="N52" i="75"/>
  <c r="N53" i="75"/>
  <c r="N54" i="75"/>
  <c r="N55" i="75"/>
  <c r="N56" i="75"/>
  <c r="N57" i="75"/>
  <c r="N58" i="75"/>
  <c r="N61" i="75"/>
  <c r="N63" i="75"/>
  <c r="N82" i="75"/>
  <c r="N83" i="75"/>
  <c r="N84" i="75"/>
  <c r="N87" i="75"/>
  <c r="N88" i="75"/>
  <c r="N92" i="75"/>
  <c r="N93" i="75"/>
  <c r="N94" i="75"/>
  <c r="M4" i="75"/>
  <c r="M6" i="75"/>
  <c r="M7" i="75"/>
  <c r="M8" i="75"/>
  <c r="M9" i="75"/>
  <c r="M12" i="75"/>
  <c r="M13" i="75"/>
  <c r="M14" i="75"/>
  <c r="M15" i="75"/>
  <c r="M16" i="75"/>
  <c r="M17" i="75"/>
  <c r="M18" i="75"/>
  <c r="M19" i="75"/>
  <c r="M20" i="75"/>
  <c r="M21" i="75"/>
  <c r="M22" i="75"/>
  <c r="M23" i="75"/>
  <c r="M24" i="75"/>
  <c r="M25" i="75"/>
  <c r="M26" i="75"/>
  <c r="M27" i="75"/>
  <c r="M28" i="75"/>
  <c r="M30" i="75"/>
  <c r="M31" i="75"/>
  <c r="M32" i="75"/>
  <c r="M33" i="75"/>
  <c r="M34" i="75"/>
  <c r="M38" i="75"/>
  <c r="M40" i="75"/>
  <c r="O15" i="78" s="1"/>
  <c r="M41" i="75"/>
  <c r="M42" i="75"/>
  <c r="M44" i="75"/>
  <c r="M45" i="75"/>
  <c r="M46" i="75"/>
  <c r="M47" i="75"/>
  <c r="M49" i="75"/>
  <c r="M50" i="75"/>
  <c r="M52" i="75"/>
  <c r="M53" i="75"/>
  <c r="M54" i="75"/>
  <c r="M55" i="75"/>
  <c r="M56" i="75"/>
  <c r="M57" i="75"/>
  <c r="M58" i="75"/>
  <c r="M61" i="75"/>
  <c r="M63" i="75"/>
  <c r="M82" i="75"/>
  <c r="M83" i="75"/>
  <c r="M84" i="75"/>
  <c r="M87" i="75"/>
  <c r="M88" i="75"/>
  <c r="M92" i="75"/>
  <c r="M93" i="75"/>
  <c r="M94" i="75"/>
  <c r="M3" i="75"/>
  <c r="I125" i="75"/>
  <c r="P52" i="90" s="1"/>
  <c r="I126" i="75"/>
  <c r="I127" i="75"/>
  <c r="I129" i="75"/>
  <c r="I149" i="3" s="1"/>
  <c r="I130" i="75"/>
  <c r="I131" i="75"/>
  <c r="I132" i="75"/>
  <c r="I133" i="75"/>
  <c r="I134" i="75"/>
  <c r="I135" i="75"/>
  <c r="I136" i="75"/>
  <c r="I137" i="75"/>
  <c r="I138" i="75"/>
  <c r="I139" i="75"/>
  <c r="I140" i="75"/>
  <c r="I141" i="75"/>
  <c r="I142" i="75"/>
  <c r="I143" i="75"/>
  <c r="I144" i="75"/>
  <c r="I145" i="75"/>
  <c r="I146" i="75"/>
  <c r="I147" i="75"/>
  <c r="I148" i="75"/>
  <c r="I149" i="75"/>
  <c r="I150" i="75"/>
  <c r="I151" i="75"/>
  <c r="I152" i="75"/>
  <c r="I153" i="75"/>
  <c r="I154" i="75"/>
  <c r="I155" i="75"/>
  <c r="I156" i="75"/>
  <c r="I157" i="75"/>
  <c r="I158" i="75"/>
  <c r="I162" i="75"/>
  <c r="I171" i="75"/>
  <c r="I176" i="75"/>
  <c r="I177" i="75"/>
  <c r="I179" i="75"/>
  <c r="P39" i="90" s="1"/>
  <c r="I180" i="75"/>
  <c r="I181" i="75"/>
  <c r="I182" i="75"/>
  <c r="I183" i="75"/>
  <c r="I185" i="75"/>
  <c r="I186" i="75"/>
  <c r="I188" i="75"/>
  <c r="I189" i="75"/>
  <c r="I190" i="75"/>
  <c r="I191" i="75"/>
  <c r="I192" i="75"/>
  <c r="I193" i="75"/>
  <c r="I197" i="75"/>
  <c r="I198" i="75"/>
  <c r="I199" i="75"/>
  <c r="I200" i="75"/>
  <c r="P69" i="90" s="1"/>
  <c r="I201" i="75"/>
  <c r="I204" i="75"/>
  <c r="I206" i="75"/>
  <c r="I208" i="75"/>
  <c r="I209" i="75"/>
  <c r="I210" i="75"/>
  <c r="I211" i="75"/>
  <c r="I212" i="75"/>
  <c r="I213" i="75"/>
  <c r="I214" i="75"/>
  <c r="I215" i="75"/>
  <c r="I216" i="75"/>
  <c r="I217" i="75"/>
  <c r="I218" i="75"/>
  <c r="I219" i="75"/>
  <c r="I220" i="75"/>
  <c r="I221" i="75"/>
  <c r="I222" i="75"/>
  <c r="I223" i="75"/>
  <c r="I224" i="75"/>
  <c r="I226" i="75"/>
  <c r="I227" i="75"/>
  <c r="I228" i="75"/>
  <c r="I229" i="75"/>
  <c r="I230" i="75"/>
  <c r="I231" i="75"/>
  <c r="I232" i="75"/>
  <c r="I233" i="75"/>
  <c r="I234" i="75"/>
  <c r="I235" i="75"/>
  <c r="I236" i="75"/>
  <c r="I237" i="75"/>
  <c r="I238" i="75"/>
  <c r="I239" i="75"/>
  <c r="I240" i="75"/>
  <c r="I123" i="75"/>
  <c r="I122" i="75"/>
  <c r="L246" i="75"/>
  <c r="L245" i="75"/>
  <c r="G136" i="75"/>
  <c r="J136" i="75"/>
  <c r="K136" i="75"/>
  <c r="L136" i="75"/>
  <c r="B136" i="75"/>
  <c r="G235" i="75"/>
  <c r="J235" i="75"/>
  <c r="K235" i="75"/>
  <c r="L235" i="75"/>
  <c r="B235" i="75"/>
  <c r="K188" i="75"/>
  <c r="L188" i="75"/>
  <c r="J188" i="75"/>
  <c r="G188" i="75"/>
  <c r="G139" i="75"/>
  <c r="J139" i="75"/>
  <c r="K139" i="75"/>
  <c r="L139" i="75"/>
  <c r="B139" i="75"/>
  <c r="B188" i="75"/>
  <c r="G204" i="75"/>
  <c r="J204" i="75"/>
  <c r="K204" i="75"/>
  <c r="L204" i="75"/>
  <c r="B204" i="75"/>
  <c r="L123" i="75"/>
  <c r="M23" i="78" s="1"/>
  <c r="L125" i="75"/>
  <c r="M52" i="78" s="1"/>
  <c r="L126" i="75"/>
  <c r="L127" i="75"/>
  <c r="L128" i="75"/>
  <c r="L129" i="75"/>
  <c r="L130" i="75"/>
  <c r="L131" i="75"/>
  <c r="AK53" i="90" s="1"/>
  <c r="L132" i="75"/>
  <c r="L133" i="75"/>
  <c r="L134" i="75"/>
  <c r="L135" i="75"/>
  <c r="L137" i="75"/>
  <c r="L138" i="75"/>
  <c r="L140" i="75"/>
  <c r="L141" i="75"/>
  <c r="L142" i="75"/>
  <c r="L143" i="75"/>
  <c r="L144" i="75"/>
  <c r="L145" i="75"/>
  <c r="L146" i="75"/>
  <c r="L147" i="75"/>
  <c r="L148" i="75"/>
  <c r="L149" i="75"/>
  <c r="L150" i="75"/>
  <c r="L151" i="75"/>
  <c r="L152" i="75"/>
  <c r="L153" i="75"/>
  <c r="L154" i="75"/>
  <c r="L155" i="75"/>
  <c r="L156" i="75"/>
  <c r="L157" i="75"/>
  <c r="L158" i="75"/>
  <c r="L171" i="75"/>
  <c r="L176" i="75"/>
  <c r="L177" i="75"/>
  <c r="L178" i="75"/>
  <c r="L179" i="75"/>
  <c r="M39" i="78" s="1"/>
  <c r="L180" i="75"/>
  <c r="L181" i="75"/>
  <c r="L182" i="75"/>
  <c r="L183" i="75"/>
  <c r="L185" i="75"/>
  <c r="AK16" i="90" s="1"/>
  <c r="L186" i="75"/>
  <c r="L189" i="75"/>
  <c r="L190" i="75"/>
  <c r="L191" i="75"/>
  <c r="L192" i="75"/>
  <c r="L193" i="75"/>
  <c r="L197" i="75"/>
  <c r="L198" i="75"/>
  <c r="L199" i="75"/>
  <c r="L200" i="75"/>
  <c r="L201" i="75"/>
  <c r="L206" i="75"/>
  <c r="L208" i="75"/>
  <c r="L209" i="75"/>
  <c r="L210" i="75"/>
  <c r="L211" i="75"/>
  <c r="L212" i="75"/>
  <c r="L213" i="75"/>
  <c r="L214" i="75"/>
  <c r="L215" i="75"/>
  <c r="L216" i="75"/>
  <c r="L217" i="75"/>
  <c r="L218" i="75"/>
  <c r="L219" i="75"/>
  <c r="L220" i="75"/>
  <c r="L221" i="75"/>
  <c r="L222" i="75"/>
  <c r="L223" i="75"/>
  <c r="L224" i="75"/>
  <c r="L226" i="75"/>
  <c r="L227" i="75"/>
  <c r="L228" i="75"/>
  <c r="L229" i="75"/>
  <c r="L230" i="75"/>
  <c r="L231" i="75"/>
  <c r="AK32" i="90" s="1"/>
  <c r="L232" i="75"/>
  <c r="L233" i="75"/>
  <c r="L234" i="75"/>
  <c r="L236" i="75"/>
  <c r="L237" i="75"/>
  <c r="L238" i="75"/>
  <c r="L239" i="75"/>
  <c r="L240" i="75"/>
  <c r="L122" i="75"/>
  <c r="L4" i="75"/>
  <c r="L6" i="75"/>
  <c r="L7" i="75"/>
  <c r="L8" i="75"/>
  <c r="L9" i="75"/>
  <c r="L12" i="75"/>
  <c r="L13" i="75"/>
  <c r="L14" i="75"/>
  <c r="L15" i="75"/>
  <c r="L16" i="75"/>
  <c r="L17" i="75"/>
  <c r="L18" i="75"/>
  <c r="L19" i="75"/>
  <c r="L20" i="75"/>
  <c r="L21" i="75"/>
  <c r="L22" i="75"/>
  <c r="L23" i="75"/>
  <c r="L24" i="75"/>
  <c r="L25" i="75"/>
  <c r="L26" i="75"/>
  <c r="L27" i="75"/>
  <c r="L28" i="75"/>
  <c r="L30" i="75"/>
  <c r="L31" i="75"/>
  <c r="L32" i="75"/>
  <c r="L33" i="75"/>
  <c r="L34" i="75"/>
  <c r="L38" i="75"/>
  <c r="L40" i="75"/>
  <c r="AK15" i="90" s="1"/>
  <c r="L41" i="75"/>
  <c r="L42" i="75"/>
  <c r="L44" i="75"/>
  <c r="L45" i="75"/>
  <c r="L46" i="75"/>
  <c r="L47" i="75"/>
  <c r="L49" i="75"/>
  <c r="L50" i="75"/>
  <c r="L52" i="75"/>
  <c r="L53" i="75"/>
  <c r="L54" i="75"/>
  <c r="L55" i="75"/>
  <c r="L56" i="75"/>
  <c r="L57" i="75"/>
  <c r="L58" i="75"/>
  <c r="L61" i="75"/>
  <c r="L63" i="75"/>
  <c r="L82" i="75"/>
  <c r="L83" i="75"/>
  <c r="L84" i="75"/>
  <c r="L87" i="75"/>
  <c r="L88" i="75"/>
  <c r="L92" i="75"/>
  <c r="L93" i="75"/>
  <c r="L94" i="75"/>
  <c r="L3" i="75"/>
  <c r="J94" i="75"/>
  <c r="J93" i="75"/>
  <c r="J92" i="75"/>
  <c r="J88" i="75"/>
  <c r="J87" i="75"/>
  <c r="J84" i="75"/>
  <c r="J83" i="75"/>
  <c r="J82" i="75"/>
  <c r="J63" i="75"/>
  <c r="J61" i="75"/>
  <c r="J58" i="75"/>
  <c r="J57" i="75"/>
  <c r="J56" i="75"/>
  <c r="J55" i="75"/>
  <c r="J54" i="75"/>
  <c r="J53" i="75"/>
  <c r="J52" i="75"/>
  <c r="J50" i="75"/>
  <c r="J49" i="75"/>
  <c r="J47" i="75"/>
  <c r="J46" i="75"/>
  <c r="J45" i="75"/>
  <c r="J44" i="75"/>
  <c r="J42" i="75"/>
  <c r="J41" i="75"/>
  <c r="J40" i="75"/>
  <c r="I15" i="78" s="1"/>
  <c r="J38" i="75"/>
  <c r="J34" i="75"/>
  <c r="J33" i="75"/>
  <c r="J32" i="75"/>
  <c r="J31" i="75"/>
  <c r="J30" i="75"/>
  <c r="J28" i="75"/>
  <c r="J27" i="75"/>
  <c r="J26" i="75"/>
  <c r="J25" i="75"/>
  <c r="J24" i="75"/>
  <c r="J23" i="75"/>
  <c r="J22" i="75"/>
  <c r="J21" i="75"/>
  <c r="J20" i="75"/>
  <c r="J19" i="75"/>
  <c r="J18" i="75"/>
  <c r="J17" i="75"/>
  <c r="J16" i="75"/>
  <c r="J15" i="75"/>
  <c r="I7" i="78" s="1"/>
  <c r="J14" i="75"/>
  <c r="J13" i="75"/>
  <c r="J12" i="75"/>
  <c r="J9" i="75"/>
  <c r="J8" i="75"/>
  <c r="J7" i="75"/>
  <c r="J6" i="75"/>
  <c r="J4" i="75"/>
  <c r="I5" i="78" s="1"/>
  <c r="K246" i="75"/>
  <c r="K245" i="75"/>
  <c r="K123" i="75"/>
  <c r="K23" i="78" s="1"/>
  <c r="K125" i="75"/>
  <c r="K52" i="78" s="1"/>
  <c r="K126" i="75"/>
  <c r="K127" i="75"/>
  <c r="K128" i="75"/>
  <c r="K129" i="75"/>
  <c r="K130" i="75"/>
  <c r="K131" i="75"/>
  <c r="AD53" i="90" s="1"/>
  <c r="K132" i="75"/>
  <c r="K133" i="75"/>
  <c r="K134" i="75"/>
  <c r="K135" i="75"/>
  <c r="K137" i="75"/>
  <c r="K138" i="75"/>
  <c r="K140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62" i="75"/>
  <c r="K171" i="75"/>
  <c r="K176" i="75"/>
  <c r="K177" i="75"/>
  <c r="K178" i="75"/>
  <c r="K179" i="75"/>
  <c r="K39" i="78" s="1"/>
  <c r="K180" i="75"/>
  <c r="K181" i="75"/>
  <c r="K182" i="75"/>
  <c r="K183" i="75"/>
  <c r="K185" i="75"/>
  <c r="K16" i="78" s="1"/>
  <c r="K186" i="75"/>
  <c r="K189" i="75"/>
  <c r="K190" i="75"/>
  <c r="K191" i="75"/>
  <c r="K192" i="75"/>
  <c r="K193" i="75"/>
  <c r="K197" i="75"/>
  <c r="K198" i="75"/>
  <c r="K199" i="75"/>
  <c r="K200" i="75"/>
  <c r="K201" i="75"/>
  <c r="K206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6" i="75"/>
  <c r="K227" i="75"/>
  <c r="K228" i="75"/>
  <c r="K229" i="75"/>
  <c r="K230" i="75"/>
  <c r="K231" i="75"/>
  <c r="K32" i="78" s="1"/>
  <c r="K232" i="75"/>
  <c r="K233" i="75"/>
  <c r="K234" i="75"/>
  <c r="K236" i="75"/>
  <c r="K237" i="75"/>
  <c r="K238" i="75"/>
  <c r="K239" i="75"/>
  <c r="K240" i="75"/>
  <c r="K4" i="75"/>
  <c r="K6" i="75"/>
  <c r="K7" i="75"/>
  <c r="K8" i="75"/>
  <c r="K9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30" i="75"/>
  <c r="K31" i="75"/>
  <c r="K32" i="75"/>
  <c r="K33" i="75"/>
  <c r="K34" i="75"/>
  <c r="K38" i="75"/>
  <c r="K40" i="75"/>
  <c r="AD15" i="90" s="1"/>
  <c r="K41" i="75"/>
  <c r="K42" i="75"/>
  <c r="K44" i="75"/>
  <c r="K45" i="75"/>
  <c r="K46" i="75"/>
  <c r="K47" i="75"/>
  <c r="K49" i="75"/>
  <c r="K50" i="75"/>
  <c r="K52" i="75"/>
  <c r="K53" i="75"/>
  <c r="K54" i="75"/>
  <c r="K55" i="75"/>
  <c r="K56" i="75"/>
  <c r="K57" i="75"/>
  <c r="K58" i="75"/>
  <c r="K61" i="75"/>
  <c r="K63" i="75"/>
  <c r="K82" i="75"/>
  <c r="K83" i="75"/>
  <c r="K84" i="75"/>
  <c r="K87" i="75"/>
  <c r="K88" i="75"/>
  <c r="K92" i="75"/>
  <c r="K93" i="75"/>
  <c r="K94" i="75"/>
  <c r="K3" i="75"/>
  <c r="I6" i="78" l="1"/>
  <c r="I8" i="78"/>
  <c r="I9" i="78"/>
  <c r="BF5" i="90"/>
  <c r="AY5" i="90"/>
  <c r="W5" i="90"/>
  <c r="AD5" i="90"/>
  <c r="AH5" i="90" s="1"/>
  <c r="AD24" i="90"/>
  <c r="AR24" i="90"/>
  <c r="BF24" i="90"/>
  <c r="AY24" i="90"/>
  <c r="AK24" i="90"/>
  <c r="AD8" i="90"/>
  <c r="AH8" i="90" s="1"/>
  <c r="W7" i="90"/>
  <c r="AA7" i="90" s="1"/>
  <c r="AR7" i="90"/>
  <c r="AY6" i="90"/>
  <c r="AY9" i="90"/>
  <c r="BF6" i="90"/>
  <c r="BF9" i="90"/>
  <c r="O4" i="78"/>
  <c r="AR4" i="90"/>
  <c r="AR8" i="90"/>
  <c r="BC4" i="90"/>
  <c r="AK6" i="90"/>
  <c r="M4" i="78"/>
  <c r="AK4" i="90"/>
  <c r="AD9" i="90"/>
  <c r="BJ5" i="90"/>
  <c r="AK9" i="90"/>
  <c r="W9" i="90"/>
  <c r="AA9" i="90" s="1"/>
  <c r="W6" i="90"/>
  <c r="AA6" i="90" s="1"/>
  <c r="AK5" i="90"/>
  <c r="AR6" i="90"/>
  <c r="AR9" i="90"/>
  <c r="AY7" i="90"/>
  <c r="BF7" i="90"/>
  <c r="AK8" i="90"/>
  <c r="AD7" i="90"/>
  <c r="BJ4" i="90"/>
  <c r="AD6" i="90"/>
  <c r="AR5" i="90"/>
  <c r="W8" i="90"/>
  <c r="AA8" i="90" s="1"/>
  <c r="AY8" i="90"/>
  <c r="BF8" i="90"/>
  <c r="BC5" i="90"/>
  <c r="K4" i="78"/>
  <c r="AD4" i="90"/>
  <c r="AK7" i="90"/>
  <c r="O62" i="89"/>
  <c r="K194" i="86"/>
  <c r="Y78" i="90"/>
  <c r="M78" i="89"/>
  <c r="BF72" i="90"/>
  <c r="BJ72" i="90" s="1"/>
  <c r="O248" i="75"/>
  <c r="Q78" i="89"/>
  <c r="BH78" i="90"/>
  <c r="BF12" i="90"/>
  <c r="S12" i="78"/>
  <c r="AT43" i="90"/>
  <c r="O249" i="75"/>
  <c r="Q4" i="78"/>
  <c r="N248" i="75"/>
  <c r="N249" i="75"/>
  <c r="Q38" i="78"/>
  <c r="O45" i="78"/>
  <c r="K12" i="78"/>
  <c r="M54" i="78"/>
  <c r="M63" i="78"/>
  <c r="AT20" i="90"/>
  <c r="AT62" i="90"/>
  <c r="BF45" i="90"/>
  <c r="Q58" i="78"/>
  <c r="Q17" i="78"/>
  <c r="Q5" i="78"/>
  <c r="AR12" i="90"/>
  <c r="O38" i="78"/>
  <c r="M38" i="78"/>
  <c r="M14" i="78"/>
  <c r="M12" i="78"/>
  <c r="K64" i="78"/>
  <c r="K45" i="78"/>
  <c r="K63" i="78"/>
  <c r="M7" i="78"/>
  <c r="M56" i="78"/>
  <c r="O44" i="78"/>
  <c r="Q67" i="78"/>
  <c r="Q65" i="78" s="1"/>
  <c r="O149" i="3"/>
  <c r="O150" i="3" s="1"/>
  <c r="K41" i="78"/>
  <c r="K8" i="78"/>
  <c r="K11" i="78"/>
  <c r="K38" i="78"/>
  <c r="I63" i="78"/>
  <c r="M67" i="78"/>
  <c r="M65" i="78" s="1"/>
  <c r="AK12" i="90"/>
  <c r="O67" i="78"/>
  <c r="O65" i="78" s="1"/>
  <c r="Q40" i="78"/>
  <c r="Q54" i="78"/>
  <c r="S21" i="78"/>
  <c r="Q16" i="78"/>
  <c r="M53" i="78"/>
  <c r="O14" i="78"/>
  <c r="AD32" i="90"/>
  <c r="Q45" i="78"/>
  <c r="AY12" i="90"/>
  <c r="K21" i="78"/>
  <c r="BF21" i="90"/>
  <c r="Q23" i="78"/>
  <c r="Q44" i="78"/>
  <c r="Q21" i="78"/>
  <c r="AK45" i="90"/>
  <c r="K24" i="78"/>
  <c r="O21" i="78"/>
  <c r="K44" i="78"/>
  <c r="O24" i="78"/>
  <c r="K53" i="78"/>
  <c r="I44" i="78"/>
  <c r="K58" i="78"/>
  <c r="M21" i="78"/>
  <c r="AY53" i="90"/>
  <c r="M24" i="78"/>
  <c r="K7" i="78"/>
  <c r="K67" i="78"/>
  <c r="K65" i="78" s="1"/>
  <c r="K54" i="78"/>
  <c r="M44" i="78"/>
  <c r="O56" i="78"/>
  <c r="M16" i="78"/>
  <c r="M76" i="78"/>
  <c r="AK76" i="90"/>
  <c r="AO76" i="90" s="1"/>
  <c r="K17" i="78"/>
  <c r="K72" i="78"/>
  <c r="AD72" i="90"/>
  <c r="K14" i="78"/>
  <c r="M41" i="78"/>
  <c r="M8" i="78"/>
  <c r="M40" i="78"/>
  <c r="O63" i="78"/>
  <c r="Q55" i="78"/>
  <c r="Q14" i="78"/>
  <c r="S58" i="78"/>
  <c r="BF58" i="90"/>
  <c r="BF11" i="90"/>
  <c r="S11" i="78"/>
  <c r="BF52" i="90"/>
  <c r="S52" i="78"/>
  <c r="AD21" i="90"/>
  <c r="S45" i="78"/>
  <c r="Q194" i="86"/>
  <c r="Q195" i="86" s="1"/>
  <c r="AK77" i="90"/>
  <c r="M77" i="78"/>
  <c r="O54" i="78"/>
  <c r="K76" i="78"/>
  <c r="AD76" i="90"/>
  <c r="AH76" i="90" s="1"/>
  <c r="Q61" i="78"/>
  <c r="O55" i="78"/>
  <c r="O51" i="78"/>
  <c r="AR76" i="90"/>
  <c r="AV76" i="90" s="1"/>
  <c r="O76" i="78"/>
  <c r="Q11" i="78"/>
  <c r="BF61" i="90"/>
  <c r="S5" i="78"/>
  <c r="S77" i="78"/>
  <c r="S78" i="78" s="1"/>
  <c r="BF77" i="90"/>
  <c r="BF78" i="90" s="1"/>
  <c r="BF51" i="90"/>
  <c r="S51" i="78"/>
  <c r="AD45" i="90"/>
  <c r="AY45" i="90"/>
  <c r="Q24" i="78"/>
  <c r="AR53" i="90"/>
  <c r="O23" i="78"/>
  <c r="AR45" i="90"/>
  <c r="O7" i="78"/>
  <c r="M55" i="78"/>
  <c r="O41" i="78"/>
  <c r="O8" i="78"/>
  <c r="O11" i="78"/>
  <c r="AR77" i="90"/>
  <c r="O77" i="78"/>
  <c r="Q51" i="78"/>
  <c r="S69" i="78"/>
  <c r="K78" i="89"/>
  <c r="AR16" i="90"/>
  <c r="S32" i="78"/>
  <c r="S24" i="78"/>
  <c r="AM78" i="90"/>
  <c r="O40" i="78"/>
  <c r="M17" i="78"/>
  <c r="I61" i="78"/>
  <c r="M72" i="78"/>
  <c r="AK72" i="90"/>
  <c r="AY69" i="90"/>
  <c r="Q69" i="78"/>
  <c r="AY72" i="90"/>
  <c r="Q72" i="78"/>
  <c r="AY76" i="90"/>
  <c r="BC76" i="90" s="1"/>
  <c r="Q76" i="78"/>
  <c r="S44" i="78"/>
  <c r="AD12" i="90"/>
  <c r="AY32" i="90"/>
  <c r="O32" i="78"/>
  <c r="O12" i="78"/>
  <c r="AA77" i="90"/>
  <c r="S78" i="89"/>
  <c r="Q6" i="78"/>
  <c r="BF14" i="90"/>
  <c r="S14" i="78"/>
  <c r="K77" i="78"/>
  <c r="AD77" i="90"/>
  <c r="AH77" i="90" s="1"/>
  <c r="K5" i="78"/>
  <c r="I58" i="78"/>
  <c r="M58" i="78"/>
  <c r="M51" i="78"/>
  <c r="O17" i="78"/>
  <c r="O69" i="78"/>
  <c r="AR69" i="90"/>
  <c r="O72" i="78"/>
  <c r="AR72" i="90"/>
  <c r="N247" i="75"/>
  <c r="AY77" i="90"/>
  <c r="Q77" i="78"/>
  <c r="BF64" i="90"/>
  <c r="S64" i="78"/>
  <c r="S23" i="78"/>
  <c r="BF15" i="90"/>
  <c r="M11" i="78"/>
  <c r="K61" i="78"/>
  <c r="M9" i="78"/>
  <c r="M61" i="78"/>
  <c r="M5" i="78"/>
  <c r="M64" i="78"/>
  <c r="K51" i="78"/>
  <c r="O6" i="78"/>
  <c r="O9" i="78"/>
  <c r="Q7" i="78"/>
  <c r="Q64" i="78"/>
  <c r="BF56" i="90"/>
  <c r="BJ56" i="90" s="1"/>
  <c r="BS56" i="90" s="1"/>
  <c r="S56" i="78"/>
  <c r="AD16" i="90"/>
  <c r="Q12" i="78"/>
  <c r="M32" i="78"/>
  <c r="AK21" i="90"/>
  <c r="AY21" i="90"/>
  <c r="P195" i="86"/>
  <c r="S17" i="78"/>
  <c r="BF17" i="90"/>
  <c r="BF55" i="90"/>
  <c r="S55" i="78"/>
  <c r="K9" i="78"/>
  <c r="M6" i="78"/>
  <c r="K56" i="78"/>
  <c r="I17" i="78"/>
  <c r="O58" i="78"/>
  <c r="Q63" i="78"/>
  <c r="O64" i="78"/>
  <c r="Q56" i="78"/>
  <c r="BF63" i="90"/>
  <c r="BF39" i="90"/>
  <c r="S39" i="78"/>
  <c r="AD23" i="90"/>
  <c r="S53" i="78"/>
  <c r="AR21" i="90"/>
  <c r="M15" i="78"/>
  <c r="Q15" i="78"/>
  <c r="K6" i="78"/>
  <c r="O61" i="78"/>
  <c r="O5" i="78"/>
  <c r="S4" i="78"/>
  <c r="S16" i="78"/>
  <c r="BF44" i="90"/>
  <c r="BJ44" i="90" s="1"/>
  <c r="BS44" i="90" s="1"/>
  <c r="K15" i="78"/>
  <c r="Q9" i="78"/>
  <c r="K69" i="78"/>
  <c r="AD69" i="90"/>
  <c r="I41" i="78"/>
  <c r="Q41" i="78"/>
  <c r="Q8" i="78"/>
  <c r="BF41" i="90"/>
  <c r="BF67" i="90"/>
  <c r="BF65" i="90" s="1"/>
  <c r="S67" i="78"/>
  <c r="S65" i="78" s="1"/>
  <c r="AK23" i="90"/>
  <c r="M45" i="78"/>
  <c r="K55" i="78"/>
  <c r="K40" i="78"/>
  <c r="BF40" i="90"/>
  <c r="S40" i="78"/>
  <c r="BF54" i="90"/>
  <c r="S54" i="78"/>
  <c r="BF38" i="90"/>
  <c r="S38" i="78"/>
  <c r="Y19" i="78"/>
  <c r="I37" i="78"/>
  <c r="CA73" i="90"/>
  <c r="U13" i="89"/>
  <c r="W13" i="89"/>
  <c r="I26" i="78"/>
  <c r="I33" i="78"/>
  <c r="I30" i="78"/>
  <c r="I31" i="78"/>
  <c r="I34" i="78"/>
  <c r="I27" i="78"/>
  <c r="U13" i="78"/>
  <c r="U19" i="78" s="1"/>
  <c r="W13" i="78"/>
  <c r="I28" i="78"/>
  <c r="I29" i="78"/>
  <c r="I35" i="78"/>
  <c r="BT73" i="90"/>
  <c r="Q253" i="75" s="1"/>
  <c r="Q255" i="75" s="1"/>
  <c r="BM73" i="90"/>
  <c r="S6" i="78"/>
  <c r="S41" i="78"/>
  <c r="S8" i="78"/>
  <c r="S9" i="78"/>
  <c r="S61" i="78"/>
  <c r="S7" i="78"/>
  <c r="S72" i="78"/>
  <c r="S63" i="78"/>
  <c r="AF78" i="90"/>
  <c r="I57" i="89"/>
  <c r="S57" i="89"/>
  <c r="Q62" i="89"/>
  <c r="I62" i="89"/>
  <c r="O57" i="89"/>
  <c r="Q57" i="89"/>
  <c r="S43" i="89"/>
  <c r="Q10" i="89"/>
  <c r="Q13" i="89" s="1"/>
  <c r="M62" i="89"/>
  <c r="K57" i="89"/>
  <c r="M10" i="89"/>
  <c r="M13" i="89" s="1"/>
  <c r="S62" i="89"/>
  <c r="I43" i="89"/>
  <c r="M57" i="89"/>
  <c r="K43" i="89"/>
  <c r="I10" i="89"/>
  <c r="I13" i="89" s="1"/>
  <c r="I19" i="89" s="1"/>
  <c r="K62" i="89"/>
  <c r="K50" i="89"/>
  <c r="O43" i="89"/>
  <c r="K20" i="89"/>
  <c r="S20" i="89"/>
  <c r="Q20" i="89"/>
  <c r="O20" i="89"/>
  <c r="M20" i="89"/>
  <c r="O50" i="89"/>
  <c r="K10" i="89"/>
  <c r="K13" i="89" s="1"/>
  <c r="K19" i="89" s="1"/>
  <c r="M43" i="89"/>
  <c r="O10" i="89"/>
  <c r="O13" i="89" s="1"/>
  <c r="O19" i="89" s="1"/>
  <c r="Q43" i="89"/>
  <c r="I50" i="89"/>
  <c r="S10" i="89"/>
  <c r="V12" i="89" s="1"/>
  <c r="I20" i="89"/>
  <c r="O194" i="86"/>
  <c r="O195" i="86" s="1"/>
  <c r="M134" i="85"/>
  <c r="N194" i="86"/>
  <c r="N195" i="86" s="1"/>
  <c r="BA62" i="90"/>
  <c r="AM62" i="90"/>
  <c r="K132" i="85"/>
  <c r="K134" i="85" s="1"/>
  <c r="AF20" i="90"/>
  <c r="N134" i="85"/>
  <c r="BA57" i="90"/>
  <c r="BH57" i="90"/>
  <c r="AO15" i="90"/>
  <c r="O134" i="85"/>
  <c r="L134" i="85"/>
  <c r="AF62" i="90"/>
  <c r="BH62" i="90"/>
  <c r="AF43" i="90"/>
  <c r="AT57" i="90"/>
  <c r="BH10" i="90"/>
  <c r="BI24" i="90" s="1"/>
  <c r="AM10" i="90"/>
  <c r="AN24" i="90" s="1"/>
  <c r="AM57" i="90"/>
  <c r="AF10" i="90"/>
  <c r="AG41" i="90" s="1"/>
  <c r="BA10" i="90"/>
  <c r="BB24" i="90" s="1"/>
  <c r="AF57" i="90"/>
  <c r="AT10" i="90"/>
  <c r="AU24" i="90" s="1"/>
  <c r="AF50" i="90"/>
  <c r="Y62" i="90"/>
  <c r="Y10" i="90"/>
  <c r="Z67" i="90" s="1"/>
  <c r="AA4" i="90"/>
  <c r="Y57" i="90"/>
  <c r="J134" i="85"/>
  <c r="W25" i="90"/>
  <c r="W22" i="90"/>
  <c r="W37" i="90"/>
  <c r="W36" i="90"/>
  <c r="W35" i="90"/>
  <c r="W30" i="90"/>
  <c r="W31" i="90"/>
  <c r="W34" i="90"/>
  <c r="W27" i="90"/>
  <c r="W28" i="90"/>
  <c r="W29" i="90"/>
  <c r="W26" i="90"/>
  <c r="W33" i="90"/>
  <c r="W17" i="90"/>
  <c r="P54" i="90"/>
  <c r="AK44" i="90"/>
  <c r="AO44" i="90" s="1"/>
  <c r="P56" i="90"/>
  <c r="W44" i="90"/>
  <c r="AA44" i="90" s="1"/>
  <c r="P11" i="90"/>
  <c r="W63" i="90"/>
  <c r="AA63" i="90" s="1"/>
  <c r="AY44" i="90"/>
  <c r="BC44" i="90" s="1"/>
  <c r="AH15" i="90"/>
  <c r="AD40" i="90"/>
  <c r="AK11" i="90"/>
  <c r="AO11" i="90" s="1"/>
  <c r="P64" i="90"/>
  <c r="AR17" i="90"/>
  <c r="AR15" i="90"/>
  <c r="AK41" i="90"/>
  <c r="AO41" i="90" s="1"/>
  <c r="AK17" i="90"/>
  <c r="AK55" i="90"/>
  <c r="AO55" i="90" s="1"/>
  <c r="AK51" i="90"/>
  <c r="AR44" i="90"/>
  <c r="AD55" i="90"/>
  <c r="AH55" i="90" s="1"/>
  <c r="AD51" i="90"/>
  <c r="AR58" i="90"/>
  <c r="AY63" i="90"/>
  <c r="AR64" i="90"/>
  <c r="AY64" i="90"/>
  <c r="W61" i="90"/>
  <c r="AA61" i="90" s="1"/>
  <c r="W15" i="90"/>
  <c r="AA15" i="90" s="1"/>
  <c r="AD17" i="90"/>
  <c r="AH17" i="90" s="1"/>
  <c r="W58" i="90"/>
  <c r="AK58" i="90"/>
  <c r="AO58" i="90" s="1"/>
  <c r="AR61" i="90"/>
  <c r="AR56" i="90"/>
  <c r="AY56" i="90"/>
  <c r="AK61" i="90"/>
  <c r="AK64" i="90"/>
  <c r="AO64" i="90" s="1"/>
  <c r="P55" i="90"/>
  <c r="P67" i="90"/>
  <c r="P38" i="90"/>
  <c r="AY41" i="90"/>
  <c r="AR39" i="90"/>
  <c r="AY39" i="90"/>
  <c r="AD14" i="90"/>
  <c r="AH14" i="90" s="1"/>
  <c r="AD41" i="90"/>
  <c r="BC15" i="90"/>
  <c r="AD11" i="90"/>
  <c r="AH11" i="90" s="1"/>
  <c r="AD58" i="90"/>
  <c r="AD64" i="90"/>
  <c r="AH64" i="90" s="1"/>
  <c r="P40" i="90"/>
  <c r="AD61" i="90"/>
  <c r="AK39" i="90"/>
  <c r="AO39" i="90" s="1"/>
  <c r="P14" i="90"/>
  <c r="AY17" i="90"/>
  <c r="AR67" i="90"/>
  <c r="AR38" i="90"/>
  <c r="AY67" i="90"/>
  <c r="AY65" i="90" s="1"/>
  <c r="AY38" i="90"/>
  <c r="BC38" i="90" s="1"/>
  <c r="AR40" i="90"/>
  <c r="AR54" i="90"/>
  <c r="AY40" i="90"/>
  <c r="BC40" i="90" s="1"/>
  <c r="AY54" i="90"/>
  <c r="AK56" i="90"/>
  <c r="AO56" i="90" s="1"/>
  <c r="AK38" i="90"/>
  <c r="AO38" i="90" s="1"/>
  <c r="AR63" i="90"/>
  <c r="AY58" i="90"/>
  <c r="AR14" i="90"/>
  <c r="AY14" i="90"/>
  <c r="AK63" i="90"/>
  <c r="AK67" i="90"/>
  <c r="AK54" i="90"/>
  <c r="AO54" i="90" s="1"/>
  <c r="AK52" i="90"/>
  <c r="AY61" i="90"/>
  <c r="AR55" i="90"/>
  <c r="AR52" i="90"/>
  <c r="AY55" i="90"/>
  <c r="AY52" i="90"/>
  <c r="AD44" i="90"/>
  <c r="AD63" i="90"/>
  <c r="AK40" i="90"/>
  <c r="AO40" i="90" s="1"/>
  <c r="AD39" i="90"/>
  <c r="AH39" i="90" s="1"/>
  <c r="W41" i="90"/>
  <c r="AA41" i="90" s="1"/>
  <c r="AD56" i="90"/>
  <c r="AH56" i="90" s="1"/>
  <c r="AD38" i="90"/>
  <c r="AH38" i="90" s="1"/>
  <c r="AD67" i="90"/>
  <c r="AD54" i="90"/>
  <c r="AH54" i="90" s="1"/>
  <c r="AD52" i="90"/>
  <c r="AH52" i="90" s="1"/>
  <c r="AK14" i="90"/>
  <c r="AO14" i="90" s="1"/>
  <c r="AR41" i="90"/>
  <c r="AR11" i="90"/>
  <c r="AR51" i="90"/>
  <c r="AY11" i="90"/>
  <c r="AY51" i="90"/>
  <c r="P51" i="90"/>
  <c r="M194" i="86"/>
  <c r="L194" i="86"/>
  <c r="L195" i="86" s="1"/>
  <c r="J194" i="86"/>
  <c r="N149" i="3"/>
  <c r="L149" i="3"/>
  <c r="L150" i="3" s="1"/>
  <c r="K149" i="3"/>
  <c r="K150" i="3" s="1"/>
  <c r="M149" i="3"/>
  <c r="M248" i="75"/>
  <c r="L248" i="75"/>
  <c r="J248" i="75"/>
  <c r="M247" i="75"/>
  <c r="L247" i="75"/>
  <c r="K249" i="75"/>
  <c r="L249" i="75"/>
  <c r="I249" i="75"/>
  <c r="K248" i="75"/>
  <c r="M249" i="75"/>
  <c r="J148" i="3"/>
  <c r="J149" i="3"/>
  <c r="K247" i="75"/>
  <c r="J245" i="75"/>
  <c r="J123" i="75"/>
  <c r="I23" i="78" s="1"/>
  <c r="J125" i="75"/>
  <c r="I52" i="78" s="1"/>
  <c r="J126" i="75"/>
  <c r="J127" i="75"/>
  <c r="J130" i="75"/>
  <c r="J131" i="75"/>
  <c r="I53" i="78" s="1"/>
  <c r="J132" i="75"/>
  <c r="I24" i="78" s="1"/>
  <c r="J133" i="75"/>
  <c r="J134" i="75"/>
  <c r="J135" i="75"/>
  <c r="J137" i="75"/>
  <c r="J138" i="75"/>
  <c r="J140" i="75"/>
  <c r="J141" i="75"/>
  <c r="J142" i="75"/>
  <c r="J143" i="75"/>
  <c r="J144" i="75"/>
  <c r="J145" i="75"/>
  <c r="J146" i="75"/>
  <c r="J147" i="75"/>
  <c r="J148" i="75"/>
  <c r="J149" i="75"/>
  <c r="J150" i="75"/>
  <c r="J151" i="75"/>
  <c r="J152" i="75"/>
  <c r="J153" i="75"/>
  <c r="J154" i="75"/>
  <c r="J155" i="75"/>
  <c r="J156" i="75"/>
  <c r="J157" i="75"/>
  <c r="J158" i="75"/>
  <c r="J162" i="75"/>
  <c r="J171" i="75"/>
  <c r="J176" i="75"/>
  <c r="J177" i="75"/>
  <c r="J179" i="75"/>
  <c r="I39" i="78" s="1"/>
  <c r="J180" i="75"/>
  <c r="J181" i="75"/>
  <c r="J182" i="75"/>
  <c r="J183" i="75"/>
  <c r="I72" i="78" s="1"/>
  <c r="J185" i="75"/>
  <c r="I16" i="78" s="1"/>
  <c r="J186" i="75"/>
  <c r="J189" i="75"/>
  <c r="J190" i="75"/>
  <c r="J191" i="75"/>
  <c r="J192" i="75"/>
  <c r="J193" i="75"/>
  <c r="J197" i="75"/>
  <c r="J198" i="75"/>
  <c r="J199" i="75"/>
  <c r="J200" i="75"/>
  <c r="J201" i="75"/>
  <c r="J206" i="75"/>
  <c r="J208" i="75"/>
  <c r="J209" i="75"/>
  <c r="J210" i="75"/>
  <c r="J211" i="75"/>
  <c r="J212" i="75"/>
  <c r="J213" i="75"/>
  <c r="J214" i="75"/>
  <c r="J215" i="75"/>
  <c r="J216" i="75"/>
  <c r="J217" i="75"/>
  <c r="J218" i="75"/>
  <c r="J219" i="75"/>
  <c r="J220" i="75"/>
  <c r="J221" i="75"/>
  <c r="J222" i="75"/>
  <c r="J223" i="75"/>
  <c r="J224" i="75"/>
  <c r="J226" i="75"/>
  <c r="J227" i="75"/>
  <c r="J228" i="75"/>
  <c r="J229" i="75"/>
  <c r="J230" i="75"/>
  <c r="J231" i="75"/>
  <c r="I32" i="78" s="1"/>
  <c r="J232" i="75"/>
  <c r="J233" i="75"/>
  <c r="J234" i="75"/>
  <c r="J236" i="75"/>
  <c r="J237" i="75"/>
  <c r="J238" i="75"/>
  <c r="J239" i="75"/>
  <c r="J240" i="75"/>
  <c r="J122" i="75"/>
  <c r="CJ71" i="90"/>
  <c r="CH71" i="90"/>
  <c r="T71" i="90"/>
  <c r="AC71" i="90" s="1"/>
  <c r="M71" i="90"/>
  <c r="G71" i="90"/>
  <c r="CJ70" i="90"/>
  <c r="CH70" i="90"/>
  <c r="T70" i="90"/>
  <c r="AC70" i="90" s="1"/>
  <c r="M70" i="90"/>
  <c r="G70" i="90"/>
  <c r="CJ66" i="90"/>
  <c r="CH66" i="90"/>
  <c r="T66" i="90"/>
  <c r="AC66" i="90" s="1"/>
  <c r="M66" i="90"/>
  <c r="G66" i="90"/>
  <c r="CJ60" i="90"/>
  <c r="CH60" i="90"/>
  <c r="T60" i="90"/>
  <c r="AC60" i="90" s="1"/>
  <c r="M60" i="90"/>
  <c r="G60" i="90"/>
  <c r="CJ59" i="90"/>
  <c r="CH59" i="90"/>
  <c r="T59" i="90"/>
  <c r="AC59" i="90" s="1"/>
  <c r="M59" i="90"/>
  <c r="G59" i="90"/>
  <c r="CL47" i="90"/>
  <c r="CJ47" i="90"/>
  <c r="CH47" i="90"/>
  <c r="AA70" i="89"/>
  <c r="AA47" i="89"/>
  <c r="AA47" i="78"/>
  <c r="G76" i="85"/>
  <c r="H76" i="85"/>
  <c r="I76" i="85"/>
  <c r="I131" i="85"/>
  <c r="H131" i="85"/>
  <c r="G131" i="85"/>
  <c r="I130" i="85"/>
  <c r="H130" i="85"/>
  <c r="G130" i="85"/>
  <c r="I129" i="85"/>
  <c r="H129" i="85"/>
  <c r="G129" i="85"/>
  <c r="I128" i="85"/>
  <c r="H128" i="85"/>
  <c r="G128" i="85"/>
  <c r="H127" i="85"/>
  <c r="G127" i="85"/>
  <c r="I126" i="85"/>
  <c r="H126" i="85"/>
  <c r="G126" i="85"/>
  <c r="I125" i="85"/>
  <c r="H125" i="85"/>
  <c r="G125" i="85"/>
  <c r="I124" i="85"/>
  <c r="H124" i="85"/>
  <c r="G124" i="85"/>
  <c r="I123" i="85"/>
  <c r="H123" i="85"/>
  <c r="G123" i="85"/>
  <c r="I122" i="85"/>
  <c r="H122" i="85"/>
  <c r="G122" i="85"/>
  <c r="I121" i="85"/>
  <c r="H121" i="85"/>
  <c r="G121" i="85"/>
  <c r="I120" i="85"/>
  <c r="H120" i="85"/>
  <c r="G120" i="85"/>
  <c r="I119" i="85"/>
  <c r="H119" i="85"/>
  <c r="G119" i="85"/>
  <c r="I118" i="85"/>
  <c r="H118" i="85"/>
  <c r="G118" i="85"/>
  <c r="I117" i="85"/>
  <c r="H117" i="85"/>
  <c r="G117" i="85"/>
  <c r="I116" i="85"/>
  <c r="H116" i="85"/>
  <c r="G116" i="85"/>
  <c r="I115" i="85"/>
  <c r="H115" i="85"/>
  <c r="G115" i="85"/>
  <c r="I114" i="85"/>
  <c r="H114" i="85"/>
  <c r="G114" i="85"/>
  <c r="I113" i="85"/>
  <c r="H113" i="85"/>
  <c r="G113" i="85"/>
  <c r="I112" i="85"/>
  <c r="H112" i="85"/>
  <c r="G112" i="85"/>
  <c r="I111" i="85"/>
  <c r="H111" i="85"/>
  <c r="G111" i="85"/>
  <c r="I106" i="85"/>
  <c r="H106" i="85"/>
  <c r="G106" i="85"/>
  <c r="I110" i="85"/>
  <c r="H110" i="85"/>
  <c r="G110" i="85"/>
  <c r="I109" i="85"/>
  <c r="H109" i="85"/>
  <c r="G109" i="85"/>
  <c r="C36" i="89" s="1"/>
  <c r="I108" i="85"/>
  <c r="H108" i="85"/>
  <c r="G108" i="85"/>
  <c r="I107" i="85"/>
  <c r="H107" i="85"/>
  <c r="G107" i="85"/>
  <c r="I105" i="85"/>
  <c r="H105" i="85"/>
  <c r="G105" i="85"/>
  <c r="I104" i="85"/>
  <c r="H104" i="85"/>
  <c r="G104" i="85"/>
  <c r="I103" i="85"/>
  <c r="H103" i="85"/>
  <c r="G103" i="85"/>
  <c r="I102" i="85"/>
  <c r="H102" i="85"/>
  <c r="G102" i="85"/>
  <c r="I101" i="85"/>
  <c r="H101" i="85"/>
  <c r="G101" i="85"/>
  <c r="I100" i="85"/>
  <c r="H100" i="85"/>
  <c r="G100" i="85"/>
  <c r="I99" i="85"/>
  <c r="H99" i="85"/>
  <c r="G99" i="85"/>
  <c r="I98" i="85"/>
  <c r="H98" i="85"/>
  <c r="G98" i="85"/>
  <c r="I97" i="85"/>
  <c r="H97" i="85"/>
  <c r="G97" i="85"/>
  <c r="I96" i="85"/>
  <c r="H96" i="85"/>
  <c r="G96" i="85"/>
  <c r="I95" i="85"/>
  <c r="H95" i="85"/>
  <c r="G95" i="85"/>
  <c r="I94" i="85"/>
  <c r="H94" i="85"/>
  <c r="G94" i="85"/>
  <c r="I93" i="85"/>
  <c r="H93" i="85"/>
  <c r="G93" i="85"/>
  <c r="I92" i="85"/>
  <c r="H92" i="85"/>
  <c r="G92" i="85"/>
  <c r="I91" i="85"/>
  <c r="H91" i="85"/>
  <c r="G91" i="85"/>
  <c r="I90" i="85"/>
  <c r="H90" i="85"/>
  <c r="G90" i="85"/>
  <c r="I89" i="85"/>
  <c r="H89" i="85"/>
  <c r="G89" i="85"/>
  <c r="I88" i="85"/>
  <c r="H88" i="85"/>
  <c r="G88" i="85"/>
  <c r="I87" i="85"/>
  <c r="H87" i="85"/>
  <c r="G87" i="85"/>
  <c r="I86" i="85"/>
  <c r="H86" i="85"/>
  <c r="G86" i="85"/>
  <c r="I85" i="85"/>
  <c r="H85" i="85"/>
  <c r="G85" i="85"/>
  <c r="I84" i="85"/>
  <c r="H84" i="85"/>
  <c r="G84" i="85"/>
  <c r="I83" i="85"/>
  <c r="H83" i="85"/>
  <c r="G83" i="85"/>
  <c r="I82" i="85"/>
  <c r="H82" i="85"/>
  <c r="G82" i="85"/>
  <c r="I81" i="85"/>
  <c r="H81" i="85"/>
  <c r="G81" i="85"/>
  <c r="I80" i="85"/>
  <c r="H80" i="85"/>
  <c r="G80" i="85"/>
  <c r="I79" i="85"/>
  <c r="H79" i="85"/>
  <c r="G79" i="85"/>
  <c r="I78" i="85"/>
  <c r="H78" i="85"/>
  <c r="G78" i="85"/>
  <c r="I77" i="85"/>
  <c r="H77" i="85"/>
  <c r="G77" i="85"/>
  <c r="I75" i="85"/>
  <c r="H75" i="85"/>
  <c r="G75" i="85"/>
  <c r="I74" i="85"/>
  <c r="H74" i="85"/>
  <c r="G74" i="85"/>
  <c r="I73" i="85"/>
  <c r="H73" i="85"/>
  <c r="G73" i="85"/>
  <c r="I72" i="85"/>
  <c r="H72" i="85"/>
  <c r="G72" i="85"/>
  <c r="I71" i="85"/>
  <c r="H71" i="85"/>
  <c r="G71" i="85"/>
  <c r="I70" i="85"/>
  <c r="H70" i="85"/>
  <c r="G70" i="85"/>
  <c r="I69" i="85"/>
  <c r="H69" i="85"/>
  <c r="G69" i="85"/>
  <c r="I68" i="85"/>
  <c r="H68" i="85"/>
  <c r="G68" i="85"/>
  <c r="I67" i="85"/>
  <c r="H67" i="85"/>
  <c r="G67" i="85"/>
  <c r="I66" i="85"/>
  <c r="H66" i="85"/>
  <c r="G66" i="85"/>
  <c r="I65" i="85"/>
  <c r="H65" i="85"/>
  <c r="G65" i="85"/>
  <c r="I64" i="85"/>
  <c r="H64" i="85"/>
  <c r="G64" i="85"/>
  <c r="I63" i="85"/>
  <c r="H63" i="85"/>
  <c r="G63" i="85"/>
  <c r="I62" i="85"/>
  <c r="H62" i="85"/>
  <c r="G62" i="85"/>
  <c r="I61" i="85"/>
  <c r="H61" i="85"/>
  <c r="G61" i="85"/>
  <c r="I60" i="85"/>
  <c r="H60" i="85"/>
  <c r="G60" i="85"/>
  <c r="I59" i="85"/>
  <c r="H59" i="85"/>
  <c r="G59" i="85"/>
  <c r="I58" i="85"/>
  <c r="H58" i="85"/>
  <c r="G58" i="85"/>
  <c r="I57" i="85"/>
  <c r="H57" i="85"/>
  <c r="G57" i="85"/>
  <c r="I56" i="85"/>
  <c r="H56" i="85"/>
  <c r="G56" i="85"/>
  <c r="I55" i="85"/>
  <c r="H55" i="85"/>
  <c r="G55" i="85"/>
  <c r="I54" i="85"/>
  <c r="H54" i="85"/>
  <c r="G54" i="85"/>
  <c r="I53" i="85"/>
  <c r="H53" i="85"/>
  <c r="G53" i="85"/>
  <c r="I52" i="85"/>
  <c r="H52" i="85"/>
  <c r="G52" i="85"/>
  <c r="I51" i="85"/>
  <c r="H51" i="85"/>
  <c r="G51" i="85"/>
  <c r="I49" i="85"/>
  <c r="H49" i="85"/>
  <c r="G49" i="85"/>
  <c r="I48" i="85"/>
  <c r="H48" i="85"/>
  <c r="G48" i="85"/>
  <c r="I47" i="85"/>
  <c r="H47" i="85"/>
  <c r="G47" i="85"/>
  <c r="I46" i="85"/>
  <c r="H46" i="85"/>
  <c r="G46" i="85"/>
  <c r="I45" i="85"/>
  <c r="H45" i="85"/>
  <c r="G45" i="85"/>
  <c r="I44" i="85"/>
  <c r="H44" i="85"/>
  <c r="G44" i="85"/>
  <c r="I43" i="85"/>
  <c r="H43" i="85"/>
  <c r="G43" i="85"/>
  <c r="I42" i="85"/>
  <c r="H42" i="85"/>
  <c r="G42" i="85"/>
  <c r="I41" i="85"/>
  <c r="H41" i="85"/>
  <c r="G41" i="85"/>
  <c r="I40" i="85"/>
  <c r="H40" i="85"/>
  <c r="G40" i="85"/>
  <c r="I39" i="85"/>
  <c r="H39" i="85"/>
  <c r="G39" i="85"/>
  <c r="I38" i="85"/>
  <c r="H38" i="85"/>
  <c r="G38" i="85"/>
  <c r="I37" i="85"/>
  <c r="H37" i="85"/>
  <c r="G37" i="85"/>
  <c r="I36" i="85"/>
  <c r="H36" i="85"/>
  <c r="G36" i="85"/>
  <c r="I35" i="85"/>
  <c r="H35" i="85"/>
  <c r="G35" i="85"/>
  <c r="I34" i="85"/>
  <c r="H34" i="85"/>
  <c r="G34" i="85"/>
  <c r="I33" i="85"/>
  <c r="H33" i="85"/>
  <c r="G33" i="85"/>
  <c r="I32" i="85"/>
  <c r="H32" i="85"/>
  <c r="G32" i="85"/>
  <c r="C25" i="89" s="1"/>
  <c r="I31" i="85"/>
  <c r="H31" i="85"/>
  <c r="G31" i="85"/>
  <c r="I30" i="85"/>
  <c r="H30" i="85"/>
  <c r="G30" i="85"/>
  <c r="I29" i="85"/>
  <c r="H29" i="85"/>
  <c r="G29" i="85"/>
  <c r="I28" i="85"/>
  <c r="H28" i="85"/>
  <c r="G28" i="85"/>
  <c r="I27" i="85"/>
  <c r="H27" i="85"/>
  <c r="G27" i="85"/>
  <c r="I26" i="85"/>
  <c r="H26" i="85"/>
  <c r="G26" i="85"/>
  <c r="I25" i="85"/>
  <c r="H25" i="85"/>
  <c r="G25" i="85"/>
  <c r="I24" i="85"/>
  <c r="H24" i="85"/>
  <c r="G24" i="85"/>
  <c r="I23" i="85"/>
  <c r="H23" i="85"/>
  <c r="G23" i="85"/>
  <c r="I22" i="85"/>
  <c r="H22" i="85"/>
  <c r="G22" i="85"/>
  <c r="I21" i="85"/>
  <c r="H21" i="85"/>
  <c r="G21" i="85"/>
  <c r="I20" i="85"/>
  <c r="H20" i="85"/>
  <c r="G20" i="85"/>
  <c r="I18" i="85"/>
  <c r="H18" i="85"/>
  <c r="G18" i="85"/>
  <c r="I17" i="85"/>
  <c r="H17" i="85"/>
  <c r="G17" i="85"/>
  <c r="I16" i="85"/>
  <c r="H16" i="85"/>
  <c r="G16" i="85"/>
  <c r="I15" i="85"/>
  <c r="H15" i="85"/>
  <c r="G15" i="85"/>
  <c r="I14" i="85"/>
  <c r="H14" i="85"/>
  <c r="G14" i="85"/>
  <c r="I12" i="85"/>
  <c r="H12" i="85"/>
  <c r="G12" i="85"/>
  <c r="I11" i="85"/>
  <c r="H11" i="85"/>
  <c r="G11" i="85"/>
  <c r="I10" i="85"/>
  <c r="H10" i="85"/>
  <c r="G10" i="85"/>
  <c r="I9" i="85"/>
  <c r="H9" i="85"/>
  <c r="G9" i="85"/>
  <c r="C22" i="89" s="1"/>
  <c r="I8" i="85"/>
  <c r="H8" i="85"/>
  <c r="G8" i="85"/>
  <c r="I7" i="85"/>
  <c r="H7" i="85"/>
  <c r="G7" i="85"/>
  <c r="I6" i="85"/>
  <c r="H6" i="85"/>
  <c r="G6" i="85"/>
  <c r="I5" i="85"/>
  <c r="H5" i="85"/>
  <c r="G5" i="85"/>
  <c r="I4" i="85"/>
  <c r="H4" i="85"/>
  <c r="G4" i="85"/>
  <c r="I3" i="85"/>
  <c r="H3" i="85"/>
  <c r="G3" i="85"/>
  <c r="G175" i="86"/>
  <c r="H175" i="86"/>
  <c r="I175" i="86"/>
  <c r="B175" i="86"/>
  <c r="B34" i="86"/>
  <c r="G34" i="86"/>
  <c r="H34" i="86"/>
  <c r="I34" i="86"/>
  <c r="B142" i="86"/>
  <c r="G142" i="86"/>
  <c r="H142" i="86"/>
  <c r="I142" i="86"/>
  <c r="G89" i="86"/>
  <c r="H89" i="86"/>
  <c r="I89" i="86"/>
  <c r="B89" i="86"/>
  <c r="G12" i="86"/>
  <c r="H12" i="86"/>
  <c r="I12" i="86"/>
  <c r="B12" i="86"/>
  <c r="B67" i="86"/>
  <c r="G67" i="86"/>
  <c r="H67" i="86"/>
  <c r="I67" i="86"/>
  <c r="G45" i="86"/>
  <c r="H45" i="86"/>
  <c r="I45" i="86"/>
  <c r="B45" i="86"/>
  <c r="I184" i="86"/>
  <c r="H184" i="86"/>
  <c r="G184" i="86"/>
  <c r="I183" i="86"/>
  <c r="H183" i="86"/>
  <c r="G183" i="86"/>
  <c r="I182" i="86"/>
  <c r="H182" i="86"/>
  <c r="G182" i="86"/>
  <c r="I181" i="86"/>
  <c r="H181" i="86"/>
  <c r="G181" i="86"/>
  <c r="I180" i="86"/>
  <c r="H180" i="86"/>
  <c r="G180" i="86"/>
  <c r="I179" i="86"/>
  <c r="H179" i="86"/>
  <c r="G179" i="86"/>
  <c r="I178" i="86"/>
  <c r="H178" i="86"/>
  <c r="G178" i="86"/>
  <c r="I177" i="86"/>
  <c r="H177" i="86"/>
  <c r="G177" i="86"/>
  <c r="I176" i="86"/>
  <c r="H176" i="86"/>
  <c r="G176" i="86"/>
  <c r="I174" i="86"/>
  <c r="H174" i="86"/>
  <c r="G174" i="86"/>
  <c r="I173" i="86"/>
  <c r="H173" i="86"/>
  <c r="G173" i="86"/>
  <c r="I172" i="86"/>
  <c r="H172" i="86"/>
  <c r="G172" i="86"/>
  <c r="I171" i="86"/>
  <c r="H171" i="86"/>
  <c r="G171" i="86"/>
  <c r="I170" i="86"/>
  <c r="H170" i="86"/>
  <c r="G170" i="86"/>
  <c r="I169" i="86"/>
  <c r="H169" i="86"/>
  <c r="G169" i="86"/>
  <c r="I168" i="86"/>
  <c r="H168" i="86"/>
  <c r="G168" i="86"/>
  <c r="I166" i="86"/>
  <c r="H166" i="86"/>
  <c r="G166" i="86"/>
  <c r="I165" i="86"/>
  <c r="H165" i="86"/>
  <c r="G165" i="86"/>
  <c r="I164" i="86"/>
  <c r="H164" i="86"/>
  <c r="G164" i="86"/>
  <c r="I163" i="86"/>
  <c r="H163" i="86"/>
  <c r="G163" i="86"/>
  <c r="I162" i="86"/>
  <c r="H162" i="86"/>
  <c r="G162" i="86"/>
  <c r="I161" i="86"/>
  <c r="H161" i="86"/>
  <c r="G161" i="86"/>
  <c r="I160" i="86"/>
  <c r="H160" i="86"/>
  <c r="G160" i="86"/>
  <c r="I159" i="86"/>
  <c r="H159" i="86"/>
  <c r="G159" i="86"/>
  <c r="I158" i="86"/>
  <c r="H158" i="86"/>
  <c r="G158" i="86"/>
  <c r="I157" i="86"/>
  <c r="H157" i="86"/>
  <c r="G157" i="86"/>
  <c r="I156" i="86"/>
  <c r="H156" i="86"/>
  <c r="G156" i="86"/>
  <c r="I155" i="86"/>
  <c r="H155" i="86"/>
  <c r="G155" i="86"/>
  <c r="I154" i="86"/>
  <c r="H154" i="86"/>
  <c r="G154" i="86"/>
  <c r="I153" i="86"/>
  <c r="H153" i="86"/>
  <c r="G153" i="86"/>
  <c r="I152" i="86"/>
  <c r="H152" i="86"/>
  <c r="G152" i="86"/>
  <c r="I150" i="86"/>
  <c r="H150" i="86"/>
  <c r="G150" i="86"/>
  <c r="I147" i="86"/>
  <c r="H147" i="86"/>
  <c r="G147" i="86"/>
  <c r="I146" i="86"/>
  <c r="R69" i="90" s="1"/>
  <c r="H146" i="86"/>
  <c r="G146" i="86"/>
  <c r="C69" i="89" s="1"/>
  <c r="I145" i="86"/>
  <c r="H145" i="86"/>
  <c r="G145" i="86"/>
  <c r="I144" i="86"/>
  <c r="H144" i="86"/>
  <c r="G144" i="86"/>
  <c r="I143" i="86"/>
  <c r="H143" i="86"/>
  <c r="G143" i="86"/>
  <c r="I141" i="86"/>
  <c r="H141" i="86"/>
  <c r="G141" i="86"/>
  <c r="I140" i="86"/>
  <c r="H140" i="86"/>
  <c r="G140" i="86"/>
  <c r="I139" i="86"/>
  <c r="H139" i="86"/>
  <c r="G139" i="86"/>
  <c r="I138" i="86"/>
  <c r="H138" i="86"/>
  <c r="G138" i="86"/>
  <c r="I137" i="86"/>
  <c r="H137" i="86"/>
  <c r="G137" i="86"/>
  <c r="I136" i="86"/>
  <c r="H136" i="86"/>
  <c r="G136" i="86"/>
  <c r="I135" i="86"/>
  <c r="H135" i="86"/>
  <c r="G135" i="86"/>
  <c r="I134" i="86"/>
  <c r="H134" i="86"/>
  <c r="G134" i="86"/>
  <c r="I133" i="86"/>
  <c r="H133" i="86"/>
  <c r="G133" i="86"/>
  <c r="I132" i="86"/>
  <c r="H132" i="86"/>
  <c r="G132" i="86"/>
  <c r="I131" i="86"/>
  <c r="H131" i="86"/>
  <c r="G131" i="86"/>
  <c r="I130" i="86"/>
  <c r="R39" i="90" s="1"/>
  <c r="H130" i="86"/>
  <c r="G130" i="86"/>
  <c r="C39" i="89" s="1"/>
  <c r="I129" i="86"/>
  <c r="H129" i="86"/>
  <c r="G129" i="86"/>
  <c r="I128" i="86"/>
  <c r="H128" i="86"/>
  <c r="G128" i="86"/>
  <c r="I127" i="86"/>
  <c r="H127" i="86"/>
  <c r="G127" i="86"/>
  <c r="I123" i="86"/>
  <c r="G123" i="86"/>
  <c r="I114" i="86"/>
  <c r="H114" i="86"/>
  <c r="G114" i="86"/>
  <c r="I110" i="86"/>
  <c r="H110" i="86"/>
  <c r="G110" i="86"/>
  <c r="I109" i="86"/>
  <c r="H109" i="86"/>
  <c r="G109" i="86"/>
  <c r="I108" i="86"/>
  <c r="H108" i="86"/>
  <c r="G108" i="86"/>
  <c r="I105" i="86"/>
  <c r="H105" i="86"/>
  <c r="G105" i="86"/>
  <c r="I104" i="86"/>
  <c r="H104" i="86"/>
  <c r="G104" i="86"/>
  <c r="I103" i="86"/>
  <c r="H103" i="86"/>
  <c r="G103" i="86"/>
  <c r="I102" i="86"/>
  <c r="H102" i="86"/>
  <c r="G102" i="86"/>
  <c r="I101" i="86"/>
  <c r="H101" i="86"/>
  <c r="G101" i="86"/>
  <c r="I100" i="86"/>
  <c r="H100" i="86"/>
  <c r="G100" i="86"/>
  <c r="I99" i="86"/>
  <c r="H99" i="86"/>
  <c r="G99" i="86"/>
  <c r="I98" i="86"/>
  <c r="H98" i="86"/>
  <c r="G98" i="86"/>
  <c r="I97" i="86"/>
  <c r="H97" i="86"/>
  <c r="G97" i="86"/>
  <c r="I96" i="86"/>
  <c r="H96" i="86"/>
  <c r="G96" i="86"/>
  <c r="I95" i="86"/>
  <c r="H95" i="86"/>
  <c r="G95" i="86"/>
  <c r="I94" i="86"/>
  <c r="H94" i="86"/>
  <c r="G94" i="86"/>
  <c r="I93" i="86"/>
  <c r="H93" i="86"/>
  <c r="G93" i="86"/>
  <c r="I92" i="86"/>
  <c r="H92" i="86"/>
  <c r="G92" i="86"/>
  <c r="I91" i="86"/>
  <c r="H91" i="86"/>
  <c r="G91" i="86"/>
  <c r="I90" i="86"/>
  <c r="H90" i="86"/>
  <c r="G90" i="86"/>
  <c r="I88" i="86"/>
  <c r="H88" i="86"/>
  <c r="G88" i="86"/>
  <c r="I87" i="86"/>
  <c r="H87" i="86"/>
  <c r="G87" i="86"/>
  <c r="I86" i="86"/>
  <c r="H86" i="86"/>
  <c r="G86" i="86"/>
  <c r="I85" i="86"/>
  <c r="H85" i="86"/>
  <c r="G85" i="86"/>
  <c r="I83" i="86"/>
  <c r="H83" i="86"/>
  <c r="G83" i="86"/>
  <c r="I82" i="86"/>
  <c r="H82" i="86"/>
  <c r="G82" i="86"/>
  <c r="I81" i="86"/>
  <c r="H81" i="86"/>
  <c r="G81" i="86"/>
  <c r="I80" i="86"/>
  <c r="H80" i="86"/>
  <c r="G80" i="86"/>
  <c r="I79" i="86"/>
  <c r="H79" i="86"/>
  <c r="G79" i="86"/>
  <c r="I78" i="86"/>
  <c r="H78" i="86"/>
  <c r="G78" i="86"/>
  <c r="I77" i="86"/>
  <c r="H77" i="86"/>
  <c r="G77" i="86"/>
  <c r="I76" i="86"/>
  <c r="H76" i="86"/>
  <c r="G76" i="86"/>
  <c r="I75" i="86"/>
  <c r="H75" i="86"/>
  <c r="G75" i="86"/>
  <c r="C52" i="89" s="1"/>
  <c r="I72" i="86"/>
  <c r="H72" i="86"/>
  <c r="G72" i="86"/>
  <c r="I71" i="86"/>
  <c r="H71" i="86"/>
  <c r="G71" i="86"/>
  <c r="I70" i="86"/>
  <c r="H70" i="86"/>
  <c r="G70" i="86"/>
  <c r="I69" i="86"/>
  <c r="H69" i="86"/>
  <c r="G69" i="86"/>
  <c r="I68" i="86"/>
  <c r="H68" i="86"/>
  <c r="G68" i="86"/>
  <c r="I65" i="86"/>
  <c r="H65" i="86"/>
  <c r="G65" i="86"/>
  <c r="I64" i="86"/>
  <c r="H64" i="86"/>
  <c r="G64" i="86"/>
  <c r="I63" i="86"/>
  <c r="H63" i="86"/>
  <c r="G63" i="86"/>
  <c r="I62" i="86"/>
  <c r="H62" i="86"/>
  <c r="G62" i="86"/>
  <c r="I61" i="86"/>
  <c r="H61" i="86"/>
  <c r="G61" i="86"/>
  <c r="I55" i="86"/>
  <c r="H55" i="86"/>
  <c r="G55" i="86"/>
  <c r="I54" i="86"/>
  <c r="H54" i="86"/>
  <c r="G54" i="86"/>
  <c r="I52" i="86"/>
  <c r="H52" i="86"/>
  <c r="G52" i="86"/>
  <c r="I51" i="86"/>
  <c r="H51" i="86"/>
  <c r="G51" i="86"/>
  <c r="I50" i="86"/>
  <c r="H50" i="86"/>
  <c r="G50" i="86"/>
  <c r="I49" i="86"/>
  <c r="H49" i="86"/>
  <c r="G49" i="86"/>
  <c r="I48" i="86"/>
  <c r="H48" i="86"/>
  <c r="G48" i="86"/>
  <c r="I47" i="86"/>
  <c r="H47" i="86"/>
  <c r="G47" i="86"/>
  <c r="I46" i="86"/>
  <c r="H46" i="86"/>
  <c r="G46" i="86"/>
  <c r="I44" i="86"/>
  <c r="H44" i="86"/>
  <c r="G44" i="86"/>
  <c r="I43" i="86"/>
  <c r="H43" i="86"/>
  <c r="G43" i="86"/>
  <c r="I42" i="86"/>
  <c r="H42" i="86"/>
  <c r="G42" i="86"/>
  <c r="I41" i="86"/>
  <c r="H41" i="86"/>
  <c r="G41" i="86"/>
  <c r="I40" i="86"/>
  <c r="H40" i="86"/>
  <c r="G40" i="86"/>
  <c r="I39" i="86"/>
  <c r="H39" i="86"/>
  <c r="G39" i="86"/>
  <c r="I38" i="86"/>
  <c r="H38" i="86"/>
  <c r="G38" i="86"/>
  <c r="I37" i="86"/>
  <c r="H37" i="86"/>
  <c r="G37" i="86"/>
  <c r="I36" i="86"/>
  <c r="R15" i="90" s="1"/>
  <c r="H36" i="86"/>
  <c r="G36" i="86"/>
  <c r="C15" i="89" s="1"/>
  <c r="I35" i="86"/>
  <c r="H35" i="86"/>
  <c r="G35" i="86"/>
  <c r="I33" i="86"/>
  <c r="H33" i="86"/>
  <c r="G33" i="86"/>
  <c r="I32" i="86"/>
  <c r="H32" i="86"/>
  <c r="G32" i="86"/>
  <c r="I31" i="86"/>
  <c r="H31" i="86"/>
  <c r="G31" i="86"/>
  <c r="I30" i="86"/>
  <c r="H30" i="86"/>
  <c r="G30" i="86"/>
  <c r="I29" i="86"/>
  <c r="H29" i="86"/>
  <c r="G29" i="86"/>
  <c r="I28" i="86"/>
  <c r="H28" i="86"/>
  <c r="G28" i="86"/>
  <c r="I27" i="86"/>
  <c r="H27" i="86"/>
  <c r="G27" i="86"/>
  <c r="I25" i="86"/>
  <c r="H25" i="86"/>
  <c r="G25" i="86"/>
  <c r="I24" i="86"/>
  <c r="H24" i="86"/>
  <c r="G24" i="86"/>
  <c r="I23" i="86"/>
  <c r="H23" i="86"/>
  <c r="G23" i="86"/>
  <c r="I22" i="86"/>
  <c r="H22" i="86"/>
  <c r="G22" i="86"/>
  <c r="I21" i="86"/>
  <c r="H21" i="86"/>
  <c r="G21" i="86"/>
  <c r="I20" i="86"/>
  <c r="H20" i="86"/>
  <c r="G20" i="86"/>
  <c r="I19" i="86"/>
  <c r="H19" i="86"/>
  <c r="G19" i="86"/>
  <c r="I18" i="86"/>
  <c r="H18" i="86"/>
  <c r="G18" i="86"/>
  <c r="I17" i="86"/>
  <c r="H17" i="86"/>
  <c r="G17" i="86"/>
  <c r="I16" i="86"/>
  <c r="H16" i="86"/>
  <c r="G16" i="86"/>
  <c r="I15" i="86"/>
  <c r="H15" i="86"/>
  <c r="G15" i="86"/>
  <c r="I14" i="86"/>
  <c r="H14" i="86"/>
  <c r="G14" i="86"/>
  <c r="I13" i="86"/>
  <c r="H13" i="86"/>
  <c r="G13" i="86"/>
  <c r="I11" i="86"/>
  <c r="H11" i="86"/>
  <c r="G11" i="86"/>
  <c r="I9" i="86"/>
  <c r="H9" i="86"/>
  <c r="I8" i="86"/>
  <c r="H8" i="86"/>
  <c r="G8" i="86"/>
  <c r="I7" i="86"/>
  <c r="H7" i="86"/>
  <c r="G7" i="86"/>
  <c r="I6" i="86"/>
  <c r="H6" i="86"/>
  <c r="G6" i="86"/>
  <c r="I5" i="86"/>
  <c r="H5" i="86"/>
  <c r="G5" i="86"/>
  <c r="I4" i="86"/>
  <c r="H4" i="86"/>
  <c r="G4" i="86"/>
  <c r="I3" i="86"/>
  <c r="H3" i="86"/>
  <c r="K4" i="90" s="1"/>
  <c r="G3" i="86"/>
  <c r="E4" i="90" s="1"/>
  <c r="I190" i="86"/>
  <c r="I189" i="86"/>
  <c r="H190" i="86"/>
  <c r="H189" i="86"/>
  <c r="K76" i="90" s="1"/>
  <c r="G190" i="86"/>
  <c r="G189" i="86"/>
  <c r="B184" i="86"/>
  <c r="B183" i="86"/>
  <c r="B182" i="86"/>
  <c r="B181" i="86"/>
  <c r="B180" i="86"/>
  <c r="B179" i="86"/>
  <c r="B178" i="86"/>
  <c r="B177" i="86"/>
  <c r="B176" i="86"/>
  <c r="B174" i="86"/>
  <c r="B173" i="86"/>
  <c r="B172" i="86"/>
  <c r="B171" i="86"/>
  <c r="B170" i="86"/>
  <c r="B169" i="86"/>
  <c r="B168" i="86"/>
  <c r="B166" i="86"/>
  <c r="B165" i="86"/>
  <c r="B164" i="86"/>
  <c r="B163" i="86"/>
  <c r="B162" i="86"/>
  <c r="B161" i="86"/>
  <c r="B160" i="86"/>
  <c r="B159" i="86"/>
  <c r="B158" i="86"/>
  <c r="B157" i="86"/>
  <c r="B156" i="86"/>
  <c r="B155" i="86"/>
  <c r="B154" i="86"/>
  <c r="B153" i="86"/>
  <c r="B152" i="86"/>
  <c r="B150" i="86"/>
  <c r="B147" i="86"/>
  <c r="B146" i="86"/>
  <c r="B145" i="86"/>
  <c r="B144" i="86"/>
  <c r="B143" i="86"/>
  <c r="B141" i="86"/>
  <c r="B140" i="86"/>
  <c r="B139" i="86"/>
  <c r="B138" i="86"/>
  <c r="B137" i="86"/>
  <c r="B136" i="86"/>
  <c r="B135" i="86"/>
  <c r="B134" i="86"/>
  <c r="B133" i="86"/>
  <c r="B132" i="86"/>
  <c r="B131" i="86"/>
  <c r="B130" i="86"/>
  <c r="B129" i="86"/>
  <c r="B128" i="86"/>
  <c r="B127" i="86"/>
  <c r="B126" i="86"/>
  <c r="B125" i="86"/>
  <c r="B124" i="86"/>
  <c r="B123" i="86"/>
  <c r="B122" i="86"/>
  <c r="B121" i="86"/>
  <c r="B120" i="86"/>
  <c r="B119" i="86"/>
  <c r="B118" i="86"/>
  <c r="B117" i="86"/>
  <c r="B116" i="86"/>
  <c r="B115" i="86"/>
  <c r="B114" i="86"/>
  <c r="B113" i="86"/>
  <c r="B112" i="86"/>
  <c r="B111" i="86"/>
  <c r="B110" i="86"/>
  <c r="B109" i="86"/>
  <c r="B108" i="86"/>
  <c r="B105" i="86"/>
  <c r="B104" i="86"/>
  <c r="B103" i="86"/>
  <c r="B102" i="86"/>
  <c r="B101" i="86"/>
  <c r="B100" i="86"/>
  <c r="B99" i="86"/>
  <c r="B98" i="86"/>
  <c r="B97" i="86"/>
  <c r="B96" i="86"/>
  <c r="B95" i="86"/>
  <c r="B94" i="86"/>
  <c r="B93" i="86"/>
  <c r="B92" i="86"/>
  <c r="B91" i="86"/>
  <c r="B90" i="86"/>
  <c r="B88" i="86"/>
  <c r="B87" i="86"/>
  <c r="B86" i="86"/>
  <c r="B85" i="86"/>
  <c r="B83" i="86"/>
  <c r="B82" i="86"/>
  <c r="B81" i="86"/>
  <c r="B80" i="86"/>
  <c r="B79" i="86"/>
  <c r="B78" i="86"/>
  <c r="B77" i="86"/>
  <c r="B76" i="86"/>
  <c r="B75" i="86"/>
  <c r="B72" i="86"/>
  <c r="B71" i="86"/>
  <c r="B70" i="86"/>
  <c r="B69" i="86"/>
  <c r="B68" i="86"/>
  <c r="B65" i="86"/>
  <c r="B64" i="86"/>
  <c r="B63" i="86"/>
  <c r="B62" i="86"/>
  <c r="B61" i="86"/>
  <c r="B55" i="86"/>
  <c r="B54" i="86"/>
  <c r="B52" i="86"/>
  <c r="B51" i="86"/>
  <c r="B50" i="86"/>
  <c r="B49" i="86"/>
  <c r="B48" i="86"/>
  <c r="B47" i="86"/>
  <c r="B46" i="86"/>
  <c r="B44" i="86"/>
  <c r="B43" i="86"/>
  <c r="B42" i="86"/>
  <c r="B41" i="86"/>
  <c r="B40" i="86"/>
  <c r="B39" i="86"/>
  <c r="B38" i="86"/>
  <c r="B37" i="86"/>
  <c r="B36" i="86"/>
  <c r="B35" i="86"/>
  <c r="B33" i="86"/>
  <c r="B32" i="86"/>
  <c r="B31" i="86"/>
  <c r="B30" i="86"/>
  <c r="B29" i="86"/>
  <c r="B28" i="86"/>
  <c r="B27" i="86"/>
  <c r="B25" i="86"/>
  <c r="B24" i="86"/>
  <c r="B23" i="86"/>
  <c r="B22" i="86"/>
  <c r="B21" i="86"/>
  <c r="B20" i="86"/>
  <c r="B19" i="86"/>
  <c r="B18" i="86"/>
  <c r="B17" i="86"/>
  <c r="B16" i="86"/>
  <c r="B15" i="86"/>
  <c r="B14" i="86"/>
  <c r="B13" i="86"/>
  <c r="B11" i="86"/>
  <c r="B9" i="86"/>
  <c r="B8" i="86"/>
  <c r="B7" i="86"/>
  <c r="B6" i="86"/>
  <c r="B5" i="86"/>
  <c r="B4" i="86"/>
  <c r="B3" i="86"/>
  <c r="R132" i="85"/>
  <c r="R134" i="85" s="1"/>
  <c r="G69" i="78"/>
  <c r="G39" i="78"/>
  <c r="G52" i="78"/>
  <c r="I12" i="75"/>
  <c r="I13" i="75"/>
  <c r="I14" i="75"/>
  <c r="I15" i="75"/>
  <c r="I16" i="75"/>
  <c r="I17" i="75"/>
  <c r="I18" i="75"/>
  <c r="I19" i="75"/>
  <c r="I20" i="75"/>
  <c r="I21" i="75"/>
  <c r="I22" i="75"/>
  <c r="I23" i="75"/>
  <c r="I24" i="75"/>
  <c r="I25" i="75"/>
  <c r="I26" i="75"/>
  <c r="I27" i="75"/>
  <c r="I28" i="75"/>
  <c r="I30" i="75"/>
  <c r="I31" i="75"/>
  <c r="I32" i="75"/>
  <c r="I33" i="75"/>
  <c r="I34" i="75"/>
  <c r="I38" i="75"/>
  <c r="I40" i="75"/>
  <c r="I41" i="75"/>
  <c r="I42" i="75"/>
  <c r="I44" i="75"/>
  <c r="I45" i="75"/>
  <c r="I46" i="75"/>
  <c r="I47" i="75"/>
  <c r="I49" i="75"/>
  <c r="I50" i="75"/>
  <c r="I52" i="75"/>
  <c r="I53" i="75"/>
  <c r="I54" i="75"/>
  <c r="I55" i="75"/>
  <c r="I56" i="75"/>
  <c r="I57" i="75"/>
  <c r="I58" i="75"/>
  <c r="I61" i="75"/>
  <c r="I63" i="75"/>
  <c r="I82" i="75"/>
  <c r="I83" i="75"/>
  <c r="I84" i="75"/>
  <c r="I87" i="75"/>
  <c r="I88" i="75"/>
  <c r="I92" i="75"/>
  <c r="I93" i="75"/>
  <c r="I94" i="75"/>
  <c r="I4" i="75"/>
  <c r="I6" i="75"/>
  <c r="I7" i="75"/>
  <c r="I8" i="75"/>
  <c r="I9" i="75"/>
  <c r="I3" i="75"/>
  <c r="G33" i="3"/>
  <c r="H33" i="3"/>
  <c r="I33" i="3"/>
  <c r="G46" i="3"/>
  <c r="H46" i="3"/>
  <c r="I46" i="3"/>
  <c r="G26" i="3"/>
  <c r="H26" i="3"/>
  <c r="I26" i="3"/>
  <c r="G90" i="3"/>
  <c r="H90" i="3"/>
  <c r="I90" i="3"/>
  <c r="G65" i="3"/>
  <c r="H65" i="3"/>
  <c r="I65" i="3"/>
  <c r="I29" i="3"/>
  <c r="I31" i="3"/>
  <c r="I32" i="3"/>
  <c r="I35" i="3"/>
  <c r="I36" i="3"/>
  <c r="I37" i="3"/>
  <c r="I40" i="3"/>
  <c r="I41" i="3"/>
  <c r="I42" i="3"/>
  <c r="I43" i="3"/>
  <c r="I44" i="3"/>
  <c r="I45" i="3"/>
  <c r="I47" i="3"/>
  <c r="I48" i="3"/>
  <c r="I49" i="3"/>
  <c r="I50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7" i="3"/>
  <c r="I68" i="3"/>
  <c r="I69" i="3"/>
  <c r="I70" i="3"/>
  <c r="I71" i="3"/>
  <c r="I72" i="3"/>
  <c r="I73" i="3"/>
  <c r="I75" i="3"/>
  <c r="I76" i="3"/>
  <c r="I77" i="3"/>
  <c r="I78" i="3"/>
  <c r="I79" i="3"/>
  <c r="I80" i="3"/>
  <c r="I81" i="3"/>
  <c r="I82" i="3"/>
  <c r="I83" i="3"/>
  <c r="I84" i="3"/>
  <c r="I85" i="3"/>
  <c r="I87" i="3"/>
  <c r="I88" i="3"/>
  <c r="I91" i="3"/>
  <c r="I93" i="3"/>
  <c r="I94" i="3"/>
  <c r="I95" i="3"/>
  <c r="I96" i="3"/>
  <c r="I98" i="3"/>
  <c r="I99" i="3"/>
  <c r="I102" i="3"/>
  <c r="I103" i="3"/>
  <c r="I104" i="3"/>
  <c r="I105" i="3"/>
  <c r="I106" i="3"/>
  <c r="I107" i="3"/>
  <c r="I108" i="3"/>
  <c r="I109" i="3"/>
  <c r="I111" i="3"/>
  <c r="I112" i="3"/>
  <c r="I113" i="3"/>
  <c r="I114" i="3"/>
  <c r="I115" i="3"/>
  <c r="I116" i="3"/>
  <c r="I117" i="3"/>
  <c r="I118" i="3"/>
  <c r="I121" i="3"/>
  <c r="I123" i="3"/>
  <c r="I124" i="3"/>
  <c r="I126" i="3"/>
  <c r="I127" i="3"/>
  <c r="I128" i="3"/>
  <c r="I129" i="3"/>
  <c r="I74" i="3"/>
  <c r="I92" i="3"/>
  <c r="I125" i="3"/>
  <c r="I100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4" i="3"/>
  <c r="I145" i="3"/>
  <c r="I146" i="3"/>
  <c r="I147" i="3"/>
  <c r="I4" i="3"/>
  <c r="G16" i="78" s="1"/>
  <c r="I5" i="3"/>
  <c r="I6" i="3"/>
  <c r="I7" i="3"/>
  <c r="I8" i="3"/>
  <c r="I10" i="3"/>
  <c r="I11" i="3"/>
  <c r="I13" i="3"/>
  <c r="I14" i="3"/>
  <c r="I17" i="3"/>
  <c r="I18" i="3"/>
  <c r="I19" i="3"/>
  <c r="I20" i="3"/>
  <c r="I22" i="3"/>
  <c r="I24" i="3"/>
  <c r="I25" i="3"/>
  <c r="I27" i="3"/>
  <c r="I28" i="3"/>
  <c r="I3" i="3"/>
  <c r="H3" i="3"/>
  <c r="H144" i="3"/>
  <c r="H4" i="3"/>
  <c r="H5" i="3"/>
  <c r="H6" i="3"/>
  <c r="H7" i="3"/>
  <c r="H8" i="3"/>
  <c r="H10" i="3"/>
  <c r="H11" i="3"/>
  <c r="H13" i="3"/>
  <c r="H14" i="3"/>
  <c r="H17" i="3"/>
  <c r="H18" i="3"/>
  <c r="H19" i="3"/>
  <c r="H20" i="3"/>
  <c r="H22" i="3"/>
  <c r="H24" i="3"/>
  <c r="H25" i="3"/>
  <c r="H27" i="3"/>
  <c r="H28" i="3"/>
  <c r="H29" i="3"/>
  <c r="H31" i="3"/>
  <c r="H32" i="3"/>
  <c r="H35" i="3"/>
  <c r="H36" i="3"/>
  <c r="H37" i="3"/>
  <c r="H40" i="3"/>
  <c r="H41" i="3"/>
  <c r="H42" i="3"/>
  <c r="H43" i="3"/>
  <c r="H44" i="3"/>
  <c r="H45" i="3"/>
  <c r="H47" i="3"/>
  <c r="H48" i="3"/>
  <c r="H49" i="3"/>
  <c r="H50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7" i="3"/>
  <c r="H68" i="3"/>
  <c r="H69" i="3"/>
  <c r="H70" i="3"/>
  <c r="H71" i="3"/>
  <c r="H72" i="3"/>
  <c r="H73" i="3"/>
  <c r="H75" i="3"/>
  <c r="H76" i="3"/>
  <c r="H77" i="3"/>
  <c r="H78" i="3"/>
  <c r="H79" i="3"/>
  <c r="H80" i="3"/>
  <c r="H81" i="3"/>
  <c r="H82" i="3"/>
  <c r="H83" i="3"/>
  <c r="H84" i="3"/>
  <c r="H85" i="3"/>
  <c r="H87" i="3"/>
  <c r="H88" i="3"/>
  <c r="H91" i="3"/>
  <c r="H93" i="3"/>
  <c r="H94" i="3"/>
  <c r="H95" i="3"/>
  <c r="H96" i="3"/>
  <c r="H98" i="3"/>
  <c r="H99" i="3"/>
  <c r="H102" i="3"/>
  <c r="H103" i="3"/>
  <c r="H104" i="3"/>
  <c r="H105" i="3"/>
  <c r="H106" i="3"/>
  <c r="H107" i="3"/>
  <c r="H108" i="3"/>
  <c r="H109" i="3"/>
  <c r="H111" i="3"/>
  <c r="H112" i="3"/>
  <c r="H113" i="3"/>
  <c r="H114" i="3"/>
  <c r="H115" i="3"/>
  <c r="H116" i="3"/>
  <c r="H117" i="3"/>
  <c r="H118" i="3"/>
  <c r="H121" i="3"/>
  <c r="H123" i="3"/>
  <c r="H124" i="3"/>
  <c r="H126" i="3"/>
  <c r="H127" i="3"/>
  <c r="H128" i="3"/>
  <c r="E36" i="78" s="1"/>
  <c r="H129" i="3"/>
  <c r="H74" i="3"/>
  <c r="H92" i="3"/>
  <c r="H125" i="3"/>
  <c r="H100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5" i="3"/>
  <c r="H146" i="3"/>
  <c r="H147" i="3"/>
  <c r="G3" i="3"/>
  <c r="G4" i="3"/>
  <c r="G10" i="3"/>
  <c r="C22" i="78" s="1"/>
  <c r="G13" i="3"/>
  <c r="G14" i="3"/>
  <c r="G17" i="3"/>
  <c r="G18" i="3"/>
  <c r="G19" i="3"/>
  <c r="G20" i="3"/>
  <c r="G22" i="3"/>
  <c r="G24" i="3"/>
  <c r="G25" i="3"/>
  <c r="G27" i="3"/>
  <c r="G28" i="3"/>
  <c r="G29" i="3"/>
  <c r="G31" i="3"/>
  <c r="G32" i="3"/>
  <c r="G35" i="3"/>
  <c r="G36" i="3"/>
  <c r="G37" i="3"/>
  <c r="G40" i="3"/>
  <c r="C25" i="78" s="1"/>
  <c r="G41" i="3"/>
  <c r="G42" i="3"/>
  <c r="G43" i="3"/>
  <c r="G44" i="3"/>
  <c r="G45" i="3"/>
  <c r="G47" i="3"/>
  <c r="G48" i="3"/>
  <c r="G49" i="3"/>
  <c r="G50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7" i="3"/>
  <c r="G68" i="3"/>
  <c r="G69" i="3"/>
  <c r="G70" i="3"/>
  <c r="G71" i="3"/>
  <c r="G72" i="3"/>
  <c r="G73" i="3"/>
  <c r="G75" i="3"/>
  <c r="G76" i="3"/>
  <c r="G77" i="3"/>
  <c r="G78" i="3"/>
  <c r="G79" i="3"/>
  <c r="G80" i="3"/>
  <c r="G81" i="3"/>
  <c r="G82" i="3"/>
  <c r="G83" i="3"/>
  <c r="G84" i="3"/>
  <c r="G85" i="3"/>
  <c r="G87" i="3"/>
  <c r="G88" i="3"/>
  <c r="G91" i="3"/>
  <c r="G93" i="3"/>
  <c r="G94" i="3"/>
  <c r="G95" i="3"/>
  <c r="G96" i="3"/>
  <c r="G98" i="3"/>
  <c r="G99" i="3"/>
  <c r="G102" i="3"/>
  <c r="G103" i="3"/>
  <c r="G104" i="3"/>
  <c r="G105" i="3"/>
  <c r="G106" i="3"/>
  <c r="G107" i="3"/>
  <c r="G108" i="3"/>
  <c r="G109" i="3"/>
  <c r="G111" i="3"/>
  <c r="G112" i="3"/>
  <c r="G113" i="3"/>
  <c r="G114" i="3"/>
  <c r="G115" i="3"/>
  <c r="G116" i="3"/>
  <c r="G117" i="3"/>
  <c r="G118" i="3"/>
  <c r="G121" i="3"/>
  <c r="G123" i="3"/>
  <c r="G124" i="3"/>
  <c r="G126" i="3"/>
  <c r="G127" i="3"/>
  <c r="G128" i="3"/>
  <c r="C36" i="78" s="1"/>
  <c r="G129" i="3"/>
  <c r="G74" i="3"/>
  <c r="G92" i="3"/>
  <c r="G125" i="3"/>
  <c r="G100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77" i="78"/>
  <c r="E69" i="78"/>
  <c r="E39" i="78"/>
  <c r="E52" i="78"/>
  <c r="H122" i="75"/>
  <c r="E15" i="78"/>
  <c r="H3" i="75"/>
  <c r="G3" i="75"/>
  <c r="G240" i="75"/>
  <c r="G239" i="75"/>
  <c r="G238" i="75"/>
  <c r="G237" i="75"/>
  <c r="G236" i="75"/>
  <c r="G234" i="75"/>
  <c r="G233" i="75"/>
  <c r="G232" i="75"/>
  <c r="G231" i="75"/>
  <c r="G230" i="75"/>
  <c r="G229" i="75"/>
  <c r="G228" i="75"/>
  <c r="G227" i="75"/>
  <c r="G226" i="75"/>
  <c r="G224" i="75"/>
  <c r="G223" i="75"/>
  <c r="G222" i="75"/>
  <c r="G221" i="75"/>
  <c r="G220" i="75"/>
  <c r="G219" i="75"/>
  <c r="G218" i="75"/>
  <c r="G217" i="75"/>
  <c r="G216" i="75"/>
  <c r="G215" i="75"/>
  <c r="G214" i="75"/>
  <c r="G213" i="75"/>
  <c r="G212" i="75"/>
  <c r="G211" i="75"/>
  <c r="G210" i="75"/>
  <c r="G209" i="75"/>
  <c r="G208" i="75"/>
  <c r="G206" i="75"/>
  <c r="G201" i="75"/>
  <c r="G200" i="75"/>
  <c r="C69" i="78" s="1"/>
  <c r="G199" i="75"/>
  <c r="G198" i="75"/>
  <c r="G197" i="75"/>
  <c r="G193" i="75"/>
  <c r="G192" i="75"/>
  <c r="G191" i="75"/>
  <c r="G190" i="75"/>
  <c r="G189" i="75"/>
  <c r="G186" i="75"/>
  <c r="G185" i="75"/>
  <c r="G183" i="75"/>
  <c r="G182" i="75"/>
  <c r="G181" i="75"/>
  <c r="G180" i="75"/>
  <c r="G179" i="75"/>
  <c r="C39" i="78" s="1"/>
  <c r="G177" i="75"/>
  <c r="G176" i="75"/>
  <c r="G171" i="75"/>
  <c r="G162" i="75"/>
  <c r="G157" i="75"/>
  <c r="G156" i="75"/>
  <c r="G155" i="75"/>
  <c r="G154" i="75"/>
  <c r="G153" i="75"/>
  <c r="G152" i="75"/>
  <c r="G151" i="75"/>
  <c r="G150" i="75"/>
  <c r="G149" i="75"/>
  <c r="G148" i="75"/>
  <c r="G147" i="75"/>
  <c r="G146" i="75"/>
  <c r="G145" i="75"/>
  <c r="G144" i="75"/>
  <c r="G143" i="75"/>
  <c r="G142" i="75"/>
  <c r="G141" i="75"/>
  <c r="G140" i="75"/>
  <c r="G138" i="75"/>
  <c r="G137" i="75"/>
  <c r="G135" i="75"/>
  <c r="G134" i="75"/>
  <c r="G133" i="75"/>
  <c r="G132" i="75"/>
  <c r="G131" i="75"/>
  <c r="G130" i="75"/>
  <c r="G129" i="75"/>
  <c r="G128" i="75"/>
  <c r="G123" i="75"/>
  <c r="G125" i="75"/>
  <c r="C52" i="78" s="1"/>
  <c r="G126" i="75"/>
  <c r="G127" i="75"/>
  <c r="G122" i="75"/>
  <c r="G94" i="75"/>
  <c r="G4" i="75"/>
  <c r="G6" i="75"/>
  <c r="G7" i="75"/>
  <c r="G8" i="75"/>
  <c r="G9" i="75"/>
  <c r="G12" i="75"/>
  <c r="G13" i="75"/>
  <c r="G14" i="75"/>
  <c r="G15" i="75"/>
  <c r="G16" i="75"/>
  <c r="G17" i="75"/>
  <c r="G18" i="75"/>
  <c r="G19" i="75"/>
  <c r="G20" i="75"/>
  <c r="G21" i="75"/>
  <c r="G22" i="75"/>
  <c r="G23" i="75"/>
  <c r="G24" i="75"/>
  <c r="G25" i="75"/>
  <c r="G26" i="75"/>
  <c r="G27" i="75"/>
  <c r="G28" i="75"/>
  <c r="G30" i="75"/>
  <c r="G31" i="75"/>
  <c r="G32" i="75"/>
  <c r="G33" i="75"/>
  <c r="G34" i="75"/>
  <c r="G38" i="75"/>
  <c r="G40" i="75"/>
  <c r="C15" i="78" s="1"/>
  <c r="G41" i="75"/>
  <c r="G42" i="75"/>
  <c r="G44" i="75"/>
  <c r="G45" i="75"/>
  <c r="G46" i="75"/>
  <c r="G47" i="75"/>
  <c r="G49" i="75"/>
  <c r="G50" i="75"/>
  <c r="G52" i="75"/>
  <c r="G53" i="75"/>
  <c r="G54" i="75"/>
  <c r="G55" i="75"/>
  <c r="G56" i="75"/>
  <c r="G57" i="75"/>
  <c r="G58" i="75"/>
  <c r="G61" i="75"/>
  <c r="G63" i="75"/>
  <c r="G82" i="75"/>
  <c r="G83" i="75"/>
  <c r="G84" i="75"/>
  <c r="G87" i="75"/>
  <c r="G88" i="75"/>
  <c r="G92" i="75"/>
  <c r="G93" i="75"/>
  <c r="B41" i="75"/>
  <c r="B61" i="75"/>
  <c r="B88" i="75"/>
  <c r="B153" i="75"/>
  <c r="B181" i="75"/>
  <c r="B175" i="75"/>
  <c r="B173" i="75"/>
  <c r="B172" i="75"/>
  <c r="B170" i="75"/>
  <c r="B169" i="75"/>
  <c r="B168" i="75"/>
  <c r="B167" i="75"/>
  <c r="B166" i="75"/>
  <c r="B165" i="75"/>
  <c r="B164" i="75"/>
  <c r="B163" i="75"/>
  <c r="B161" i="75"/>
  <c r="B160" i="75"/>
  <c r="B159" i="75"/>
  <c r="B240" i="75"/>
  <c r="B239" i="75"/>
  <c r="B238" i="75"/>
  <c r="B237" i="75"/>
  <c r="B236" i="75"/>
  <c r="B234" i="75"/>
  <c r="B233" i="75"/>
  <c r="B232" i="75"/>
  <c r="B231" i="75"/>
  <c r="B230" i="75"/>
  <c r="B229" i="75"/>
  <c r="B228" i="75"/>
  <c r="B227" i="75"/>
  <c r="B226" i="75"/>
  <c r="B224" i="75"/>
  <c r="B223" i="75"/>
  <c r="B222" i="75"/>
  <c r="B221" i="75"/>
  <c r="B220" i="75"/>
  <c r="B219" i="75"/>
  <c r="B218" i="75"/>
  <c r="B217" i="75"/>
  <c r="B216" i="75"/>
  <c r="B215" i="75"/>
  <c r="B214" i="75"/>
  <c r="B213" i="75"/>
  <c r="B212" i="75"/>
  <c r="B211" i="75"/>
  <c r="B210" i="75"/>
  <c r="B209" i="75"/>
  <c r="B208" i="75"/>
  <c r="B206" i="75"/>
  <c r="B201" i="75"/>
  <c r="B200" i="75"/>
  <c r="B199" i="75"/>
  <c r="B198" i="75"/>
  <c r="B197" i="75"/>
  <c r="B193" i="75"/>
  <c r="B192" i="75"/>
  <c r="B191" i="75"/>
  <c r="B190" i="75"/>
  <c r="B189" i="75"/>
  <c r="B186" i="75"/>
  <c r="B185" i="75"/>
  <c r="B183" i="75"/>
  <c r="B182" i="75"/>
  <c r="B180" i="75"/>
  <c r="B179" i="75"/>
  <c r="B178" i="75"/>
  <c r="B177" i="75"/>
  <c r="B176" i="75"/>
  <c r="B171" i="75"/>
  <c r="B162" i="75"/>
  <c r="B158" i="75"/>
  <c r="B157" i="75"/>
  <c r="B156" i="75"/>
  <c r="B155" i="75"/>
  <c r="B154" i="75"/>
  <c r="B152" i="75"/>
  <c r="B151" i="75"/>
  <c r="B150" i="75"/>
  <c r="B149" i="75"/>
  <c r="B148" i="75"/>
  <c r="B147" i="75"/>
  <c r="B146" i="75"/>
  <c r="B145" i="75"/>
  <c r="B144" i="75"/>
  <c r="B143" i="75"/>
  <c r="B142" i="75"/>
  <c r="B141" i="75"/>
  <c r="B140" i="75"/>
  <c r="B138" i="75"/>
  <c r="B137" i="75"/>
  <c r="B135" i="75"/>
  <c r="B134" i="75"/>
  <c r="B133" i="75"/>
  <c r="B132" i="75"/>
  <c r="B131" i="75"/>
  <c r="B130" i="75"/>
  <c r="B129" i="75"/>
  <c r="B128" i="75"/>
  <c r="B127" i="75"/>
  <c r="B126" i="75"/>
  <c r="B125" i="75"/>
  <c r="B122" i="75"/>
  <c r="B94" i="75"/>
  <c r="B93" i="75"/>
  <c r="B92" i="75"/>
  <c r="B87" i="75"/>
  <c r="B84" i="75"/>
  <c r="B83" i="75"/>
  <c r="B82" i="75"/>
  <c r="B63" i="75"/>
  <c r="B58" i="75"/>
  <c r="B57" i="75"/>
  <c r="B56" i="75"/>
  <c r="B55" i="75"/>
  <c r="B54" i="75"/>
  <c r="B53" i="75"/>
  <c r="B52" i="75"/>
  <c r="B50" i="75"/>
  <c r="B49" i="75"/>
  <c r="B47" i="75"/>
  <c r="B46" i="75"/>
  <c r="B45" i="75"/>
  <c r="B44" i="75"/>
  <c r="B42" i="75"/>
  <c r="B40" i="75"/>
  <c r="B38" i="75"/>
  <c r="B34" i="75"/>
  <c r="B33" i="75"/>
  <c r="B32" i="75"/>
  <c r="B31" i="75"/>
  <c r="B30" i="75"/>
  <c r="B28" i="75"/>
  <c r="B27" i="75"/>
  <c r="B26" i="75"/>
  <c r="B25" i="75"/>
  <c r="B24" i="75"/>
  <c r="B23" i="75"/>
  <c r="B22" i="75"/>
  <c r="B21" i="75"/>
  <c r="B20" i="75"/>
  <c r="B19" i="75"/>
  <c r="B18" i="75"/>
  <c r="B17" i="75"/>
  <c r="B16" i="75"/>
  <c r="B15" i="75"/>
  <c r="B14" i="75"/>
  <c r="B13" i="75"/>
  <c r="B12" i="75"/>
  <c r="B9" i="75"/>
  <c r="B8" i="75"/>
  <c r="B7" i="75"/>
  <c r="B6" i="75"/>
  <c r="B4" i="75"/>
  <c r="B3" i="75"/>
  <c r="G24" i="78" l="1"/>
  <c r="G5" i="89"/>
  <c r="E9" i="90"/>
  <c r="K6" i="90"/>
  <c r="R4" i="90"/>
  <c r="G4" i="89"/>
  <c r="E4" i="78"/>
  <c r="I4" i="90"/>
  <c r="I10" i="90" s="1"/>
  <c r="G6" i="78"/>
  <c r="P6" i="90"/>
  <c r="P4" i="90"/>
  <c r="G4" i="78"/>
  <c r="G9" i="78"/>
  <c r="P9" i="90"/>
  <c r="G7" i="78"/>
  <c r="P5" i="90"/>
  <c r="G5" i="78"/>
  <c r="G8" i="78"/>
  <c r="C21" i="78"/>
  <c r="C7" i="78"/>
  <c r="C7" i="90"/>
  <c r="C8" i="90"/>
  <c r="C8" i="78"/>
  <c r="C12" i="78"/>
  <c r="C6" i="90"/>
  <c r="C6" i="78"/>
  <c r="C9" i="78"/>
  <c r="C9" i="90"/>
  <c r="C5" i="78"/>
  <c r="C5" i="90"/>
  <c r="C14" i="90"/>
  <c r="C4" i="78"/>
  <c r="C4" i="90"/>
  <c r="C16" i="78"/>
  <c r="C24" i="78"/>
  <c r="C26" i="78"/>
  <c r="C29" i="78"/>
  <c r="C23" i="78"/>
  <c r="E24" i="78"/>
  <c r="C28" i="78"/>
  <c r="C27" i="78"/>
  <c r="R6" i="90"/>
  <c r="R9" i="90"/>
  <c r="G249" i="75"/>
  <c r="G248" i="75"/>
  <c r="H248" i="75"/>
  <c r="I148" i="3"/>
  <c r="I150" i="3" s="1"/>
  <c r="P24" i="90"/>
  <c r="AJ8" i="90"/>
  <c r="I24" i="90"/>
  <c r="Z24" i="90"/>
  <c r="K9" i="90"/>
  <c r="E5" i="90"/>
  <c r="E24" i="90"/>
  <c r="K24" i="90"/>
  <c r="K5" i="90"/>
  <c r="M5" i="90" s="1"/>
  <c r="R7" i="90"/>
  <c r="R5" i="90"/>
  <c r="E8" i="90"/>
  <c r="CD24" i="90"/>
  <c r="BW24" i="90"/>
  <c r="BP24" i="90"/>
  <c r="R24" i="90"/>
  <c r="K7" i="90"/>
  <c r="K8" i="90"/>
  <c r="R8" i="90"/>
  <c r="E7" i="90"/>
  <c r="E6" i="90"/>
  <c r="AG24" i="90"/>
  <c r="AO24" i="90"/>
  <c r="BC24" i="90"/>
  <c r="W24" i="90"/>
  <c r="BJ24" i="90"/>
  <c r="AV24" i="90"/>
  <c r="AH24" i="90"/>
  <c r="AH6" i="90"/>
  <c r="AJ6" i="90" s="1"/>
  <c r="BL4" i="90"/>
  <c r="BS4" i="90"/>
  <c r="AO7" i="90"/>
  <c r="AV8" i="90"/>
  <c r="AO9" i="90"/>
  <c r="C24" i="90"/>
  <c r="AH4" i="90"/>
  <c r="AJ4" i="90" s="1"/>
  <c r="AH7" i="90"/>
  <c r="AJ7" i="90" s="1"/>
  <c r="BL5" i="90"/>
  <c r="BS5" i="90"/>
  <c r="AV4" i="90"/>
  <c r="AO8" i="90"/>
  <c r="AH9" i="90"/>
  <c r="AJ9" i="90" s="1"/>
  <c r="BJ7" i="90"/>
  <c r="AO4" i="90"/>
  <c r="BJ9" i="90"/>
  <c r="BC7" i="90"/>
  <c r="BJ6" i="90"/>
  <c r="P7" i="90"/>
  <c r="BJ8" i="90"/>
  <c r="AV9" i="90"/>
  <c r="BC9" i="90"/>
  <c r="BC8" i="90"/>
  <c r="AV6" i="90"/>
  <c r="BC6" i="90"/>
  <c r="AO5" i="90"/>
  <c r="AQ5" i="90" s="1"/>
  <c r="AO6" i="90"/>
  <c r="AV7" i="90"/>
  <c r="P8" i="90"/>
  <c r="AV5" i="90"/>
  <c r="G193" i="86"/>
  <c r="G11" i="83" s="1"/>
  <c r="C4" i="89"/>
  <c r="G192" i="86"/>
  <c r="D11" i="83" s="1"/>
  <c r="AY62" i="90"/>
  <c r="BF62" i="90"/>
  <c r="AY57" i="90"/>
  <c r="BC57" i="90" s="1"/>
  <c r="BH17" i="90"/>
  <c r="BJ17" i="90" s="1"/>
  <c r="BA17" i="90"/>
  <c r="BB17" i="90" s="1"/>
  <c r="I49" i="89"/>
  <c r="BF57" i="90"/>
  <c r="O250" i="75"/>
  <c r="O251" i="75" s="1"/>
  <c r="N250" i="75"/>
  <c r="N251" i="75" s="1"/>
  <c r="M62" i="78"/>
  <c r="R253" i="75"/>
  <c r="R255" i="75" s="1"/>
  <c r="CA80" i="90"/>
  <c r="BT80" i="90"/>
  <c r="I38" i="78"/>
  <c r="BM80" i="90"/>
  <c r="P253" i="75"/>
  <c r="P255" i="75" s="1"/>
  <c r="S57" i="78"/>
  <c r="Q57" i="78"/>
  <c r="O43" i="78"/>
  <c r="M78" i="78"/>
  <c r="K43" i="78"/>
  <c r="C34" i="78"/>
  <c r="C37" i="89"/>
  <c r="AU63" i="90"/>
  <c r="AT13" i="90"/>
  <c r="S43" i="78"/>
  <c r="S62" i="78"/>
  <c r="Q43" i="78"/>
  <c r="Q50" i="78"/>
  <c r="Q20" i="78"/>
  <c r="M50" i="78"/>
  <c r="M20" i="78"/>
  <c r="M57" i="78"/>
  <c r="M43" i="78"/>
  <c r="M10" i="78"/>
  <c r="M13" i="78" s="1"/>
  <c r="M19" i="78" s="1"/>
  <c r="K62" i="78"/>
  <c r="K20" i="78"/>
  <c r="K10" i="78"/>
  <c r="K13" i="78" s="1"/>
  <c r="K19" i="78" s="1"/>
  <c r="I12" i="78"/>
  <c r="I45" i="78"/>
  <c r="I43" i="78" s="1"/>
  <c r="K57" i="78"/>
  <c r="Q10" i="78"/>
  <c r="Q13" i="78" s="1"/>
  <c r="Q19" i="78" s="1"/>
  <c r="I51" i="78"/>
  <c r="C72" i="78"/>
  <c r="O50" i="78"/>
  <c r="K50" i="78"/>
  <c r="I57" i="78"/>
  <c r="O78" i="78"/>
  <c r="I10" i="78"/>
  <c r="AH78" i="90"/>
  <c r="I21" i="78"/>
  <c r="K78" i="78"/>
  <c r="O20" i="78"/>
  <c r="C38" i="78"/>
  <c r="C67" i="78"/>
  <c r="C65" i="78" s="1"/>
  <c r="C14" i="78"/>
  <c r="C45" i="78"/>
  <c r="C51" i="78"/>
  <c r="C61" i="78"/>
  <c r="C55" i="78"/>
  <c r="I11" i="78"/>
  <c r="X12" i="89"/>
  <c r="I14" i="78"/>
  <c r="G76" i="78"/>
  <c r="G78" i="78" s="1"/>
  <c r="P76" i="90"/>
  <c r="C17" i="78"/>
  <c r="C11" i="78"/>
  <c r="V71" i="90"/>
  <c r="I55" i="78"/>
  <c r="C40" i="78"/>
  <c r="O10" i="78"/>
  <c r="O13" i="78" s="1"/>
  <c r="O19" i="78" s="1"/>
  <c r="C41" i="78"/>
  <c r="I40" i="78"/>
  <c r="BJ77" i="90"/>
  <c r="BJ78" i="90" s="1"/>
  <c r="C58" i="78"/>
  <c r="V66" i="90"/>
  <c r="I69" i="78"/>
  <c r="M69" i="78"/>
  <c r="Q62" i="78"/>
  <c r="O57" i="78"/>
  <c r="AK78" i="90"/>
  <c r="AO77" i="90"/>
  <c r="AO78" i="90" s="1"/>
  <c r="I64" i="78"/>
  <c r="I62" i="78" s="1"/>
  <c r="C54" i="78"/>
  <c r="C56" i="78"/>
  <c r="S10" i="78"/>
  <c r="X13" i="78" s="1"/>
  <c r="C44" i="78"/>
  <c r="CC17" i="90"/>
  <c r="Y17" i="89"/>
  <c r="BO17" i="90"/>
  <c r="BP17" i="90" s="1"/>
  <c r="U17" i="89"/>
  <c r="V17" i="89" s="1"/>
  <c r="W17" i="89"/>
  <c r="X17" i="89" s="1"/>
  <c r="BV17" i="90"/>
  <c r="S13" i="89"/>
  <c r="Z66" i="89"/>
  <c r="Z47" i="89"/>
  <c r="Z60" i="89"/>
  <c r="Z59" i="89"/>
  <c r="Z71" i="89"/>
  <c r="Z70" i="89"/>
  <c r="Z39" i="89"/>
  <c r="Z55" i="89"/>
  <c r="Z7" i="89"/>
  <c r="V66" i="89"/>
  <c r="Z5" i="89"/>
  <c r="Z24" i="89"/>
  <c r="Z40" i="89"/>
  <c r="Z37" i="89"/>
  <c r="Z36" i="89"/>
  <c r="Z67" i="89"/>
  <c r="Z35" i="89"/>
  <c r="Z38" i="89"/>
  <c r="Z30" i="89"/>
  <c r="Z41" i="89"/>
  <c r="V60" i="89"/>
  <c r="V71" i="89"/>
  <c r="Z44" i="89"/>
  <c r="Z25" i="89"/>
  <c r="Z28" i="89"/>
  <c r="Z45" i="89"/>
  <c r="Z64" i="89"/>
  <c r="X47" i="89"/>
  <c r="V59" i="89"/>
  <c r="X70" i="89"/>
  <c r="Z31" i="89"/>
  <c r="Z63" i="89"/>
  <c r="X60" i="89"/>
  <c r="Z69" i="89"/>
  <c r="Z29" i="89"/>
  <c r="Z9" i="89"/>
  <c r="Z72" i="89"/>
  <c r="Z15" i="89"/>
  <c r="Z34" i="89"/>
  <c r="Z58" i="89"/>
  <c r="Z23" i="89"/>
  <c r="Z56" i="89"/>
  <c r="X71" i="89"/>
  <c r="Z61" i="89"/>
  <c r="Z26" i="89"/>
  <c r="Z6" i="89"/>
  <c r="Z4" i="89"/>
  <c r="X66" i="89"/>
  <c r="Z65" i="89"/>
  <c r="Z8" i="89"/>
  <c r="Z14" i="89"/>
  <c r="V47" i="89"/>
  <c r="Z27" i="89"/>
  <c r="X59" i="89"/>
  <c r="V70" i="89"/>
  <c r="V14" i="89"/>
  <c r="V57" i="89"/>
  <c r="Z57" i="89"/>
  <c r="Z32" i="89"/>
  <c r="V51" i="89"/>
  <c r="V7" i="89"/>
  <c r="X6" i="89"/>
  <c r="Z21" i="89"/>
  <c r="Z33" i="89"/>
  <c r="X4" i="89"/>
  <c r="X55" i="89"/>
  <c r="V39" i="89"/>
  <c r="V55" i="89"/>
  <c r="Z16" i="89"/>
  <c r="Z10" i="89"/>
  <c r="V5" i="89"/>
  <c r="V44" i="89"/>
  <c r="V40" i="89"/>
  <c r="X11" i="89"/>
  <c r="V9" i="89"/>
  <c r="V38" i="89"/>
  <c r="Z12" i="89"/>
  <c r="X25" i="89"/>
  <c r="V8" i="89"/>
  <c r="Z22" i="89"/>
  <c r="V10" i="89"/>
  <c r="V61" i="89"/>
  <c r="V6" i="89"/>
  <c r="V54" i="89"/>
  <c r="Z51" i="89"/>
  <c r="Z53" i="89"/>
  <c r="X61" i="89"/>
  <c r="Z62" i="89"/>
  <c r="V58" i="89"/>
  <c r="X16" i="89"/>
  <c r="Z11" i="89"/>
  <c r="V4" i="89"/>
  <c r="V67" i="89"/>
  <c r="X64" i="89"/>
  <c r="V56" i="89"/>
  <c r="X8" i="89"/>
  <c r="X56" i="89"/>
  <c r="V69" i="89"/>
  <c r="V65" i="89"/>
  <c r="Z43" i="89"/>
  <c r="X51" i="89"/>
  <c r="V41" i="89"/>
  <c r="V15" i="89"/>
  <c r="X7" i="89"/>
  <c r="X58" i="89"/>
  <c r="V11" i="89"/>
  <c r="X14" i="89"/>
  <c r="Z54" i="89"/>
  <c r="V62" i="89"/>
  <c r="X72" i="89"/>
  <c r="X39" i="89"/>
  <c r="X31" i="89"/>
  <c r="X53" i="89"/>
  <c r="X28" i="89"/>
  <c r="X30" i="89"/>
  <c r="X45" i="89"/>
  <c r="X27" i="89"/>
  <c r="V24" i="89"/>
  <c r="X38" i="89"/>
  <c r="V53" i="89"/>
  <c r="Z13" i="89"/>
  <c r="X67" i="89"/>
  <c r="X57" i="89"/>
  <c r="V31" i="89"/>
  <c r="X23" i="89"/>
  <c r="X34" i="89"/>
  <c r="V29" i="89"/>
  <c r="V27" i="89"/>
  <c r="X21" i="89"/>
  <c r="X36" i="89"/>
  <c r="X62" i="89"/>
  <c r="X54" i="89"/>
  <c r="V26" i="89"/>
  <c r="V28" i="89"/>
  <c r="V30" i="89"/>
  <c r="Z20" i="89"/>
  <c r="X41" i="89"/>
  <c r="V64" i="89"/>
  <c r="X37" i="89"/>
  <c r="X26" i="89"/>
  <c r="X40" i="89"/>
  <c r="X15" i="89"/>
  <c r="V32" i="89"/>
  <c r="V25" i="89"/>
  <c r="X69" i="89"/>
  <c r="X63" i="89"/>
  <c r="V72" i="89"/>
  <c r="X5" i="89"/>
  <c r="X29" i="89"/>
  <c r="V22" i="89"/>
  <c r="V23" i="89"/>
  <c r="X44" i="89"/>
  <c r="X32" i="89"/>
  <c r="V37" i="89"/>
  <c r="X9" i="89"/>
  <c r="X33" i="89"/>
  <c r="V43" i="89"/>
  <c r="V21" i="89"/>
  <c r="X35" i="89"/>
  <c r="V34" i="89"/>
  <c r="V36" i="89"/>
  <c r="V33" i="89"/>
  <c r="V63" i="89"/>
  <c r="V35" i="89"/>
  <c r="V45" i="89"/>
  <c r="V16" i="89"/>
  <c r="X24" i="89"/>
  <c r="X22" i="89"/>
  <c r="X20" i="89"/>
  <c r="X65" i="89"/>
  <c r="X43" i="89"/>
  <c r="X10" i="89"/>
  <c r="V20" i="89"/>
  <c r="Q78" i="78"/>
  <c r="O62" i="78"/>
  <c r="S50" i="78"/>
  <c r="BC77" i="90"/>
  <c r="BC78" i="90" s="1"/>
  <c r="AY78" i="90"/>
  <c r="AD78" i="90"/>
  <c r="G247" i="75"/>
  <c r="C76" i="90"/>
  <c r="C78" i="90" s="1"/>
  <c r="I56" i="78"/>
  <c r="I54" i="78"/>
  <c r="AR78" i="90"/>
  <c r="AV77" i="90"/>
  <c r="AV78" i="90" s="1"/>
  <c r="C63" i="78"/>
  <c r="C64" i="78"/>
  <c r="Y52" i="89"/>
  <c r="BV52" i="90"/>
  <c r="W52" i="89"/>
  <c r="BO52" i="90"/>
  <c r="BP52" i="90" s="1"/>
  <c r="U52" i="89"/>
  <c r="I67" i="78"/>
  <c r="I65" i="78" s="1"/>
  <c r="S20" i="78"/>
  <c r="V60" i="90"/>
  <c r="J247" i="75"/>
  <c r="I76" i="78"/>
  <c r="I78" i="78" s="1"/>
  <c r="W76" i="90"/>
  <c r="CD59" i="90"/>
  <c r="CD47" i="90"/>
  <c r="CD71" i="90"/>
  <c r="CD70" i="90"/>
  <c r="CD60" i="90"/>
  <c r="CD66" i="90"/>
  <c r="CD52" i="90"/>
  <c r="BW66" i="90"/>
  <c r="CD54" i="90"/>
  <c r="CD36" i="90"/>
  <c r="CD33" i="90"/>
  <c r="CD21" i="90"/>
  <c r="CD53" i="90"/>
  <c r="CD51" i="90"/>
  <c r="CD11" i="90"/>
  <c r="CD16" i="90"/>
  <c r="BW60" i="90"/>
  <c r="CD29" i="90"/>
  <c r="BW47" i="90"/>
  <c r="BW59" i="90"/>
  <c r="BW71" i="90"/>
  <c r="CD39" i="90"/>
  <c r="CD32" i="90"/>
  <c r="CD22" i="90"/>
  <c r="CD27" i="90"/>
  <c r="BW70" i="90"/>
  <c r="BW51" i="90"/>
  <c r="BW72" i="90"/>
  <c r="CD12" i="90"/>
  <c r="CD44" i="90"/>
  <c r="BW36" i="90"/>
  <c r="CD14" i="90"/>
  <c r="BW27" i="90"/>
  <c r="BW22" i="90"/>
  <c r="BW39" i="90"/>
  <c r="BW67" i="90"/>
  <c r="BW40" i="90"/>
  <c r="CD58" i="90"/>
  <c r="CD43" i="90"/>
  <c r="BW15" i="90"/>
  <c r="CD37" i="90"/>
  <c r="CD72" i="90"/>
  <c r="BW61" i="90"/>
  <c r="BW56" i="90"/>
  <c r="BW54" i="90"/>
  <c r="BW38" i="90"/>
  <c r="CD38" i="90"/>
  <c r="BW23" i="90"/>
  <c r="CD61" i="90"/>
  <c r="BW41" i="90"/>
  <c r="CD63" i="90"/>
  <c r="CD20" i="90"/>
  <c r="CD15" i="90"/>
  <c r="CD25" i="90"/>
  <c r="CD34" i="90"/>
  <c r="BW64" i="90"/>
  <c r="CD35" i="90"/>
  <c r="CD41" i="90"/>
  <c r="CD64" i="90"/>
  <c r="CD69" i="90"/>
  <c r="CD23" i="90"/>
  <c r="CD31" i="90"/>
  <c r="BW11" i="90"/>
  <c r="CD30" i="90"/>
  <c r="CD28" i="90"/>
  <c r="CD55" i="90"/>
  <c r="BW69" i="90"/>
  <c r="CD56" i="90"/>
  <c r="CD67" i="90"/>
  <c r="BW63" i="90"/>
  <c r="CD26" i="90"/>
  <c r="CD45" i="90"/>
  <c r="BW44" i="90"/>
  <c r="CD40" i="90"/>
  <c r="BW58" i="90"/>
  <c r="BW14" i="90"/>
  <c r="BW25" i="90"/>
  <c r="BW33" i="90"/>
  <c r="BW62" i="90"/>
  <c r="BW45" i="90"/>
  <c r="BW55" i="90"/>
  <c r="BW32" i="90"/>
  <c r="BW57" i="90"/>
  <c r="BW34" i="90"/>
  <c r="BW30" i="90"/>
  <c r="BW29" i="90"/>
  <c r="BW16" i="90"/>
  <c r="BW43" i="90"/>
  <c r="BW12" i="90"/>
  <c r="BW28" i="90"/>
  <c r="CD10" i="90"/>
  <c r="CD50" i="90"/>
  <c r="CD62" i="90"/>
  <c r="BW21" i="90"/>
  <c r="BW53" i="90"/>
  <c r="BW10" i="90"/>
  <c r="BW31" i="90"/>
  <c r="CD49" i="90"/>
  <c r="BW35" i="90"/>
  <c r="BW26" i="90"/>
  <c r="BW37" i="90"/>
  <c r="CD57" i="90"/>
  <c r="BW20" i="90"/>
  <c r="Y42" i="78"/>
  <c r="X13" i="89"/>
  <c r="V13" i="89"/>
  <c r="C37" i="78"/>
  <c r="I37" i="90"/>
  <c r="C31" i="78"/>
  <c r="C32" i="78"/>
  <c r="C30" i="78"/>
  <c r="C33" i="78"/>
  <c r="C35" i="78"/>
  <c r="C53" i="78"/>
  <c r="W19" i="78"/>
  <c r="BP69" i="90"/>
  <c r="BP41" i="90"/>
  <c r="BP53" i="90"/>
  <c r="BP36" i="90"/>
  <c r="BP32" i="90"/>
  <c r="BP58" i="90"/>
  <c r="BP25" i="90"/>
  <c r="BP72" i="90"/>
  <c r="BP61" i="90"/>
  <c r="BP35" i="90"/>
  <c r="BP31" i="90"/>
  <c r="BP16" i="90"/>
  <c r="BP66" i="90"/>
  <c r="BP29" i="90"/>
  <c r="BP12" i="90"/>
  <c r="BP23" i="90"/>
  <c r="BP11" i="90"/>
  <c r="BP71" i="90"/>
  <c r="BP60" i="90"/>
  <c r="BP56" i="90"/>
  <c r="BP47" i="90"/>
  <c r="BP55" i="90"/>
  <c r="BP45" i="90"/>
  <c r="BP63" i="90"/>
  <c r="BP59" i="90"/>
  <c r="BP54" i="90"/>
  <c r="BP70" i="90"/>
  <c r="BP37" i="90"/>
  <c r="BP33" i="90"/>
  <c r="BP34" i="90"/>
  <c r="BP10" i="90"/>
  <c r="BP40" i="90"/>
  <c r="BP30" i="90"/>
  <c r="BP20" i="90"/>
  <c r="BP38" i="90"/>
  <c r="BP51" i="90"/>
  <c r="BP39" i="90"/>
  <c r="BP26" i="90"/>
  <c r="BP64" i="90"/>
  <c r="BP15" i="90"/>
  <c r="BP67" i="90"/>
  <c r="BP43" i="90"/>
  <c r="BP22" i="90"/>
  <c r="BP14" i="90"/>
  <c r="BP44" i="90"/>
  <c r="BP28" i="90"/>
  <c r="BP21" i="90"/>
  <c r="BP57" i="90"/>
  <c r="BP27" i="90"/>
  <c r="BP62" i="90"/>
  <c r="R54" i="89"/>
  <c r="C32" i="89"/>
  <c r="C35" i="89"/>
  <c r="C29" i="89"/>
  <c r="C27" i="89"/>
  <c r="C16" i="89"/>
  <c r="C28" i="89"/>
  <c r="C53" i="89"/>
  <c r="C23" i="89"/>
  <c r="C26" i="89"/>
  <c r="C30" i="89"/>
  <c r="C31" i="89"/>
  <c r="C33" i="89"/>
  <c r="C34" i="89"/>
  <c r="O49" i="89"/>
  <c r="T9" i="89"/>
  <c r="J67" i="89"/>
  <c r="K49" i="89"/>
  <c r="L49" i="89" s="1"/>
  <c r="C58" i="89"/>
  <c r="C51" i="89"/>
  <c r="C7" i="89"/>
  <c r="C61" i="89"/>
  <c r="C5" i="89"/>
  <c r="N11" i="89"/>
  <c r="C40" i="89"/>
  <c r="I42" i="89"/>
  <c r="I46" i="89" s="1"/>
  <c r="C12" i="89"/>
  <c r="C38" i="89"/>
  <c r="P56" i="89"/>
  <c r="C63" i="89"/>
  <c r="L22" i="89"/>
  <c r="S52" i="89"/>
  <c r="S50" i="89" s="1"/>
  <c r="S49" i="89" s="1"/>
  <c r="Q52" i="89"/>
  <c r="Q50" i="89" s="1"/>
  <c r="Q49" i="89" s="1"/>
  <c r="M52" i="89"/>
  <c r="M50" i="89" s="1"/>
  <c r="M49" i="89" s="1"/>
  <c r="C72" i="89"/>
  <c r="C8" i="89"/>
  <c r="C9" i="89"/>
  <c r="C54" i="89"/>
  <c r="C67" i="89"/>
  <c r="C65" i="89" s="1"/>
  <c r="C45" i="89"/>
  <c r="C55" i="89"/>
  <c r="C41" i="89"/>
  <c r="C6" i="89"/>
  <c r="C44" i="89"/>
  <c r="C21" i="89"/>
  <c r="K42" i="89"/>
  <c r="L42" i="89" s="1"/>
  <c r="C17" i="89"/>
  <c r="C14" i="89"/>
  <c r="C11" i="89"/>
  <c r="C56" i="89"/>
  <c r="C64" i="89"/>
  <c r="O42" i="89"/>
  <c r="C24" i="89"/>
  <c r="S17" i="89"/>
  <c r="Q17" i="89"/>
  <c r="Q19" i="89" s="1"/>
  <c r="Q42" i="89" s="1"/>
  <c r="M17" i="89"/>
  <c r="M19" i="89" s="1"/>
  <c r="M42" i="89" s="1"/>
  <c r="V70" i="90"/>
  <c r="V59" i="90"/>
  <c r="O66" i="90"/>
  <c r="O70" i="90"/>
  <c r="O60" i="90"/>
  <c r="O71" i="90"/>
  <c r="O59" i="90"/>
  <c r="K195" i="86"/>
  <c r="J21" i="89"/>
  <c r="J24" i="89"/>
  <c r="R58" i="90"/>
  <c r="AN59" i="90"/>
  <c r="R16" i="90"/>
  <c r="AN70" i="90"/>
  <c r="AN47" i="90"/>
  <c r="AN11" i="90"/>
  <c r="AQ15" i="90"/>
  <c r="L67" i="89"/>
  <c r="AN39" i="90"/>
  <c r="AN41" i="90"/>
  <c r="AN56" i="90"/>
  <c r="AN69" i="90"/>
  <c r="R53" i="90"/>
  <c r="AN51" i="90"/>
  <c r="AN61" i="90"/>
  <c r="AN15" i="90"/>
  <c r="L50" i="89"/>
  <c r="P62" i="89"/>
  <c r="AN55" i="90"/>
  <c r="AN14" i="90"/>
  <c r="AN10" i="90"/>
  <c r="AN40" i="90"/>
  <c r="AN64" i="90"/>
  <c r="BB54" i="90"/>
  <c r="AN63" i="90"/>
  <c r="AN71" i="90"/>
  <c r="AN67" i="90"/>
  <c r="AN72" i="90"/>
  <c r="AN44" i="90"/>
  <c r="L71" i="89"/>
  <c r="R32" i="90"/>
  <c r="P72" i="89"/>
  <c r="T59" i="89"/>
  <c r="T71" i="89"/>
  <c r="P41" i="89"/>
  <c r="L38" i="89"/>
  <c r="AN57" i="90"/>
  <c r="N7" i="89"/>
  <c r="L54" i="89"/>
  <c r="T7" i="89"/>
  <c r="L53" i="89"/>
  <c r="T67" i="89"/>
  <c r="T56" i="89"/>
  <c r="P54" i="89"/>
  <c r="L21" i="89"/>
  <c r="P11" i="89"/>
  <c r="L58" i="89"/>
  <c r="P64" i="89"/>
  <c r="L20" i="89"/>
  <c r="P61" i="89"/>
  <c r="L52" i="89"/>
  <c r="BB47" i="90"/>
  <c r="T54" i="89"/>
  <c r="L26" i="89"/>
  <c r="R44" i="89"/>
  <c r="T64" i="89"/>
  <c r="BB44" i="90"/>
  <c r="R66" i="89"/>
  <c r="BB40" i="90"/>
  <c r="R4" i="89"/>
  <c r="BB14" i="90"/>
  <c r="R11" i="89"/>
  <c r="BB63" i="90"/>
  <c r="T55" i="89"/>
  <c r="R60" i="89"/>
  <c r="BB38" i="90"/>
  <c r="T61" i="89"/>
  <c r="R23" i="90"/>
  <c r="Z21" i="90"/>
  <c r="N21" i="89"/>
  <c r="P21" i="89"/>
  <c r="R21" i="89"/>
  <c r="AU21" i="90"/>
  <c r="P24" i="89"/>
  <c r="N24" i="89"/>
  <c r="R24" i="89"/>
  <c r="T24" i="89"/>
  <c r="BI26" i="90"/>
  <c r="AU26" i="90"/>
  <c r="AA26" i="90"/>
  <c r="R26" i="89"/>
  <c r="P26" i="89"/>
  <c r="N26" i="89"/>
  <c r="BB26" i="90"/>
  <c r="AN26" i="90"/>
  <c r="J30" i="89"/>
  <c r="R30" i="89"/>
  <c r="BI30" i="90"/>
  <c r="N30" i="89"/>
  <c r="BB30" i="90"/>
  <c r="AN30" i="90"/>
  <c r="AU30" i="90"/>
  <c r="T30" i="89"/>
  <c r="AA30" i="90"/>
  <c r="J31" i="89"/>
  <c r="P31" i="89"/>
  <c r="BI31" i="90"/>
  <c r="AU31" i="90"/>
  <c r="R31" i="89"/>
  <c r="N31" i="89"/>
  <c r="BB31" i="90"/>
  <c r="AN31" i="90"/>
  <c r="AA31" i="90"/>
  <c r="T31" i="89"/>
  <c r="J33" i="89"/>
  <c r="N33" i="89"/>
  <c r="BB33" i="90"/>
  <c r="AN33" i="90"/>
  <c r="Z33" i="90"/>
  <c r="BI33" i="90"/>
  <c r="AU33" i="90"/>
  <c r="P33" i="89"/>
  <c r="T33" i="89"/>
  <c r="AN34" i="90"/>
  <c r="BB34" i="90"/>
  <c r="BI34" i="90"/>
  <c r="AU34" i="90"/>
  <c r="T34" i="89"/>
  <c r="P34" i="89"/>
  <c r="N34" i="89"/>
  <c r="AA34" i="90"/>
  <c r="R34" i="89"/>
  <c r="P43" i="89"/>
  <c r="AM43" i="90"/>
  <c r="AN43" i="90" s="1"/>
  <c r="T43" i="89"/>
  <c r="AU43" i="90"/>
  <c r="BA43" i="90"/>
  <c r="BB43" i="90" s="1"/>
  <c r="N43" i="89"/>
  <c r="R43" i="89"/>
  <c r="Y43" i="90"/>
  <c r="Z43" i="90" s="1"/>
  <c r="J43" i="89"/>
  <c r="BH43" i="90"/>
  <c r="BI43" i="90" s="1"/>
  <c r="BB16" i="90"/>
  <c r="T16" i="89"/>
  <c r="AN16" i="90"/>
  <c r="BI16" i="90"/>
  <c r="N16" i="89"/>
  <c r="Z16" i="90"/>
  <c r="P16" i="89"/>
  <c r="AU16" i="90"/>
  <c r="R16" i="89"/>
  <c r="J16" i="89"/>
  <c r="BI23" i="90"/>
  <c r="AN23" i="90"/>
  <c r="BB23" i="90"/>
  <c r="T23" i="89"/>
  <c r="AU23" i="90"/>
  <c r="J23" i="89"/>
  <c r="R23" i="89"/>
  <c r="P23" i="89"/>
  <c r="Z23" i="90"/>
  <c r="N23" i="89"/>
  <c r="J27" i="89"/>
  <c r="Z27" i="90"/>
  <c r="R27" i="89"/>
  <c r="P27" i="89"/>
  <c r="N27" i="89"/>
  <c r="BB27" i="90"/>
  <c r="AN27" i="90"/>
  <c r="AU27" i="90"/>
  <c r="BI27" i="90"/>
  <c r="J36" i="89"/>
  <c r="BI36" i="90"/>
  <c r="AU36" i="90"/>
  <c r="AA36" i="90"/>
  <c r="P36" i="89"/>
  <c r="T36" i="89"/>
  <c r="R36" i="89"/>
  <c r="N36" i="89"/>
  <c r="BB36" i="90"/>
  <c r="AN36" i="90"/>
  <c r="T12" i="89"/>
  <c r="BB12" i="90"/>
  <c r="Y13" i="90"/>
  <c r="N12" i="89"/>
  <c r="BI12" i="90"/>
  <c r="P13" i="89"/>
  <c r="R12" i="89"/>
  <c r="AN12" i="90"/>
  <c r="AU53" i="90"/>
  <c r="T53" i="89"/>
  <c r="BB53" i="90"/>
  <c r="Z53" i="90"/>
  <c r="R53" i="89"/>
  <c r="J53" i="89"/>
  <c r="AN53" i="90"/>
  <c r="N53" i="89"/>
  <c r="BI53" i="90"/>
  <c r="P53" i="89"/>
  <c r="T32" i="89"/>
  <c r="R32" i="89"/>
  <c r="N32" i="89"/>
  <c r="BI32" i="90"/>
  <c r="Z32" i="90"/>
  <c r="J32" i="89"/>
  <c r="BB32" i="90"/>
  <c r="AU32" i="90"/>
  <c r="AN32" i="90"/>
  <c r="P32" i="89"/>
  <c r="AN37" i="90"/>
  <c r="BI37" i="90"/>
  <c r="AU37" i="90"/>
  <c r="AA37" i="90"/>
  <c r="P37" i="89"/>
  <c r="N37" i="89"/>
  <c r="T37" i="89"/>
  <c r="R37" i="89"/>
  <c r="BB37" i="90"/>
  <c r="J22" i="89"/>
  <c r="BI22" i="90"/>
  <c r="AU22" i="90"/>
  <c r="AA22" i="90"/>
  <c r="T22" i="89"/>
  <c r="P22" i="89"/>
  <c r="N22" i="89"/>
  <c r="BB22" i="90"/>
  <c r="R22" i="89"/>
  <c r="AN22" i="90"/>
  <c r="J29" i="89"/>
  <c r="T29" i="89"/>
  <c r="R29" i="89"/>
  <c r="P29" i="89"/>
  <c r="N29" i="89"/>
  <c r="BB29" i="90"/>
  <c r="AN29" i="90"/>
  <c r="AA29" i="90"/>
  <c r="BI29" i="90"/>
  <c r="AU29" i="90"/>
  <c r="J35" i="89"/>
  <c r="T35" i="89"/>
  <c r="N35" i="89"/>
  <c r="BI35" i="90"/>
  <c r="AU35" i="90"/>
  <c r="AA35" i="90"/>
  <c r="R35" i="89"/>
  <c r="AN35" i="90"/>
  <c r="P35" i="89"/>
  <c r="BB35" i="90"/>
  <c r="J25" i="89"/>
  <c r="N25" i="89"/>
  <c r="BB25" i="90"/>
  <c r="BI25" i="90"/>
  <c r="AU25" i="90"/>
  <c r="AA25" i="90"/>
  <c r="T25" i="89"/>
  <c r="R25" i="89"/>
  <c r="AN25" i="90"/>
  <c r="P25" i="89"/>
  <c r="J28" i="89"/>
  <c r="T28" i="89"/>
  <c r="R28" i="89"/>
  <c r="P28" i="89"/>
  <c r="N28" i="89"/>
  <c r="BB28" i="90"/>
  <c r="AN28" i="90"/>
  <c r="AA28" i="90"/>
  <c r="BI28" i="90"/>
  <c r="AU28" i="90"/>
  <c r="N60" i="89"/>
  <c r="BI55" i="90"/>
  <c r="T5" i="89"/>
  <c r="N57" i="89"/>
  <c r="BI72" i="90"/>
  <c r="T40" i="89"/>
  <c r="T15" i="89"/>
  <c r="P63" i="89"/>
  <c r="R39" i="89"/>
  <c r="T47" i="89"/>
  <c r="P40" i="89"/>
  <c r="R56" i="89"/>
  <c r="T4" i="89"/>
  <c r="T27" i="89"/>
  <c r="T38" i="89"/>
  <c r="P58" i="89"/>
  <c r="T6" i="89"/>
  <c r="L31" i="89"/>
  <c r="L62" i="89"/>
  <c r="N44" i="89"/>
  <c r="P51" i="89"/>
  <c r="P10" i="89"/>
  <c r="BB39" i="90"/>
  <c r="BB70" i="90"/>
  <c r="R15" i="89"/>
  <c r="R61" i="89"/>
  <c r="R51" i="89"/>
  <c r="R58" i="89"/>
  <c r="BI70" i="90"/>
  <c r="T10" i="89"/>
  <c r="BI41" i="90"/>
  <c r="BI57" i="90"/>
  <c r="BI64" i="90"/>
  <c r="N71" i="89"/>
  <c r="R8" i="89"/>
  <c r="R71" i="89"/>
  <c r="BI58" i="90"/>
  <c r="BI15" i="90"/>
  <c r="R7" i="89"/>
  <c r="N69" i="89"/>
  <c r="R10" i="89"/>
  <c r="R59" i="89"/>
  <c r="BI60" i="90"/>
  <c r="BI40" i="90"/>
  <c r="L65" i="89"/>
  <c r="N55" i="89"/>
  <c r="P59" i="89"/>
  <c r="BB10" i="90"/>
  <c r="R6" i="89"/>
  <c r="R9" i="89"/>
  <c r="BI10" i="90"/>
  <c r="T11" i="89"/>
  <c r="T39" i="89"/>
  <c r="T8" i="89"/>
  <c r="R63" i="89"/>
  <c r="R67" i="89"/>
  <c r="R40" i="89"/>
  <c r="R14" i="89"/>
  <c r="BI11" i="90"/>
  <c r="BI56" i="90"/>
  <c r="BI61" i="90"/>
  <c r="R67" i="90"/>
  <c r="R65" i="90" s="1"/>
  <c r="L63" i="89"/>
  <c r="P71" i="89"/>
  <c r="BB59" i="90"/>
  <c r="BB55" i="90"/>
  <c r="R57" i="89"/>
  <c r="R64" i="89"/>
  <c r="R70" i="89"/>
  <c r="R5" i="89"/>
  <c r="BI66" i="90"/>
  <c r="T58" i="89"/>
  <c r="T41" i="89"/>
  <c r="T69" i="89"/>
  <c r="P8" i="89"/>
  <c r="R47" i="89"/>
  <c r="R69" i="89"/>
  <c r="R72" i="89"/>
  <c r="BI14" i="90"/>
  <c r="R55" i="89"/>
  <c r="R62" i="89"/>
  <c r="BB67" i="90"/>
  <c r="BB56" i="90"/>
  <c r="BB69" i="90"/>
  <c r="R33" i="89"/>
  <c r="BI54" i="90"/>
  <c r="BI63" i="90"/>
  <c r="T26" i="89"/>
  <c r="BI44" i="90"/>
  <c r="L23" i="89"/>
  <c r="N9" i="89"/>
  <c r="P65" i="89"/>
  <c r="BB58" i="90"/>
  <c r="BB62" i="90"/>
  <c r="R38" i="89"/>
  <c r="R65" i="89"/>
  <c r="BI67" i="90"/>
  <c r="T72" i="89"/>
  <c r="T66" i="89"/>
  <c r="T14" i="89"/>
  <c r="T44" i="89"/>
  <c r="L59" i="89"/>
  <c r="L66" i="89"/>
  <c r="L37" i="89"/>
  <c r="L41" i="89"/>
  <c r="L14" i="89"/>
  <c r="L11" i="89"/>
  <c r="L4" i="89"/>
  <c r="L10" i="89"/>
  <c r="L9" i="89"/>
  <c r="L16" i="89"/>
  <c r="AU58" i="90"/>
  <c r="AU11" i="90"/>
  <c r="AG45" i="90"/>
  <c r="AG64" i="90"/>
  <c r="L17" i="89"/>
  <c r="L64" i="89"/>
  <c r="L39" i="89"/>
  <c r="L30" i="89"/>
  <c r="AU61" i="90"/>
  <c r="J57" i="89"/>
  <c r="L43" i="89"/>
  <c r="AU62" i="90"/>
  <c r="AG10" i="90"/>
  <c r="L70" i="89"/>
  <c r="L51" i="89"/>
  <c r="L5" i="89"/>
  <c r="L7" i="89"/>
  <c r="AU40" i="90"/>
  <c r="R44" i="90"/>
  <c r="R45" i="90"/>
  <c r="L55" i="89"/>
  <c r="L57" i="89"/>
  <c r="L47" i="89"/>
  <c r="L27" i="89"/>
  <c r="L45" i="89"/>
  <c r="AU64" i="90"/>
  <c r="R54" i="90"/>
  <c r="R55" i="90"/>
  <c r="L24" i="89"/>
  <c r="L35" i="89"/>
  <c r="L60" i="89"/>
  <c r="L72" i="89"/>
  <c r="L8" i="89"/>
  <c r="P47" i="89"/>
  <c r="BB64" i="90"/>
  <c r="BB60" i="90"/>
  <c r="BB66" i="90"/>
  <c r="BI71" i="90"/>
  <c r="T60" i="89"/>
  <c r="BI51" i="90"/>
  <c r="AG57" i="90"/>
  <c r="BI62" i="90"/>
  <c r="L32" i="89"/>
  <c r="L15" i="89"/>
  <c r="L25" i="89"/>
  <c r="L12" i="89"/>
  <c r="L56" i="89"/>
  <c r="AU10" i="90"/>
  <c r="R64" i="90"/>
  <c r="AN54" i="90"/>
  <c r="AN60" i="90"/>
  <c r="AN66" i="90"/>
  <c r="AN62" i="90"/>
  <c r="L40" i="89"/>
  <c r="L69" i="89"/>
  <c r="L33" i="89"/>
  <c r="L29" i="89"/>
  <c r="P69" i="89"/>
  <c r="P60" i="89"/>
  <c r="T62" i="89"/>
  <c r="BI59" i="90"/>
  <c r="T70" i="89"/>
  <c r="T51" i="89"/>
  <c r="BI69" i="90"/>
  <c r="AU66" i="90"/>
  <c r="AU54" i="90"/>
  <c r="J56" i="89"/>
  <c r="AN58" i="90"/>
  <c r="AN38" i="90"/>
  <c r="L36" i="89"/>
  <c r="L28" i="89"/>
  <c r="L44" i="89"/>
  <c r="L6" i="89"/>
  <c r="L34" i="89"/>
  <c r="P4" i="89"/>
  <c r="AU59" i="90"/>
  <c r="BB72" i="90"/>
  <c r="BB61" i="90"/>
  <c r="BB57" i="90"/>
  <c r="BB11" i="90"/>
  <c r="R41" i="89"/>
  <c r="BI47" i="90"/>
  <c r="BI38" i="90"/>
  <c r="T63" i="89"/>
  <c r="T65" i="89"/>
  <c r="T57" i="89"/>
  <c r="BI39" i="90"/>
  <c r="AU47" i="90"/>
  <c r="AU39" i="90"/>
  <c r="L61" i="89"/>
  <c r="AG65" i="90"/>
  <c r="AG61" i="90"/>
  <c r="AG23" i="90"/>
  <c r="AG26" i="90"/>
  <c r="N62" i="89"/>
  <c r="AG21" i="90"/>
  <c r="AG35" i="90"/>
  <c r="AG70" i="90"/>
  <c r="AG50" i="90"/>
  <c r="AG33" i="90"/>
  <c r="AG53" i="90"/>
  <c r="AG27" i="90"/>
  <c r="AG44" i="90"/>
  <c r="N4" i="89"/>
  <c r="N61" i="89"/>
  <c r="N6" i="89"/>
  <c r="N14" i="89"/>
  <c r="AG72" i="90"/>
  <c r="AG63" i="90"/>
  <c r="AG66" i="90"/>
  <c r="AG39" i="90"/>
  <c r="AG56" i="90"/>
  <c r="AG58" i="90"/>
  <c r="N15" i="89"/>
  <c r="N5" i="89"/>
  <c r="N41" i="89"/>
  <c r="P57" i="89"/>
  <c r="AU44" i="90"/>
  <c r="AG29" i="90"/>
  <c r="AG17" i="90"/>
  <c r="AG71" i="90"/>
  <c r="AG14" i="90"/>
  <c r="AG59" i="90"/>
  <c r="AG32" i="90"/>
  <c r="N8" i="89"/>
  <c r="N59" i="89"/>
  <c r="N66" i="89"/>
  <c r="N63" i="89"/>
  <c r="AU71" i="90"/>
  <c r="AU38" i="90"/>
  <c r="AG15" i="90"/>
  <c r="AG47" i="90"/>
  <c r="AG36" i="90"/>
  <c r="AG12" i="90"/>
  <c r="AF13" i="90"/>
  <c r="AF19" i="90" s="1"/>
  <c r="AF42" i="90" s="1"/>
  <c r="AF48" i="90" s="1"/>
  <c r="AG48" i="90" s="1"/>
  <c r="AG40" i="90"/>
  <c r="AG20" i="90"/>
  <c r="N72" i="89"/>
  <c r="N39" i="89"/>
  <c r="N67" i="89"/>
  <c r="P6" i="89"/>
  <c r="P39" i="89"/>
  <c r="P30" i="89"/>
  <c r="AU15" i="90"/>
  <c r="P5" i="89"/>
  <c r="P55" i="89"/>
  <c r="AU67" i="90"/>
  <c r="AG30" i="90"/>
  <c r="AG62" i="90"/>
  <c r="AG54" i="90"/>
  <c r="AG28" i="90"/>
  <c r="AG51" i="90"/>
  <c r="AG60" i="90"/>
  <c r="AG22" i="90"/>
  <c r="AG67" i="90"/>
  <c r="AG38" i="90"/>
  <c r="N64" i="89"/>
  <c r="N58" i="89"/>
  <c r="P70" i="89"/>
  <c r="P7" i="89"/>
  <c r="AG69" i="90"/>
  <c r="AG16" i="90"/>
  <c r="AG34" i="90"/>
  <c r="AG25" i="90"/>
  <c r="AG43" i="90"/>
  <c r="N56" i="89"/>
  <c r="N10" i="89"/>
  <c r="N38" i="89"/>
  <c r="N40" i="89"/>
  <c r="N65" i="89"/>
  <c r="P67" i="89"/>
  <c r="P38" i="89"/>
  <c r="AU14" i="90"/>
  <c r="AU72" i="90"/>
  <c r="P14" i="89"/>
  <c r="AU57" i="90"/>
  <c r="P44" i="89"/>
  <c r="AG55" i="90"/>
  <c r="AG31" i="90"/>
  <c r="AG52" i="90"/>
  <c r="AG37" i="90"/>
  <c r="AG11" i="90"/>
  <c r="N54" i="89"/>
  <c r="N47" i="89"/>
  <c r="N70" i="89"/>
  <c r="N51" i="89"/>
  <c r="P66" i="89"/>
  <c r="P15" i="89"/>
  <c r="P9" i="89"/>
  <c r="AU60" i="90"/>
  <c r="R21" i="90"/>
  <c r="AU69" i="90"/>
  <c r="BB41" i="90"/>
  <c r="AU41" i="90"/>
  <c r="AU55" i="90"/>
  <c r="AU70" i="90"/>
  <c r="R11" i="90"/>
  <c r="T11" i="90" s="1"/>
  <c r="R56" i="90"/>
  <c r="AF49" i="90"/>
  <c r="AG49" i="90" s="1"/>
  <c r="AU56" i="90"/>
  <c r="BB15" i="90"/>
  <c r="BB71" i="90"/>
  <c r="BB51" i="90"/>
  <c r="AU51" i="90"/>
  <c r="J10" i="89"/>
  <c r="J37" i="89"/>
  <c r="J47" i="89"/>
  <c r="J60" i="89"/>
  <c r="J71" i="89"/>
  <c r="J59" i="89"/>
  <c r="J34" i="89"/>
  <c r="J66" i="89"/>
  <c r="J26" i="89"/>
  <c r="J70" i="89"/>
  <c r="J4" i="89"/>
  <c r="J5" i="89"/>
  <c r="J11" i="89"/>
  <c r="J72" i="89"/>
  <c r="J39" i="89"/>
  <c r="J62" i="89"/>
  <c r="J6" i="89"/>
  <c r="J195" i="86"/>
  <c r="J58" i="89"/>
  <c r="J8" i="89"/>
  <c r="J14" i="89"/>
  <c r="J9" i="89"/>
  <c r="J55" i="89"/>
  <c r="J65" i="89"/>
  <c r="R63" i="90"/>
  <c r="R14" i="90"/>
  <c r="J38" i="89"/>
  <c r="J54" i="89"/>
  <c r="M195" i="86"/>
  <c r="J17" i="89"/>
  <c r="AM17" i="90"/>
  <c r="AN17" i="90" s="1"/>
  <c r="P17" i="89"/>
  <c r="AU17" i="90"/>
  <c r="Z17" i="90"/>
  <c r="R61" i="90"/>
  <c r="AM52" i="90"/>
  <c r="BA52" i="90"/>
  <c r="AV52" i="90"/>
  <c r="BH52" i="90"/>
  <c r="BJ52" i="90" s="1"/>
  <c r="R51" i="90"/>
  <c r="R40" i="90"/>
  <c r="J41" i="89"/>
  <c r="J69" i="89"/>
  <c r="J7" i="89"/>
  <c r="J40" i="89"/>
  <c r="J64" i="89"/>
  <c r="J15" i="89"/>
  <c r="R41" i="90"/>
  <c r="R12" i="90"/>
  <c r="R38" i="90"/>
  <c r="R72" i="90"/>
  <c r="J44" i="89"/>
  <c r="J63" i="89"/>
  <c r="J51" i="89"/>
  <c r="J61" i="89"/>
  <c r="Z57" i="90"/>
  <c r="Z70" i="90"/>
  <c r="Z62" i="90"/>
  <c r="Z47" i="90"/>
  <c r="Z59" i="90"/>
  <c r="Z56" i="90"/>
  <c r="Z39" i="90"/>
  <c r="Z15" i="90"/>
  <c r="Z40" i="90"/>
  <c r="Z72" i="90"/>
  <c r="Z65" i="90"/>
  <c r="Z66" i="90"/>
  <c r="Z44" i="90"/>
  <c r="Z34" i="90"/>
  <c r="Z71" i="90"/>
  <c r="Z54" i="90"/>
  <c r="Z55" i="90"/>
  <c r="Z61" i="90"/>
  <c r="Z60" i="90"/>
  <c r="Z69" i="90"/>
  <c r="Z10" i="90"/>
  <c r="Z14" i="90"/>
  <c r="Z11" i="90"/>
  <c r="Z51" i="90"/>
  <c r="Z58" i="90"/>
  <c r="Z38" i="90"/>
  <c r="Z41" i="90"/>
  <c r="Z64" i="90"/>
  <c r="Z63" i="90"/>
  <c r="P58" i="90"/>
  <c r="AQ14" i="90"/>
  <c r="AD43" i="90"/>
  <c r="AQ54" i="90"/>
  <c r="AJ15" i="90"/>
  <c r="P53" i="90"/>
  <c r="P23" i="90"/>
  <c r="AQ55" i="90"/>
  <c r="AQ38" i="90"/>
  <c r="AH26" i="90"/>
  <c r="BJ26" i="90"/>
  <c r="BS26" i="90" s="1"/>
  <c r="G37" i="78"/>
  <c r="AH37" i="90"/>
  <c r="G36" i="78"/>
  <c r="AH36" i="90"/>
  <c r="P12" i="90"/>
  <c r="P21" i="90"/>
  <c r="P16" i="90"/>
  <c r="AH31" i="90"/>
  <c r="G25" i="78"/>
  <c r="AH25" i="90"/>
  <c r="AH33" i="90"/>
  <c r="AH29" i="90"/>
  <c r="AH23" i="90"/>
  <c r="P32" i="90"/>
  <c r="AH32" i="90"/>
  <c r="AH34" i="90"/>
  <c r="AH35" i="90"/>
  <c r="AH21" i="90"/>
  <c r="BF50" i="90"/>
  <c r="AK43" i="90"/>
  <c r="P45" i="90"/>
  <c r="AH28" i="90"/>
  <c r="AH53" i="90"/>
  <c r="AH27" i="90"/>
  <c r="AH16" i="90"/>
  <c r="G22" i="78"/>
  <c r="AH22" i="90"/>
  <c r="AO30" i="90"/>
  <c r="AH30" i="90"/>
  <c r="AH12" i="90"/>
  <c r="BL44" i="90"/>
  <c r="P41" i="90"/>
  <c r="C67" i="90"/>
  <c r="C65" i="90" s="1"/>
  <c r="W38" i="90"/>
  <c r="W23" i="90"/>
  <c r="AK57" i="90"/>
  <c r="AO61" i="90"/>
  <c r="W56" i="90"/>
  <c r="W54" i="90"/>
  <c r="AD65" i="90"/>
  <c r="AH67" i="90"/>
  <c r="BC55" i="90"/>
  <c r="W52" i="90"/>
  <c r="W67" i="90"/>
  <c r="W14" i="90"/>
  <c r="W51" i="90"/>
  <c r="AA51" i="90" s="1"/>
  <c r="AV11" i="90"/>
  <c r="G15" i="78"/>
  <c r="P15" i="90"/>
  <c r="W40" i="90"/>
  <c r="AV38" i="90"/>
  <c r="AH61" i="90"/>
  <c r="BJ15" i="90"/>
  <c r="BS15" i="90" s="1"/>
  <c r="W55" i="90"/>
  <c r="W45" i="90"/>
  <c r="W16" i="90"/>
  <c r="BJ61" i="90"/>
  <c r="BS61" i="90" s="1"/>
  <c r="AK65" i="90"/>
  <c r="AO67" i="90"/>
  <c r="W32" i="90"/>
  <c r="W72" i="90"/>
  <c r="W53" i="90"/>
  <c r="W39" i="90"/>
  <c r="P17" i="90"/>
  <c r="W69" i="90"/>
  <c r="BC69" i="90"/>
  <c r="AK69" i="90"/>
  <c r="AH51" i="90"/>
  <c r="P61" i="90"/>
  <c r="W11" i="90"/>
  <c r="G72" i="78"/>
  <c r="P72" i="90"/>
  <c r="W64" i="90"/>
  <c r="P63" i="90"/>
  <c r="W21" i="90"/>
  <c r="W20" i="90" s="1"/>
  <c r="W12" i="90"/>
  <c r="BC11" i="90"/>
  <c r="BJ55" i="90"/>
  <c r="BS55" i="90" s="1"/>
  <c r="BJ14" i="90"/>
  <c r="BS14" i="90" s="1"/>
  <c r="BC58" i="90"/>
  <c r="BF10" i="90"/>
  <c r="BG24" i="90" s="1"/>
  <c r="AQ39" i="90"/>
  <c r="AV15" i="90"/>
  <c r="AH40" i="90"/>
  <c r="BJ58" i="90"/>
  <c r="BS58" i="90" s="1"/>
  <c r="AV63" i="90"/>
  <c r="AR62" i="90"/>
  <c r="BJ39" i="90"/>
  <c r="BS39" i="90" s="1"/>
  <c r="BC41" i="90"/>
  <c r="AV56" i="90"/>
  <c r="AA58" i="90"/>
  <c r="W57" i="90"/>
  <c r="AO51" i="90"/>
  <c r="BC51" i="90"/>
  <c r="AY10" i="90"/>
  <c r="AZ24" i="90" s="1"/>
  <c r="AK10" i="90"/>
  <c r="AL52" i="90" s="1"/>
  <c r="AH63" i="90"/>
  <c r="AD62" i="90"/>
  <c r="BC54" i="90"/>
  <c r="BC67" i="90"/>
  <c r="BC64" i="90"/>
  <c r="AD10" i="90"/>
  <c r="AE61" i="90" s="1"/>
  <c r="AV44" i="90"/>
  <c r="AV55" i="90"/>
  <c r="AH41" i="90"/>
  <c r="AQ41" i="90" s="1"/>
  <c r="AH44" i="90"/>
  <c r="AJ44" i="90" s="1"/>
  <c r="AK62" i="90"/>
  <c r="AO63" i="90"/>
  <c r="AR65" i="90"/>
  <c r="AV67" i="90"/>
  <c r="BJ41" i="90"/>
  <c r="BS41" i="90" s="1"/>
  <c r="AV61" i="90"/>
  <c r="AV64" i="90"/>
  <c r="AV41" i="90"/>
  <c r="BC14" i="90"/>
  <c r="BJ54" i="90"/>
  <c r="BS54" i="90" s="1"/>
  <c r="AV54" i="90"/>
  <c r="BJ38" i="90"/>
  <c r="BS38" i="90" s="1"/>
  <c r="AQ64" i="90"/>
  <c r="BJ51" i="90"/>
  <c r="BS51" i="90" s="1"/>
  <c r="AV40" i="90"/>
  <c r="BJ67" i="90"/>
  <c r="BS67" i="90" s="1"/>
  <c r="BC39" i="90"/>
  <c r="AA5" i="90"/>
  <c r="AJ5" i="90" s="1"/>
  <c r="W10" i="90"/>
  <c r="BJ64" i="90"/>
  <c r="BS64" i="90" s="1"/>
  <c r="AV51" i="90"/>
  <c r="BC61" i="90"/>
  <c r="BJ40" i="90"/>
  <c r="BS40" i="90" s="1"/>
  <c r="AV39" i="90"/>
  <c r="BC63" i="90"/>
  <c r="BJ11" i="90"/>
  <c r="BS11" i="90" s="1"/>
  <c r="AR10" i="90"/>
  <c r="AS52" i="90" s="1"/>
  <c r="AV14" i="90"/>
  <c r="AQ56" i="90"/>
  <c r="BJ63" i="90"/>
  <c r="BS63" i="90" s="1"/>
  <c r="AV58" i="90"/>
  <c r="AR57" i="90"/>
  <c r="AD57" i="90"/>
  <c r="AH58" i="90"/>
  <c r="BC56" i="90"/>
  <c r="AQ11" i="90"/>
  <c r="AA60" i="78"/>
  <c r="AA59" i="89"/>
  <c r="AA60" i="89"/>
  <c r="P44" i="90"/>
  <c r="CL66" i="90"/>
  <c r="CL70" i="90"/>
  <c r="E34" i="89"/>
  <c r="R27" i="90"/>
  <c r="R22" i="90"/>
  <c r="R25" i="90"/>
  <c r="G37" i="89"/>
  <c r="E36" i="90"/>
  <c r="E29" i="90"/>
  <c r="E37" i="89"/>
  <c r="E37" i="90"/>
  <c r="K29" i="90"/>
  <c r="K37" i="90"/>
  <c r="R37" i="90"/>
  <c r="K27" i="90"/>
  <c r="E29" i="89"/>
  <c r="K31" i="90"/>
  <c r="E33" i="89"/>
  <c r="G29" i="89"/>
  <c r="G22" i="89"/>
  <c r="E28" i="90"/>
  <c r="E31" i="89"/>
  <c r="R29" i="90"/>
  <c r="R28" i="90"/>
  <c r="E22" i="89"/>
  <c r="E28" i="89"/>
  <c r="R31" i="90"/>
  <c r="K36" i="90"/>
  <c r="G28" i="89"/>
  <c r="G31" i="89"/>
  <c r="E36" i="89"/>
  <c r="E22" i="90"/>
  <c r="E33" i="90"/>
  <c r="R36" i="90"/>
  <c r="G36" i="89"/>
  <c r="K22" i="90"/>
  <c r="K28" i="90"/>
  <c r="K33" i="90"/>
  <c r="G25" i="89"/>
  <c r="G33" i="89"/>
  <c r="E25" i="90"/>
  <c r="E34" i="90"/>
  <c r="K25" i="90"/>
  <c r="K34" i="90"/>
  <c r="E26" i="89"/>
  <c r="R34" i="90"/>
  <c r="G26" i="89"/>
  <c r="G34" i="89"/>
  <c r="E26" i="90"/>
  <c r="E30" i="90"/>
  <c r="E30" i="89"/>
  <c r="K26" i="90"/>
  <c r="K30" i="90"/>
  <c r="E35" i="90"/>
  <c r="E27" i="89"/>
  <c r="G30" i="89"/>
  <c r="E35" i="89"/>
  <c r="R26" i="90"/>
  <c r="R30" i="90"/>
  <c r="K35" i="90"/>
  <c r="E25" i="89"/>
  <c r="R33" i="90"/>
  <c r="G27" i="89"/>
  <c r="G35" i="89"/>
  <c r="E27" i="90"/>
  <c r="E31" i="90"/>
  <c r="R35" i="90"/>
  <c r="E56" i="90"/>
  <c r="E6" i="89"/>
  <c r="K21" i="90"/>
  <c r="E58" i="89"/>
  <c r="E5" i="89"/>
  <c r="K67" i="90"/>
  <c r="K65" i="90" s="1"/>
  <c r="G54" i="89"/>
  <c r="G45" i="89"/>
  <c r="E11" i="90"/>
  <c r="G44" i="89"/>
  <c r="G72" i="89"/>
  <c r="G38" i="89"/>
  <c r="E54" i="89"/>
  <c r="E45" i="89"/>
  <c r="E55" i="89"/>
  <c r="E44" i="89"/>
  <c r="G67" i="89"/>
  <c r="G65" i="89" s="1"/>
  <c r="G55" i="89"/>
  <c r="E17" i="90"/>
  <c r="E63" i="90"/>
  <c r="G64" i="89"/>
  <c r="E38" i="90"/>
  <c r="E12" i="89"/>
  <c r="G41" i="89"/>
  <c r="K12" i="90"/>
  <c r="E63" i="89"/>
  <c r="E8" i="89"/>
  <c r="E61" i="89"/>
  <c r="K44" i="90"/>
  <c r="E14" i="89"/>
  <c r="E64" i="89"/>
  <c r="K55" i="90"/>
  <c r="E77" i="90"/>
  <c r="E51" i="90"/>
  <c r="G21" i="89"/>
  <c r="E7" i="89"/>
  <c r="K61" i="90"/>
  <c r="K51" i="90"/>
  <c r="E40" i="89"/>
  <c r="G6" i="89"/>
  <c r="G16" i="89"/>
  <c r="E12" i="90"/>
  <c r="E72" i="90"/>
  <c r="G23" i="89"/>
  <c r="G51" i="89"/>
  <c r="E41" i="89"/>
  <c r="E44" i="90"/>
  <c r="E21" i="90"/>
  <c r="E55" i="90"/>
  <c r="K63" i="90"/>
  <c r="G8" i="89"/>
  <c r="G12" i="89"/>
  <c r="E38" i="89"/>
  <c r="E51" i="89"/>
  <c r="G61" i="89"/>
  <c r="E39" i="90"/>
  <c r="E67" i="90"/>
  <c r="E65" i="90" s="1"/>
  <c r="K77" i="90"/>
  <c r="E69" i="89"/>
  <c r="E14" i="90"/>
  <c r="K17" i="90"/>
  <c r="E32" i="90"/>
  <c r="K39" i="90"/>
  <c r="E45" i="90"/>
  <c r="E52" i="90"/>
  <c r="E64" i="90"/>
  <c r="R77" i="90"/>
  <c r="E17" i="89"/>
  <c r="G17" i="89"/>
  <c r="E24" i="89"/>
  <c r="G69" i="89"/>
  <c r="E72" i="89"/>
  <c r="K14" i="90"/>
  <c r="R17" i="90"/>
  <c r="K32" i="90"/>
  <c r="K45" i="90"/>
  <c r="K52" i="90"/>
  <c r="K56" i="90"/>
  <c r="K64" i="90"/>
  <c r="E9" i="89"/>
  <c r="G24" i="89"/>
  <c r="E39" i="89"/>
  <c r="E52" i="89"/>
  <c r="E40" i="90"/>
  <c r="R52" i="90"/>
  <c r="E69" i="90"/>
  <c r="G9" i="89"/>
  <c r="G14" i="89"/>
  <c r="E21" i="89"/>
  <c r="G39" i="89"/>
  <c r="G52" i="89"/>
  <c r="E56" i="89"/>
  <c r="C76" i="89"/>
  <c r="E15" i="90"/>
  <c r="K40" i="90"/>
  <c r="E53" i="90"/>
  <c r="K69" i="90"/>
  <c r="K23" i="90"/>
  <c r="E32" i="89"/>
  <c r="G56" i="89"/>
  <c r="K15" i="90"/>
  <c r="K53" i="90"/>
  <c r="E58" i="90"/>
  <c r="G32" i="89"/>
  <c r="E53" i="89"/>
  <c r="G63" i="89"/>
  <c r="E76" i="89"/>
  <c r="E41" i="90"/>
  <c r="K58" i="90"/>
  <c r="E61" i="90"/>
  <c r="K72" i="90"/>
  <c r="E15" i="89"/>
  <c r="G53" i="89"/>
  <c r="G76" i="89"/>
  <c r="K41" i="90"/>
  <c r="E54" i="90"/>
  <c r="G7" i="89"/>
  <c r="E11" i="89"/>
  <c r="G15" i="89"/>
  <c r="G40" i="89"/>
  <c r="C77" i="89"/>
  <c r="K11" i="90"/>
  <c r="E16" i="90"/>
  <c r="K54" i="90"/>
  <c r="E76" i="90"/>
  <c r="G11" i="89"/>
  <c r="E67" i="89"/>
  <c r="E65" i="89" s="1"/>
  <c r="E77" i="89"/>
  <c r="K16" i="90"/>
  <c r="K38" i="90"/>
  <c r="E4" i="89"/>
  <c r="E16" i="89"/>
  <c r="E23" i="89"/>
  <c r="G58" i="89"/>
  <c r="G77" i="89"/>
  <c r="G78" i="89" s="1"/>
  <c r="E23" i="90"/>
  <c r="R76" i="90"/>
  <c r="N150" i="3"/>
  <c r="E22" i="78"/>
  <c r="J249" i="75"/>
  <c r="J250" i="75" s="1"/>
  <c r="H249" i="75"/>
  <c r="P11" i="81" s="1"/>
  <c r="G58" i="78"/>
  <c r="E77" i="78"/>
  <c r="I248" i="75"/>
  <c r="M250" i="75"/>
  <c r="M251" i="75" s="1"/>
  <c r="G149" i="3"/>
  <c r="E34" i="78"/>
  <c r="J150" i="3"/>
  <c r="L250" i="75"/>
  <c r="L251" i="75" s="1"/>
  <c r="G148" i="3"/>
  <c r="K250" i="75"/>
  <c r="K251" i="75" s="1"/>
  <c r="I56" i="90"/>
  <c r="H149" i="3"/>
  <c r="C34" i="90"/>
  <c r="I35" i="90"/>
  <c r="P35" i="90"/>
  <c r="E23" i="78"/>
  <c r="G23" i="78"/>
  <c r="E25" i="78"/>
  <c r="E37" i="78"/>
  <c r="I33" i="90"/>
  <c r="I29" i="90"/>
  <c r="I30" i="90"/>
  <c r="G28" i="78"/>
  <c r="E53" i="78"/>
  <c r="E16" i="78"/>
  <c r="I31" i="90"/>
  <c r="I27" i="90"/>
  <c r="I26" i="90"/>
  <c r="G53" i="78"/>
  <c r="I25" i="90"/>
  <c r="I28" i="90"/>
  <c r="I36" i="90"/>
  <c r="I22" i="90"/>
  <c r="I34" i="90"/>
  <c r="E32" i="78"/>
  <c r="C30" i="90"/>
  <c r="C26" i="90"/>
  <c r="C33" i="90"/>
  <c r="C29" i="90"/>
  <c r="C31" i="90"/>
  <c r="C27" i="90"/>
  <c r="P27" i="90"/>
  <c r="P25" i="90"/>
  <c r="G32" i="78"/>
  <c r="P37" i="90"/>
  <c r="G33" i="78"/>
  <c r="P22" i="90"/>
  <c r="P34" i="90"/>
  <c r="G30" i="78"/>
  <c r="P36" i="90"/>
  <c r="G26" i="78"/>
  <c r="G31" i="78"/>
  <c r="P30" i="90"/>
  <c r="G34" i="78"/>
  <c r="P28" i="90"/>
  <c r="P26" i="90"/>
  <c r="G29" i="78"/>
  <c r="G27" i="78"/>
  <c r="P33" i="90"/>
  <c r="G35" i="78"/>
  <c r="P29" i="90"/>
  <c r="P31" i="90"/>
  <c r="C28" i="90"/>
  <c r="C35" i="90"/>
  <c r="C22" i="90"/>
  <c r="C25" i="90"/>
  <c r="C37" i="90"/>
  <c r="C36" i="90"/>
  <c r="E41" i="78"/>
  <c r="E72" i="78"/>
  <c r="E76" i="78"/>
  <c r="E58" i="78"/>
  <c r="C55" i="90"/>
  <c r="I11" i="90"/>
  <c r="E17" i="78"/>
  <c r="G61" i="78"/>
  <c r="G64" i="78"/>
  <c r="E21" i="78"/>
  <c r="E54" i="78"/>
  <c r="E67" i="78"/>
  <c r="E65" i="78" s="1"/>
  <c r="I51" i="90"/>
  <c r="I12" i="90"/>
  <c r="E40" i="78"/>
  <c r="E44" i="78"/>
  <c r="E64" i="78"/>
  <c r="G21" i="78"/>
  <c r="G54" i="78"/>
  <c r="G67" i="78"/>
  <c r="G65" i="78" s="1"/>
  <c r="C16" i="90"/>
  <c r="C61" i="90"/>
  <c r="I72" i="90"/>
  <c r="G41" i="78"/>
  <c r="E61" i="78"/>
  <c r="G17" i="78"/>
  <c r="G14" i="78"/>
  <c r="G56" i="78"/>
  <c r="C45" i="90"/>
  <c r="C51" i="90"/>
  <c r="I54" i="90"/>
  <c r="I77" i="90"/>
  <c r="G51" i="78"/>
  <c r="C15" i="90"/>
  <c r="I32" i="90"/>
  <c r="C40" i="90"/>
  <c r="E45" i="78"/>
  <c r="E55" i="78"/>
  <c r="G12" i="78"/>
  <c r="G38" i="78"/>
  <c r="C11" i="90"/>
  <c r="I16" i="90"/>
  <c r="I45" i="90"/>
  <c r="I61" i="90"/>
  <c r="C64" i="90"/>
  <c r="P77" i="90"/>
  <c r="E11" i="78"/>
  <c r="C21" i="90"/>
  <c r="I40" i="90"/>
  <c r="C53" i="90"/>
  <c r="I15" i="90"/>
  <c r="C39" i="90"/>
  <c r="C69" i="90"/>
  <c r="G44" i="78"/>
  <c r="I21" i="90"/>
  <c r="C23" i="90"/>
  <c r="C44" i="90"/>
  <c r="I53" i="90"/>
  <c r="I76" i="90"/>
  <c r="M76" i="90" s="1"/>
  <c r="I55" i="90"/>
  <c r="I69" i="90"/>
  <c r="E63" i="78"/>
  <c r="E14" i="78"/>
  <c r="E56" i="78"/>
  <c r="G45" i="78"/>
  <c r="G55" i="78"/>
  <c r="C17" i="90"/>
  <c r="C38" i="90"/>
  <c r="I39" i="90"/>
  <c r="I44" i="90"/>
  <c r="C52" i="90"/>
  <c r="C58" i="90"/>
  <c r="C63" i="90"/>
  <c r="E51" i="78"/>
  <c r="G63" i="78"/>
  <c r="G11" i="78"/>
  <c r="I23" i="90"/>
  <c r="C41" i="90"/>
  <c r="E12" i="78"/>
  <c r="E38" i="78"/>
  <c r="G40" i="78"/>
  <c r="I14" i="90"/>
  <c r="I17" i="90"/>
  <c r="I38" i="90"/>
  <c r="I58" i="90"/>
  <c r="I63" i="90"/>
  <c r="C72" i="90"/>
  <c r="C12" i="90"/>
  <c r="C32" i="90"/>
  <c r="I41" i="90"/>
  <c r="I52" i="90"/>
  <c r="C54" i="90"/>
  <c r="C56" i="90"/>
  <c r="CL60" i="90"/>
  <c r="CL59" i="90"/>
  <c r="CL71" i="90"/>
  <c r="AA71" i="89"/>
  <c r="AA66" i="89"/>
  <c r="AA70" i="78"/>
  <c r="AA71" i="78"/>
  <c r="AA59" i="78"/>
  <c r="AA66" i="78"/>
  <c r="I133" i="85"/>
  <c r="G133" i="85"/>
  <c r="H133" i="85"/>
  <c r="H132" i="85"/>
  <c r="I132" i="85"/>
  <c r="G132" i="85"/>
  <c r="I191" i="86"/>
  <c r="H193" i="86"/>
  <c r="I193" i="86"/>
  <c r="G191" i="86"/>
  <c r="H191" i="86"/>
  <c r="I192" i="86"/>
  <c r="H192" i="86"/>
  <c r="E29" i="78"/>
  <c r="E30" i="78"/>
  <c r="E31" i="78"/>
  <c r="E35" i="78"/>
  <c r="E28" i="78"/>
  <c r="E33" i="78"/>
  <c r="E27" i="78"/>
  <c r="E26" i="78"/>
  <c r="P20" i="90" l="1"/>
  <c r="I250" i="75"/>
  <c r="I251" i="75" s="1"/>
  <c r="P10" i="90"/>
  <c r="C57" i="90"/>
  <c r="C10" i="78"/>
  <c r="C13" i="78" s="1"/>
  <c r="C19" i="78" s="1"/>
  <c r="C20" i="78"/>
  <c r="C20" i="90"/>
  <c r="D11" i="81"/>
  <c r="G250" i="75"/>
  <c r="G251" i="75" s="1"/>
  <c r="M11" i="81"/>
  <c r="H250" i="75"/>
  <c r="H251" i="75" s="1"/>
  <c r="G11" i="81"/>
  <c r="C10" i="90"/>
  <c r="AQ6" i="90"/>
  <c r="M24" i="90"/>
  <c r="AS24" i="90"/>
  <c r="T24" i="90"/>
  <c r="AX5" i="90"/>
  <c r="AX7" i="90"/>
  <c r="BE24" i="90"/>
  <c r="AX24" i="90"/>
  <c r="X24" i="90"/>
  <c r="AA24" i="90"/>
  <c r="AJ24" i="90" s="1"/>
  <c r="BF13" i="90"/>
  <c r="BU24" i="90"/>
  <c r="CB24" i="90"/>
  <c r="BN24" i="90"/>
  <c r="AQ24" i="90"/>
  <c r="AL24" i="90"/>
  <c r="BL24" i="90"/>
  <c r="BS24" i="90"/>
  <c r="AE24" i="90"/>
  <c r="AX6" i="90"/>
  <c r="AQ7" i="90"/>
  <c r="AX9" i="90"/>
  <c r="BE9" i="90"/>
  <c r="BE7" i="90"/>
  <c r="AX8" i="90"/>
  <c r="AQ8" i="90"/>
  <c r="AQ9" i="90"/>
  <c r="BL9" i="90"/>
  <c r="BS9" i="90"/>
  <c r="BL8" i="90"/>
  <c r="BS8" i="90"/>
  <c r="BE6" i="90"/>
  <c r="AX4" i="90"/>
  <c r="BL7" i="90"/>
  <c r="BS7" i="90"/>
  <c r="BE4" i="90"/>
  <c r="BE5" i="90"/>
  <c r="BE8" i="90"/>
  <c r="BL6" i="90"/>
  <c r="BS6" i="90"/>
  <c r="AQ4" i="90"/>
  <c r="E78" i="90"/>
  <c r="U19" i="89"/>
  <c r="U42" i="89" s="1"/>
  <c r="S13" i="78"/>
  <c r="S19" i="78" s="1"/>
  <c r="S42" i="78" s="1"/>
  <c r="S49" i="78"/>
  <c r="T49" i="78" s="1"/>
  <c r="Q49" i="78"/>
  <c r="R49" i="78" s="1"/>
  <c r="C43" i="90"/>
  <c r="P14" i="78"/>
  <c r="L55" i="78"/>
  <c r="J251" i="75"/>
  <c r="O42" i="78"/>
  <c r="O46" i="78" s="1"/>
  <c r="C43" i="78"/>
  <c r="S19" i="89"/>
  <c r="S42" i="89" s="1"/>
  <c r="S46" i="89" s="1"/>
  <c r="CD13" i="90"/>
  <c r="CH4" i="90"/>
  <c r="CI47" i="90" s="1"/>
  <c r="T55" i="78"/>
  <c r="V13" i="78"/>
  <c r="R4" i="78"/>
  <c r="Q42" i="78"/>
  <c r="Q46" i="78" s="1"/>
  <c r="M49" i="78"/>
  <c r="N49" i="78" s="1"/>
  <c r="M42" i="78"/>
  <c r="M48" i="78" s="1"/>
  <c r="M68" i="78" s="1"/>
  <c r="M73" i="78" s="1"/>
  <c r="N15" i="78"/>
  <c r="K49" i="78"/>
  <c r="L49" i="78" s="1"/>
  <c r="K42" i="78"/>
  <c r="K48" i="78" s="1"/>
  <c r="K68" i="78" s="1"/>
  <c r="K73" i="78" s="1"/>
  <c r="I20" i="78"/>
  <c r="J20" i="78" s="1"/>
  <c r="P78" i="90"/>
  <c r="Z19" i="78"/>
  <c r="O49" i="78"/>
  <c r="P49" i="78" s="1"/>
  <c r="I13" i="78"/>
  <c r="I19" i="78" s="1"/>
  <c r="I50" i="78"/>
  <c r="I49" i="78" s="1"/>
  <c r="C57" i="78"/>
  <c r="C50" i="78"/>
  <c r="BW17" i="90"/>
  <c r="BX17" i="90"/>
  <c r="BV19" i="90"/>
  <c r="BQ17" i="90"/>
  <c r="BS17" i="90" s="1"/>
  <c r="BO19" i="90"/>
  <c r="G76" i="90"/>
  <c r="Z17" i="89"/>
  <c r="Y19" i="89"/>
  <c r="W19" i="89"/>
  <c r="X19" i="89" s="1"/>
  <c r="V52" i="89"/>
  <c r="U50" i="89"/>
  <c r="CD17" i="90"/>
  <c r="CE17" i="90"/>
  <c r="CC19" i="90"/>
  <c r="BQ52" i="90"/>
  <c r="BS52" i="90" s="1"/>
  <c r="BO50" i="90"/>
  <c r="CB66" i="90"/>
  <c r="CB59" i="90"/>
  <c r="CB47" i="90"/>
  <c r="CB71" i="90"/>
  <c r="CB70" i="90"/>
  <c r="CB60" i="90"/>
  <c r="CB69" i="90"/>
  <c r="CB39" i="90"/>
  <c r="BU66" i="90"/>
  <c r="BU71" i="90"/>
  <c r="BU70" i="90"/>
  <c r="BU60" i="90"/>
  <c r="BU47" i="90"/>
  <c r="BU59" i="90"/>
  <c r="CB26" i="90"/>
  <c r="BU17" i="90"/>
  <c r="CB33" i="90"/>
  <c r="CB23" i="90"/>
  <c r="CB14" i="90"/>
  <c r="BU65" i="90"/>
  <c r="BU54" i="90"/>
  <c r="CB61" i="90"/>
  <c r="CB52" i="90"/>
  <c r="CB16" i="90"/>
  <c r="CB35" i="90"/>
  <c r="BU15" i="90"/>
  <c r="BU44" i="90"/>
  <c r="BU56" i="90"/>
  <c r="BU64" i="90"/>
  <c r="CB44" i="90"/>
  <c r="CB31" i="90"/>
  <c r="CB11" i="90"/>
  <c r="BU69" i="90"/>
  <c r="CB58" i="90"/>
  <c r="CB32" i="90"/>
  <c r="CB51" i="90"/>
  <c r="BU41" i="90"/>
  <c r="BU51" i="90"/>
  <c r="CB27" i="90"/>
  <c r="CB53" i="90"/>
  <c r="CB72" i="90"/>
  <c r="BU39" i="90"/>
  <c r="BU14" i="90"/>
  <c r="CB37" i="90"/>
  <c r="BU67" i="90"/>
  <c r="BU63" i="90"/>
  <c r="CB40" i="90"/>
  <c r="BU40" i="90"/>
  <c r="CB67" i="90"/>
  <c r="CB64" i="90"/>
  <c r="CB55" i="90"/>
  <c r="CB17" i="90"/>
  <c r="CB54" i="90"/>
  <c r="CB28" i="90"/>
  <c r="CB30" i="90"/>
  <c r="BU72" i="90"/>
  <c r="BU38" i="90"/>
  <c r="CB63" i="90"/>
  <c r="CB15" i="90"/>
  <c r="CB41" i="90"/>
  <c r="BU55" i="90"/>
  <c r="BU52" i="90"/>
  <c r="CB45" i="90"/>
  <c r="CB21" i="90"/>
  <c r="CB56" i="90"/>
  <c r="CB36" i="90"/>
  <c r="BU10" i="90"/>
  <c r="CB34" i="90"/>
  <c r="CB22" i="90"/>
  <c r="BU61" i="90"/>
  <c r="CB25" i="90"/>
  <c r="CB29" i="90"/>
  <c r="BU62" i="90"/>
  <c r="CB38" i="90"/>
  <c r="BU11" i="90"/>
  <c r="CB20" i="90"/>
  <c r="CB62" i="90"/>
  <c r="CB57" i="90"/>
  <c r="CB50" i="90"/>
  <c r="BU22" i="90"/>
  <c r="BU57" i="90"/>
  <c r="BU34" i="90"/>
  <c r="BU21" i="90"/>
  <c r="BU36" i="90"/>
  <c r="CB10" i="90"/>
  <c r="BU32" i="90"/>
  <c r="BU45" i="90"/>
  <c r="BU29" i="90"/>
  <c r="BU35" i="90"/>
  <c r="BU26" i="90"/>
  <c r="BU25" i="90"/>
  <c r="BU16" i="90"/>
  <c r="BU33" i="90"/>
  <c r="BU37" i="90"/>
  <c r="BU30" i="90"/>
  <c r="CB65" i="90"/>
  <c r="BU53" i="90"/>
  <c r="CB43" i="90"/>
  <c r="BU23" i="90"/>
  <c r="BU58" i="90"/>
  <c r="BU31" i="90"/>
  <c r="BU27" i="90"/>
  <c r="BU28" i="90"/>
  <c r="BU43" i="90"/>
  <c r="CB49" i="90"/>
  <c r="BU20" i="90"/>
  <c r="CB19" i="90"/>
  <c r="BU19" i="90"/>
  <c r="BU50" i="90"/>
  <c r="BU49" i="90"/>
  <c r="CB46" i="90"/>
  <c r="CB48" i="90"/>
  <c r="BU48" i="90"/>
  <c r="BU46" i="90"/>
  <c r="CB68" i="90"/>
  <c r="BU68" i="90"/>
  <c r="BW13" i="90"/>
  <c r="BW52" i="90"/>
  <c r="BX52" i="90"/>
  <c r="BV50" i="90"/>
  <c r="Z71" i="78"/>
  <c r="Z70" i="78"/>
  <c r="Z66" i="78"/>
  <c r="Z60" i="78"/>
  <c r="Z59" i="78"/>
  <c r="Z47" i="78"/>
  <c r="V60" i="78"/>
  <c r="Z36" i="78"/>
  <c r="X71" i="78"/>
  <c r="V59" i="78"/>
  <c r="X70" i="78"/>
  <c r="X60" i="78"/>
  <c r="Z52" i="78"/>
  <c r="Z25" i="78"/>
  <c r="X47" i="78"/>
  <c r="X66" i="78"/>
  <c r="V47" i="78"/>
  <c r="V71" i="78"/>
  <c r="Z4" i="78"/>
  <c r="Z22" i="78"/>
  <c r="Z11" i="78"/>
  <c r="X59" i="78"/>
  <c r="V70" i="78"/>
  <c r="Z56" i="78"/>
  <c r="V66" i="78"/>
  <c r="X15" i="78"/>
  <c r="X39" i="78"/>
  <c r="X63" i="78"/>
  <c r="V44" i="78"/>
  <c r="V40" i="78"/>
  <c r="V38" i="78"/>
  <c r="Z45" i="78"/>
  <c r="Z29" i="78"/>
  <c r="Z6" i="78"/>
  <c r="X6" i="78"/>
  <c r="X58" i="78"/>
  <c r="V64" i="78"/>
  <c r="V67" i="78"/>
  <c r="Z31" i="78"/>
  <c r="Z65" i="78"/>
  <c r="Z26" i="78"/>
  <c r="X38" i="78"/>
  <c r="Z64" i="78"/>
  <c r="V4" i="78"/>
  <c r="V54" i="78"/>
  <c r="V39" i="78"/>
  <c r="V6" i="78"/>
  <c r="Z17" i="78"/>
  <c r="X22" i="78"/>
  <c r="Z33" i="78"/>
  <c r="Z51" i="78"/>
  <c r="X67" i="78"/>
  <c r="V9" i="78"/>
  <c r="X17" i="78"/>
  <c r="X61" i="78"/>
  <c r="V51" i="78"/>
  <c r="Z41" i="78"/>
  <c r="Z28" i="78"/>
  <c r="Z23" i="78"/>
  <c r="Z61" i="78"/>
  <c r="Z69" i="78"/>
  <c r="Z16" i="78"/>
  <c r="Z34" i="78"/>
  <c r="Z63" i="78"/>
  <c r="X14" i="78"/>
  <c r="V11" i="78"/>
  <c r="X9" i="78"/>
  <c r="X40" i="78"/>
  <c r="Z38" i="78"/>
  <c r="Z5" i="78"/>
  <c r="Z14" i="78"/>
  <c r="Z8" i="78"/>
  <c r="Z58" i="78"/>
  <c r="V52" i="78"/>
  <c r="V56" i="78"/>
  <c r="V17" i="78"/>
  <c r="X4" i="78"/>
  <c r="X45" i="78"/>
  <c r="Z53" i="78"/>
  <c r="Z37" i="78"/>
  <c r="Z54" i="78"/>
  <c r="X55" i="78"/>
  <c r="Z24" i="78"/>
  <c r="Z39" i="78"/>
  <c r="Z7" i="78"/>
  <c r="Z21" i="78"/>
  <c r="Z67" i="78"/>
  <c r="V41" i="78"/>
  <c r="X64" i="78"/>
  <c r="X56" i="78"/>
  <c r="V7" i="78"/>
  <c r="Z40" i="78"/>
  <c r="Z35" i="78"/>
  <c r="V16" i="78"/>
  <c r="Z72" i="78"/>
  <c r="V58" i="78"/>
  <c r="V14" i="78"/>
  <c r="X11" i="78"/>
  <c r="Z55" i="78"/>
  <c r="V69" i="78"/>
  <c r="Z15" i="78"/>
  <c r="X25" i="78"/>
  <c r="Z32" i="78"/>
  <c r="V25" i="78"/>
  <c r="V61" i="78"/>
  <c r="V15" i="78"/>
  <c r="X54" i="78"/>
  <c r="V5" i="78"/>
  <c r="X44" i="78"/>
  <c r="X72" i="78"/>
  <c r="Z44" i="78"/>
  <c r="Z30" i="78"/>
  <c r="Z27" i="78"/>
  <c r="V55" i="78"/>
  <c r="X36" i="78"/>
  <c r="V63" i="78"/>
  <c r="X65" i="78"/>
  <c r="Z9" i="78"/>
  <c r="X51" i="78"/>
  <c r="V24" i="78"/>
  <c r="V8" i="78"/>
  <c r="X23" i="78"/>
  <c r="X52" i="78"/>
  <c r="V21" i="78"/>
  <c r="X43" i="78"/>
  <c r="X30" i="78"/>
  <c r="V26" i="78"/>
  <c r="Z20" i="78"/>
  <c r="V10" i="78"/>
  <c r="V27" i="78"/>
  <c r="X69" i="78"/>
  <c r="V33" i="78"/>
  <c r="V35" i="78"/>
  <c r="X32" i="78"/>
  <c r="X24" i="78"/>
  <c r="Z62" i="78"/>
  <c r="X53" i="78"/>
  <c r="V45" i="78"/>
  <c r="X31" i="78"/>
  <c r="X8" i="78"/>
  <c r="V22" i="78"/>
  <c r="X35" i="78"/>
  <c r="X57" i="78"/>
  <c r="Z43" i="78"/>
  <c r="X37" i="78"/>
  <c r="X26" i="78"/>
  <c r="V57" i="78"/>
  <c r="V32" i="78"/>
  <c r="Z10" i="78"/>
  <c r="V72" i="78"/>
  <c r="V37" i="78"/>
  <c r="X28" i="78"/>
  <c r="V30" i="78"/>
  <c r="X27" i="78"/>
  <c r="X16" i="78"/>
  <c r="X50" i="78"/>
  <c r="V34" i="78"/>
  <c r="V31" i="78"/>
  <c r="X34" i="78"/>
  <c r="V28" i="78"/>
  <c r="X33" i="78"/>
  <c r="X29" i="78"/>
  <c r="X7" i="78"/>
  <c r="X62" i="78"/>
  <c r="Z50" i="78"/>
  <c r="Z57" i="78"/>
  <c r="X5" i="78"/>
  <c r="V23" i="78"/>
  <c r="V62" i="78"/>
  <c r="X21" i="78"/>
  <c r="V65" i="78"/>
  <c r="X41" i="78"/>
  <c r="V36" i="78"/>
  <c r="V29" i="78"/>
  <c r="V53" i="78"/>
  <c r="X10" i="78"/>
  <c r="X20" i="78"/>
  <c r="V50" i="78"/>
  <c r="V43" i="78"/>
  <c r="Z49" i="78"/>
  <c r="V20" i="78"/>
  <c r="X49" i="78"/>
  <c r="V49" i="78"/>
  <c r="Z12" i="78"/>
  <c r="V12" i="78"/>
  <c r="Z13" i="78"/>
  <c r="X12" i="78"/>
  <c r="CH7" i="90"/>
  <c r="M77" i="90"/>
  <c r="M78" i="90" s="1"/>
  <c r="Z52" i="89"/>
  <c r="Y50" i="89"/>
  <c r="X52" i="89"/>
  <c r="W50" i="89"/>
  <c r="AA76" i="90"/>
  <c r="AA78" i="90" s="1"/>
  <c r="W78" i="90"/>
  <c r="T76" i="90"/>
  <c r="C62" i="78"/>
  <c r="M37" i="90"/>
  <c r="Y46" i="78"/>
  <c r="Z46" i="78" s="1"/>
  <c r="Z42" i="78"/>
  <c r="Y48" i="78"/>
  <c r="X19" i="78"/>
  <c r="W42" i="78"/>
  <c r="V19" i="78"/>
  <c r="U42" i="78"/>
  <c r="BP13" i="90"/>
  <c r="BN63" i="90"/>
  <c r="BN59" i="90"/>
  <c r="BN54" i="90"/>
  <c r="BN26" i="90"/>
  <c r="BN22" i="90"/>
  <c r="BN36" i="90"/>
  <c r="BN67" i="90"/>
  <c r="BN40" i="90"/>
  <c r="BN25" i="90"/>
  <c r="BN61" i="90"/>
  <c r="BN35" i="90"/>
  <c r="BN39" i="90"/>
  <c r="BN66" i="90"/>
  <c r="BN23" i="90"/>
  <c r="BN33" i="90"/>
  <c r="BN71" i="90"/>
  <c r="BN60" i="90"/>
  <c r="BN47" i="90"/>
  <c r="BN38" i="90"/>
  <c r="BN28" i="90"/>
  <c r="BN14" i="90"/>
  <c r="BN64" i="90"/>
  <c r="BN55" i="90"/>
  <c r="BN34" i="90"/>
  <c r="BN27" i="90"/>
  <c r="BN70" i="90"/>
  <c r="BN37" i="90"/>
  <c r="BN10" i="90"/>
  <c r="BN44" i="90"/>
  <c r="BN53" i="90"/>
  <c r="BN56" i="90"/>
  <c r="BN41" i="90"/>
  <c r="BN11" i="90"/>
  <c r="BN43" i="90"/>
  <c r="BN72" i="90"/>
  <c r="BN69" i="90"/>
  <c r="BN21" i="90"/>
  <c r="BN31" i="90"/>
  <c r="BN50" i="90"/>
  <c r="BN17" i="90"/>
  <c r="BN58" i="90"/>
  <c r="BN15" i="90"/>
  <c r="BN57" i="90"/>
  <c r="BN16" i="90"/>
  <c r="BN30" i="90"/>
  <c r="BN45" i="90"/>
  <c r="BN32" i="90"/>
  <c r="BN29" i="90"/>
  <c r="BN65" i="90"/>
  <c r="BN51" i="90"/>
  <c r="BN52" i="90"/>
  <c r="BN49" i="90"/>
  <c r="BN20" i="90"/>
  <c r="BN62" i="90"/>
  <c r="BN19" i="90"/>
  <c r="BN48" i="90"/>
  <c r="BN46" i="90"/>
  <c r="BN68" i="90"/>
  <c r="C57" i="89"/>
  <c r="C62" i="89"/>
  <c r="I48" i="89"/>
  <c r="I68" i="89" s="1"/>
  <c r="I73" i="89" s="1"/>
  <c r="N17" i="89"/>
  <c r="C10" i="89"/>
  <c r="C13" i="89" s="1"/>
  <c r="C19" i="89" s="1"/>
  <c r="C50" i="89"/>
  <c r="M48" i="89"/>
  <c r="M68" i="89" s="1"/>
  <c r="M73" i="89" s="1"/>
  <c r="M46" i="89"/>
  <c r="C20" i="89"/>
  <c r="Q48" i="89"/>
  <c r="Q68" i="89" s="1"/>
  <c r="Q73" i="89" s="1"/>
  <c r="Q46" i="89"/>
  <c r="O46" i="89"/>
  <c r="O48" i="89"/>
  <c r="O68" i="89" s="1"/>
  <c r="O73" i="89" s="1"/>
  <c r="T17" i="89"/>
  <c r="K46" i="89"/>
  <c r="L46" i="89" s="1"/>
  <c r="K48" i="89"/>
  <c r="K68" i="89" s="1"/>
  <c r="K73" i="89" s="1"/>
  <c r="C43" i="89"/>
  <c r="AO21" i="90"/>
  <c r="AQ21" i="90" s="1"/>
  <c r="BC36" i="90"/>
  <c r="BJ30" i="90"/>
  <c r="BS30" i="90" s="1"/>
  <c r="G57" i="89"/>
  <c r="AN13" i="90"/>
  <c r="Z26" i="90"/>
  <c r="AO31" i="90"/>
  <c r="AQ31" i="90" s="1"/>
  <c r="BC30" i="90"/>
  <c r="G37" i="90"/>
  <c r="Z31" i="90"/>
  <c r="BJ16" i="90"/>
  <c r="BS16" i="90" s="1"/>
  <c r="G28" i="90"/>
  <c r="AV45" i="90"/>
  <c r="AO34" i="90"/>
  <c r="AQ34" i="90" s="1"/>
  <c r="BC33" i="90"/>
  <c r="AV12" i="90"/>
  <c r="AV30" i="90"/>
  <c r="AO27" i="90"/>
  <c r="AQ27" i="90" s="1"/>
  <c r="BC26" i="90"/>
  <c r="BL26" i="90" s="1"/>
  <c r="AV34" i="90"/>
  <c r="T22" i="90"/>
  <c r="AC22" i="90" s="1"/>
  <c r="AV25" i="90"/>
  <c r="G29" i="90"/>
  <c r="AO12" i="90"/>
  <c r="AQ12" i="90" s="1"/>
  <c r="M27" i="90"/>
  <c r="AV33" i="90"/>
  <c r="BJ23" i="90"/>
  <c r="BS23" i="90" s="1"/>
  <c r="AV21" i="90"/>
  <c r="AO33" i="90"/>
  <c r="Y50" i="90"/>
  <c r="Z50" i="90" s="1"/>
  <c r="Z45" i="90"/>
  <c r="M31" i="90"/>
  <c r="AO26" i="90"/>
  <c r="Z22" i="90"/>
  <c r="M29" i="90"/>
  <c r="BC16" i="90"/>
  <c r="AO28" i="90"/>
  <c r="AQ28" i="90" s="1"/>
  <c r="BJ27" i="90"/>
  <c r="BS27" i="90" s="1"/>
  <c r="AV29" i="90"/>
  <c r="BJ35" i="90"/>
  <c r="BS35" i="90" s="1"/>
  <c r="J12" i="89"/>
  <c r="AO32" i="90"/>
  <c r="AQ32" i="90" s="1"/>
  <c r="BC53" i="90"/>
  <c r="AO53" i="90"/>
  <c r="N45" i="89"/>
  <c r="T13" i="89"/>
  <c r="Z37" i="90"/>
  <c r="BB45" i="90"/>
  <c r="G33" i="90"/>
  <c r="BJ21" i="90"/>
  <c r="BS21" i="90" s="1"/>
  <c r="BC29" i="90"/>
  <c r="AO35" i="90"/>
  <c r="AQ35" i="90" s="1"/>
  <c r="AV37" i="90"/>
  <c r="BI13" i="90"/>
  <c r="P12" i="89"/>
  <c r="AA12" i="90"/>
  <c r="AJ12" i="90" s="1"/>
  <c r="Z12" i="90"/>
  <c r="Z13" i="90" s="1"/>
  <c r="AO23" i="90"/>
  <c r="AQ23" i="90" s="1"/>
  <c r="AV53" i="90"/>
  <c r="G17" i="90"/>
  <c r="BC45" i="90"/>
  <c r="AO17" i="90"/>
  <c r="AQ17" i="90" s="1"/>
  <c r="BB13" i="90"/>
  <c r="AN45" i="90"/>
  <c r="R13" i="89"/>
  <c r="AV23" i="90"/>
  <c r="T45" i="89"/>
  <c r="AO16" i="90"/>
  <c r="AQ16" i="90" s="1"/>
  <c r="G11" i="90"/>
  <c r="BC32" i="90"/>
  <c r="Z28" i="90"/>
  <c r="AV35" i="90"/>
  <c r="BC25" i="90"/>
  <c r="BC37" i="90"/>
  <c r="AV26" i="90"/>
  <c r="Z36" i="90"/>
  <c r="N13" i="89"/>
  <c r="AA27" i="90"/>
  <c r="AJ27" i="90" s="1"/>
  <c r="P45" i="89"/>
  <c r="BJ22" i="90"/>
  <c r="BS22" i="90" s="1"/>
  <c r="AV32" i="90"/>
  <c r="BC31" i="90"/>
  <c r="BC12" i="90"/>
  <c r="AA33" i="90"/>
  <c r="AJ33" i="90" s="1"/>
  <c r="BC23" i="90"/>
  <c r="AO22" i="90"/>
  <c r="AQ22" i="90" s="1"/>
  <c r="BA20" i="90"/>
  <c r="BB20" i="90" s="1"/>
  <c r="BA13" i="90"/>
  <c r="BA19" i="90" s="1"/>
  <c r="M22" i="90"/>
  <c r="AJ22" i="90"/>
  <c r="BJ28" i="90"/>
  <c r="BS28" i="90" s="1"/>
  <c r="BJ45" i="90"/>
  <c r="BS45" i="90" s="1"/>
  <c r="AJ34" i="90"/>
  <c r="AO29" i="90"/>
  <c r="AQ29" i="90" s="1"/>
  <c r="Z25" i="90"/>
  <c r="Z29" i="90"/>
  <c r="AU12" i="90"/>
  <c r="AU13" i="90" s="1"/>
  <c r="BB21" i="90"/>
  <c r="AJ30" i="90"/>
  <c r="AV22" i="90"/>
  <c r="AV16" i="90"/>
  <c r="AJ25" i="90"/>
  <c r="Z30" i="90"/>
  <c r="T20" i="89"/>
  <c r="T21" i="89"/>
  <c r="T29" i="90"/>
  <c r="AC29" i="90" s="1"/>
  <c r="BJ25" i="90"/>
  <c r="BS25" i="90" s="1"/>
  <c r="AV36" i="90"/>
  <c r="AO37" i="90"/>
  <c r="AM20" i="90"/>
  <c r="AN20" i="90" s="1"/>
  <c r="AN21" i="90"/>
  <c r="J20" i="89"/>
  <c r="AV28" i="90"/>
  <c r="AU20" i="90"/>
  <c r="AO25" i="90"/>
  <c r="AQ25" i="90" s="1"/>
  <c r="T37" i="90"/>
  <c r="BC28" i="90"/>
  <c r="BI45" i="90"/>
  <c r="R20" i="89"/>
  <c r="P20" i="89"/>
  <c r="BJ29" i="90"/>
  <c r="BS29" i="90" s="1"/>
  <c r="AJ36" i="90"/>
  <c r="BH20" i="90"/>
  <c r="BI20" i="90" s="1"/>
  <c r="BJ36" i="90"/>
  <c r="BS36" i="90" s="1"/>
  <c r="J45" i="89"/>
  <c r="N20" i="89"/>
  <c r="BC27" i="90"/>
  <c r="AM13" i="90"/>
  <c r="AM19" i="90" s="1"/>
  <c r="R45" i="89"/>
  <c r="Y20" i="90"/>
  <c r="Z20" i="90" s="1"/>
  <c r="AJ35" i="90"/>
  <c r="AV27" i="90"/>
  <c r="BJ34" i="90"/>
  <c r="BS34" i="90" s="1"/>
  <c r="BC35" i="90"/>
  <c r="AJ37" i="90"/>
  <c r="BH13" i="90"/>
  <c r="BH19" i="90" s="1"/>
  <c r="G22" i="90"/>
  <c r="BJ32" i="90"/>
  <c r="BS32" i="90" s="1"/>
  <c r="AJ29" i="90"/>
  <c r="BJ33" i="90"/>
  <c r="BS33" i="90" s="1"/>
  <c r="BJ31" i="90"/>
  <c r="BS31" i="90" s="1"/>
  <c r="BJ37" i="90"/>
  <c r="BS37" i="90" s="1"/>
  <c r="BC22" i="90"/>
  <c r="AJ28" i="90"/>
  <c r="BC21" i="90"/>
  <c r="BJ12" i="90"/>
  <c r="BS12" i="90" s="1"/>
  <c r="AV31" i="90"/>
  <c r="AJ31" i="90"/>
  <c r="AO36" i="90"/>
  <c r="AQ36" i="90" s="1"/>
  <c r="AJ26" i="90"/>
  <c r="BC34" i="90"/>
  <c r="Z35" i="90"/>
  <c r="AU45" i="90"/>
  <c r="BI21" i="90"/>
  <c r="G56" i="90"/>
  <c r="E62" i="90"/>
  <c r="AF46" i="90"/>
  <c r="AG46" i="90" s="1"/>
  <c r="L13" i="89"/>
  <c r="L19" i="89"/>
  <c r="Y19" i="90"/>
  <c r="G64" i="90"/>
  <c r="AG13" i="90"/>
  <c r="AV17" i="90"/>
  <c r="AA17" i="90"/>
  <c r="AJ17" i="90" s="1"/>
  <c r="M32" i="90"/>
  <c r="BC17" i="90"/>
  <c r="BL17" i="90" s="1"/>
  <c r="R52" i="89"/>
  <c r="AT19" i="90"/>
  <c r="AT42" i="90" s="1"/>
  <c r="T52" i="89"/>
  <c r="G65" i="90"/>
  <c r="BB52" i="90"/>
  <c r="BA50" i="90"/>
  <c r="R17" i="89"/>
  <c r="J52" i="89"/>
  <c r="AM50" i="90"/>
  <c r="AN52" i="90"/>
  <c r="AO52" i="90"/>
  <c r="AQ52" i="90" s="1"/>
  <c r="Z52" i="90"/>
  <c r="AT50" i="90"/>
  <c r="AT49" i="90" s="1"/>
  <c r="AU52" i="90"/>
  <c r="BI17" i="90"/>
  <c r="BC52" i="90"/>
  <c r="BL52" i="90" s="1"/>
  <c r="N52" i="89"/>
  <c r="J13" i="89"/>
  <c r="BH50" i="90"/>
  <c r="BJ50" i="90" s="1"/>
  <c r="BI52" i="90"/>
  <c r="P52" i="89"/>
  <c r="M34" i="90"/>
  <c r="T26" i="90"/>
  <c r="AC26" i="90" s="1"/>
  <c r="T25" i="90"/>
  <c r="AC25" i="90" s="1"/>
  <c r="G36" i="90"/>
  <c r="G27" i="90"/>
  <c r="CJ22" i="90"/>
  <c r="CJ29" i="90"/>
  <c r="T34" i="90"/>
  <c r="T35" i="90"/>
  <c r="AC35" i="90" s="1"/>
  <c r="G77" i="90"/>
  <c r="AH45" i="90"/>
  <c r="AY50" i="90"/>
  <c r="AK50" i="90"/>
  <c r="AZ23" i="90"/>
  <c r="P54" i="78"/>
  <c r="P5" i="78"/>
  <c r="AD50" i="90"/>
  <c r="AD49" i="90" s="1"/>
  <c r="P23" i="78"/>
  <c r="N69" i="78"/>
  <c r="P63" i="78"/>
  <c r="P62" i="78"/>
  <c r="P61" i="78"/>
  <c r="P6" i="78"/>
  <c r="BG45" i="90"/>
  <c r="P40" i="78"/>
  <c r="AZ32" i="90"/>
  <c r="P45" i="78"/>
  <c r="N24" i="78"/>
  <c r="P69" i="78"/>
  <c r="P51" i="78"/>
  <c r="P43" i="78"/>
  <c r="P32" i="78"/>
  <c r="P52" i="78"/>
  <c r="N40" i="78"/>
  <c r="P17" i="78"/>
  <c r="P8" i="78"/>
  <c r="N5" i="78"/>
  <c r="P9" i="78"/>
  <c r="P67" i="78"/>
  <c r="P56" i="78"/>
  <c r="BF43" i="90"/>
  <c r="BG43" i="90" s="1"/>
  <c r="P58" i="78"/>
  <c r="P41" i="78"/>
  <c r="P65" i="78"/>
  <c r="P38" i="78"/>
  <c r="N14" i="78"/>
  <c r="N62" i="78"/>
  <c r="P57" i="78"/>
  <c r="N34" i="78"/>
  <c r="N57" i="78"/>
  <c r="P39" i="78"/>
  <c r="P21" i="78"/>
  <c r="P7" i="78"/>
  <c r="N17" i="78"/>
  <c r="N61" i="78"/>
  <c r="N29" i="78"/>
  <c r="AR50" i="90"/>
  <c r="AR49" i="90" s="1"/>
  <c r="N38" i="78"/>
  <c r="P16" i="78"/>
  <c r="AY43" i="90"/>
  <c r="BC43" i="90" s="1"/>
  <c r="N41" i="78"/>
  <c r="N65" i="78"/>
  <c r="N36" i="78"/>
  <c r="N52" i="78"/>
  <c r="N47" i="78"/>
  <c r="N9" i="78"/>
  <c r="N39" i="78"/>
  <c r="N53" i="78"/>
  <c r="N6" i="78"/>
  <c r="N60" i="78"/>
  <c r="N12" i="78"/>
  <c r="N44" i="78"/>
  <c r="P20" i="78"/>
  <c r="N72" i="78"/>
  <c r="N58" i="78"/>
  <c r="N27" i="78"/>
  <c r="N20" i="78"/>
  <c r="AQ30" i="90"/>
  <c r="L20" i="78"/>
  <c r="AO45" i="90"/>
  <c r="T20" i="78"/>
  <c r="N28" i="78"/>
  <c r="BJ53" i="90"/>
  <c r="BS53" i="90" s="1"/>
  <c r="N33" i="78"/>
  <c r="N37" i="78"/>
  <c r="N25" i="78"/>
  <c r="N64" i="78"/>
  <c r="N54" i="78"/>
  <c r="N8" i="78"/>
  <c r="AR43" i="90"/>
  <c r="AS43" i="90" s="1"/>
  <c r="N30" i="78"/>
  <c r="AS17" i="90"/>
  <c r="N26" i="78"/>
  <c r="N35" i="78"/>
  <c r="P12" i="78"/>
  <c r="R20" i="78"/>
  <c r="N19" i="78"/>
  <c r="P24" i="78"/>
  <c r="P55" i="78"/>
  <c r="AR20" i="90"/>
  <c r="AS20" i="90" s="1"/>
  <c r="AD20" i="90"/>
  <c r="AE20" i="90" s="1"/>
  <c r="AK20" i="90"/>
  <c r="AY20" i="90"/>
  <c r="AZ20" i="90" s="1"/>
  <c r="BF20" i="90"/>
  <c r="BG20" i="90" s="1"/>
  <c r="AS56" i="90"/>
  <c r="AZ52" i="90"/>
  <c r="AE44" i="90"/>
  <c r="T57" i="78"/>
  <c r="AZ41" i="90"/>
  <c r="P11" i="78"/>
  <c r="AZ53" i="90"/>
  <c r="BG38" i="90"/>
  <c r="AZ51" i="90"/>
  <c r="AE40" i="90"/>
  <c r="R69" i="78"/>
  <c r="AZ64" i="90"/>
  <c r="AE54" i="90"/>
  <c r="P72" i="78"/>
  <c r="AZ45" i="90"/>
  <c r="AE53" i="90"/>
  <c r="AZ14" i="90"/>
  <c r="AZ39" i="90"/>
  <c r="AZ11" i="90"/>
  <c r="J56" i="78"/>
  <c r="BG17" i="90"/>
  <c r="T62" i="78"/>
  <c r="AE41" i="90"/>
  <c r="P4" i="78"/>
  <c r="AS51" i="90"/>
  <c r="AS23" i="90"/>
  <c r="L57" i="78"/>
  <c r="R72" i="78"/>
  <c r="J40" i="78"/>
  <c r="AE51" i="90"/>
  <c r="J53" i="78"/>
  <c r="L69" i="78"/>
  <c r="T72" i="78"/>
  <c r="AL17" i="90"/>
  <c r="AZ54" i="90"/>
  <c r="AS39" i="90"/>
  <c r="AS41" i="90"/>
  <c r="AJ51" i="90"/>
  <c r="T6" i="78"/>
  <c r="AS44" i="90"/>
  <c r="J32" i="78"/>
  <c r="N70" i="78"/>
  <c r="N59" i="78"/>
  <c r="N4" i="78"/>
  <c r="N51" i="78"/>
  <c r="N63" i="78"/>
  <c r="N66" i="78"/>
  <c r="N16" i="78"/>
  <c r="N31" i="78"/>
  <c r="N10" i="78"/>
  <c r="N21" i="78"/>
  <c r="N55" i="78"/>
  <c r="N22" i="78"/>
  <c r="N45" i="78"/>
  <c r="N71" i="78"/>
  <c r="N67" i="78"/>
  <c r="BL63" i="90"/>
  <c r="AQ63" i="90"/>
  <c r="BG53" i="90"/>
  <c r="L67" i="78"/>
  <c r="T69" i="78"/>
  <c r="AS15" i="90"/>
  <c r="N23" i="78"/>
  <c r="J62" i="78"/>
  <c r="AS55" i="90"/>
  <c r="AQ51" i="90"/>
  <c r="N43" i="78"/>
  <c r="L72" i="78"/>
  <c r="L63" i="78"/>
  <c r="AS38" i="90"/>
  <c r="J38" i="78"/>
  <c r="N32" i="78"/>
  <c r="AS32" i="90"/>
  <c r="J11" i="78"/>
  <c r="AE39" i="90"/>
  <c r="L62" i="78"/>
  <c r="N7" i="78"/>
  <c r="AS61" i="90"/>
  <c r="J52" i="78"/>
  <c r="J54" i="78"/>
  <c r="N11" i="78"/>
  <c r="N56" i="78"/>
  <c r="BG11" i="90"/>
  <c r="AX41" i="90"/>
  <c r="BE64" i="90"/>
  <c r="BG57" i="90"/>
  <c r="BJ57" i="90"/>
  <c r="BS57" i="90" s="1"/>
  <c r="AX15" i="90"/>
  <c r="BE15" i="90"/>
  <c r="AA21" i="90"/>
  <c r="AJ21" i="90" s="1"/>
  <c r="X21" i="90"/>
  <c r="AA11" i="90"/>
  <c r="AC11" i="90" s="1"/>
  <c r="X11" i="90"/>
  <c r="AH72" i="90"/>
  <c r="AE72" i="90"/>
  <c r="J24" i="78"/>
  <c r="AA40" i="90"/>
  <c r="X40" i="90"/>
  <c r="AA67" i="90"/>
  <c r="AJ67" i="90" s="1"/>
  <c r="W65" i="90"/>
  <c r="X67" i="90"/>
  <c r="AZ55" i="90"/>
  <c r="AA54" i="90"/>
  <c r="X54" i="90"/>
  <c r="AA38" i="90"/>
  <c r="X38" i="90"/>
  <c r="BL11" i="90"/>
  <c r="AX61" i="90"/>
  <c r="BL38" i="90"/>
  <c r="AX44" i="90"/>
  <c r="BE51" i="90"/>
  <c r="AX56" i="90"/>
  <c r="BG58" i="90"/>
  <c r="AA69" i="90"/>
  <c r="X69" i="90"/>
  <c r="AA53" i="90"/>
  <c r="X53" i="90"/>
  <c r="AJ61" i="90"/>
  <c r="AA52" i="90"/>
  <c r="X52" i="90"/>
  <c r="BE55" i="90"/>
  <c r="AA72" i="90"/>
  <c r="X72" i="90"/>
  <c r="AA16" i="90"/>
  <c r="AJ16" i="90" s="1"/>
  <c r="X16" i="90"/>
  <c r="AA56" i="90"/>
  <c r="X56" i="90"/>
  <c r="J21" i="78"/>
  <c r="J65" i="78"/>
  <c r="J67" i="78"/>
  <c r="AZ17" i="90"/>
  <c r="BG52" i="90"/>
  <c r="AX54" i="90"/>
  <c r="BG41" i="90"/>
  <c r="AX55" i="90"/>
  <c r="BL41" i="90"/>
  <c r="BE41" i="90"/>
  <c r="AS45" i="90"/>
  <c r="AZ57" i="90"/>
  <c r="BE11" i="90"/>
  <c r="BS72" i="90"/>
  <c r="BG72" i="90"/>
  <c r="AA32" i="90"/>
  <c r="X32" i="90"/>
  <c r="J16" i="78"/>
  <c r="AX38" i="90"/>
  <c r="BE38" i="90"/>
  <c r="P53" i="78"/>
  <c r="AA23" i="90"/>
  <c r="X23" i="90"/>
  <c r="AX39" i="90"/>
  <c r="AQ44" i="90"/>
  <c r="BG56" i="90"/>
  <c r="BG34" i="90"/>
  <c r="BG47" i="90"/>
  <c r="BG59" i="90"/>
  <c r="BG31" i="90"/>
  <c r="BG71" i="90"/>
  <c r="BJ10" i="90"/>
  <c r="BK24" i="90" s="1"/>
  <c r="BG33" i="90"/>
  <c r="BG10" i="90"/>
  <c r="BG29" i="90"/>
  <c r="BG30" i="90"/>
  <c r="BG70" i="90"/>
  <c r="BG26" i="90"/>
  <c r="BG27" i="90"/>
  <c r="BG66" i="90"/>
  <c r="BG25" i="90"/>
  <c r="BG37" i="90"/>
  <c r="BG28" i="90"/>
  <c r="BG35" i="90"/>
  <c r="BG22" i="90"/>
  <c r="BG60" i="90"/>
  <c r="BG36" i="90"/>
  <c r="BG44" i="90"/>
  <c r="BG16" i="90"/>
  <c r="AO69" i="90"/>
  <c r="AL69" i="90"/>
  <c r="AS57" i="90"/>
  <c r="AV57" i="90"/>
  <c r="AS14" i="90"/>
  <c r="BG40" i="90"/>
  <c r="J31" i="78"/>
  <c r="J36" i="78"/>
  <c r="J4" i="78"/>
  <c r="J7" i="78"/>
  <c r="J70" i="78"/>
  <c r="J8" i="78"/>
  <c r="J28" i="78"/>
  <c r="J22" i="78"/>
  <c r="J58" i="78"/>
  <c r="J15" i="78"/>
  <c r="J60" i="78"/>
  <c r="J9" i="78"/>
  <c r="J44" i="78"/>
  <c r="J5" i="78"/>
  <c r="J10" i="78"/>
  <c r="J27" i="78"/>
  <c r="J57" i="78"/>
  <c r="J25" i="78"/>
  <c r="J30" i="78"/>
  <c r="J71" i="78"/>
  <c r="J29" i="78"/>
  <c r="J26" i="78"/>
  <c r="J35" i="78"/>
  <c r="J6" i="78"/>
  <c r="J33" i="78"/>
  <c r="J34" i="78"/>
  <c r="J41" i="78"/>
  <c r="J59" i="78"/>
  <c r="J61" i="78"/>
  <c r="J63" i="78"/>
  <c r="J47" i="78"/>
  <c r="J37" i="78"/>
  <c r="J66" i="78"/>
  <c r="AS54" i="90"/>
  <c r="T50" i="78"/>
  <c r="AZ67" i="90"/>
  <c r="BG21" i="90"/>
  <c r="BG39" i="90"/>
  <c r="L50" i="78"/>
  <c r="AZ58" i="90"/>
  <c r="BG23" i="90"/>
  <c r="AV69" i="90"/>
  <c r="AS69" i="90"/>
  <c r="AA39" i="90"/>
  <c r="X39" i="90"/>
  <c r="AO72" i="90"/>
  <c r="AL72" i="90"/>
  <c r="R12" i="78"/>
  <c r="J43" i="78"/>
  <c r="J45" i="78"/>
  <c r="R40" i="78"/>
  <c r="AL61" i="90"/>
  <c r="AQ40" i="90"/>
  <c r="AX58" i="90"/>
  <c r="AX14" i="90"/>
  <c r="BE63" i="90"/>
  <c r="BL40" i="90"/>
  <c r="R62" i="78"/>
  <c r="BG67" i="90"/>
  <c r="BL54" i="90"/>
  <c r="AS67" i="90"/>
  <c r="AE38" i="90"/>
  <c r="AH10" i="90"/>
  <c r="AI61" i="90" s="1"/>
  <c r="AD13" i="90"/>
  <c r="AE17" i="90"/>
  <c r="AE11" i="90"/>
  <c r="AE15" i="90"/>
  <c r="AE23" i="90"/>
  <c r="AE70" i="90"/>
  <c r="AE27" i="90"/>
  <c r="AE21" i="90"/>
  <c r="AE52" i="90"/>
  <c r="AE14" i="90"/>
  <c r="AE56" i="90"/>
  <c r="AE66" i="90"/>
  <c r="AE10" i="90"/>
  <c r="AE29" i="90"/>
  <c r="AE25" i="90"/>
  <c r="AE47" i="90"/>
  <c r="AE71" i="90"/>
  <c r="AE59" i="90"/>
  <c r="AE33" i="90"/>
  <c r="AE31" i="90"/>
  <c r="AE36" i="90"/>
  <c r="AE55" i="90"/>
  <c r="AE32" i="90"/>
  <c r="AE28" i="90"/>
  <c r="AE45" i="90"/>
  <c r="AE26" i="90"/>
  <c r="AE37" i="90"/>
  <c r="AE30" i="90"/>
  <c r="AE35" i="90"/>
  <c r="AE63" i="90"/>
  <c r="AE22" i="90"/>
  <c r="AE34" i="90"/>
  <c r="AE64" i="90"/>
  <c r="AE58" i="90"/>
  <c r="AE60" i="90"/>
  <c r="BE67" i="90"/>
  <c r="AE62" i="90"/>
  <c r="AH62" i="90"/>
  <c r="BL39" i="90"/>
  <c r="BE58" i="90"/>
  <c r="AH69" i="90"/>
  <c r="AE69" i="90"/>
  <c r="J39" i="78"/>
  <c r="BC72" i="90"/>
  <c r="AZ72" i="90"/>
  <c r="AL67" i="90"/>
  <c r="AA45" i="90"/>
  <c r="W43" i="90"/>
  <c r="X45" i="90"/>
  <c r="AE16" i="90"/>
  <c r="AQ61" i="90"/>
  <c r="J17" i="78"/>
  <c r="BL58" i="90"/>
  <c r="X51" i="90"/>
  <c r="AZ56" i="90"/>
  <c r="AS58" i="90"/>
  <c r="AZ63" i="90"/>
  <c r="BL64" i="90"/>
  <c r="BG65" i="90"/>
  <c r="BJ65" i="90"/>
  <c r="BS65" i="90" s="1"/>
  <c r="BL51" i="90"/>
  <c r="T33" i="78"/>
  <c r="T59" i="78"/>
  <c r="T27" i="78"/>
  <c r="T66" i="78"/>
  <c r="T58" i="78"/>
  <c r="T15" i="78"/>
  <c r="T52" i="78"/>
  <c r="T30" i="78"/>
  <c r="T71" i="78"/>
  <c r="T25" i="78"/>
  <c r="T64" i="78"/>
  <c r="T31" i="78"/>
  <c r="T70" i="78"/>
  <c r="T23" i="78"/>
  <c r="T60" i="78"/>
  <c r="T36" i="78"/>
  <c r="T26" i="78"/>
  <c r="T53" i="78"/>
  <c r="T24" i="78"/>
  <c r="T5" i="78"/>
  <c r="T51" i="78"/>
  <c r="T29" i="78"/>
  <c r="T12" i="78"/>
  <c r="T65" i="78"/>
  <c r="T35" i="78"/>
  <c r="T4" i="78"/>
  <c r="T16" i="78"/>
  <c r="T38" i="78"/>
  <c r="T56" i="78"/>
  <c r="T17" i="78"/>
  <c r="T63" i="78"/>
  <c r="T67" i="78"/>
  <c r="T10" i="78"/>
  <c r="T21" i="78"/>
  <c r="T7" i="78"/>
  <c r="T44" i="78"/>
  <c r="T45" i="78"/>
  <c r="T39" i="78"/>
  <c r="T43" i="78"/>
  <c r="T14" i="78"/>
  <c r="T8" i="78"/>
  <c r="T37" i="78"/>
  <c r="T47" i="78"/>
  <c r="T28" i="78"/>
  <c r="T61" i="78"/>
  <c r="T40" i="78"/>
  <c r="T22" i="78"/>
  <c r="T9" i="78"/>
  <c r="T34" i="78"/>
  <c r="T41" i="78"/>
  <c r="T54" i="78"/>
  <c r="BG54" i="90"/>
  <c r="AS21" i="90"/>
  <c r="AX67" i="90"/>
  <c r="L64" i="78"/>
  <c r="L47" i="78"/>
  <c r="L33" i="78"/>
  <c r="L30" i="78"/>
  <c r="L32" i="78"/>
  <c r="L16" i="78"/>
  <c r="L36" i="78"/>
  <c r="L7" i="78"/>
  <c r="L44" i="78"/>
  <c r="L17" i="78"/>
  <c r="L66" i="78"/>
  <c r="L40" i="78"/>
  <c r="L59" i="78"/>
  <c r="L21" i="78"/>
  <c r="L27" i="78"/>
  <c r="L9" i="78"/>
  <c r="L24" i="78"/>
  <c r="L35" i="78"/>
  <c r="L11" i="78"/>
  <c r="L60" i="78"/>
  <c r="L28" i="78"/>
  <c r="L61" i="78"/>
  <c r="L8" i="78"/>
  <c r="L26" i="78"/>
  <c r="L53" i="78"/>
  <c r="L5" i="78"/>
  <c r="L45" i="78"/>
  <c r="L43" i="78"/>
  <c r="L51" i="78"/>
  <c r="L31" i="78"/>
  <c r="L29" i="78"/>
  <c r="L56" i="78"/>
  <c r="L71" i="78"/>
  <c r="L23" i="78"/>
  <c r="L41" i="78"/>
  <c r="L12" i="78"/>
  <c r="L25" i="78"/>
  <c r="L54" i="78"/>
  <c r="L70" i="78"/>
  <c r="L6" i="78"/>
  <c r="L10" i="78"/>
  <c r="L22" i="78"/>
  <c r="L14" i="78"/>
  <c r="L39" i="78"/>
  <c r="L34" i="78"/>
  <c r="L37" i="78"/>
  <c r="L52" i="78"/>
  <c r="L4" i="78"/>
  <c r="L65" i="78"/>
  <c r="BC65" i="90"/>
  <c r="AZ65" i="90"/>
  <c r="AJ63" i="90"/>
  <c r="BL14" i="90"/>
  <c r="J64" i="78"/>
  <c r="L38" i="78"/>
  <c r="BG69" i="90"/>
  <c r="BJ69" i="90"/>
  <c r="BS69" i="90" s="1"/>
  <c r="BE44" i="90"/>
  <c r="AV72" i="90"/>
  <c r="AS72" i="90"/>
  <c r="AQ67" i="90"/>
  <c r="AA55" i="90"/>
  <c r="X55" i="90"/>
  <c r="AS11" i="90"/>
  <c r="L15" i="78"/>
  <c r="AL57" i="90"/>
  <c r="AO57" i="90"/>
  <c r="R6" i="78"/>
  <c r="W50" i="90"/>
  <c r="W49" i="90" s="1"/>
  <c r="X49" i="90" s="1"/>
  <c r="BE56" i="90"/>
  <c r="BL56" i="90"/>
  <c r="BG63" i="90"/>
  <c r="AZ62" i="90"/>
  <c r="BC62" i="90"/>
  <c r="AZ61" i="90"/>
  <c r="BG64" i="90"/>
  <c r="BL67" i="90"/>
  <c r="BG51" i="90"/>
  <c r="BE14" i="90"/>
  <c r="AS65" i="90"/>
  <c r="AV65" i="90"/>
  <c r="AZ21" i="90"/>
  <c r="N50" i="78"/>
  <c r="AL64" i="90"/>
  <c r="AL21" i="90"/>
  <c r="AL54" i="90"/>
  <c r="AL25" i="90"/>
  <c r="AL56" i="90"/>
  <c r="AL39" i="90"/>
  <c r="AL29" i="90"/>
  <c r="AL36" i="90"/>
  <c r="AL31" i="90"/>
  <c r="AL40" i="90"/>
  <c r="AL60" i="90"/>
  <c r="AL70" i="90"/>
  <c r="AK13" i="90"/>
  <c r="AL30" i="90"/>
  <c r="AL33" i="90"/>
  <c r="AL15" i="90"/>
  <c r="AL51" i="90"/>
  <c r="AL63" i="90"/>
  <c r="AL71" i="90"/>
  <c r="AL32" i="90"/>
  <c r="AL38" i="90"/>
  <c r="AL59" i="90"/>
  <c r="AL26" i="90"/>
  <c r="AL47" i="90"/>
  <c r="AL53" i="90"/>
  <c r="AL14" i="90"/>
  <c r="AL28" i="90"/>
  <c r="AL27" i="90"/>
  <c r="AL11" i="90"/>
  <c r="AL45" i="90"/>
  <c r="AL37" i="90"/>
  <c r="AL10" i="90"/>
  <c r="AL35" i="90"/>
  <c r="AL41" i="90"/>
  <c r="AL55" i="90"/>
  <c r="AL34" i="90"/>
  <c r="AL22" i="90"/>
  <c r="AL16" i="90"/>
  <c r="AO10" i="90"/>
  <c r="AP24" i="90" s="1"/>
  <c r="AL44" i="90"/>
  <c r="AL66" i="90"/>
  <c r="AS53" i="90"/>
  <c r="BG14" i="90"/>
  <c r="AA64" i="90"/>
  <c r="W62" i="90"/>
  <c r="X64" i="90"/>
  <c r="J69" i="78"/>
  <c r="J72" i="78"/>
  <c r="AO65" i="90"/>
  <c r="AL65" i="90"/>
  <c r="J55" i="78"/>
  <c r="AX11" i="90"/>
  <c r="L58" i="78"/>
  <c r="AE67" i="90"/>
  <c r="T11" i="78"/>
  <c r="AX51" i="90"/>
  <c r="BG62" i="90"/>
  <c r="BJ62" i="90"/>
  <c r="BS62" i="90" s="1"/>
  <c r="AS36" i="90"/>
  <c r="AS71" i="90"/>
  <c r="AS10" i="90"/>
  <c r="AS66" i="90"/>
  <c r="AS70" i="90"/>
  <c r="AS25" i="90"/>
  <c r="AS22" i="90"/>
  <c r="AS27" i="90"/>
  <c r="AS35" i="90"/>
  <c r="AS47" i="90"/>
  <c r="AS37" i="90"/>
  <c r="AS30" i="90"/>
  <c r="AS59" i="90"/>
  <c r="AS60" i="90"/>
  <c r="AS33" i="90"/>
  <c r="AS26" i="90"/>
  <c r="AS34" i="90"/>
  <c r="AS31" i="90"/>
  <c r="AV10" i="90"/>
  <c r="AW24" i="90" s="1"/>
  <c r="AR13" i="90"/>
  <c r="AS29" i="90"/>
  <c r="AS28" i="90"/>
  <c r="AS16" i="90"/>
  <c r="BE61" i="90"/>
  <c r="X27" i="90"/>
  <c r="X41" i="90"/>
  <c r="X30" i="90"/>
  <c r="X28" i="90"/>
  <c r="X17" i="90"/>
  <c r="X33" i="90"/>
  <c r="X36" i="90"/>
  <c r="X71" i="90"/>
  <c r="X25" i="90"/>
  <c r="X15" i="90"/>
  <c r="X70" i="90"/>
  <c r="X66" i="90"/>
  <c r="X60" i="90"/>
  <c r="AA10" i="90"/>
  <c r="X35" i="90"/>
  <c r="X37" i="90"/>
  <c r="X29" i="90"/>
  <c r="X59" i="90"/>
  <c r="X61" i="90"/>
  <c r="X10" i="90"/>
  <c r="X47" i="90"/>
  <c r="X63" i="90"/>
  <c r="X58" i="90"/>
  <c r="X34" i="90"/>
  <c r="X26" i="90"/>
  <c r="X22" i="90"/>
  <c r="X44" i="90"/>
  <c r="W13" i="90"/>
  <c r="X31" i="90"/>
  <c r="AS40" i="90"/>
  <c r="BG50" i="90"/>
  <c r="BF49" i="90"/>
  <c r="AX64" i="90"/>
  <c r="AJ41" i="90"/>
  <c r="AS63" i="90"/>
  <c r="R57" i="78"/>
  <c r="R16" i="78"/>
  <c r="R29" i="78"/>
  <c r="R71" i="78"/>
  <c r="R63" i="78"/>
  <c r="R39" i="78"/>
  <c r="R54" i="78"/>
  <c r="R44" i="78"/>
  <c r="R14" i="78"/>
  <c r="R27" i="78"/>
  <c r="R8" i="78"/>
  <c r="R66" i="78"/>
  <c r="R70" i="78"/>
  <c r="R36" i="78"/>
  <c r="R35" i="78"/>
  <c r="R5" i="78"/>
  <c r="R31" i="78"/>
  <c r="R45" i="78"/>
  <c r="R23" i="78"/>
  <c r="R37" i="78"/>
  <c r="R47" i="78"/>
  <c r="R32" i="78"/>
  <c r="R65" i="78"/>
  <c r="R60" i="78"/>
  <c r="R28" i="78"/>
  <c r="R15" i="78"/>
  <c r="R25" i="78"/>
  <c r="R53" i="78"/>
  <c r="R21" i="78"/>
  <c r="R52" i="78"/>
  <c r="R9" i="78"/>
  <c r="R22" i="78"/>
  <c r="R64" i="78"/>
  <c r="R41" i="78"/>
  <c r="R33" i="78"/>
  <c r="R56" i="78"/>
  <c r="R10" i="78"/>
  <c r="R34" i="78"/>
  <c r="R61" i="78"/>
  <c r="R30" i="78"/>
  <c r="R58" i="78"/>
  <c r="R17" i="78"/>
  <c r="R55" i="78"/>
  <c r="R59" i="78"/>
  <c r="R26" i="78"/>
  <c r="R67" i="78"/>
  <c r="R7" i="78"/>
  <c r="R11" i="78"/>
  <c r="BG15" i="90"/>
  <c r="BG32" i="90"/>
  <c r="R38" i="78"/>
  <c r="AJ58" i="90"/>
  <c r="AE43" i="90"/>
  <c r="AH43" i="90"/>
  <c r="R43" i="78"/>
  <c r="BE40" i="90"/>
  <c r="AX40" i="90"/>
  <c r="AS64" i="90"/>
  <c r="BE54" i="90"/>
  <c r="AV62" i="90"/>
  <c r="AS62" i="90"/>
  <c r="BG55" i="90"/>
  <c r="J12" i="78"/>
  <c r="R51" i="78"/>
  <c r="BL61" i="90"/>
  <c r="BL15" i="90"/>
  <c r="T32" i="78"/>
  <c r="J14" i="78"/>
  <c r="AH65" i="90"/>
  <c r="AE65" i="90"/>
  <c r="AL58" i="90"/>
  <c r="R24" i="78"/>
  <c r="AE57" i="90"/>
  <c r="AH57" i="90"/>
  <c r="P50" i="78"/>
  <c r="BE39" i="90"/>
  <c r="AO62" i="90"/>
  <c r="AL62" i="90"/>
  <c r="AL43" i="90"/>
  <c r="AO43" i="90"/>
  <c r="AZ69" i="90"/>
  <c r="AZ71" i="90"/>
  <c r="AZ31" i="90"/>
  <c r="AZ28" i="90"/>
  <c r="AZ29" i="90"/>
  <c r="BC10" i="90"/>
  <c r="BD64" i="90" s="1"/>
  <c r="AZ36" i="90"/>
  <c r="AZ27" i="90"/>
  <c r="AZ30" i="90"/>
  <c r="AY13" i="90"/>
  <c r="AZ26" i="90"/>
  <c r="AZ66" i="90"/>
  <c r="AZ35" i="90"/>
  <c r="AZ22" i="90"/>
  <c r="AZ60" i="90"/>
  <c r="AZ10" i="90"/>
  <c r="AZ34" i="90"/>
  <c r="AZ25" i="90"/>
  <c r="AZ33" i="90"/>
  <c r="AZ47" i="90"/>
  <c r="AZ37" i="90"/>
  <c r="AZ59" i="90"/>
  <c r="AZ70" i="90"/>
  <c r="AZ40" i="90"/>
  <c r="AZ16" i="90"/>
  <c r="AZ15" i="90"/>
  <c r="AZ38" i="90"/>
  <c r="AZ44" i="90"/>
  <c r="AA57" i="90"/>
  <c r="X57" i="90"/>
  <c r="AX63" i="90"/>
  <c r="BL55" i="90"/>
  <c r="R50" i="78"/>
  <c r="BG61" i="90"/>
  <c r="AL23" i="90"/>
  <c r="AA14" i="90"/>
  <c r="X14" i="90"/>
  <c r="P26" i="78"/>
  <c r="P27" i="78"/>
  <c r="P33" i="78"/>
  <c r="P47" i="78"/>
  <c r="P66" i="78"/>
  <c r="P60" i="78"/>
  <c r="P28" i="78"/>
  <c r="P10" i="78"/>
  <c r="P71" i="78"/>
  <c r="P36" i="78"/>
  <c r="P22" i="78"/>
  <c r="P31" i="78"/>
  <c r="P70" i="78"/>
  <c r="P34" i="78"/>
  <c r="P30" i="78"/>
  <c r="P59" i="78"/>
  <c r="P25" i="78"/>
  <c r="P37" i="78"/>
  <c r="P29" i="78"/>
  <c r="P35" i="78"/>
  <c r="P64" i="78"/>
  <c r="P44" i="78"/>
  <c r="P15" i="78"/>
  <c r="J51" i="78"/>
  <c r="J23" i="78"/>
  <c r="AQ58" i="90"/>
  <c r="C62" i="90"/>
  <c r="AF68" i="90"/>
  <c r="AG68" i="90" s="1"/>
  <c r="G35" i="90"/>
  <c r="AA29" i="89"/>
  <c r="G26" i="90"/>
  <c r="M36" i="90"/>
  <c r="M30" i="90"/>
  <c r="G34" i="90"/>
  <c r="T28" i="90"/>
  <c r="CJ31" i="90"/>
  <c r="CJ27" i="90"/>
  <c r="CJ37" i="90"/>
  <c r="CJ28" i="90"/>
  <c r="AA27" i="89"/>
  <c r="G30" i="90"/>
  <c r="CJ35" i="90"/>
  <c r="CJ36" i="90"/>
  <c r="M28" i="90"/>
  <c r="M35" i="90"/>
  <c r="CJ30" i="90"/>
  <c r="CJ34" i="90"/>
  <c r="M25" i="90"/>
  <c r="CJ26" i="90"/>
  <c r="CJ25" i="90"/>
  <c r="M33" i="90"/>
  <c r="T30" i="90"/>
  <c r="G31" i="90"/>
  <c r="T31" i="90"/>
  <c r="M26" i="90"/>
  <c r="CJ33" i="90"/>
  <c r="G25" i="90"/>
  <c r="G24" i="90"/>
  <c r="T21" i="90"/>
  <c r="T33" i="90"/>
  <c r="G62" i="89"/>
  <c r="M21" i="90"/>
  <c r="CJ21" i="90"/>
  <c r="G9" i="90"/>
  <c r="T6" i="90"/>
  <c r="M17" i="90"/>
  <c r="T12" i="90"/>
  <c r="M12" i="90"/>
  <c r="T9" i="90"/>
  <c r="E43" i="89"/>
  <c r="G43" i="89"/>
  <c r="M7" i="90"/>
  <c r="G6" i="90"/>
  <c r="T32" i="90"/>
  <c r="C78" i="89"/>
  <c r="G55" i="90"/>
  <c r="G38" i="90"/>
  <c r="T45" i="90"/>
  <c r="CJ9" i="90"/>
  <c r="M63" i="90"/>
  <c r="M4" i="90"/>
  <c r="CJ6" i="90"/>
  <c r="M61" i="90"/>
  <c r="M56" i="90"/>
  <c r="CJ45" i="90"/>
  <c r="M51" i="90"/>
  <c r="T39" i="90"/>
  <c r="T8" i="90"/>
  <c r="CJ12" i="90"/>
  <c r="G63" i="90"/>
  <c r="E78" i="89"/>
  <c r="CJ41" i="90"/>
  <c r="G72" i="90"/>
  <c r="G41" i="90"/>
  <c r="G20" i="89"/>
  <c r="CJ72" i="90"/>
  <c r="G51" i="90"/>
  <c r="CJ23" i="90"/>
  <c r="CJ38" i="90"/>
  <c r="CJ61" i="90"/>
  <c r="CJ39" i="90"/>
  <c r="M45" i="90"/>
  <c r="G50" i="89"/>
  <c r="CJ24" i="90"/>
  <c r="G8" i="90"/>
  <c r="CJ8" i="90"/>
  <c r="M15" i="90"/>
  <c r="K57" i="90"/>
  <c r="CJ63" i="90"/>
  <c r="T41" i="90"/>
  <c r="T58" i="90"/>
  <c r="T72" i="90"/>
  <c r="T53" i="90"/>
  <c r="G69" i="90"/>
  <c r="T63" i="90"/>
  <c r="E50" i="89"/>
  <c r="G61" i="90"/>
  <c r="G53" i="90"/>
  <c r="R57" i="90"/>
  <c r="T4" i="90"/>
  <c r="CJ11" i="90"/>
  <c r="T38" i="90"/>
  <c r="CJ44" i="90"/>
  <c r="G7" i="90"/>
  <c r="E20" i="89"/>
  <c r="CJ7" i="90"/>
  <c r="E10" i="89"/>
  <c r="F70" i="89" s="1"/>
  <c r="E57" i="89"/>
  <c r="M44" i="90"/>
  <c r="M16" i="90"/>
  <c r="T40" i="90"/>
  <c r="M23" i="90"/>
  <c r="T61" i="90"/>
  <c r="M54" i="90"/>
  <c r="T23" i="90"/>
  <c r="G5" i="90"/>
  <c r="K43" i="90"/>
  <c r="M52" i="90"/>
  <c r="G44" i="90"/>
  <c r="T7" i="90"/>
  <c r="M55" i="90"/>
  <c r="E50" i="90"/>
  <c r="T17" i="90"/>
  <c r="E43" i="90"/>
  <c r="CJ55" i="90"/>
  <c r="G21" i="90"/>
  <c r="K10" i="90"/>
  <c r="S7" i="90" s="1"/>
  <c r="CJ69" i="90"/>
  <c r="CJ51" i="90"/>
  <c r="M11" i="90"/>
  <c r="V11" i="90" s="1"/>
  <c r="CJ54" i="90"/>
  <c r="CJ5" i="90"/>
  <c r="E57" i="90"/>
  <c r="R50" i="90"/>
  <c r="CJ32" i="90"/>
  <c r="E62" i="89"/>
  <c r="M8" i="90"/>
  <c r="T54" i="90"/>
  <c r="K50" i="90"/>
  <c r="CJ17" i="90"/>
  <c r="R20" i="90"/>
  <c r="M39" i="90"/>
  <c r="T56" i="90"/>
  <c r="R43" i="90"/>
  <c r="CJ40" i="90"/>
  <c r="E20" i="90"/>
  <c r="G54" i="90"/>
  <c r="T44" i="90"/>
  <c r="T5" i="90"/>
  <c r="M6" i="90"/>
  <c r="T52" i="90"/>
  <c r="M72" i="90"/>
  <c r="K20" i="90"/>
  <c r="CJ56" i="90"/>
  <c r="M53" i="90"/>
  <c r="M41" i="90"/>
  <c r="M38" i="90"/>
  <c r="M69" i="90"/>
  <c r="E10" i="90"/>
  <c r="F39" i="90" s="1"/>
  <c r="CJ4" i="90"/>
  <c r="CK47" i="90" s="1"/>
  <c r="CJ67" i="90"/>
  <c r="CJ65" i="90" s="1"/>
  <c r="T64" i="90"/>
  <c r="G45" i="90"/>
  <c r="K62" i="90"/>
  <c r="CJ64" i="90"/>
  <c r="R10" i="90"/>
  <c r="S65" i="90" s="1"/>
  <c r="M40" i="90"/>
  <c r="T15" i="90"/>
  <c r="T14" i="90"/>
  <c r="CJ16" i="90"/>
  <c r="CJ58" i="90"/>
  <c r="R78" i="90"/>
  <c r="K78" i="90"/>
  <c r="T69" i="90"/>
  <c r="T16" i="90"/>
  <c r="M64" i="90"/>
  <c r="CJ14" i="90"/>
  <c r="CJ15" i="90"/>
  <c r="CJ53" i="90"/>
  <c r="CJ52" i="90"/>
  <c r="R62" i="90"/>
  <c r="G10" i="89"/>
  <c r="H40" i="89" s="1"/>
  <c r="G57" i="78"/>
  <c r="AA4" i="78"/>
  <c r="E78" i="78"/>
  <c r="E57" i="78"/>
  <c r="AA16" i="78"/>
  <c r="CH35" i="90"/>
  <c r="AA37" i="78"/>
  <c r="CH37" i="90"/>
  <c r="AA37" i="89"/>
  <c r="CH25" i="90"/>
  <c r="CH28" i="90"/>
  <c r="CH34" i="90"/>
  <c r="AA31" i="89"/>
  <c r="CH36" i="90"/>
  <c r="CH27" i="90"/>
  <c r="CH26" i="90"/>
  <c r="T27" i="90"/>
  <c r="CH33" i="90"/>
  <c r="CH30" i="90"/>
  <c r="T36" i="90"/>
  <c r="CH22" i="90"/>
  <c r="CH31" i="90"/>
  <c r="CH29" i="90"/>
  <c r="G62" i="78"/>
  <c r="E43" i="78"/>
  <c r="I57" i="90"/>
  <c r="G50" i="78"/>
  <c r="G58" i="90"/>
  <c r="I78" i="90"/>
  <c r="G43" i="78"/>
  <c r="CH40" i="90"/>
  <c r="CH51" i="90"/>
  <c r="G40" i="90"/>
  <c r="T51" i="90"/>
  <c r="CH6" i="90"/>
  <c r="E62" i="78"/>
  <c r="CH9" i="90"/>
  <c r="CH63" i="90"/>
  <c r="P62" i="90"/>
  <c r="CH72" i="90"/>
  <c r="G10" i="78"/>
  <c r="P57" i="90"/>
  <c r="CH55" i="90"/>
  <c r="CH54" i="90"/>
  <c r="I62" i="90"/>
  <c r="CH41" i="90"/>
  <c r="M9" i="90"/>
  <c r="I50" i="90"/>
  <c r="CH24" i="90"/>
  <c r="CH38" i="90"/>
  <c r="CH61" i="90"/>
  <c r="CH14" i="90"/>
  <c r="CH11" i="90"/>
  <c r="CH69" i="90"/>
  <c r="CH56" i="90"/>
  <c r="G20" i="78"/>
  <c r="P50" i="90"/>
  <c r="T55" i="90"/>
  <c r="Q24" i="90"/>
  <c r="P43" i="90"/>
  <c r="CH44" i="90"/>
  <c r="CH8" i="90"/>
  <c r="T67" i="90"/>
  <c r="P65" i="90"/>
  <c r="T65" i="90" s="1"/>
  <c r="M14" i="90"/>
  <c r="G4" i="90"/>
  <c r="CH5" i="90"/>
  <c r="I43" i="90"/>
  <c r="CH32" i="90"/>
  <c r="G32" i="90"/>
  <c r="CH67" i="90"/>
  <c r="CH65" i="90" s="1"/>
  <c r="G67" i="90"/>
  <c r="G23" i="90"/>
  <c r="CH23" i="90"/>
  <c r="CH16" i="90"/>
  <c r="G16" i="90"/>
  <c r="G12" i="90"/>
  <c r="CH12" i="90"/>
  <c r="I20" i="90"/>
  <c r="G14" i="90"/>
  <c r="G39" i="90"/>
  <c r="CH39" i="90"/>
  <c r="CH17" i="90"/>
  <c r="G52" i="90"/>
  <c r="CH52" i="90"/>
  <c r="CH15" i="90"/>
  <c r="G15" i="90"/>
  <c r="CH53" i="90"/>
  <c r="C50" i="90"/>
  <c r="M58" i="90"/>
  <c r="T77" i="90"/>
  <c r="CH45" i="90"/>
  <c r="M67" i="90"/>
  <c r="CH21" i="90"/>
  <c r="CH64" i="90"/>
  <c r="CH58" i="90"/>
  <c r="AA25" i="89"/>
  <c r="AA22" i="89"/>
  <c r="AA69" i="78"/>
  <c r="AA22" i="78"/>
  <c r="AA25" i="78"/>
  <c r="AA36" i="78"/>
  <c r="AA15" i="78"/>
  <c r="AA39" i="78"/>
  <c r="AA52" i="78"/>
  <c r="G134" i="85"/>
  <c r="I134" i="85"/>
  <c r="H134" i="85"/>
  <c r="AA28" i="78"/>
  <c r="E10" i="78"/>
  <c r="H194" i="86"/>
  <c r="H195" i="86" s="1"/>
  <c r="I194" i="86"/>
  <c r="G194" i="86"/>
  <c r="E20" i="78"/>
  <c r="E50" i="78"/>
  <c r="G195" i="86" l="1"/>
  <c r="V24" i="90"/>
  <c r="L23" i="90"/>
  <c r="CD4" i="90"/>
  <c r="BP4" i="90"/>
  <c r="CD5" i="90"/>
  <c r="CD6" i="90"/>
  <c r="CD7" i="90"/>
  <c r="CD8" i="90"/>
  <c r="CD9" i="90"/>
  <c r="BW4" i="90"/>
  <c r="BW5" i="90"/>
  <c r="BW6" i="90"/>
  <c r="BP7" i="90"/>
  <c r="BW9" i="90"/>
  <c r="BP6" i="90"/>
  <c r="BP5" i="90"/>
  <c r="BW8" i="90"/>
  <c r="BP9" i="90"/>
  <c r="BW7" i="90"/>
  <c r="BP8" i="90"/>
  <c r="BI5" i="90"/>
  <c r="BI6" i="90"/>
  <c r="AN4" i="90"/>
  <c r="AU5" i="90"/>
  <c r="Z8" i="90"/>
  <c r="AN8" i="90"/>
  <c r="AU4" i="90"/>
  <c r="AG5" i="90"/>
  <c r="BI4" i="90"/>
  <c r="BI9" i="90"/>
  <c r="BB5" i="90"/>
  <c r="BB4" i="90"/>
  <c r="BI7" i="90"/>
  <c r="AN7" i="90"/>
  <c r="BB8" i="90"/>
  <c r="AG9" i="90"/>
  <c r="AN6" i="90"/>
  <c r="Z6" i="90"/>
  <c r="AN9" i="90"/>
  <c r="AG6" i="90"/>
  <c r="AG8" i="90"/>
  <c r="BB7" i="90"/>
  <c r="AU8" i="90"/>
  <c r="AN5" i="90"/>
  <c r="BB6" i="90"/>
  <c r="BI8" i="90"/>
  <c r="AU9" i="90"/>
  <c r="AG4" i="90"/>
  <c r="BB9" i="90"/>
  <c r="AU6" i="90"/>
  <c r="Z9" i="90"/>
  <c r="Z5" i="90"/>
  <c r="Z7" i="90"/>
  <c r="AG7" i="90"/>
  <c r="Z4" i="90"/>
  <c r="AU7" i="90"/>
  <c r="S9" i="90"/>
  <c r="L24" i="90"/>
  <c r="S4" i="90"/>
  <c r="S6" i="90"/>
  <c r="S8" i="90"/>
  <c r="S24" i="90"/>
  <c r="S5" i="90"/>
  <c r="BD24" i="90"/>
  <c r="AI24" i="90"/>
  <c r="CF24" i="90"/>
  <c r="BY24" i="90"/>
  <c r="BR24" i="90"/>
  <c r="Q8" i="90"/>
  <c r="J24" i="90"/>
  <c r="AB24" i="90"/>
  <c r="AC24" i="90"/>
  <c r="Q7" i="90"/>
  <c r="Q6" i="90"/>
  <c r="J4" i="90"/>
  <c r="CB6" i="90"/>
  <c r="CB4" i="90"/>
  <c r="BN4" i="90"/>
  <c r="CB8" i="90"/>
  <c r="CB7" i="90"/>
  <c r="BN5" i="90"/>
  <c r="BU4" i="90"/>
  <c r="CB5" i="90"/>
  <c r="CB9" i="90"/>
  <c r="BU8" i="90"/>
  <c r="BU5" i="90"/>
  <c r="BU6" i="90"/>
  <c r="BN7" i="90"/>
  <c r="BN8" i="90"/>
  <c r="BN9" i="90"/>
  <c r="BU9" i="90"/>
  <c r="BU7" i="90"/>
  <c r="BN6" i="90"/>
  <c r="X7" i="90"/>
  <c r="AE5" i="90"/>
  <c r="AE8" i="90"/>
  <c r="X4" i="90"/>
  <c r="AZ5" i="90"/>
  <c r="BG5" i="90"/>
  <c r="BG4" i="90"/>
  <c r="AZ4" i="90"/>
  <c r="X5" i="90"/>
  <c r="AE6" i="90"/>
  <c r="AZ7" i="90"/>
  <c r="AZ9" i="90"/>
  <c r="AL6" i="90"/>
  <c r="AE4" i="90"/>
  <c r="AE9" i="90"/>
  <c r="BG6" i="90"/>
  <c r="X9" i="90"/>
  <c r="AZ8" i="90"/>
  <c r="AS7" i="90"/>
  <c r="AE7" i="90"/>
  <c r="AS6" i="90"/>
  <c r="BG7" i="90"/>
  <c r="AZ6" i="90"/>
  <c r="AS5" i="90"/>
  <c r="AL7" i="90"/>
  <c r="BG8" i="90"/>
  <c r="X6" i="90"/>
  <c r="AS8" i="90"/>
  <c r="AS4" i="90"/>
  <c r="AL4" i="90"/>
  <c r="Q5" i="90"/>
  <c r="Q4" i="90"/>
  <c r="X8" i="90"/>
  <c r="AL8" i="90"/>
  <c r="BG9" i="90"/>
  <c r="AS9" i="90"/>
  <c r="AL9" i="90"/>
  <c r="AL5" i="90"/>
  <c r="Q9" i="90"/>
  <c r="CF4" i="90"/>
  <c r="AP4" i="90"/>
  <c r="BY5" i="90"/>
  <c r="BK7" i="90"/>
  <c r="BD7" i="90"/>
  <c r="AW7" i="90"/>
  <c r="AW4" i="90"/>
  <c r="BY7" i="90"/>
  <c r="BD9" i="90"/>
  <c r="AP5" i="90"/>
  <c r="AI5" i="90"/>
  <c r="CF7" i="90"/>
  <c r="BR7" i="90"/>
  <c r="BK9" i="90"/>
  <c r="CF9" i="90"/>
  <c r="BY9" i="90"/>
  <c r="BR9" i="90"/>
  <c r="BK5" i="90"/>
  <c r="AW9" i="90"/>
  <c r="AP7" i="90"/>
  <c r="AI7" i="90"/>
  <c r="BY4" i="90"/>
  <c r="AP9" i="90"/>
  <c r="AI9" i="90"/>
  <c r="BY6" i="90"/>
  <c r="AW8" i="90"/>
  <c r="AW5" i="90"/>
  <c r="AI4" i="90"/>
  <c r="BD5" i="90"/>
  <c r="BD4" i="90"/>
  <c r="AI6" i="90"/>
  <c r="CF8" i="90"/>
  <c r="BR5" i="90"/>
  <c r="BD6" i="90"/>
  <c r="BK6" i="90"/>
  <c r="BY8" i="90"/>
  <c r="AP8" i="90"/>
  <c r="BR4" i="90"/>
  <c r="AI8" i="90"/>
  <c r="CF6" i="90"/>
  <c r="AW6" i="90"/>
  <c r="BK8" i="90"/>
  <c r="CF5" i="90"/>
  <c r="BR8" i="90"/>
  <c r="BK4" i="90"/>
  <c r="AP6" i="90"/>
  <c r="BD8" i="90"/>
  <c r="BR6" i="90"/>
  <c r="V19" i="89"/>
  <c r="S48" i="89"/>
  <c r="S68" i="89" s="1"/>
  <c r="S73" i="89" s="1"/>
  <c r="U46" i="78"/>
  <c r="V46" i="78" s="1"/>
  <c r="U48" i="78"/>
  <c r="U68" i="78" s="1"/>
  <c r="S48" i="78"/>
  <c r="S68" i="78" s="1"/>
  <c r="S73" i="78" s="1"/>
  <c r="S46" i="78"/>
  <c r="M46" i="78"/>
  <c r="G78" i="90"/>
  <c r="O48" i="78"/>
  <c r="O68" i="78" s="1"/>
  <c r="O73" i="78" s="1"/>
  <c r="K46" i="78"/>
  <c r="V37" i="90"/>
  <c r="W42" i="89"/>
  <c r="W46" i="89" s="1"/>
  <c r="X46" i="89" s="1"/>
  <c r="CB42" i="90"/>
  <c r="BU42" i="90"/>
  <c r="Q48" i="78"/>
  <c r="Q68" i="78" s="1"/>
  <c r="Q73" i="78" s="1"/>
  <c r="I42" i="78"/>
  <c r="I46" i="78" s="1"/>
  <c r="T78" i="90"/>
  <c r="C49" i="78"/>
  <c r="D17" i="78"/>
  <c r="BW50" i="90"/>
  <c r="BV49" i="90"/>
  <c r="BX50" i="90"/>
  <c r="C42" i="78"/>
  <c r="BO49" i="90"/>
  <c r="BQ50" i="90"/>
  <c r="BR50" i="90" s="1"/>
  <c r="BP50" i="90"/>
  <c r="CG52" i="90"/>
  <c r="BZ52" i="90"/>
  <c r="BY52" i="90"/>
  <c r="Z19" i="89"/>
  <c r="Y42" i="89"/>
  <c r="CF60" i="90"/>
  <c r="CF47" i="90"/>
  <c r="CF70" i="90"/>
  <c r="BY47" i="90"/>
  <c r="CF59" i="90"/>
  <c r="CF71" i="90"/>
  <c r="CF66" i="90"/>
  <c r="CF26" i="90"/>
  <c r="CF35" i="90"/>
  <c r="BY66" i="90"/>
  <c r="CF29" i="90"/>
  <c r="BY41" i="90"/>
  <c r="CF52" i="90"/>
  <c r="CF16" i="90"/>
  <c r="CF61" i="90"/>
  <c r="BY39" i="90"/>
  <c r="BY58" i="90"/>
  <c r="CF55" i="90"/>
  <c r="CF11" i="90"/>
  <c r="CF39" i="90"/>
  <c r="CF34" i="90"/>
  <c r="BY56" i="90"/>
  <c r="CF72" i="90"/>
  <c r="BY70" i="90"/>
  <c r="CF22" i="90"/>
  <c r="CF23" i="90"/>
  <c r="BY59" i="90"/>
  <c r="CF69" i="90"/>
  <c r="BY11" i="90"/>
  <c r="CF64" i="90"/>
  <c r="BY61" i="90"/>
  <c r="BY71" i="90"/>
  <c r="BY60" i="90"/>
  <c r="CF41" i="90"/>
  <c r="BY72" i="90"/>
  <c r="BY44" i="90"/>
  <c r="CF38" i="90"/>
  <c r="CF40" i="90"/>
  <c r="CF62" i="90"/>
  <c r="CF36" i="90"/>
  <c r="BY23" i="90"/>
  <c r="BY51" i="90"/>
  <c r="BY28" i="90"/>
  <c r="BY38" i="90"/>
  <c r="CF53" i="90"/>
  <c r="CF33" i="90"/>
  <c r="CF67" i="90"/>
  <c r="CF44" i="90"/>
  <c r="CF58" i="90"/>
  <c r="CF63" i="90"/>
  <c r="BY14" i="90"/>
  <c r="BY69" i="90"/>
  <c r="BY63" i="90"/>
  <c r="CF15" i="90"/>
  <c r="BY67" i="90"/>
  <c r="CF21" i="90"/>
  <c r="BY21" i="90"/>
  <c r="CF14" i="90"/>
  <c r="CF28" i="90"/>
  <c r="BY26" i="90"/>
  <c r="CF56" i="90"/>
  <c r="BY64" i="90"/>
  <c r="CF37" i="90"/>
  <c r="CF43" i="90"/>
  <c r="BY15" i="90"/>
  <c r="CF32" i="90"/>
  <c r="CF20" i="90"/>
  <c r="BY54" i="90"/>
  <c r="CF54" i="90"/>
  <c r="CF25" i="90"/>
  <c r="CF31" i="90"/>
  <c r="BY40" i="90"/>
  <c r="CF30" i="90"/>
  <c r="CF27" i="90"/>
  <c r="BY62" i="90"/>
  <c r="CF12" i="90"/>
  <c r="CF45" i="90"/>
  <c r="CF51" i="90"/>
  <c r="BY33" i="90"/>
  <c r="BY32" i="90"/>
  <c r="CF49" i="90"/>
  <c r="CF57" i="90"/>
  <c r="BY53" i="90"/>
  <c r="BY57" i="90"/>
  <c r="BY25" i="90"/>
  <c r="BY45" i="90"/>
  <c r="BY29" i="90"/>
  <c r="BY30" i="90"/>
  <c r="BY22" i="90"/>
  <c r="BY16" i="90"/>
  <c r="BY37" i="90"/>
  <c r="BY12" i="90"/>
  <c r="BY35" i="90"/>
  <c r="BY43" i="90"/>
  <c r="CF50" i="90"/>
  <c r="BY36" i="90"/>
  <c r="BY34" i="90"/>
  <c r="BY27" i="90"/>
  <c r="BY31" i="90"/>
  <c r="BY55" i="90"/>
  <c r="BY20" i="90"/>
  <c r="C13" i="90"/>
  <c r="C19" i="90" s="1"/>
  <c r="BW65" i="90"/>
  <c r="BP65" i="90"/>
  <c r="BY65" i="90"/>
  <c r="BR65" i="90"/>
  <c r="CD65" i="90"/>
  <c r="CF65" i="90"/>
  <c r="BP19" i="90"/>
  <c r="BP42" i="90" s="1"/>
  <c r="BO42" i="90"/>
  <c r="BQ19" i="90"/>
  <c r="BR19" i="90" s="1"/>
  <c r="CD19" i="90"/>
  <c r="CD42" i="90" s="1"/>
  <c r="CC42" i="90"/>
  <c r="CE19" i="90"/>
  <c r="CB12" i="90"/>
  <c r="CB13" i="90" s="1"/>
  <c r="BN12" i="90"/>
  <c r="BN13" i="90" s="1"/>
  <c r="BU12" i="90"/>
  <c r="BU13" i="90" s="1"/>
  <c r="CG17" i="90"/>
  <c r="CF17" i="90"/>
  <c r="W49" i="89"/>
  <c r="X49" i="89" s="1"/>
  <c r="X50" i="89"/>
  <c r="U49" i="89"/>
  <c r="V49" i="89" s="1"/>
  <c r="V50" i="89"/>
  <c r="BW19" i="90"/>
  <c r="BW42" i="90" s="1"/>
  <c r="BV42" i="90"/>
  <c r="BX19" i="90"/>
  <c r="O37" i="90"/>
  <c r="BY17" i="90"/>
  <c r="BZ17" i="90"/>
  <c r="Y49" i="89"/>
  <c r="Z49" i="89" s="1"/>
  <c r="Z50" i="89"/>
  <c r="Y68" i="78"/>
  <c r="Z48" i="78"/>
  <c r="U46" i="89"/>
  <c r="V46" i="89" s="1"/>
  <c r="V42" i="89"/>
  <c r="U48" i="89"/>
  <c r="V42" i="78"/>
  <c r="W46" i="78"/>
  <c r="X46" i="78" s="1"/>
  <c r="X42" i="78"/>
  <c r="W48" i="78"/>
  <c r="BK38" i="90"/>
  <c r="BR47" i="90"/>
  <c r="BR40" i="90"/>
  <c r="BR32" i="90"/>
  <c r="BR37" i="90"/>
  <c r="BR54" i="90"/>
  <c r="BR29" i="90"/>
  <c r="BR61" i="90"/>
  <c r="BR23" i="90"/>
  <c r="BR21" i="90"/>
  <c r="BR16" i="90"/>
  <c r="BR59" i="90"/>
  <c r="BR58" i="90"/>
  <c r="BR34" i="90"/>
  <c r="BR56" i="90"/>
  <c r="BR31" i="90"/>
  <c r="BR41" i="90"/>
  <c r="BR53" i="90"/>
  <c r="BR63" i="90"/>
  <c r="BR60" i="90"/>
  <c r="BR71" i="90"/>
  <c r="BR69" i="90"/>
  <c r="BR66" i="90"/>
  <c r="BR64" i="90"/>
  <c r="BR17" i="90"/>
  <c r="BR44" i="90"/>
  <c r="BR39" i="90"/>
  <c r="BR72" i="90"/>
  <c r="BR52" i="90"/>
  <c r="BR26" i="90"/>
  <c r="BR36" i="90"/>
  <c r="BR27" i="90"/>
  <c r="BR25" i="90"/>
  <c r="BR70" i="90"/>
  <c r="BR55" i="90"/>
  <c r="BR28" i="90"/>
  <c r="BR33" i="90"/>
  <c r="BR30" i="90"/>
  <c r="BR35" i="90"/>
  <c r="BR38" i="90"/>
  <c r="BR45" i="90"/>
  <c r="BR14" i="90"/>
  <c r="BR43" i="90"/>
  <c r="BR12" i="90"/>
  <c r="BR11" i="90"/>
  <c r="BR15" i="90"/>
  <c r="BS10" i="90"/>
  <c r="BR67" i="90"/>
  <c r="BR51" i="90"/>
  <c r="BR22" i="90"/>
  <c r="BR57" i="90"/>
  <c r="BR62" i="90"/>
  <c r="BR20" i="90"/>
  <c r="BN42" i="90"/>
  <c r="C49" i="89"/>
  <c r="D49" i="89" s="1"/>
  <c r="BL30" i="90"/>
  <c r="C42" i="89"/>
  <c r="C48" i="89" s="1"/>
  <c r="C68" i="89" s="1"/>
  <c r="C73" i="89" s="1"/>
  <c r="BE45" i="90"/>
  <c r="BE30" i="90"/>
  <c r="AX21" i="90"/>
  <c r="BL36" i="90"/>
  <c r="BE29" i="90"/>
  <c r="G62" i="90"/>
  <c r="O17" i="90"/>
  <c r="AX31" i="90"/>
  <c r="O28" i="90"/>
  <c r="AX33" i="90"/>
  <c r="BL23" i="90"/>
  <c r="BL35" i="90"/>
  <c r="AX34" i="90"/>
  <c r="BL16" i="90"/>
  <c r="AX12" i="90"/>
  <c r="BE33" i="90"/>
  <c r="O29" i="90"/>
  <c r="BE34" i="90"/>
  <c r="BL33" i="90"/>
  <c r="AX30" i="90"/>
  <c r="AX26" i="90"/>
  <c r="AQ33" i="90"/>
  <c r="BE26" i="90"/>
  <c r="AX27" i="90"/>
  <c r="BE12" i="90"/>
  <c r="V22" i="90"/>
  <c r="BL31" i="90"/>
  <c r="O27" i="90"/>
  <c r="BE25" i="90"/>
  <c r="Y49" i="90"/>
  <c r="Z49" i="90" s="1"/>
  <c r="BE31" i="90"/>
  <c r="AQ26" i="90"/>
  <c r="BL27" i="90"/>
  <c r="AX28" i="90"/>
  <c r="BE16" i="90"/>
  <c r="BE53" i="90"/>
  <c r="AX53" i="90"/>
  <c r="O31" i="90"/>
  <c r="BL28" i="90"/>
  <c r="O33" i="90"/>
  <c r="BE37" i="90"/>
  <c r="BL29" i="90"/>
  <c r="AQ53" i="90"/>
  <c r="BL53" i="90"/>
  <c r="T19" i="89"/>
  <c r="O22" i="90"/>
  <c r="AX22" i="90"/>
  <c r="BL34" i="90"/>
  <c r="AX36" i="90"/>
  <c r="BL21" i="90"/>
  <c r="R19" i="89"/>
  <c r="N19" i="89"/>
  <c r="AX37" i="90"/>
  <c r="AX35" i="90"/>
  <c r="BE35" i="90"/>
  <c r="AX16" i="90"/>
  <c r="BE21" i="90"/>
  <c r="AX23" i="90"/>
  <c r="AX17" i="90"/>
  <c r="BA42" i="90"/>
  <c r="BA46" i="90" s="1"/>
  <c r="BB46" i="90" s="1"/>
  <c r="AO20" i="90"/>
  <c r="AP20" i="90" s="1"/>
  <c r="BL45" i="90"/>
  <c r="O56" i="90"/>
  <c r="BE17" i="90"/>
  <c r="AT48" i="90"/>
  <c r="AT68" i="90" s="1"/>
  <c r="BE32" i="90"/>
  <c r="BL32" i="90"/>
  <c r="BL12" i="90"/>
  <c r="O64" i="90"/>
  <c r="O36" i="90"/>
  <c r="AX25" i="90"/>
  <c r="AX32" i="90"/>
  <c r="AX29" i="90"/>
  <c r="BE23" i="90"/>
  <c r="V34" i="90"/>
  <c r="BL22" i="90"/>
  <c r="BL37" i="90"/>
  <c r="BL25" i="90"/>
  <c r="AW32" i="90"/>
  <c r="AC37" i="90"/>
  <c r="BE28" i="90"/>
  <c r="O34" i="90"/>
  <c r="BH42" i="90"/>
  <c r="BH48" i="90" s="1"/>
  <c r="BE36" i="90"/>
  <c r="BE22" i="90"/>
  <c r="V35" i="90"/>
  <c r="Y42" i="90"/>
  <c r="CL22" i="90"/>
  <c r="AM42" i="90"/>
  <c r="AM48" i="90" s="1"/>
  <c r="AN48" i="90" s="1"/>
  <c r="BE27" i="90"/>
  <c r="CL29" i="90"/>
  <c r="CL37" i="90"/>
  <c r="AQ37" i="90"/>
  <c r="V29" i="90"/>
  <c r="L48" i="89"/>
  <c r="F65" i="90"/>
  <c r="BE52" i="90"/>
  <c r="AO50" i="90"/>
  <c r="AP50" i="90" s="1"/>
  <c r="O32" i="90"/>
  <c r="F24" i="90"/>
  <c r="J19" i="89"/>
  <c r="BB50" i="90"/>
  <c r="BA49" i="90"/>
  <c r="BB49" i="90" s="1"/>
  <c r="P19" i="89"/>
  <c r="N50" i="89"/>
  <c r="N49" i="89"/>
  <c r="F23" i="89"/>
  <c r="BC50" i="90"/>
  <c r="BL50" i="90" s="1"/>
  <c r="AX52" i="90"/>
  <c r="AN50" i="90"/>
  <c r="AM49" i="90"/>
  <c r="AN49" i="90" s="1"/>
  <c r="T49" i="89"/>
  <c r="T50" i="89"/>
  <c r="F33" i="90"/>
  <c r="L65" i="90"/>
  <c r="P50" i="89"/>
  <c r="P49" i="89"/>
  <c r="J49" i="89"/>
  <c r="J50" i="89"/>
  <c r="BI50" i="90"/>
  <c r="BH49" i="90"/>
  <c r="BI49" i="90" s="1"/>
  <c r="AU49" i="90"/>
  <c r="AU50" i="90"/>
  <c r="R50" i="89"/>
  <c r="R49" i="89"/>
  <c r="AC34" i="90"/>
  <c r="D72" i="90"/>
  <c r="AQ45" i="90"/>
  <c r="AJ45" i="90"/>
  <c r="AZ50" i="90"/>
  <c r="O30" i="90"/>
  <c r="AY49" i="90"/>
  <c r="O53" i="90"/>
  <c r="AL50" i="90"/>
  <c r="AK49" i="90"/>
  <c r="BK51" i="90"/>
  <c r="BK23" i="90"/>
  <c r="AV50" i="90"/>
  <c r="AH50" i="90"/>
  <c r="BJ43" i="90"/>
  <c r="AE50" i="90"/>
  <c r="AS50" i="90"/>
  <c r="AZ43" i="90"/>
  <c r="BK62" i="90"/>
  <c r="BK55" i="90"/>
  <c r="AI45" i="90"/>
  <c r="BJ20" i="90"/>
  <c r="BK61" i="90"/>
  <c r="AI43" i="90"/>
  <c r="AI41" i="90"/>
  <c r="AI63" i="90"/>
  <c r="AI62" i="90"/>
  <c r="AX45" i="90"/>
  <c r="AL20" i="90"/>
  <c r="BK14" i="90"/>
  <c r="BK11" i="90"/>
  <c r="BK32" i="90"/>
  <c r="BC20" i="90"/>
  <c r="BD20" i="90" s="1"/>
  <c r="N13" i="78"/>
  <c r="N42" i="78"/>
  <c r="AV43" i="90"/>
  <c r="AX43" i="90" s="1"/>
  <c r="BK21" i="90"/>
  <c r="BK45" i="90"/>
  <c r="CL26" i="90"/>
  <c r="O26" i="90"/>
  <c r="V36" i="90"/>
  <c r="AC36" i="90"/>
  <c r="V26" i="90"/>
  <c r="V31" i="90"/>
  <c r="AC31" i="90"/>
  <c r="V30" i="90"/>
  <c r="AC30" i="90"/>
  <c r="CL27" i="90"/>
  <c r="V27" i="90"/>
  <c r="AC27" i="90"/>
  <c r="AH20" i="90"/>
  <c r="AI20" i="90" s="1"/>
  <c r="CL33" i="90"/>
  <c r="V33" i="90"/>
  <c r="AC33" i="90"/>
  <c r="O25" i="90"/>
  <c r="AV20" i="90"/>
  <c r="V28" i="90"/>
  <c r="AC28" i="90"/>
  <c r="CL35" i="90"/>
  <c r="O35" i="90"/>
  <c r="V25" i="90"/>
  <c r="BK67" i="90"/>
  <c r="BK15" i="90"/>
  <c r="AI21" i="90"/>
  <c r="AI58" i="90"/>
  <c r="BK64" i="90"/>
  <c r="AI44" i="90"/>
  <c r="BK52" i="90"/>
  <c r="BD63" i="90"/>
  <c r="BD17" i="90"/>
  <c r="AI16" i="90"/>
  <c r="AI51" i="90"/>
  <c r="BD67" i="90"/>
  <c r="AI40" i="90"/>
  <c r="AI67" i="90"/>
  <c r="BD56" i="90"/>
  <c r="AI65" i="90"/>
  <c r="BK40" i="90"/>
  <c r="BD54" i="90"/>
  <c r="AB16" i="90"/>
  <c r="AW14" i="90"/>
  <c r="AW67" i="90"/>
  <c r="AW63" i="90"/>
  <c r="BD58" i="90"/>
  <c r="AW55" i="90"/>
  <c r="AW61" i="90"/>
  <c r="AB40" i="90"/>
  <c r="AA50" i="90"/>
  <c r="AB50" i="90" s="1"/>
  <c r="BD61" i="90"/>
  <c r="BD55" i="90"/>
  <c r="BD53" i="90"/>
  <c r="AW52" i="90"/>
  <c r="O38" i="90"/>
  <c r="AB69" i="90"/>
  <c r="BD21" i="90"/>
  <c r="AW23" i="90"/>
  <c r="AB57" i="90"/>
  <c r="AQ65" i="90"/>
  <c r="AI72" i="90"/>
  <c r="AW51" i="90"/>
  <c r="AX62" i="90"/>
  <c r="AW62" i="90"/>
  <c r="J13" i="78"/>
  <c r="AJ69" i="90"/>
  <c r="AI69" i="90"/>
  <c r="AX69" i="90"/>
  <c r="AW69" i="90"/>
  <c r="BD57" i="90"/>
  <c r="BE57" i="90"/>
  <c r="BD43" i="90"/>
  <c r="P13" i="78"/>
  <c r="AQ43" i="90"/>
  <c r="AP43" i="90"/>
  <c r="AO13" i="90"/>
  <c r="AK19" i="90"/>
  <c r="BF19" i="90"/>
  <c r="BJ13" i="90"/>
  <c r="BS13" i="90" s="1"/>
  <c r="AW38" i="90"/>
  <c r="AJ53" i="90"/>
  <c r="AB53" i="90"/>
  <c r="BL57" i="90"/>
  <c r="BK57" i="90"/>
  <c r="AX72" i="90"/>
  <c r="AW72" i="90"/>
  <c r="AE49" i="90"/>
  <c r="AH49" i="90"/>
  <c r="AI49" i="90" s="1"/>
  <c r="O55" i="90"/>
  <c r="BC13" i="90"/>
  <c r="AY19" i="90"/>
  <c r="AW40" i="90"/>
  <c r="W19" i="90"/>
  <c r="AA13" i="90"/>
  <c r="AP57" i="90"/>
  <c r="AQ57" i="90"/>
  <c r="T13" i="78"/>
  <c r="BK63" i="90"/>
  <c r="BK47" i="90"/>
  <c r="BK22" i="90"/>
  <c r="BK71" i="90"/>
  <c r="BK16" i="90"/>
  <c r="BL10" i="90"/>
  <c r="BK70" i="90"/>
  <c r="BK56" i="90"/>
  <c r="BK44" i="90"/>
  <c r="BK25" i="90"/>
  <c r="BK31" i="90"/>
  <c r="BK60" i="90"/>
  <c r="BK29" i="90"/>
  <c r="BK30" i="90"/>
  <c r="BK66" i="90"/>
  <c r="BK28" i="90"/>
  <c r="BK27" i="90"/>
  <c r="BK37" i="90"/>
  <c r="BK26" i="90"/>
  <c r="BK36" i="90"/>
  <c r="BK35" i="90"/>
  <c r="BK59" i="90"/>
  <c r="BK34" i="90"/>
  <c r="BK33" i="90"/>
  <c r="BK12" i="90"/>
  <c r="AJ72" i="90"/>
  <c r="AB72" i="90"/>
  <c r="BK17" i="90"/>
  <c r="AJ38" i="90"/>
  <c r="AB38" i="90"/>
  <c r="O9" i="90"/>
  <c r="AQ62" i="90"/>
  <c r="AP62" i="90"/>
  <c r="AV13" i="90"/>
  <c r="AR19" i="90"/>
  <c r="BK69" i="90"/>
  <c r="BL69" i="90"/>
  <c r="AW58" i="90"/>
  <c r="AW17" i="90"/>
  <c r="BD32" i="90"/>
  <c r="AJ11" i="90"/>
  <c r="AB11" i="90"/>
  <c r="AJ55" i="90"/>
  <c r="AB55" i="90"/>
  <c r="J50" i="78"/>
  <c r="J49" i="78"/>
  <c r="AJ57" i="90"/>
  <c r="AI57" i="90"/>
  <c r="BL62" i="90"/>
  <c r="BE62" i="90"/>
  <c r="BD62" i="90"/>
  <c r="X43" i="90"/>
  <c r="AA43" i="90"/>
  <c r="AW57" i="90"/>
  <c r="AX57" i="90"/>
  <c r="AJ32" i="90"/>
  <c r="AB32" i="90"/>
  <c r="AJ54" i="90"/>
  <c r="AB54" i="90"/>
  <c r="AW64" i="90"/>
  <c r="AJ10" i="90"/>
  <c r="AB36" i="90"/>
  <c r="AB35" i="90"/>
  <c r="AB8" i="90"/>
  <c r="AB34" i="90"/>
  <c r="AB59" i="90"/>
  <c r="AB7" i="90"/>
  <c r="AB70" i="90"/>
  <c r="AB29" i="90"/>
  <c r="AB15" i="90"/>
  <c r="AB37" i="90"/>
  <c r="AB6" i="90"/>
  <c r="AB25" i="90"/>
  <c r="AB28" i="90"/>
  <c r="AB27" i="90"/>
  <c r="AB63" i="90"/>
  <c r="AB9" i="90"/>
  <c r="AB26" i="90"/>
  <c r="AB4" i="90"/>
  <c r="AB31" i="90"/>
  <c r="AB61" i="90"/>
  <c r="AB41" i="90"/>
  <c r="AB66" i="90"/>
  <c r="AB60" i="90"/>
  <c r="AB44" i="90"/>
  <c r="AB22" i="90"/>
  <c r="AB5" i="90"/>
  <c r="AB17" i="90"/>
  <c r="AB71" i="90"/>
  <c r="AB47" i="90"/>
  <c r="AB33" i="90"/>
  <c r="AB30" i="90"/>
  <c r="AB12" i="90"/>
  <c r="AB51" i="90"/>
  <c r="AP23" i="90"/>
  <c r="AP29" i="90"/>
  <c r="AP66" i="90"/>
  <c r="AP36" i="90"/>
  <c r="AP60" i="90"/>
  <c r="AP39" i="90"/>
  <c r="AP15" i="90"/>
  <c r="AP25" i="90"/>
  <c r="AP59" i="90"/>
  <c r="AP71" i="90"/>
  <c r="AP11" i="90"/>
  <c r="AP34" i="90"/>
  <c r="AP53" i="90"/>
  <c r="AP30" i="90"/>
  <c r="AP14" i="90"/>
  <c r="AP37" i="90"/>
  <c r="AP56" i="90"/>
  <c r="AP63" i="90"/>
  <c r="AP44" i="90"/>
  <c r="AP70" i="90"/>
  <c r="AP64" i="90"/>
  <c r="AP38" i="90"/>
  <c r="AP54" i="90"/>
  <c r="AP52" i="90"/>
  <c r="AP61" i="90"/>
  <c r="AP51" i="90"/>
  <c r="AP47" i="90"/>
  <c r="AQ10" i="90"/>
  <c r="AP31" i="90"/>
  <c r="AP35" i="90"/>
  <c r="AP28" i="90"/>
  <c r="AP67" i="90"/>
  <c r="AP40" i="90"/>
  <c r="AP22" i="90"/>
  <c r="AP26" i="90"/>
  <c r="AP21" i="90"/>
  <c r="AP32" i="90"/>
  <c r="AP16" i="90"/>
  <c r="AP58" i="90"/>
  <c r="AP33" i="90"/>
  <c r="AP41" i="90"/>
  <c r="AP17" i="90"/>
  <c r="AP12" i="90"/>
  <c r="AP55" i="90"/>
  <c r="AP27" i="90"/>
  <c r="L13" i="78"/>
  <c r="AB45" i="90"/>
  <c r="BK54" i="90"/>
  <c r="AW39" i="90"/>
  <c r="BD41" i="90"/>
  <c r="AW54" i="90"/>
  <c r="AW56" i="90"/>
  <c r="AA20" i="90"/>
  <c r="AB20" i="90" s="1"/>
  <c r="X20" i="90"/>
  <c r="AW36" i="90"/>
  <c r="AW12" i="90"/>
  <c r="AW35" i="90"/>
  <c r="AX10" i="90"/>
  <c r="AW33" i="90"/>
  <c r="AW16" i="90"/>
  <c r="AW30" i="90"/>
  <c r="AW31" i="90"/>
  <c r="AW29" i="90"/>
  <c r="AW27" i="90"/>
  <c r="AW60" i="90"/>
  <c r="AW59" i="90"/>
  <c r="AW70" i="90"/>
  <c r="AW26" i="90"/>
  <c r="AW47" i="90"/>
  <c r="AW66" i="90"/>
  <c r="AW34" i="90"/>
  <c r="AW37" i="90"/>
  <c r="AW22" i="90"/>
  <c r="AW28" i="90"/>
  <c r="AW25" i="90"/>
  <c r="AW71" i="90"/>
  <c r="O61" i="90"/>
  <c r="AJ14" i="90"/>
  <c r="AB14" i="90"/>
  <c r="BD14" i="90"/>
  <c r="BD60" i="90"/>
  <c r="BD35" i="90"/>
  <c r="BD12" i="90"/>
  <c r="BD30" i="90"/>
  <c r="BD16" i="90"/>
  <c r="BD59" i="90"/>
  <c r="BD66" i="90"/>
  <c r="BD34" i="90"/>
  <c r="BD27" i="90"/>
  <c r="BD22" i="90"/>
  <c r="BD38" i="90"/>
  <c r="BD71" i="90"/>
  <c r="BD26" i="90"/>
  <c r="BD28" i="90"/>
  <c r="BD37" i="90"/>
  <c r="BD44" i="90"/>
  <c r="BD25" i="90"/>
  <c r="BD36" i="90"/>
  <c r="BD29" i="90"/>
  <c r="BE10" i="90"/>
  <c r="BD47" i="90"/>
  <c r="BD15" i="90"/>
  <c r="BD33" i="90"/>
  <c r="BD70" i="90"/>
  <c r="BD31" i="90"/>
  <c r="BD40" i="90"/>
  <c r="BD39" i="90"/>
  <c r="AW53" i="90"/>
  <c r="X62" i="90"/>
  <c r="AA62" i="90"/>
  <c r="AX65" i="90"/>
  <c r="BE65" i="90"/>
  <c r="BK58" i="90"/>
  <c r="BD45" i="90"/>
  <c r="BK41" i="90"/>
  <c r="BL72" i="90"/>
  <c r="BK72" i="90"/>
  <c r="AJ52" i="90"/>
  <c r="AB52" i="90"/>
  <c r="AB21" i="90"/>
  <c r="AJ64" i="90"/>
  <c r="AB64" i="90"/>
  <c r="AQ72" i="90"/>
  <c r="AP72" i="90"/>
  <c r="AQ69" i="90"/>
  <c r="AP69" i="90"/>
  <c r="BD69" i="90"/>
  <c r="BD51" i="90"/>
  <c r="AA65" i="90"/>
  <c r="AC65" i="90" s="1"/>
  <c r="X65" i="90"/>
  <c r="AW41" i="90"/>
  <c r="O6" i="90"/>
  <c r="O4" i="90"/>
  <c r="X50" i="90"/>
  <c r="AS49" i="90"/>
  <c r="R13" i="78"/>
  <c r="BD23" i="90"/>
  <c r="BG49" i="90"/>
  <c r="AW11" i="90"/>
  <c r="AW21" i="90"/>
  <c r="BD52" i="90"/>
  <c r="BE72" i="90"/>
  <c r="BD72" i="90"/>
  <c r="BK39" i="90"/>
  <c r="AD19" i="90"/>
  <c r="AH13" i="90"/>
  <c r="AJ23" i="90"/>
  <c r="AB23" i="90"/>
  <c r="BE69" i="90"/>
  <c r="AB56" i="90"/>
  <c r="AJ56" i="90"/>
  <c r="AB67" i="90"/>
  <c r="AP45" i="90"/>
  <c r="O58" i="90"/>
  <c r="BK50" i="90"/>
  <c r="O63" i="90"/>
  <c r="BL65" i="90"/>
  <c r="AI56" i="90"/>
  <c r="AI64" i="90"/>
  <c r="AI34" i="90"/>
  <c r="AI37" i="90"/>
  <c r="AI33" i="90"/>
  <c r="AI27" i="90"/>
  <c r="AI70" i="90"/>
  <c r="AI26" i="90"/>
  <c r="AI38" i="90"/>
  <c r="AI23" i="90"/>
  <c r="AI15" i="90"/>
  <c r="AI60" i="90"/>
  <c r="AI29" i="90"/>
  <c r="AI14" i="90"/>
  <c r="AI35" i="90"/>
  <c r="AI36" i="90"/>
  <c r="AI17" i="90"/>
  <c r="AI22" i="90"/>
  <c r="AI66" i="90"/>
  <c r="AI47" i="90"/>
  <c r="AI11" i="90"/>
  <c r="AI55" i="90"/>
  <c r="AI71" i="90"/>
  <c r="AI31" i="90"/>
  <c r="AI30" i="90"/>
  <c r="AI59" i="90"/>
  <c r="AI53" i="90"/>
  <c r="AI28" i="90"/>
  <c r="AI25" i="90"/>
  <c r="AI32" i="90"/>
  <c r="AI52" i="90"/>
  <c r="AI39" i="90"/>
  <c r="AI54" i="90"/>
  <c r="AI12" i="90"/>
  <c r="AJ40" i="90"/>
  <c r="AJ39" i="90"/>
  <c r="AB39" i="90"/>
  <c r="AW45" i="90"/>
  <c r="BD11" i="90"/>
  <c r="BK53" i="90"/>
  <c r="AW44" i="90"/>
  <c r="AW15" i="90"/>
  <c r="AB58" i="90"/>
  <c r="O67" i="90"/>
  <c r="O72" i="90"/>
  <c r="O24" i="90"/>
  <c r="O45" i="90"/>
  <c r="O8" i="90"/>
  <c r="O5" i="90"/>
  <c r="O7" i="90"/>
  <c r="V69" i="90"/>
  <c r="AC69" i="90"/>
  <c r="V7" i="90"/>
  <c r="AC7" i="90"/>
  <c r="O14" i="90"/>
  <c r="V63" i="90"/>
  <c r="AC63" i="90"/>
  <c r="V21" i="90"/>
  <c r="AC21" i="90"/>
  <c r="V51" i="90"/>
  <c r="AC51" i="90"/>
  <c r="V64" i="90"/>
  <c r="AC64" i="90"/>
  <c r="V52" i="90"/>
  <c r="AC52" i="90"/>
  <c r="O52" i="90"/>
  <c r="V67" i="90"/>
  <c r="AC67" i="90"/>
  <c r="V9" i="90"/>
  <c r="AC9" i="90"/>
  <c r="V5" i="90"/>
  <c r="AC5" i="90"/>
  <c r="V14" i="90"/>
  <c r="AC14" i="90"/>
  <c r="V44" i="90"/>
  <c r="AC44" i="90"/>
  <c r="V23" i="90"/>
  <c r="AC23" i="90"/>
  <c r="V12" i="90"/>
  <c r="AC12" i="90"/>
  <c r="O69" i="90"/>
  <c r="V17" i="90"/>
  <c r="AC17" i="90"/>
  <c r="O54" i="90"/>
  <c r="V38" i="90"/>
  <c r="AC38" i="90"/>
  <c r="V45" i="90"/>
  <c r="AC45" i="90"/>
  <c r="V15" i="90"/>
  <c r="AC15" i="90"/>
  <c r="V61" i="90"/>
  <c r="AC61" i="90"/>
  <c r="V58" i="90"/>
  <c r="AC58" i="90"/>
  <c r="V8" i="90"/>
  <c r="AC8" i="90"/>
  <c r="V6" i="90"/>
  <c r="AC6" i="90"/>
  <c r="V54" i="90"/>
  <c r="AC54" i="90"/>
  <c r="V53" i="90"/>
  <c r="AC53" i="90"/>
  <c r="O12" i="90"/>
  <c r="H6" i="78"/>
  <c r="H37" i="78"/>
  <c r="V72" i="90"/>
  <c r="AC72" i="90"/>
  <c r="O40" i="90"/>
  <c r="O41" i="90"/>
  <c r="O23" i="90"/>
  <c r="V4" i="90"/>
  <c r="AC4" i="90"/>
  <c r="V41" i="90"/>
  <c r="AC41" i="90"/>
  <c r="AS12" i="90"/>
  <c r="AS13" i="90" s="1"/>
  <c r="AL12" i="90"/>
  <c r="AL13" i="90" s="1"/>
  <c r="BG12" i="90"/>
  <c r="BG13" i="90" s="1"/>
  <c r="AZ12" i="90"/>
  <c r="AZ13" i="90" s="1"/>
  <c r="AE12" i="90"/>
  <c r="AE13" i="90" s="1"/>
  <c r="V40" i="90"/>
  <c r="AC40" i="90"/>
  <c r="V39" i="90"/>
  <c r="AC39" i="90"/>
  <c r="V56" i="90"/>
  <c r="AC56" i="90"/>
  <c r="O16" i="90"/>
  <c r="O51" i="90"/>
  <c r="V32" i="90"/>
  <c r="AC32" i="90"/>
  <c r="O21" i="90"/>
  <c r="D22" i="90"/>
  <c r="AN65" i="90"/>
  <c r="AP65" i="90"/>
  <c r="BB65" i="90"/>
  <c r="AU65" i="90"/>
  <c r="BD65" i="90"/>
  <c r="BI65" i="90"/>
  <c r="BI19" i="90"/>
  <c r="BI42" i="90" s="1"/>
  <c r="BB19" i="90"/>
  <c r="BB42" i="90" s="1"/>
  <c r="AG19" i="90"/>
  <c r="AG42" i="90" s="1"/>
  <c r="AU19" i="90"/>
  <c r="AU42" i="90" s="1"/>
  <c r="AN19" i="90"/>
  <c r="AN42" i="90" s="1"/>
  <c r="BK65" i="90"/>
  <c r="AW65" i="90"/>
  <c r="V55" i="90"/>
  <c r="AC55" i="90"/>
  <c r="V16" i="90"/>
  <c r="AC16" i="90"/>
  <c r="O39" i="90"/>
  <c r="CL11" i="90"/>
  <c r="O11" i="90"/>
  <c r="O44" i="90"/>
  <c r="O15" i="90"/>
  <c r="D24" i="90"/>
  <c r="CJ43" i="90"/>
  <c r="CK43" i="90" s="1"/>
  <c r="AF73" i="90"/>
  <c r="AF80" i="90" s="1"/>
  <c r="AA53" i="78"/>
  <c r="Q51" i="90"/>
  <c r="X12" i="90"/>
  <c r="X13" i="90" s="1"/>
  <c r="D65" i="90"/>
  <c r="Z19" i="90"/>
  <c r="Z42" i="90" s="1"/>
  <c r="CL34" i="90"/>
  <c r="AA30" i="89"/>
  <c r="CL36" i="90"/>
  <c r="AA33" i="89"/>
  <c r="AA27" i="78"/>
  <c r="AA26" i="89"/>
  <c r="AA30" i="78"/>
  <c r="AA35" i="89"/>
  <c r="AA28" i="89"/>
  <c r="CL30" i="90"/>
  <c r="CL28" i="90"/>
  <c r="CL25" i="90"/>
  <c r="AA32" i="78"/>
  <c r="AA23" i="78"/>
  <c r="CL31" i="90"/>
  <c r="AA29" i="78"/>
  <c r="AA41" i="89"/>
  <c r="CL17" i="90"/>
  <c r="AA56" i="78"/>
  <c r="AA5" i="89"/>
  <c r="AA12" i="89"/>
  <c r="AA55" i="89"/>
  <c r="CL61" i="90"/>
  <c r="F50" i="89"/>
  <c r="E49" i="89"/>
  <c r="F49" i="89" s="1"/>
  <c r="F15" i="89"/>
  <c r="F15" i="90"/>
  <c r="AA8" i="89"/>
  <c r="AA61" i="89"/>
  <c r="M57" i="90"/>
  <c r="AA4" i="89"/>
  <c r="AB47" i="89" s="1"/>
  <c r="F45" i="89"/>
  <c r="CL56" i="90"/>
  <c r="CL54" i="90"/>
  <c r="L64" i="90"/>
  <c r="AA24" i="89"/>
  <c r="F34" i="89"/>
  <c r="F22" i="89"/>
  <c r="AA54" i="89"/>
  <c r="F43" i="89"/>
  <c r="L26" i="90"/>
  <c r="CL51" i="90"/>
  <c r="CL21" i="90"/>
  <c r="G49" i="89"/>
  <c r="H49" i="89" s="1"/>
  <c r="F55" i="89"/>
  <c r="F14" i="89"/>
  <c r="F36" i="89"/>
  <c r="AA11" i="78"/>
  <c r="F72" i="89"/>
  <c r="F58" i="89"/>
  <c r="F60" i="89"/>
  <c r="AA56" i="89"/>
  <c r="AA39" i="89"/>
  <c r="AA5" i="78"/>
  <c r="CL41" i="90"/>
  <c r="CL63" i="90"/>
  <c r="AA38" i="89"/>
  <c r="CL72" i="90"/>
  <c r="AA52" i="89"/>
  <c r="AA6" i="78"/>
  <c r="K49" i="90"/>
  <c r="L49" i="90" s="1"/>
  <c r="AA40" i="89"/>
  <c r="CJ57" i="90"/>
  <c r="F52" i="89"/>
  <c r="F61" i="89"/>
  <c r="F69" i="89"/>
  <c r="F44" i="89"/>
  <c r="F30" i="89"/>
  <c r="F57" i="89"/>
  <c r="T50" i="90"/>
  <c r="F32" i="89"/>
  <c r="F51" i="89"/>
  <c r="F29" i="89"/>
  <c r="F35" i="89"/>
  <c r="F56" i="89"/>
  <c r="F27" i="89"/>
  <c r="F16" i="89"/>
  <c r="F31" i="89"/>
  <c r="F71" i="89"/>
  <c r="M62" i="90"/>
  <c r="F66" i="89"/>
  <c r="F11" i="89"/>
  <c r="F21" i="89"/>
  <c r="F33" i="89"/>
  <c r="CL6" i="90"/>
  <c r="G57" i="90"/>
  <c r="F41" i="89"/>
  <c r="F64" i="89"/>
  <c r="F7" i="89"/>
  <c r="AA15" i="89"/>
  <c r="CL8" i="90"/>
  <c r="AA53" i="89"/>
  <c r="R49" i="90"/>
  <c r="S49" i="90" s="1"/>
  <c r="T20" i="90"/>
  <c r="F5" i="89"/>
  <c r="F37" i="89"/>
  <c r="F63" i="89"/>
  <c r="CL38" i="90"/>
  <c r="F8" i="89"/>
  <c r="AA17" i="89"/>
  <c r="AA9" i="89"/>
  <c r="F26" i="89"/>
  <c r="F53" i="89"/>
  <c r="CJ62" i="90"/>
  <c r="F59" i="89"/>
  <c r="F62" i="89"/>
  <c r="G50" i="90"/>
  <c r="T57" i="90"/>
  <c r="CL7" i="90"/>
  <c r="AA51" i="89"/>
  <c r="AA45" i="89"/>
  <c r="F43" i="90"/>
  <c r="AA51" i="78"/>
  <c r="S50" i="90"/>
  <c r="F20" i="90"/>
  <c r="F25" i="89"/>
  <c r="CJ20" i="90"/>
  <c r="L57" i="90"/>
  <c r="CL23" i="90"/>
  <c r="F45" i="90"/>
  <c r="F62" i="90"/>
  <c r="F39" i="89"/>
  <c r="F20" i="89"/>
  <c r="F9" i="89"/>
  <c r="F54" i="89"/>
  <c r="F4" i="89"/>
  <c r="F6" i="89"/>
  <c r="F40" i="89"/>
  <c r="F28" i="89"/>
  <c r="F24" i="89"/>
  <c r="E13" i="89"/>
  <c r="E19" i="89" s="1"/>
  <c r="F19" i="89" s="1"/>
  <c r="L56" i="90"/>
  <c r="AA11" i="89"/>
  <c r="AA72" i="89"/>
  <c r="F38" i="89"/>
  <c r="E49" i="90"/>
  <c r="F49" i="90" s="1"/>
  <c r="F17" i="89"/>
  <c r="F47" i="89"/>
  <c r="D50" i="89"/>
  <c r="AA23" i="89"/>
  <c r="S51" i="90"/>
  <c r="S15" i="90"/>
  <c r="L39" i="90"/>
  <c r="S11" i="90"/>
  <c r="L69" i="90"/>
  <c r="S37" i="90"/>
  <c r="AA69" i="89"/>
  <c r="S33" i="90"/>
  <c r="CK45" i="90"/>
  <c r="L16" i="90"/>
  <c r="L41" i="90"/>
  <c r="S59" i="90"/>
  <c r="CL44" i="90"/>
  <c r="AA16" i="89"/>
  <c r="L58" i="90"/>
  <c r="S60" i="90"/>
  <c r="L20" i="90"/>
  <c r="L53" i="90"/>
  <c r="S30" i="90"/>
  <c r="L67" i="90"/>
  <c r="CL64" i="90"/>
  <c r="L4" i="90"/>
  <c r="G43" i="90"/>
  <c r="T62" i="90"/>
  <c r="L29" i="90"/>
  <c r="L14" i="90"/>
  <c r="L33" i="90"/>
  <c r="S55" i="90"/>
  <c r="CK44" i="90"/>
  <c r="L62" i="90"/>
  <c r="L43" i="90"/>
  <c r="H11" i="89"/>
  <c r="L72" i="90"/>
  <c r="L54" i="90"/>
  <c r="F50" i="90"/>
  <c r="F12" i="89"/>
  <c r="F67" i="89"/>
  <c r="S54" i="90"/>
  <c r="S20" i="90"/>
  <c r="L38" i="90"/>
  <c r="H20" i="89"/>
  <c r="F57" i="90"/>
  <c r="S44" i="90"/>
  <c r="S21" i="90"/>
  <c r="S70" i="90"/>
  <c r="H7" i="89"/>
  <c r="CL5" i="90"/>
  <c r="H12" i="89"/>
  <c r="H69" i="89"/>
  <c r="L8" i="90"/>
  <c r="CL45" i="90"/>
  <c r="CL24" i="90"/>
  <c r="F52" i="90"/>
  <c r="H15" i="89"/>
  <c r="L6" i="90"/>
  <c r="D57" i="89"/>
  <c r="AA14" i="89"/>
  <c r="T43" i="90"/>
  <c r="D23" i="89"/>
  <c r="H43" i="89"/>
  <c r="L44" i="90"/>
  <c r="S58" i="90"/>
  <c r="S29" i="90"/>
  <c r="H14" i="89"/>
  <c r="H5" i="89"/>
  <c r="D16" i="89"/>
  <c r="H50" i="89"/>
  <c r="L28" i="90"/>
  <c r="L71" i="90"/>
  <c r="L63" i="90"/>
  <c r="L21" i="90"/>
  <c r="L47" i="90"/>
  <c r="L27" i="90"/>
  <c r="L35" i="90"/>
  <c r="L66" i="90"/>
  <c r="L12" i="90"/>
  <c r="L9" i="90"/>
  <c r="L32" i="90"/>
  <c r="L30" i="90"/>
  <c r="L59" i="90"/>
  <c r="L36" i="90"/>
  <c r="L70" i="90"/>
  <c r="L25" i="90"/>
  <c r="L5" i="90"/>
  <c r="L52" i="90"/>
  <c r="L51" i="90"/>
  <c r="K13" i="90"/>
  <c r="K19" i="90" s="1"/>
  <c r="L61" i="90"/>
  <c r="L17" i="90"/>
  <c r="L34" i="90"/>
  <c r="L45" i="90"/>
  <c r="L7" i="90"/>
  <c r="L60" i="90"/>
  <c r="L37" i="90"/>
  <c r="L31" i="90"/>
  <c r="L40" i="90"/>
  <c r="L11" i="90"/>
  <c r="S32" i="90"/>
  <c r="S52" i="90"/>
  <c r="S47" i="90"/>
  <c r="S45" i="90"/>
  <c r="CL55" i="90"/>
  <c r="D5" i="89"/>
  <c r="F32" i="90"/>
  <c r="L22" i="90"/>
  <c r="D62" i="89"/>
  <c r="L50" i="90"/>
  <c r="L55" i="90"/>
  <c r="L15" i="90"/>
  <c r="S16" i="90"/>
  <c r="S17" i="90"/>
  <c r="S61" i="90"/>
  <c r="S34" i="90"/>
  <c r="S53" i="90"/>
  <c r="S27" i="90"/>
  <c r="S71" i="90"/>
  <c r="S57" i="90"/>
  <c r="D6" i="89"/>
  <c r="CL69" i="90"/>
  <c r="CL53" i="90"/>
  <c r="S41" i="90"/>
  <c r="S63" i="90"/>
  <c r="S12" i="90"/>
  <c r="S25" i="90"/>
  <c r="S23" i="90"/>
  <c r="S66" i="90"/>
  <c r="F66" i="90"/>
  <c r="F41" i="90"/>
  <c r="F12" i="90"/>
  <c r="F38" i="90"/>
  <c r="F69" i="90"/>
  <c r="F72" i="90"/>
  <c r="F71" i="90"/>
  <c r="F14" i="90"/>
  <c r="F22" i="90"/>
  <c r="F16" i="90"/>
  <c r="F55" i="90"/>
  <c r="F37" i="90"/>
  <c r="F56" i="90"/>
  <c r="E13" i="90"/>
  <c r="E19" i="90" s="1"/>
  <c r="E42" i="90" s="1"/>
  <c r="E48" i="90" s="1"/>
  <c r="F53" i="90"/>
  <c r="F4" i="90"/>
  <c r="F23" i="90"/>
  <c r="F35" i="90"/>
  <c r="F59" i="90"/>
  <c r="F61" i="90"/>
  <c r="F31" i="90"/>
  <c r="F47" i="90"/>
  <c r="F28" i="90"/>
  <c r="F70" i="90"/>
  <c r="F67" i="90"/>
  <c r="F60" i="90"/>
  <c r="F34" i="90"/>
  <c r="F9" i="90"/>
  <c r="F27" i="90"/>
  <c r="F7" i="90"/>
  <c r="F6" i="90"/>
  <c r="F8" i="90"/>
  <c r="F44" i="90"/>
  <c r="F30" i="90"/>
  <c r="F64" i="90"/>
  <c r="F29" i="90"/>
  <c r="F63" i="90"/>
  <c r="F5" i="90"/>
  <c r="F11" i="90"/>
  <c r="F17" i="90"/>
  <c r="F21" i="90"/>
  <c r="F25" i="90"/>
  <c r="F26" i="90"/>
  <c r="F40" i="90"/>
  <c r="F36" i="90"/>
  <c r="F51" i="90"/>
  <c r="F58" i="90"/>
  <c r="S67" i="90"/>
  <c r="D52" i="89"/>
  <c r="S40" i="90"/>
  <c r="S72" i="90"/>
  <c r="S22" i="90"/>
  <c r="S26" i="90"/>
  <c r="S36" i="90"/>
  <c r="S69" i="90"/>
  <c r="S28" i="90"/>
  <c r="S31" i="90"/>
  <c r="D58" i="89"/>
  <c r="D12" i="89"/>
  <c r="D20" i="89"/>
  <c r="S43" i="90"/>
  <c r="S64" i="90"/>
  <c r="R13" i="90"/>
  <c r="R19" i="90" s="1"/>
  <c r="R42" i="90" s="1"/>
  <c r="S35" i="90"/>
  <c r="H17" i="89"/>
  <c r="H26" i="89"/>
  <c r="H60" i="89"/>
  <c r="H24" i="89"/>
  <c r="H4" i="89"/>
  <c r="H53" i="89"/>
  <c r="H63" i="89"/>
  <c r="H67" i="89"/>
  <c r="H44" i="89"/>
  <c r="H36" i="89"/>
  <c r="H58" i="89"/>
  <c r="H28" i="89"/>
  <c r="H16" i="89"/>
  <c r="H27" i="89"/>
  <c r="H9" i="89"/>
  <c r="H54" i="89"/>
  <c r="H30" i="89"/>
  <c r="H66" i="89"/>
  <c r="H56" i="89"/>
  <c r="H72" i="89"/>
  <c r="H59" i="89"/>
  <c r="H41" i="89"/>
  <c r="G13" i="89"/>
  <c r="G19" i="89" s="1"/>
  <c r="G42" i="89" s="1"/>
  <c r="G48" i="89" s="1"/>
  <c r="H23" i="89"/>
  <c r="H64" i="89"/>
  <c r="H31" i="89"/>
  <c r="H45" i="89"/>
  <c r="H71" i="89"/>
  <c r="H38" i="89"/>
  <c r="H57" i="89"/>
  <c r="H37" i="89"/>
  <c r="H52" i="89"/>
  <c r="H6" i="89"/>
  <c r="H21" i="89"/>
  <c r="H55" i="89"/>
  <c r="H22" i="89"/>
  <c r="H51" i="89"/>
  <c r="H25" i="89"/>
  <c r="H33" i="89"/>
  <c r="H35" i="89"/>
  <c r="H70" i="89"/>
  <c r="H32" i="89"/>
  <c r="H62" i="89"/>
  <c r="H29" i="89"/>
  <c r="H47" i="89"/>
  <c r="H34" i="89"/>
  <c r="H39" i="89"/>
  <c r="H61" i="89"/>
  <c r="F54" i="90"/>
  <c r="H8" i="89"/>
  <c r="CJ10" i="90"/>
  <c r="CK59" i="90" s="1"/>
  <c r="S39" i="90"/>
  <c r="S14" i="90"/>
  <c r="S38" i="90"/>
  <c r="S62" i="90"/>
  <c r="CJ50" i="90"/>
  <c r="D7" i="89"/>
  <c r="D66" i="89"/>
  <c r="D69" i="89"/>
  <c r="D24" i="89"/>
  <c r="D70" i="89"/>
  <c r="D61" i="89"/>
  <c r="D54" i="89"/>
  <c r="D4" i="89"/>
  <c r="D60" i="89"/>
  <c r="D29" i="89"/>
  <c r="D28" i="89"/>
  <c r="D25" i="89"/>
  <c r="D33" i="89"/>
  <c r="D55" i="89"/>
  <c r="D14" i="89"/>
  <c r="D56" i="89"/>
  <c r="D43" i="89"/>
  <c r="D71" i="89"/>
  <c r="D36" i="89"/>
  <c r="D72" i="89"/>
  <c r="D47" i="89"/>
  <c r="D9" i="89"/>
  <c r="D40" i="89"/>
  <c r="D53" i="89"/>
  <c r="D64" i="89"/>
  <c r="D11" i="89"/>
  <c r="D17" i="89"/>
  <c r="D63" i="89"/>
  <c r="D37" i="89"/>
  <c r="D45" i="89"/>
  <c r="D22" i="89"/>
  <c r="D8" i="89"/>
  <c r="D44" i="89"/>
  <c r="D59" i="89"/>
  <c r="D27" i="89"/>
  <c r="D26" i="89"/>
  <c r="D41" i="89"/>
  <c r="D32" i="89"/>
  <c r="D35" i="89"/>
  <c r="D30" i="89"/>
  <c r="D15" i="89"/>
  <c r="D21" i="89"/>
  <c r="D67" i="89"/>
  <c r="D34" i="89"/>
  <c r="D51" i="89"/>
  <c r="D38" i="89"/>
  <c r="D31" i="89"/>
  <c r="D39" i="89"/>
  <c r="S56" i="90"/>
  <c r="AA58" i="78"/>
  <c r="AA34" i="89"/>
  <c r="AA26" i="78"/>
  <c r="AA34" i="78"/>
  <c r="AA36" i="89"/>
  <c r="AA55" i="78"/>
  <c r="G49" i="78"/>
  <c r="H49" i="78" s="1"/>
  <c r="AA44" i="89"/>
  <c r="AA63" i="89"/>
  <c r="AA9" i="78"/>
  <c r="Q29" i="90"/>
  <c r="Q53" i="90"/>
  <c r="T10" i="90"/>
  <c r="AA64" i="78"/>
  <c r="AA67" i="89"/>
  <c r="AA65" i="89" s="1"/>
  <c r="Q38" i="90"/>
  <c r="Q39" i="90"/>
  <c r="I49" i="90"/>
  <c r="J49" i="90" s="1"/>
  <c r="CL40" i="90"/>
  <c r="CL58" i="90"/>
  <c r="AA41" i="78"/>
  <c r="H60" i="78"/>
  <c r="H57" i="78"/>
  <c r="H26" i="78"/>
  <c r="J15" i="90"/>
  <c r="H65" i="78"/>
  <c r="H56" i="78"/>
  <c r="H41" i="78"/>
  <c r="AA40" i="78"/>
  <c r="J54" i="90"/>
  <c r="J47" i="90"/>
  <c r="CL9" i="90"/>
  <c r="J69" i="90"/>
  <c r="J51" i="90"/>
  <c r="J40" i="90"/>
  <c r="J11" i="90"/>
  <c r="J53" i="90"/>
  <c r="AA21" i="78"/>
  <c r="Q55" i="90"/>
  <c r="J29" i="90"/>
  <c r="J28" i="90"/>
  <c r="Q11" i="90"/>
  <c r="J62" i="90"/>
  <c r="H64" i="78"/>
  <c r="AA58" i="89"/>
  <c r="J65" i="90"/>
  <c r="Q26" i="90"/>
  <c r="Q58" i="90"/>
  <c r="H9" i="78"/>
  <c r="H22" i="78"/>
  <c r="H35" i="78"/>
  <c r="H44" i="78"/>
  <c r="H23" i="78"/>
  <c r="H34" i="78"/>
  <c r="H7" i="78"/>
  <c r="H21" i="78"/>
  <c r="AA63" i="78"/>
  <c r="H67" i="78"/>
  <c r="H24" i="78"/>
  <c r="H58" i="78"/>
  <c r="H55" i="78"/>
  <c r="H28" i="78"/>
  <c r="H16" i="78"/>
  <c r="H43" i="78"/>
  <c r="H50" i="78"/>
  <c r="H45" i="78"/>
  <c r="H61" i="78"/>
  <c r="H70" i="78"/>
  <c r="H5" i="78"/>
  <c r="H17" i="78"/>
  <c r="H30" i="78"/>
  <c r="CL14" i="90"/>
  <c r="H51" i="78"/>
  <c r="H11" i="78"/>
  <c r="H12" i="78"/>
  <c r="H4" i="78"/>
  <c r="H53" i="78"/>
  <c r="H69" i="78"/>
  <c r="Q25" i="90"/>
  <c r="Q41" i="90"/>
  <c r="Q12" i="90"/>
  <c r="J26" i="90"/>
  <c r="J50" i="90"/>
  <c r="Q32" i="90"/>
  <c r="J8" i="90"/>
  <c r="Q16" i="90"/>
  <c r="J5" i="90"/>
  <c r="AA64" i="89"/>
  <c r="D20" i="90"/>
  <c r="Q35" i="90"/>
  <c r="J30" i="90"/>
  <c r="J71" i="90"/>
  <c r="H29" i="78"/>
  <c r="H63" i="78"/>
  <c r="H47" i="78"/>
  <c r="Q43" i="90"/>
  <c r="CH57" i="90"/>
  <c r="J37" i="90"/>
  <c r="J23" i="90"/>
  <c r="J16" i="90"/>
  <c r="J64" i="90"/>
  <c r="H32" i="78"/>
  <c r="H62" i="78"/>
  <c r="H27" i="78"/>
  <c r="G20" i="90"/>
  <c r="CH62" i="90"/>
  <c r="J31" i="90"/>
  <c r="J22" i="90"/>
  <c r="H66" i="78"/>
  <c r="H52" i="78"/>
  <c r="H33" i="78"/>
  <c r="Q65" i="90"/>
  <c r="J39" i="90"/>
  <c r="H71" i="78"/>
  <c r="H54" i="78"/>
  <c r="H8" i="78"/>
  <c r="H40" i="78"/>
  <c r="H31" i="78"/>
  <c r="D32" i="90"/>
  <c r="J12" i="90"/>
  <c r="J36" i="90"/>
  <c r="H72" i="78"/>
  <c r="H36" i="78"/>
  <c r="H39" i="78"/>
  <c r="H14" i="78"/>
  <c r="H59" i="78"/>
  <c r="Q30" i="90"/>
  <c r="H15" i="78"/>
  <c r="H38" i="78"/>
  <c r="H25" i="78"/>
  <c r="G13" i="78"/>
  <c r="G19" i="78" s="1"/>
  <c r="H19" i="78" s="1"/>
  <c r="Q15" i="90"/>
  <c r="Q61" i="90"/>
  <c r="Q20" i="90"/>
  <c r="Q57" i="90"/>
  <c r="H20" i="78"/>
  <c r="Q36" i="90"/>
  <c r="Q47" i="90"/>
  <c r="Q40" i="90"/>
  <c r="Q37" i="90"/>
  <c r="Q66" i="90"/>
  <c r="Q69" i="90"/>
  <c r="Q27" i="90"/>
  <c r="Q28" i="90"/>
  <c r="P13" i="90"/>
  <c r="Q17" i="90"/>
  <c r="Q54" i="90"/>
  <c r="Q23" i="90"/>
  <c r="Q34" i="90"/>
  <c r="Q64" i="90"/>
  <c r="Q62" i="90"/>
  <c r="CH10" i="90"/>
  <c r="CI24" i="90" s="1"/>
  <c r="Q72" i="90"/>
  <c r="Q44" i="90"/>
  <c r="Q31" i="90"/>
  <c r="Q67" i="90"/>
  <c r="Q56" i="90"/>
  <c r="Q45" i="90"/>
  <c r="Q14" i="90"/>
  <c r="Q59" i="90"/>
  <c r="Q63" i="90"/>
  <c r="Q71" i="90"/>
  <c r="J67" i="90"/>
  <c r="J70" i="90"/>
  <c r="J35" i="90"/>
  <c r="J55" i="90"/>
  <c r="J72" i="90"/>
  <c r="J17" i="90"/>
  <c r="J6" i="90"/>
  <c r="J38" i="90"/>
  <c r="J9" i="90"/>
  <c r="J44" i="90"/>
  <c r="M50" i="90"/>
  <c r="J59" i="90"/>
  <c r="J32" i="90"/>
  <c r="J61" i="90"/>
  <c r="I13" i="90"/>
  <c r="J57" i="90"/>
  <c r="M10" i="90"/>
  <c r="N24" i="90" s="1"/>
  <c r="J52" i="90"/>
  <c r="M65" i="90"/>
  <c r="J7" i="90"/>
  <c r="J14" i="90"/>
  <c r="J66" i="90"/>
  <c r="J41" i="90"/>
  <c r="J33" i="90"/>
  <c r="J27" i="90"/>
  <c r="J34" i="90"/>
  <c r="J45" i="90"/>
  <c r="J25" i="90"/>
  <c r="J21" i="90"/>
  <c r="J58" i="90"/>
  <c r="J60" i="90"/>
  <c r="CH50" i="90"/>
  <c r="CI44" i="90"/>
  <c r="J63" i="90"/>
  <c r="J56" i="90"/>
  <c r="D43" i="90"/>
  <c r="CI45" i="90"/>
  <c r="D14" i="90"/>
  <c r="D15" i="90"/>
  <c r="CL4" i="90"/>
  <c r="CM47" i="90" s="1"/>
  <c r="CH20" i="90"/>
  <c r="D56" i="90"/>
  <c r="Q70" i="90"/>
  <c r="P49" i="90"/>
  <c r="CH43" i="90"/>
  <c r="CI43" i="90" s="1"/>
  <c r="Q52" i="90"/>
  <c r="Q50" i="90"/>
  <c r="Q22" i="90"/>
  <c r="Q60" i="90"/>
  <c r="Q21" i="90"/>
  <c r="Q33" i="90"/>
  <c r="AA54" i="78"/>
  <c r="CL32" i="90"/>
  <c r="H65" i="89"/>
  <c r="F65" i="89"/>
  <c r="D65" i="89"/>
  <c r="D12" i="90"/>
  <c r="AA32" i="89"/>
  <c r="AA21" i="89"/>
  <c r="CL15" i="90"/>
  <c r="AA7" i="89"/>
  <c r="CL39" i="90"/>
  <c r="M20" i="90"/>
  <c r="J20" i="90"/>
  <c r="AA6" i="89"/>
  <c r="CL52" i="90"/>
  <c r="CL12" i="90"/>
  <c r="CL67" i="90"/>
  <c r="CL65" i="90" s="1"/>
  <c r="M43" i="90"/>
  <c r="J43" i="90"/>
  <c r="C49" i="90"/>
  <c r="D49" i="90" s="1"/>
  <c r="D50" i="90"/>
  <c r="D47" i="90"/>
  <c r="D45" i="90"/>
  <c r="D40" i="90"/>
  <c r="D52" i="90"/>
  <c r="D54" i="90"/>
  <c r="D67" i="90"/>
  <c r="D17" i="90"/>
  <c r="D41" i="90"/>
  <c r="D37" i="90"/>
  <c r="D53" i="90"/>
  <c r="D28" i="90"/>
  <c r="D31" i="90"/>
  <c r="D51" i="90"/>
  <c r="D27" i="90"/>
  <c r="D23" i="90"/>
  <c r="D21" i="90"/>
  <c r="D34" i="90"/>
  <c r="D11" i="90"/>
  <c r="D58" i="90"/>
  <c r="D39" i="90"/>
  <c r="D35" i="90"/>
  <c r="D55" i="90"/>
  <c r="D38" i="90"/>
  <c r="D5" i="90"/>
  <c r="D26" i="90"/>
  <c r="D9" i="90"/>
  <c r="D64" i="90"/>
  <c r="D30" i="90"/>
  <c r="D7" i="90"/>
  <c r="D70" i="90"/>
  <c r="D44" i="90"/>
  <c r="D57" i="90"/>
  <c r="D6" i="90"/>
  <c r="D60" i="90"/>
  <c r="D29" i="90"/>
  <c r="D66" i="90"/>
  <c r="D63" i="90"/>
  <c r="D62" i="90"/>
  <c r="D71" i="90"/>
  <c r="D61" i="90"/>
  <c r="D36" i="90"/>
  <c r="G10" i="90"/>
  <c r="D25" i="90"/>
  <c r="D59" i="90"/>
  <c r="D4" i="90"/>
  <c r="D16" i="90"/>
  <c r="D69" i="90"/>
  <c r="D8" i="90"/>
  <c r="D33" i="90"/>
  <c r="CL16" i="90"/>
  <c r="AA44" i="78"/>
  <c r="AA14" i="78"/>
  <c r="AA35" i="78"/>
  <c r="AA31" i="78"/>
  <c r="AA33" i="78"/>
  <c r="AA72" i="78"/>
  <c r="AA7" i="78"/>
  <c r="AA45" i="78"/>
  <c r="AA8" i="78"/>
  <c r="AA38" i="78"/>
  <c r="AA24" i="78"/>
  <c r="AA17" i="78"/>
  <c r="AA61" i="78"/>
  <c r="AA12" i="78"/>
  <c r="AA67" i="78"/>
  <c r="AA65" i="78" s="1"/>
  <c r="F9" i="78"/>
  <c r="F28" i="78"/>
  <c r="F32" i="78"/>
  <c r="F23" i="78"/>
  <c r="F29" i="78"/>
  <c r="F38" i="78"/>
  <c r="F7" i="78"/>
  <c r="D28" i="78"/>
  <c r="F52" i="78"/>
  <c r="F37" i="78"/>
  <c r="F5" i="78"/>
  <c r="F44" i="78"/>
  <c r="F12" i="78"/>
  <c r="F56" i="78"/>
  <c r="F31" i="78"/>
  <c r="F45" i="78"/>
  <c r="F30" i="78"/>
  <c r="F43" i="78"/>
  <c r="F22" i="78"/>
  <c r="F63" i="78"/>
  <c r="F64" i="78"/>
  <c r="F34" i="78"/>
  <c r="F21" i="78"/>
  <c r="D57" i="78"/>
  <c r="F72" i="78"/>
  <c r="F47" i="78"/>
  <c r="F61" i="78"/>
  <c r="F8" i="78"/>
  <c r="F59" i="78"/>
  <c r="F14" i="78"/>
  <c r="F15" i="78"/>
  <c r="F71" i="78"/>
  <c r="F39" i="78"/>
  <c r="F17" i="78"/>
  <c r="D34" i="78"/>
  <c r="F69" i="78"/>
  <c r="F4" i="78"/>
  <c r="D65" i="78"/>
  <c r="D31" i="78"/>
  <c r="D26" i="78"/>
  <c r="D35" i="78"/>
  <c r="F26" i="78"/>
  <c r="F41" i="78"/>
  <c r="F65" i="78"/>
  <c r="F53" i="78"/>
  <c r="F50" i="78"/>
  <c r="F55" i="78"/>
  <c r="F35" i="78"/>
  <c r="F6" i="78"/>
  <c r="F67" i="78"/>
  <c r="F20" i="78"/>
  <c r="F33" i="78"/>
  <c r="F60" i="78"/>
  <c r="F16" i="78"/>
  <c r="F62" i="78"/>
  <c r="F58" i="78"/>
  <c r="F70" i="78"/>
  <c r="F66" i="78"/>
  <c r="F40" i="78"/>
  <c r="F25" i="78"/>
  <c r="F51" i="78"/>
  <c r="F36" i="78"/>
  <c r="F24" i="78"/>
  <c r="F27" i="78"/>
  <c r="F54" i="78"/>
  <c r="E13" i="78"/>
  <c r="F57" i="78"/>
  <c r="D50" i="78"/>
  <c r="D62" i="78"/>
  <c r="D66" i="78"/>
  <c r="D44" i="78"/>
  <c r="D56" i="78"/>
  <c r="D37" i="78"/>
  <c r="D71" i="78"/>
  <c r="D12" i="78"/>
  <c r="D47" i="78"/>
  <c r="D59" i="78"/>
  <c r="D60" i="78"/>
  <c r="D9" i="78"/>
  <c r="D72" i="78"/>
  <c r="D11" i="78"/>
  <c r="D24" i="78"/>
  <c r="D70" i="78"/>
  <c r="D53" i="78"/>
  <c r="D22" i="78"/>
  <c r="D5" i="78"/>
  <c r="D15" i="78"/>
  <c r="D63" i="78"/>
  <c r="D8" i="78"/>
  <c r="D51" i="78"/>
  <c r="D4" i="78"/>
  <c r="D38" i="78"/>
  <c r="D14" i="78"/>
  <c r="D25" i="78"/>
  <c r="D64" i="78"/>
  <c r="D54" i="78"/>
  <c r="D61" i="78"/>
  <c r="D58" i="78"/>
  <c r="D45" i="78"/>
  <c r="D69" i="78"/>
  <c r="D52" i="78"/>
  <c r="D55" i="78"/>
  <c r="D36" i="78"/>
  <c r="D7" i="78"/>
  <c r="D16" i="78"/>
  <c r="D23" i="78"/>
  <c r="D41" i="78"/>
  <c r="D40" i="78"/>
  <c r="D32" i="78"/>
  <c r="D21" i="78"/>
  <c r="D67" i="78"/>
  <c r="D39" i="78"/>
  <c r="D6" i="78"/>
  <c r="D33" i="78"/>
  <c r="D27" i="78"/>
  <c r="D30" i="78"/>
  <c r="D20" i="78"/>
  <c r="D43" i="78"/>
  <c r="D29" i="78"/>
  <c r="F11" i="78"/>
  <c r="I195" i="86"/>
  <c r="E49" i="78"/>
  <c r="C48" i="78" l="1"/>
  <c r="C46" i="78"/>
  <c r="U65" i="90"/>
  <c r="U24" i="90"/>
  <c r="W48" i="89"/>
  <c r="W68" i="89" s="1"/>
  <c r="X42" i="89"/>
  <c r="BS50" i="90"/>
  <c r="I48" i="78"/>
  <c r="I68" i="78" s="1"/>
  <c r="I73" i="78" s="1"/>
  <c r="BR42" i="90"/>
  <c r="BZ19" i="90"/>
  <c r="BY19" i="90"/>
  <c r="BY42" i="90" s="1"/>
  <c r="CG19" i="90"/>
  <c r="CF19" i="90"/>
  <c r="CF42" i="90" s="1"/>
  <c r="BY10" i="90"/>
  <c r="BY13" i="90" s="1"/>
  <c r="BV48" i="90"/>
  <c r="BX42" i="90"/>
  <c r="BV46" i="90"/>
  <c r="CF10" i="90"/>
  <c r="CF13" i="90" s="1"/>
  <c r="CC46" i="90"/>
  <c r="CC48" i="90"/>
  <c r="CE42" i="90"/>
  <c r="BQ49" i="90"/>
  <c r="BR49" i="90" s="1"/>
  <c r="BP49" i="90"/>
  <c r="BO48" i="90"/>
  <c r="BO46" i="90"/>
  <c r="BQ42" i="90"/>
  <c r="Y48" i="89"/>
  <c r="Z42" i="89"/>
  <c r="Y46" i="89"/>
  <c r="Z46" i="89" s="1"/>
  <c r="BW49" i="90"/>
  <c r="BX49" i="90"/>
  <c r="CG50" i="90"/>
  <c r="BZ50" i="90"/>
  <c r="BY50" i="90"/>
  <c r="Y73" i="78"/>
  <c r="Z68" i="78"/>
  <c r="U68" i="89"/>
  <c r="V48" i="89"/>
  <c r="W68" i="78"/>
  <c r="X48" i="78"/>
  <c r="U73" i="78"/>
  <c r="V48" i="78"/>
  <c r="BR10" i="90"/>
  <c r="BR13" i="90" s="1"/>
  <c r="BK43" i="90"/>
  <c r="BS43" i="90"/>
  <c r="BK20" i="90"/>
  <c r="BS20" i="90"/>
  <c r="C46" i="89"/>
  <c r="D46" i="89" s="1"/>
  <c r="K197" i="86"/>
  <c r="K199" i="86" s="1"/>
  <c r="O62" i="90"/>
  <c r="L68" i="89"/>
  <c r="AA49" i="90"/>
  <c r="AB49" i="90" s="1"/>
  <c r="T42" i="89"/>
  <c r="AT46" i="90"/>
  <c r="AU46" i="90" s="1"/>
  <c r="N42" i="89"/>
  <c r="BA48" i="90"/>
  <c r="BA68" i="90" s="1"/>
  <c r="BA73" i="90" s="1"/>
  <c r="BH46" i="90"/>
  <c r="BI46" i="90" s="1"/>
  <c r="Y48" i="90"/>
  <c r="Y46" i="90"/>
  <c r="Z46" i="90" s="1"/>
  <c r="AM46" i="90"/>
  <c r="AN46" i="90" s="1"/>
  <c r="AO49" i="90"/>
  <c r="AP49" i="90" s="1"/>
  <c r="AM68" i="90"/>
  <c r="BJ49" i="90"/>
  <c r="AQ50" i="90"/>
  <c r="AX50" i="90"/>
  <c r="AV49" i="90"/>
  <c r="BC49" i="90"/>
  <c r="BD49" i="90" s="1"/>
  <c r="BD50" i="90"/>
  <c r="J46" i="89"/>
  <c r="J42" i="89"/>
  <c r="BI48" i="90"/>
  <c r="BH68" i="90"/>
  <c r="P42" i="89"/>
  <c r="P46" i="89"/>
  <c r="AU48" i="90"/>
  <c r="AZ49" i="90"/>
  <c r="AI50" i="90"/>
  <c r="C42" i="90"/>
  <c r="C46" i="90" s="1"/>
  <c r="BE50" i="90"/>
  <c r="AL49" i="90"/>
  <c r="AW50" i="90"/>
  <c r="BL43" i="90"/>
  <c r="BL20" i="90"/>
  <c r="N46" i="78"/>
  <c r="N48" i="78"/>
  <c r="AW43" i="90"/>
  <c r="BE43" i="90"/>
  <c r="BE20" i="90"/>
  <c r="AQ20" i="90"/>
  <c r="AX20" i="90"/>
  <c r="AI10" i="90"/>
  <c r="AI13" i="90" s="1"/>
  <c r="AW20" i="90"/>
  <c r="O50" i="90"/>
  <c r="AC50" i="90"/>
  <c r="AJ20" i="90"/>
  <c r="BK10" i="90"/>
  <c r="BK13" i="90" s="1"/>
  <c r="AJ50" i="90"/>
  <c r="AW10" i="90"/>
  <c r="AW13" i="90" s="1"/>
  <c r="BD10" i="90"/>
  <c r="BD13" i="90" s="1"/>
  <c r="AJ13" i="90"/>
  <c r="R19" i="78"/>
  <c r="X19" i="90"/>
  <c r="X42" i="90" s="1"/>
  <c r="W42" i="90"/>
  <c r="AA19" i="90"/>
  <c r="AB19" i="90" s="1"/>
  <c r="AB42" i="90" s="1"/>
  <c r="AQ13" i="90"/>
  <c r="AE19" i="90"/>
  <c r="AE42" i="90" s="1"/>
  <c r="AD42" i="90"/>
  <c r="AH19" i="90"/>
  <c r="AL19" i="90"/>
  <c r="AL42" i="90" s="1"/>
  <c r="AK42" i="90"/>
  <c r="AO19" i="90"/>
  <c r="AZ19" i="90"/>
  <c r="AZ42" i="90" s="1"/>
  <c r="BC19" i="90"/>
  <c r="AY42" i="90"/>
  <c r="AB43" i="90"/>
  <c r="AJ43" i="90"/>
  <c r="BE13" i="90"/>
  <c r="L19" i="78"/>
  <c r="AS19" i="90"/>
  <c r="AS42" i="90" s="1"/>
  <c r="AV19" i="90"/>
  <c r="AR42" i="90"/>
  <c r="AX13" i="90"/>
  <c r="P19" i="78"/>
  <c r="J19" i="78"/>
  <c r="AJ62" i="90"/>
  <c r="AB62" i="90"/>
  <c r="T19" i="78"/>
  <c r="BL13" i="90"/>
  <c r="AJ65" i="90"/>
  <c r="AB65" i="90"/>
  <c r="AP10" i="90"/>
  <c r="AP13" i="90" s="1"/>
  <c r="BG19" i="90"/>
  <c r="BG42" i="90" s="1"/>
  <c r="BF42" i="90"/>
  <c r="BF48" i="90" s="1"/>
  <c r="BF68" i="90" s="1"/>
  <c r="BF73" i="90" s="1"/>
  <c r="BJ19" i="90"/>
  <c r="BS19" i="90" s="1"/>
  <c r="O43" i="90"/>
  <c r="H65" i="90"/>
  <c r="H64" i="90"/>
  <c r="N65" i="90"/>
  <c r="O65" i="90"/>
  <c r="V65" i="90"/>
  <c r="N34" i="90"/>
  <c r="O10" i="90"/>
  <c r="O57" i="90"/>
  <c r="O20" i="90"/>
  <c r="V10" i="90"/>
  <c r="AC10" i="90"/>
  <c r="V62" i="90"/>
  <c r="AC62" i="90"/>
  <c r="V57" i="90"/>
  <c r="AC57" i="90"/>
  <c r="V43" i="90"/>
  <c r="AC43" i="90"/>
  <c r="V20" i="90"/>
  <c r="AC20" i="90"/>
  <c r="V50" i="90"/>
  <c r="H4" i="90"/>
  <c r="U56" i="90"/>
  <c r="CK27" i="90"/>
  <c r="CL57" i="90"/>
  <c r="AB45" i="89"/>
  <c r="CK51" i="90"/>
  <c r="CK32" i="90"/>
  <c r="AA57" i="89"/>
  <c r="CK60" i="90"/>
  <c r="T49" i="90"/>
  <c r="CK20" i="90"/>
  <c r="CK37" i="90"/>
  <c r="CL62" i="90"/>
  <c r="CK11" i="90"/>
  <c r="CK17" i="90"/>
  <c r="CL43" i="90"/>
  <c r="CM43" i="90" s="1"/>
  <c r="CK34" i="90"/>
  <c r="CK4" i="90"/>
  <c r="CJ13" i="90"/>
  <c r="CJ19" i="90" s="1"/>
  <c r="CK16" i="90"/>
  <c r="CK52" i="90"/>
  <c r="F10" i="89"/>
  <c r="F13" i="89" s="1"/>
  <c r="AA50" i="89"/>
  <c r="AA43" i="89"/>
  <c r="AB43" i="89" s="1"/>
  <c r="S10" i="90"/>
  <c r="S13" i="90" s="1"/>
  <c r="AA50" i="78"/>
  <c r="F42" i="89"/>
  <c r="CK66" i="90"/>
  <c r="CK12" i="90"/>
  <c r="CK8" i="90"/>
  <c r="L10" i="90"/>
  <c r="L13" i="90" s="1"/>
  <c r="CK21" i="90"/>
  <c r="CK22" i="90"/>
  <c r="CK5" i="90"/>
  <c r="E42" i="89"/>
  <c r="H19" i="89"/>
  <c r="H42" i="89" s="1"/>
  <c r="G46" i="89"/>
  <c r="H46" i="89" s="1"/>
  <c r="CK67" i="90"/>
  <c r="CK31" i="90"/>
  <c r="CK70" i="90"/>
  <c r="CK64" i="90"/>
  <c r="CK38" i="90"/>
  <c r="CK33" i="90"/>
  <c r="S19" i="90"/>
  <c r="S42" i="90" s="1"/>
  <c r="H43" i="90"/>
  <c r="D10" i="89"/>
  <c r="D13" i="89" s="1"/>
  <c r="CK7" i="90"/>
  <c r="CK24" i="90"/>
  <c r="T13" i="90"/>
  <c r="D48" i="89"/>
  <c r="CK9" i="90"/>
  <c r="CK28" i="90"/>
  <c r="CK62" i="90"/>
  <c r="CL50" i="90"/>
  <c r="CK72" i="90"/>
  <c r="CK14" i="90"/>
  <c r="CK54" i="90"/>
  <c r="CK29" i="90"/>
  <c r="CK6" i="90"/>
  <c r="CK10" i="90"/>
  <c r="CK57" i="90"/>
  <c r="K42" i="90"/>
  <c r="L19" i="90"/>
  <c r="L42" i="90" s="1"/>
  <c r="CK53" i="90"/>
  <c r="CK15" i="90"/>
  <c r="CK71" i="90"/>
  <c r="CK25" i="90"/>
  <c r="CK58" i="90"/>
  <c r="D19" i="89"/>
  <c r="D42" i="89" s="1"/>
  <c r="CK56" i="90"/>
  <c r="CK63" i="90"/>
  <c r="CK40" i="90"/>
  <c r="CK55" i="90"/>
  <c r="CK65" i="90"/>
  <c r="CK35" i="90"/>
  <c r="CK26" i="90"/>
  <c r="CK61" i="90"/>
  <c r="CK69" i="90"/>
  <c r="CK23" i="90"/>
  <c r="CK39" i="90"/>
  <c r="CK41" i="90"/>
  <c r="CK30" i="90"/>
  <c r="CK36" i="90"/>
  <c r="H10" i="89"/>
  <c r="H13" i="89" s="1"/>
  <c r="CJ49" i="90"/>
  <c r="CK49" i="90" s="1"/>
  <c r="CK50" i="90"/>
  <c r="E46" i="90"/>
  <c r="F46" i="90" s="1"/>
  <c r="F19" i="90"/>
  <c r="F42" i="90" s="1"/>
  <c r="F10" i="90"/>
  <c r="F13" i="90" s="1"/>
  <c r="AA57" i="78"/>
  <c r="AA62" i="89"/>
  <c r="AB44" i="89"/>
  <c r="U16" i="90"/>
  <c r="U39" i="90"/>
  <c r="U47" i="90"/>
  <c r="U29" i="90"/>
  <c r="U60" i="90"/>
  <c r="U62" i="90"/>
  <c r="U43" i="90"/>
  <c r="U12" i="90"/>
  <c r="U57" i="90"/>
  <c r="U33" i="90"/>
  <c r="U61" i="90"/>
  <c r="U35" i="90"/>
  <c r="U71" i="90"/>
  <c r="U22" i="90"/>
  <c r="U30" i="90"/>
  <c r="U72" i="90"/>
  <c r="U5" i="90"/>
  <c r="U36" i="90"/>
  <c r="U70" i="90"/>
  <c r="U41" i="90"/>
  <c r="U40" i="90"/>
  <c r="U67" i="90"/>
  <c r="U23" i="90"/>
  <c r="U15" i="90"/>
  <c r="U21" i="90"/>
  <c r="U6" i="90"/>
  <c r="U59" i="90"/>
  <c r="U32" i="90"/>
  <c r="U25" i="90"/>
  <c r="U11" i="90"/>
  <c r="U14" i="90"/>
  <c r="M49" i="90"/>
  <c r="N49" i="90" s="1"/>
  <c r="U4" i="90"/>
  <c r="U31" i="90"/>
  <c r="U20" i="90"/>
  <c r="U27" i="90"/>
  <c r="U55" i="90"/>
  <c r="U26" i="90"/>
  <c r="U38" i="90"/>
  <c r="U28" i="90"/>
  <c r="U17" i="90"/>
  <c r="U7" i="90"/>
  <c r="U64" i="90"/>
  <c r="U34" i="90"/>
  <c r="U54" i="90"/>
  <c r="U50" i="90"/>
  <c r="U69" i="90"/>
  <c r="U8" i="90"/>
  <c r="U66" i="90"/>
  <c r="U44" i="90"/>
  <c r="U37" i="90"/>
  <c r="U51" i="90"/>
  <c r="U58" i="90"/>
  <c r="U63" i="90"/>
  <c r="U9" i="90"/>
  <c r="U45" i="90"/>
  <c r="U53" i="90"/>
  <c r="U52" i="90"/>
  <c r="AA62" i="78"/>
  <c r="N43" i="90"/>
  <c r="N15" i="90"/>
  <c r="CM44" i="90"/>
  <c r="H42" i="78"/>
  <c r="CI12" i="90"/>
  <c r="CI22" i="90"/>
  <c r="CI10" i="90"/>
  <c r="CI64" i="90"/>
  <c r="CI53" i="90"/>
  <c r="CI38" i="90"/>
  <c r="CI4" i="90"/>
  <c r="G42" i="78"/>
  <c r="G46" i="78" s="1"/>
  <c r="H46" i="78" s="1"/>
  <c r="CI33" i="90"/>
  <c r="CI28" i="90"/>
  <c r="CI57" i="90"/>
  <c r="Q10" i="90"/>
  <c r="Q13" i="90" s="1"/>
  <c r="CI32" i="90"/>
  <c r="N29" i="90"/>
  <c r="CH49" i="90"/>
  <c r="CI49" i="90" s="1"/>
  <c r="H10" i="78"/>
  <c r="H13" i="78" s="1"/>
  <c r="CM45" i="90"/>
  <c r="CI60" i="90"/>
  <c r="CI71" i="90"/>
  <c r="CI40" i="90"/>
  <c r="CI56" i="90"/>
  <c r="P19" i="90"/>
  <c r="T19" i="90" s="1"/>
  <c r="CI29" i="90"/>
  <c r="CI66" i="90"/>
  <c r="CI51" i="90"/>
  <c r="N20" i="90"/>
  <c r="J10" i="90"/>
  <c r="J13" i="90" s="1"/>
  <c r="CI70" i="90"/>
  <c r="CI31" i="90"/>
  <c r="N62" i="90"/>
  <c r="N30" i="90"/>
  <c r="CI20" i="90"/>
  <c r="N36" i="90"/>
  <c r="CI36" i="90"/>
  <c r="CI54" i="90"/>
  <c r="CI5" i="90"/>
  <c r="AA20" i="89"/>
  <c r="CI58" i="90"/>
  <c r="AA43" i="78"/>
  <c r="CI52" i="90"/>
  <c r="CI16" i="90"/>
  <c r="N57" i="90"/>
  <c r="CI37" i="90"/>
  <c r="N25" i="90"/>
  <c r="CI61" i="90"/>
  <c r="N55" i="90"/>
  <c r="N58" i="90"/>
  <c r="N5" i="90"/>
  <c r="CI69" i="90"/>
  <c r="CI25" i="90"/>
  <c r="N50" i="90"/>
  <c r="H52" i="90"/>
  <c r="H67" i="90"/>
  <c r="CI7" i="90"/>
  <c r="CI67" i="90"/>
  <c r="CI59" i="90"/>
  <c r="CI21" i="90"/>
  <c r="CI50" i="90"/>
  <c r="CI34" i="90"/>
  <c r="CI62" i="90"/>
  <c r="CI14" i="90"/>
  <c r="CI9" i="90"/>
  <c r="CI27" i="90"/>
  <c r="CI6" i="90"/>
  <c r="CI23" i="90"/>
  <c r="CI26" i="90"/>
  <c r="CI17" i="90"/>
  <c r="CI30" i="90"/>
  <c r="CI72" i="90"/>
  <c r="CI8" i="90"/>
  <c r="CI63" i="90"/>
  <c r="CI65" i="90"/>
  <c r="CI15" i="90"/>
  <c r="CI39" i="90"/>
  <c r="CH13" i="90"/>
  <c r="CI13" i="90" s="1"/>
  <c r="CI11" i="90"/>
  <c r="CI35" i="90"/>
  <c r="CI55" i="90"/>
  <c r="CI41" i="90"/>
  <c r="N61" i="90"/>
  <c r="AA20" i="78"/>
  <c r="N27" i="90"/>
  <c r="N72" i="90"/>
  <c r="N71" i="90"/>
  <c r="N67" i="90"/>
  <c r="N70" i="90"/>
  <c r="N21" i="90"/>
  <c r="N12" i="90"/>
  <c r="N59" i="90"/>
  <c r="N53" i="90"/>
  <c r="N40" i="90"/>
  <c r="N54" i="90"/>
  <c r="N17" i="90"/>
  <c r="N37" i="90"/>
  <c r="N52" i="90"/>
  <c r="N44" i="90"/>
  <c r="N63" i="90"/>
  <c r="N35" i="90"/>
  <c r="N64" i="90"/>
  <c r="N56" i="90"/>
  <c r="N69" i="90"/>
  <c r="N51" i="90"/>
  <c r="N66" i="90"/>
  <c r="N60" i="90"/>
  <c r="N38" i="90"/>
  <c r="N22" i="90"/>
  <c r="N26" i="90"/>
  <c r="N31" i="90"/>
  <c r="N9" i="90"/>
  <c r="N33" i="90"/>
  <c r="N45" i="90"/>
  <c r="N32" i="90"/>
  <c r="N39" i="90"/>
  <c r="N23" i="90"/>
  <c r="N14" i="90"/>
  <c r="N4" i="90"/>
  <c r="N28" i="90"/>
  <c r="N11" i="90"/>
  <c r="N16" i="90"/>
  <c r="N41" i="90"/>
  <c r="N8" i="90"/>
  <c r="N6" i="90"/>
  <c r="N7" i="90"/>
  <c r="I19" i="90"/>
  <c r="M13" i="90"/>
  <c r="N47" i="90"/>
  <c r="CL20" i="90"/>
  <c r="AA10" i="89"/>
  <c r="AB58" i="89" s="1"/>
  <c r="H20" i="90"/>
  <c r="H39" i="90"/>
  <c r="D10" i="90"/>
  <c r="D13" i="90" s="1"/>
  <c r="Q49" i="90"/>
  <c r="H50" i="90"/>
  <c r="H14" i="90"/>
  <c r="G49" i="90"/>
  <c r="CL10" i="90"/>
  <c r="CM14" i="90" s="1"/>
  <c r="G13" i="90"/>
  <c r="H30" i="90"/>
  <c r="H55" i="90"/>
  <c r="H27" i="90"/>
  <c r="H11" i="90"/>
  <c r="H59" i="90"/>
  <c r="H34" i="90"/>
  <c r="H71" i="90"/>
  <c r="H35" i="90"/>
  <c r="H62" i="90"/>
  <c r="H26" i="90"/>
  <c r="H56" i="90"/>
  <c r="H17" i="90"/>
  <c r="H29" i="90"/>
  <c r="H9" i="90"/>
  <c r="H57" i="90"/>
  <c r="H33" i="90"/>
  <c r="H70" i="90"/>
  <c r="H58" i="90"/>
  <c r="H31" i="90"/>
  <c r="H8" i="90"/>
  <c r="H23" i="90"/>
  <c r="H72" i="90"/>
  <c r="H69" i="90"/>
  <c r="H12" i="90"/>
  <c r="H51" i="90"/>
  <c r="H16" i="90"/>
  <c r="H5" i="90"/>
  <c r="H32" i="90"/>
  <c r="H54" i="90"/>
  <c r="H45" i="90"/>
  <c r="H7" i="90"/>
  <c r="H47" i="90"/>
  <c r="H37" i="90"/>
  <c r="H63" i="90"/>
  <c r="H53" i="90"/>
  <c r="H22" i="90"/>
  <c r="H60" i="90"/>
  <c r="H41" i="90"/>
  <c r="H66" i="90"/>
  <c r="H28" i="90"/>
  <c r="H44" i="90"/>
  <c r="H24" i="90"/>
  <c r="H38" i="90"/>
  <c r="H40" i="90"/>
  <c r="H6" i="90"/>
  <c r="H61" i="90"/>
  <c r="H21" i="90"/>
  <c r="H25" i="90"/>
  <c r="H36" i="90"/>
  <c r="H15" i="90"/>
  <c r="R46" i="90"/>
  <c r="S46" i="90" s="1"/>
  <c r="R48" i="90"/>
  <c r="E68" i="90"/>
  <c r="F68" i="90" s="1"/>
  <c r="F48" i="90"/>
  <c r="G68" i="89"/>
  <c r="H48" i="89"/>
  <c r="AA10" i="78"/>
  <c r="AA13" i="78" s="1"/>
  <c r="AA19" i="78" s="1"/>
  <c r="F10" i="78"/>
  <c r="F13" i="78" s="1"/>
  <c r="F49" i="78"/>
  <c r="E19" i="78"/>
  <c r="D10" i="78"/>
  <c r="D13" i="78" s="1"/>
  <c r="C68" i="78" l="1"/>
  <c r="C73" i="78" s="1"/>
  <c r="X48" i="89"/>
  <c r="BA80" i="90"/>
  <c r="N197" i="86"/>
  <c r="CG42" i="90"/>
  <c r="BZ42" i="90"/>
  <c r="CC68" i="90"/>
  <c r="CD48" i="90"/>
  <c r="CE48" i="90"/>
  <c r="CG49" i="90"/>
  <c r="BZ49" i="90"/>
  <c r="BY49" i="90"/>
  <c r="CD46" i="90"/>
  <c r="CE46" i="90"/>
  <c r="BW46" i="90"/>
  <c r="BX46" i="90"/>
  <c r="Z48" i="89"/>
  <c r="Y68" i="89"/>
  <c r="BV68" i="90"/>
  <c r="BW48" i="90"/>
  <c r="BX48" i="90"/>
  <c r="BQ46" i="90"/>
  <c r="BR46" i="90" s="1"/>
  <c r="BP46" i="90"/>
  <c r="BO68" i="90"/>
  <c r="BQ48" i="90"/>
  <c r="BR48" i="90" s="1"/>
  <c r="BP48" i="90"/>
  <c r="W73" i="89"/>
  <c r="X68" i="89"/>
  <c r="U73" i="89"/>
  <c r="V68" i="89"/>
  <c r="V68" i="78"/>
  <c r="W73" i="78"/>
  <c r="X68" i="78"/>
  <c r="BK49" i="90"/>
  <c r="BS49" i="90"/>
  <c r="T48" i="89"/>
  <c r="AJ49" i="90"/>
  <c r="R42" i="89"/>
  <c r="BB48" i="90"/>
  <c r="R46" i="89"/>
  <c r="T46" i="89"/>
  <c r="N46" i="89"/>
  <c r="BL49" i="90"/>
  <c r="Z48" i="90"/>
  <c r="Y68" i="90"/>
  <c r="Y73" i="90" s="1"/>
  <c r="Y80" i="90" s="1"/>
  <c r="AX49" i="90"/>
  <c r="AQ49" i="90"/>
  <c r="AW49" i="90"/>
  <c r="AN68" i="90"/>
  <c r="AM73" i="90"/>
  <c r="AM80" i="90" s="1"/>
  <c r="BE49" i="90"/>
  <c r="AU68" i="90"/>
  <c r="AT73" i="90"/>
  <c r="AT80" i="90" s="1"/>
  <c r="J48" i="89"/>
  <c r="P48" i="89"/>
  <c r="R48" i="89"/>
  <c r="BI68" i="90"/>
  <c r="BH73" i="90"/>
  <c r="BH80" i="90" s="1"/>
  <c r="BB68" i="90"/>
  <c r="N68" i="78"/>
  <c r="BE19" i="90"/>
  <c r="BD19" i="90"/>
  <c r="BD42" i="90" s="1"/>
  <c r="AR46" i="90"/>
  <c r="AR48" i="90"/>
  <c r="AV42" i="90"/>
  <c r="T42" i="78"/>
  <c r="T46" i="78"/>
  <c r="AX19" i="90"/>
  <c r="AW19" i="90"/>
  <c r="AW42" i="90" s="1"/>
  <c r="AQ19" i="90"/>
  <c r="AP19" i="90"/>
  <c r="AP42" i="90" s="1"/>
  <c r="O13" i="90"/>
  <c r="AO42" i="90"/>
  <c r="AK48" i="90"/>
  <c r="AK46" i="90"/>
  <c r="W48" i="90"/>
  <c r="W46" i="90"/>
  <c r="AA42" i="90"/>
  <c r="J42" i="78"/>
  <c r="J46" i="78"/>
  <c r="P42" i="78"/>
  <c r="P46" i="78"/>
  <c r="R42" i="78"/>
  <c r="R46" i="78"/>
  <c r="BF46" i="90"/>
  <c r="BJ42" i="90"/>
  <c r="BS42" i="90" s="1"/>
  <c r="AD48" i="90"/>
  <c r="AD46" i="90"/>
  <c r="AH42" i="90"/>
  <c r="AY48" i="90"/>
  <c r="AY68" i="90" s="1"/>
  <c r="AY73" i="90" s="1"/>
  <c r="AY46" i="90"/>
  <c r="BC42" i="90"/>
  <c r="L42" i="78"/>
  <c r="L46" i="78"/>
  <c r="AJ19" i="90"/>
  <c r="AI19" i="90"/>
  <c r="AI42" i="90" s="1"/>
  <c r="BK19" i="90"/>
  <c r="BK42" i="90" s="1"/>
  <c r="BL19" i="90"/>
  <c r="V13" i="90"/>
  <c r="AC13" i="90"/>
  <c r="AC19" i="90"/>
  <c r="U49" i="90"/>
  <c r="V49" i="90"/>
  <c r="AC49" i="90"/>
  <c r="H49" i="90"/>
  <c r="O49" i="90"/>
  <c r="AB10" i="90"/>
  <c r="AB13" i="90" s="1"/>
  <c r="CL49" i="90"/>
  <c r="CM49" i="90" s="1"/>
  <c r="CK13" i="90"/>
  <c r="AA49" i="89"/>
  <c r="AB49" i="89" s="1"/>
  <c r="AA49" i="78"/>
  <c r="E48" i="89"/>
  <c r="E46" i="89"/>
  <c r="F46" i="89" s="1"/>
  <c r="K48" i="90"/>
  <c r="K46" i="90"/>
  <c r="L46" i="90" s="1"/>
  <c r="U10" i="90"/>
  <c r="G48" i="78"/>
  <c r="H48" i="78" s="1"/>
  <c r="P42" i="90"/>
  <c r="P46" i="90" s="1"/>
  <c r="AB12" i="89"/>
  <c r="Q19" i="90"/>
  <c r="Q42" i="90" s="1"/>
  <c r="CH19" i="90"/>
  <c r="CH42" i="90" s="1"/>
  <c r="AB71" i="89"/>
  <c r="AB33" i="89"/>
  <c r="AB51" i="89"/>
  <c r="AA42" i="78"/>
  <c r="AA46" i="78" s="1"/>
  <c r="AB4" i="89"/>
  <c r="AB32" i="89"/>
  <c r="AB7" i="89"/>
  <c r="AB10" i="89"/>
  <c r="AB53" i="89"/>
  <c r="AB35" i="89"/>
  <c r="AB72" i="89"/>
  <c r="AB54" i="89"/>
  <c r="AB31" i="89"/>
  <c r="AB39" i="89"/>
  <c r="AB9" i="89"/>
  <c r="CM22" i="90"/>
  <c r="CM31" i="90"/>
  <c r="CM57" i="90"/>
  <c r="CM67" i="90"/>
  <c r="CM23" i="90"/>
  <c r="CM70" i="90"/>
  <c r="AB56" i="89"/>
  <c r="AB64" i="89"/>
  <c r="AB30" i="89"/>
  <c r="AB38" i="89"/>
  <c r="AB36" i="89"/>
  <c r="AB62" i="89"/>
  <c r="AB61" i="89"/>
  <c r="AB52" i="89"/>
  <c r="AB21" i="89"/>
  <c r="AB28" i="89"/>
  <c r="AB25" i="89"/>
  <c r="AB14" i="89"/>
  <c r="N10" i="90"/>
  <c r="AB23" i="89"/>
  <c r="AB57" i="89"/>
  <c r="AB17" i="89"/>
  <c r="AB40" i="89"/>
  <c r="AA13" i="89"/>
  <c r="AB13" i="89" s="1"/>
  <c r="AB26" i="89"/>
  <c r="AB59" i="89"/>
  <c r="AB5" i="89"/>
  <c r="AB6" i="89"/>
  <c r="AB34" i="89"/>
  <c r="AB41" i="89"/>
  <c r="I42" i="90"/>
  <c r="J19" i="90"/>
  <c r="J42" i="90" s="1"/>
  <c r="M19" i="90"/>
  <c r="V19" i="90" s="1"/>
  <c r="AB27" i="89"/>
  <c r="AB16" i="89"/>
  <c r="AB24" i="89"/>
  <c r="AB55" i="89"/>
  <c r="AB15" i="89"/>
  <c r="AB22" i="89"/>
  <c r="AB37" i="89"/>
  <c r="AB11" i="89"/>
  <c r="AB69" i="89"/>
  <c r="AB67" i="89"/>
  <c r="AB29" i="89"/>
  <c r="AB20" i="89"/>
  <c r="AB50" i="89"/>
  <c r="AB66" i="89"/>
  <c r="AB60" i="89"/>
  <c r="AB65" i="89"/>
  <c r="AB8" i="89"/>
  <c r="AB70" i="89"/>
  <c r="AB63" i="89"/>
  <c r="CM55" i="90"/>
  <c r="CM9" i="90"/>
  <c r="CM20" i="90"/>
  <c r="CM11" i="90"/>
  <c r="CM33" i="90"/>
  <c r="CM24" i="90"/>
  <c r="CM37" i="90"/>
  <c r="CM59" i="90"/>
  <c r="CM10" i="90"/>
  <c r="CM32" i="90"/>
  <c r="CM61" i="90"/>
  <c r="CM41" i="90"/>
  <c r="CM52" i="90"/>
  <c r="CM53" i="90"/>
  <c r="CM36" i="90"/>
  <c r="CM6" i="90"/>
  <c r="CM30" i="90"/>
  <c r="CM21" i="90"/>
  <c r="CM17" i="90"/>
  <c r="CM40" i="90"/>
  <c r="CM38" i="90"/>
  <c r="CM71" i="90"/>
  <c r="CM63" i="90"/>
  <c r="CM7" i="90"/>
  <c r="CM39" i="90"/>
  <c r="CM72" i="90"/>
  <c r="CM62" i="90"/>
  <c r="CM51" i="90"/>
  <c r="CM35" i="90"/>
  <c r="CM26" i="90"/>
  <c r="CM54" i="90"/>
  <c r="CM16" i="90"/>
  <c r="CM50" i="90"/>
  <c r="CM15" i="90"/>
  <c r="CM65" i="90"/>
  <c r="CM4" i="90"/>
  <c r="CM56" i="90"/>
  <c r="CM27" i="90"/>
  <c r="CM66" i="90"/>
  <c r="CM12" i="90"/>
  <c r="CM58" i="90"/>
  <c r="CM34" i="90"/>
  <c r="CM8" i="90"/>
  <c r="CM64" i="90"/>
  <c r="CM69" i="90"/>
  <c r="CL13" i="90"/>
  <c r="CM13" i="90" s="1"/>
  <c r="G19" i="90"/>
  <c r="D19" i="90"/>
  <c r="D42" i="90" s="1"/>
  <c r="H10" i="90"/>
  <c r="H13" i="90" s="1"/>
  <c r="CM28" i="90"/>
  <c r="CM29" i="90"/>
  <c r="CM25" i="90"/>
  <c r="CM5" i="90"/>
  <c r="CM60" i="90"/>
  <c r="U19" i="90"/>
  <c r="CJ42" i="90"/>
  <c r="CK19" i="90"/>
  <c r="E73" i="90"/>
  <c r="S48" i="90"/>
  <c r="R68" i="90"/>
  <c r="G73" i="89"/>
  <c r="H68" i="89"/>
  <c r="AB37" i="78"/>
  <c r="AB7" i="78"/>
  <c r="F19" i="78"/>
  <c r="F42" i="78" s="1"/>
  <c r="E42" i="78"/>
  <c r="D19" i="78"/>
  <c r="E80" i="90" l="1"/>
  <c r="G197" i="86"/>
  <c r="G199" i="86" s="1"/>
  <c r="BZ46" i="90"/>
  <c r="BY46" i="90"/>
  <c r="CG46" i="90"/>
  <c r="CF46" i="90"/>
  <c r="BO73" i="90"/>
  <c r="BO80" i="90" s="1"/>
  <c r="BQ68" i="90"/>
  <c r="BP68" i="90"/>
  <c r="Y73" i="89"/>
  <c r="Z68" i="89"/>
  <c r="BZ48" i="90"/>
  <c r="BY48" i="90"/>
  <c r="CG48" i="90"/>
  <c r="CF48" i="90"/>
  <c r="BV73" i="90"/>
  <c r="BW68" i="90"/>
  <c r="BX68" i="90"/>
  <c r="CD68" i="90"/>
  <c r="CE68" i="90"/>
  <c r="CC73" i="90"/>
  <c r="O197" i="86"/>
  <c r="O199" i="86" s="1"/>
  <c r="N199" i="86"/>
  <c r="M197" i="86"/>
  <c r="M199" i="86" s="1"/>
  <c r="L197" i="86"/>
  <c r="L199" i="86" s="1"/>
  <c r="J197" i="86"/>
  <c r="T68" i="89"/>
  <c r="N48" i="89"/>
  <c r="Z68" i="90"/>
  <c r="N68" i="89"/>
  <c r="R68" i="89"/>
  <c r="P68" i="89"/>
  <c r="J68" i="89"/>
  <c r="AJ42" i="90"/>
  <c r="AX42" i="90"/>
  <c r="BL42" i="90"/>
  <c r="AE46" i="90"/>
  <c r="AH46" i="90"/>
  <c r="AE48" i="90"/>
  <c r="AH48" i="90"/>
  <c r="AD68" i="90"/>
  <c r="T48" i="78"/>
  <c r="AZ48" i="90"/>
  <c r="BC48" i="90"/>
  <c r="P48" i="78"/>
  <c r="BG48" i="90"/>
  <c r="BJ48" i="90"/>
  <c r="BS48" i="90" s="1"/>
  <c r="O253" i="75"/>
  <c r="O255" i="75" s="1"/>
  <c r="X46" i="90"/>
  <c r="AA46" i="90"/>
  <c r="AB46" i="90" s="1"/>
  <c r="J48" i="78"/>
  <c r="BG46" i="90"/>
  <c r="BJ46" i="90"/>
  <c r="BS46" i="90" s="1"/>
  <c r="W68" i="90"/>
  <c r="X48" i="90"/>
  <c r="AA48" i="90"/>
  <c r="AB48" i="90" s="1"/>
  <c r="L48" i="78"/>
  <c r="R48" i="78"/>
  <c r="AL46" i="90"/>
  <c r="AO46" i="90"/>
  <c r="AS48" i="90"/>
  <c r="AV48" i="90"/>
  <c r="AR68" i="90"/>
  <c r="AZ46" i="90"/>
  <c r="BC46" i="90"/>
  <c r="AL48" i="90"/>
  <c r="AO48" i="90"/>
  <c r="AK68" i="90"/>
  <c r="AS46" i="90"/>
  <c r="AV46" i="90"/>
  <c r="AQ42" i="90"/>
  <c r="BE42" i="90"/>
  <c r="N19" i="90"/>
  <c r="N42" i="90" s="1"/>
  <c r="O19" i="90"/>
  <c r="U13" i="90"/>
  <c r="U42" i="90"/>
  <c r="D68" i="89"/>
  <c r="F48" i="89"/>
  <c r="E68" i="89"/>
  <c r="K68" i="90"/>
  <c r="K73" i="90" s="1"/>
  <c r="L48" i="90"/>
  <c r="G68" i="78"/>
  <c r="P48" i="90"/>
  <c r="P68" i="90" s="1"/>
  <c r="T42" i="90"/>
  <c r="CI19" i="90"/>
  <c r="AA48" i="78"/>
  <c r="AA68" i="78" s="1"/>
  <c r="AA73" i="78" s="1"/>
  <c r="AA19" i="89"/>
  <c r="AB19" i="89" s="1"/>
  <c r="I48" i="90"/>
  <c r="M42" i="90"/>
  <c r="I46" i="90"/>
  <c r="N13" i="90"/>
  <c r="CL19" i="90"/>
  <c r="CL42" i="90" s="1"/>
  <c r="H19" i="90"/>
  <c r="H42" i="90" s="1"/>
  <c r="G42" i="90"/>
  <c r="C48" i="90"/>
  <c r="C68" i="90" s="1"/>
  <c r="T46" i="90"/>
  <c r="Q46" i="90"/>
  <c r="CH46" i="90"/>
  <c r="CI46" i="90" s="1"/>
  <c r="CH48" i="90"/>
  <c r="CI42" i="90"/>
  <c r="CJ48" i="90"/>
  <c r="CJ46" i="90"/>
  <c r="CK46" i="90" s="1"/>
  <c r="CK42" i="90"/>
  <c r="R73" i="90"/>
  <c r="S68" i="90"/>
  <c r="AB54" i="78"/>
  <c r="AB63" i="78"/>
  <c r="AB12" i="78"/>
  <c r="AB58" i="78"/>
  <c r="AB10" i="78"/>
  <c r="AB52" i="78"/>
  <c r="AB57" i="78"/>
  <c r="AB60" i="78"/>
  <c r="AB59" i="78"/>
  <c r="AB9" i="78"/>
  <c r="AB40" i="78"/>
  <c r="AB53" i="78"/>
  <c r="AB67" i="78"/>
  <c r="AB35" i="78"/>
  <c r="AB15" i="78"/>
  <c r="AB16" i="78"/>
  <c r="AB61" i="78"/>
  <c r="AB5" i="78"/>
  <c r="AB8" i="78"/>
  <c r="AB64" i="78"/>
  <c r="AB36" i="78"/>
  <c r="AB32" i="78"/>
  <c r="AB34" i="78"/>
  <c r="AB4" i="78"/>
  <c r="AB39" i="78"/>
  <c r="AB66" i="78"/>
  <c r="AB6" i="78"/>
  <c r="AB65" i="78"/>
  <c r="AB55" i="78"/>
  <c r="AB62" i="78"/>
  <c r="AB56" i="78"/>
  <c r="AB69" i="78"/>
  <c r="E48" i="78"/>
  <c r="E46" i="78"/>
  <c r="C73" i="90" l="1"/>
  <c r="C80" i="90" s="1"/>
  <c r="R197" i="86"/>
  <c r="R199" i="86" s="1"/>
  <c r="CC80" i="90"/>
  <c r="Q197" i="86"/>
  <c r="BV80" i="90"/>
  <c r="I197" i="86"/>
  <c r="R80" i="90"/>
  <c r="H197" i="86"/>
  <c r="K80" i="90"/>
  <c r="P197" i="86"/>
  <c r="P199" i="86" s="1"/>
  <c r="CF68" i="90"/>
  <c r="CE73" i="90"/>
  <c r="CE80" i="90" s="1"/>
  <c r="CG68" i="90"/>
  <c r="BQ73" i="90"/>
  <c r="BQ80" i="90" s="1"/>
  <c r="BR68" i="90"/>
  <c r="BY68" i="90"/>
  <c r="BX73" i="90"/>
  <c r="BX80" i="90" s="1"/>
  <c r="BZ68" i="90"/>
  <c r="J199" i="86"/>
  <c r="AZ68" i="90"/>
  <c r="BC68" i="90"/>
  <c r="BC73" i="90" s="1"/>
  <c r="AY80" i="90"/>
  <c r="AS68" i="90"/>
  <c r="AR73" i="90"/>
  <c r="AR80" i="90" s="1"/>
  <c r="AV68" i="90"/>
  <c r="AX48" i="90"/>
  <c r="AW48" i="90"/>
  <c r="J68" i="78"/>
  <c r="BG68" i="90"/>
  <c r="BJ68" i="90"/>
  <c r="BS68" i="90" s="1"/>
  <c r="P68" i="78"/>
  <c r="BE46" i="90"/>
  <c r="BD46" i="90"/>
  <c r="BL46" i="90"/>
  <c r="BK46" i="90"/>
  <c r="AP46" i="90"/>
  <c r="AQ46" i="90"/>
  <c r="R68" i="78"/>
  <c r="AI48" i="90"/>
  <c r="AJ48" i="90"/>
  <c r="AL68" i="90"/>
  <c r="AK73" i="90"/>
  <c r="AK80" i="90" s="1"/>
  <c r="AO68" i="90"/>
  <c r="L68" i="78"/>
  <c r="BK48" i="90"/>
  <c r="BL48" i="90"/>
  <c r="AI46" i="90"/>
  <c r="AJ46" i="90"/>
  <c r="X68" i="90"/>
  <c r="W73" i="90"/>
  <c r="AA68" i="90"/>
  <c r="BE48" i="90"/>
  <c r="BD48" i="90"/>
  <c r="T68" i="78"/>
  <c r="AE68" i="90"/>
  <c r="AD73" i="90"/>
  <c r="AD80" i="90" s="1"/>
  <c r="AH68" i="90"/>
  <c r="AW46" i="90"/>
  <c r="AX46" i="90"/>
  <c r="AP48" i="90"/>
  <c r="AQ48" i="90"/>
  <c r="O42" i="90"/>
  <c r="AC46" i="90"/>
  <c r="V42" i="90"/>
  <c r="AC42" i="90"/>
  <c r="H68" i="78"/>
  <c r="G73" i="78"/>
  <c r="F68" i="89"/>
  <c r="E73" i="89"/>
  <c r="L68" i="90"/>
  <c r="Q48" i="90"/>
  <c r="T48" i="90"/>
  <c r="AA42" i="89"/>
  <c r="AA48" i="89" s="1"/>
  <c r="M46" i="90"/>
  <c r="N46" i="90" s="1"/>
  <c r="J46" i="90"/>
  <c r="I68" i="90"/>
  <c r="M68" i="90" s="1"/>
  <c r="M73" i="90" s="1"/>
  <c r="M80" i="90" s="1"/>
  <c r="M48" i="90"/>
  <c r="N48" i="90" s="1"/>
  <c r="J48" i="90"/>
  <c r="CM19" i="90"/>
  <c r="G46" i="90"/>
  <c r="D46" i="90"/>
  <c r="D48" i="90"/>
  <c r="G48" i="90"/>
  <c r="CL46" i="90"/>
  <c r="CM46" i="90" s="1"/>
  <c r="CM42" i="90"/>
  <c r="CL48" i="90"/>
  <c r="CJ68" i="90"/>
  <c r="CK48" i="90"/>
  <c r="CH68" i="90"/>
  <c r="CI48" i="90"/>
  <c r="Q68" i="90"/>
  <c r="P73" i="90"/>
  <c r="T68" i="90"/>
  <c r="U46" i="90"/>
  <c r="F46" i="78"/>
  <c r="E68" i="78"/>
  <c r="F48" i="78"/>
  <c r="P80" i="90" l="1"/>
  <c r="I253" i="75"/>
  <c r="I255" i="75" s="1"/>
  <c r="G253" i="75"/>
  <c r="G255" i="75" s="1"/>
  <c r="BF80" i="90"/>
  <c r="J253" i="75"/>
  <c r="J255" i="75" s="1"/>
  <c r="W80" i="90"/>
  <c r="BZ73" i="90"/>
  <c r="CG73" i="90"/>
  <c r="N253" i="75"/>
  <c r="N255" i="75" s="1"/>
  <c r="M253" i="75"/>
  <c r="M255" i="75" s="1"/>
  <c r="L253" i="75"/>
  <c r="L255" i="75" s="1"/>
  <c r="K253" i="75"/>
  <c r="K255" i="75" s="1"/>
  <c r="O48" i="90"/>
  <c r="O46" i="90"/>
  <c r="AW68" i="90"/>
  <c r="AV73" i="90"/>
  <c r="AV80" i="90" s="1"/>
  <c r="AX68" i="90"/>
  <c r="AI68" i="90"/>
  <c r="AJ68" i="90"/>
  <c r="AH73" i="90"/>
  <c r="AH80" i="90" s="1"/>
  <c r="BE68" i="90"/>
  <c r="BD68" i="90"/>
  <c r="BC80" i="90"/>
  <c r="AQ68" i="90"/>
  <c r="AO73" i="90"/>
  <c r="AO80" i="90" s="1"/>
  <c r="AP68" i="90"/>
  <c r="AB68" i="90"/>
  <c r="AA73" i="90"/>
  <c r="AA80" i="90" s="1"/>
  <c r="BJ73" i="90"/>
  <c r="BJ80" i="90" s="1"/>
  <c r="BK68" i="90"/>
  <c r="BL68" i="90"/>
  <c r="U48" i="90"/>
  <c r="V48" i="90"/>
  <c r="AC48" i="90"/>
  <c r="V46" i="90"/>
  <c r="AC68" i="90"/>
  <c r="I199" i="86"/>
  <c r="E73" i="78"/>
  <c r="F68" i="78"/>
  <c r="AB42" i="89"/>
  <c r="AA46" i="89"/>
  <c r="AB46" i="89" s="1"/>
  <c r="I73" i="90"/>
  <c r="H253" i="75" s="1"/>
  <c r="J68" i="90"/>
  <c r="H48" i="90"/>
  <c r="G68" i="90"/>
  <c r="D68" i="90"/>
  <c r="H46" i="90"/>
  <c r="U68" i="90"/>
  <c r="T73" i="90"/>
  <c r="T80" i="90" s="1"/>
  <c r="CJ73" i="90"/>
  <c r="CK68" i="90"/>
  <c r="CM48" i="90"/>
  <c r="CL68" i="90"/>
  <c r="CI68" i="90"/>
  <c r="CH73" i="90"/>
  <c r="AA68" i="89"/>
  <c r="AB48" i="89"/>
  <c r="H255" i="75" l="1"/>
  <c r="I80" i="90"/>
  <c r="Q199" i="86"/>
  <c r="BS73" i="90"/>
  <c r="AJ73" i="90"/>
  <c r="BL73" i="90"/>
  <c r="AQ73" i="90"/>
  <c r="O68" i="90"/>
  <c r="V68" i="90"/>
  <c r="AX73" i="90"/>
  <c r="BE73" i="90"/>
  <c r="V73" i="90"/>
  <c r="AC73" i="90"/>
  <c r="H199" i="86"/>
  <c r="N68" i="90"/>
  <c r="H68" i="90"/>
  <c r="G73" i="90"/>
  <c r="CL73" i="90"/>
  <c r="CM68" i="90"/>
  <c r="AB68" i="89"/>
  <c r="AA73" i="89"/>
  <c r="AB33" i="78"/>
  <c r="O73" i="90" l="1"/>
  <c r="G80" i="90"/>
  <c r="AB27" i="78"/>
  <c r="AB38" i="78"/>
  <c r="AB26" i="78"/>
  <c r="AB31" i="78"/>
  <c r="AB25" i="78" l="1"/>
  <c r="AB30" i="78"/>
  <c r="AB28" i="78"/>
  <c r="AB29" i="78"/>
  <c r="AB70" i="78" l="1"/>
  <c r="AB23" i="78" l="1"/>
  <c r="AB47" i="78"/>
  <c r="AB72" i="78"/>
  <c r="AB71" i="78"/>
  <c r="AB22" i="78"/>
  <c r="AB45" i="78" l="1"/>
  <c r="AB14" i="78"/>
  <c r="AB24" i="78"/>
  <c r="AB41" i="78"/>
  <c r="AB17" i="78"/>
  <c r="AB20" i="78" l="1"/>
  <c r="AB21" i="78"/>
  <c r="AB11" i="78"/>
  <c r="AB43" i="78"/>
  <c r="AB44" i="78"/>
  <c r="D49" i="78"/>
  <c r="AB51" i="78" l="1"/>
  <c r="AB13" i="78"/>
  <c r="AB19" i="78" l="1"/>
  <c r="AB49" i="78"/>
  <c r="AB50" i="78"/>
  <c r="AB42" i="78" l="1"/>
  <c r="AB46" i="78"/>
  <c r="AB48" i="78" l="1"/>
  <c r="AB68" i="78" l="1"/>
  <c r="M148" i="3" l="1"/>
  <c r="M150" i="3" s="1"/>
  <c r="H148" i="3" l="1"/>
  <c r="H150" i="3" s="1"/>
  <c r="G150" i="3" l="1"/>
  <c r="D42" i="78"/>
  <c r="D48" i="78" l="1"/>
  <c r="D46" i="78"/>
  <c r="D68" i="7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Jones Rerisson de Lima</author>
  </authors>
  <commentList>
    <comment ref="F158" authorId="0" shapeId="0" xr:uid="{00000000-0006-0000-0400-000001000000}">
      <text>
        <r>
          <rPr>
            <b/>
            <sz val="9"/>
            <color indexed="81"/>
            <rFont val="Segoe UI"/>
            <charset val="1"/>
          </rPr>
          <t>Jones Rerisson de Lima:</t>
        </r>
        <r>
          <rPr>
            <sz val="9"/>
            <color indexed="81"/>
            <rFont val="Segoe UI"/>
            <charset val="1"/>
          </rPr>
          <t xml:space="preserve">
puxar relatório:
contas a pagar - baixadas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Vieira Machado Lima</author>
  </authors>
  <commentList>
    <comment ref="J114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Juliana Vieira Machado Lima:</t>
        </r>
        <r>
          <rPr>
            <sz val="9"/>
            <color indexed="81"/>
            <rFont val="Segoe UI"/>
            <family val="2"/>
          </rPr>
          <t xml:space="preserve">
Valor alterado manualmente</t>
        </r>
      </text>
    </comment>
  </commentList>
</comments>
</file>

<file path=xl/sharedStrings.xml><?xml version="1.0" encoding="utf-8"?>
<sst xmlns="http://schemas.openxmlformats.org/spreadsheetml/2006/main" count="5571" uniqueCount="1233">
  <si>
    <t>Rubrica</t>
  </si>
  <si>
    <t>Conta</t>
  </si>
  <si>
    <t>Descrição</t>
  </si>
  <si>
    <t>TOTAL</t>
  </si>
  <si>
    <t>Saída de Caixa</t>
  </si>
  <si>
    <t>IPTU</t>
  </si>
  <si>
    <t>Telefonia Fixa</t>
  </si>
  <si>
    <t>Telefonia Móvel</t>
  </si>
  <si>
    <t>Outras</t>
  </si>
  <si>
    <t xml:space="preserve">Despesas Baixadas </t>
  </si>
  <si>
    <t>Validação</t>
  </si>
  <si>
    <t>MAIO</t>
  </si>
  <si>
    <t>( - ) Deduções</t>
  </si>
  <si>
    <t>( = ) Margem de Venda</t>
  </si>
  <si>
    <t>( - ) Impostos Sobre Vendas</t>
  </si>
  <si>
    <t>( + ) Entradas de Fornecedores</t>
  </si>
  <si>
    <t>Lucro Bruto</t>
  </si>
  <si>
    <t>Seguros</t>
  </si>
  <si>
    <t>Total de custos operacionais</t>
  </si>
  <si>
    <t>Lucro das operações</t>
  </si>
  <si>
    <t>Resultado Financeiro</t>
  </si>
  <si>
    <t>Receita Financeira</t>
  </si>
  <si>
    <t>Despesas Financeiras</t>
  </si>
  <si>
    <t>Lucro antes do Imposto de Renda</t>
  </si>
  <si>
    <t>Despesa de Imposto de Renda</t>
  </si>
  <si>
    <t>Lucro líquido</t>
  </si>
  <si>
    <t>Investimentos e Financiamentos</t>
  </si>
  <si>
    <t>Saídas</t>
  </si>
  <si>
    <t>Empréstimos &amp; Financ Bancários</t>
  </si>
  <si>
    <t>Investimentos</t>
  </si>
  <si>
    <t>Entradas</t>
  </si>
  <si>
    <t>Financiamentos</t>
  </si>
  <si>
    <t>Venda Imobilizados</t>
  </si>
  <si>
    <t>Necessidade de Capital de Giro</t>
  </si>
  <si>
    <t>Sócios</t>
  </si>
  <si>
    <t>Resgate</t>
  </si>
  <si>
    <t>Aplicações</t>
  </si>
  <si>
    <t>Transitórios</t>
  </si>
  <si>
    <t>Comerciais</t>
  </si>
  <si>
    <t>Parcelamentos Tributários</t>
  </si>
  <si>
    <t>Água e Esgoto</t>
  </si>
  <si>
    <t>Taxas DE Cartões de Crédito</t>
  </si>
  <si>
    <t>VARIAÇÃO DE SALDOS</t>
  </si>
  <si>
    <t>Internet</t>
  </si>
  <si>
    <t>Rede de Dados</t>
  </si>
  <si>
    <t xml:space="preserve">DEMONSTRAÇÃO FINANCEIRA </t>
  </si>
  <si>
    <t>JAN3</t>
  </si>
  <si>
    <t>FEV3</t>
  </si>
  <si>
    <t>MAR3</t>
  </si>
  <si>
    <t>ABR3</t>
  </si>
  <si>
    <t>MAI3</t>
  </si>
  <si>
    <t>JUN3</t>
  </si>
  <si>
    <t>JUL3</t>
  </si>
  <si>
    <t>AGO3</t>
  </si>
  <si>
    <t>SET3</t>
  </si>
  <si>
    <t>OUT3</t>
  </si>
  <si>
    <t>NOV3</t>
  </si>
  <si>
    <t>DEZ3</t>
  </si>
  <si>
    <t>JANEIRO</t>
  </si>
  <si>
    <t>FEVEREIRO</t>
  </si>
  <si>
    <t>MARÇO</t>
  </si>
  <si>
    <t>ABRIL</t>
  </si>
  <si>
    <t>JUNHO</t>
  </si>
  <si>
    <t>JULHO</t>
  </si>
  <si>
    <t>AGOSTO</t>
  </si>
  <si>
    <t>SETEMBRO</t>
  </si>
  <si>
    <t>OUTUBRO</t>
  </si>
  <si>
    <t>NOVEMBRO</t>
  </si>
  <si>
    <t>DEZEMBRO</t>
  </si>
  <si>
    <t>Δ</t>
  </si>
  <si>
    <t>Iden</t>
  </si>
  <si>
    <t>Class</t>
  </si>
  <si>
    <t>Descrição Contrapartida</t>
  </si>
  <si>
    <t>E</t>
  </si>
  <si>
    <t>Caixa - P.D.Vs</t>
  </si>
  <si>
    <t>Contas Vinculadas - Sicredi [ PIX ]</t>
  </si>
  <si>
    <t>Contratos de Empréstimos e Financiamentos a Liberar</t>
  </si>
  <si>
    <t>Títulos de Clientes a Receber</t>
  </si>
  <si>
    <t>Títulos de Clientes a Receber - BOLETOS</t>
  </si>
  <si>
    <t>Títulos de Convênios a Receber</t>
  </si>
  <si>
    <t>Títulos de Clientes a Receber - Ifood</t>
  </si>
  <si>
    <t>Títulos de Clientes a Receber - PIX POS SAFRA</t>
  </si>
  <si>
    <t>Títulos de Clientes Coligadas a Receber</t>
  </si>
  <si>
    <t xml:space="preserve">Cartão Crédito Mastercard </t>
  </si>
  <si>
    <t xml:space="preserve">Cartão Crédito Visanet </t>
  </si>
  <si>
    <t xml:space="preserve">Cartão Crédito Dinners </t>
  </si>
  <si>
    <t xml:space="preserve">Cartão Crédito American Express </t>
  </si>
  <si>
    <t xml:space="preserve">Cartão Crédito Elo </t>
  </si>
  <si>
    <t xml:space="preserve">Cartão Crédito Hipercard </t>
  </si>
  <si>
    <t>Cartão Débito Mastercad Maestro</t>
  </si>
  <si>
    <t xml:space="preserve">Cartão Débito Visa Electron </t>
  </si>
  <si>
    <t xml:space="preserve">Cartão Débito Elo </t>
  </si>
  <si>
    <t xml:space="preserve">Ticket Alimentação </t>
  </si>
  <si>
    <t xml:space="preserve">Ticket Refeição </t>
  </si>
  <si>
    <t>Alelo Alimentação</t>
  </si>
  <si>
    <t>Sodexho Alimentação</t>
  </si>
  <si>
    <t>VR Alimentação</t>
  </si>
  <si>
    <t>Valecard</t>
  </si>
  <si>
    <t>Good Card Alimentação/Refeição</t>
  </si>
  <si>
    <t>GreenCard Alimentação</t>
  </si>
  <si>
    <t>GreenCard Refeição</t>
  </si>
  <si>
    <t>Ben Vale Alimentação</t>
  </si>
  <si>
    <t>Créditos Por Devoluções de Mercadorias - BOLETO</t>
  </si>
  <si>
    <t>Outras Contas a Receber - Clientes</t>
  </si>
  <si>
    <t>Outras Contas a Receber - Fornecedores</t>
  </si>
  <si>
    <t>Adiantamento Desp. Médica e Odontológica</t>
  </si>
  <si>
    <t xml:space="preserve">Adiantamento Para Viagens </t>
  </si>
  <si>
    <t xml:space="preserve">Adiantamento Para Despesas </t>
  </si>
  <si>
    <t>Mútuos e Empréstimos a Receber - LP</t>
  </si>
  <si>
    <t>Créditos Com Coligadas - LP</t>
  </si>
  <si>
    <t>( - ) Enc. Fin. a Incorrer - Empréstimos Bco. Do B</t>
  </si>
  <si>
    <t>( - ) Enc. Fin. a Incorrer - Empréstimos Bco. Safra</t>
  </si>
  <si>
    <t>( - ) Enc. Fin. a Incorrer - Empréstimos BNB</t>
  </si>
  <si>
    <t>( - ) Enc. Fin. a Incorrer - Empréstimos Daycoval</t>
  </si>
  <si>
    <t>( - ) Enc. Fin. a Incorrer - Empréstimos Sicredi</t>
  </si>
  <si>
    <t>( - ) Enc. Fin. a Incorrer - Empréstimos CEF</t>
  </si>
  <si>
    <t>( - ) Enc. Fin. a Incorrer - Financ. BNB</t>
  </si>
  <si>
    <t>Conta Garantida - Itaú</t>
  </si>
  <si>
    <t>Adiantamentos de Fornecedores - Acordos Futuros</t>
  </si>
  <si>
    <t>EFIN</t>
  </si>
  <si>
    <t>Rendimentos de Aplicações Financeiras</t>
  </si>
  <si>
    <t>Juros Ativos</t>
  </si>
  <si>
    <t xml:space="preserve">Descontos Financeiros Obtidos </t>
  </si>
  <si>
    <t>Outras Receitas Operacionais - Troco DDM</t>
  </si>
  <si>
    <t>Anuidades e Outras Tarifas de Cartões</t>
  </si>
  <si>
    <t>Encargos Sobre Tributos - Dedutíveis</t>
  </si>
  <si>
    <t xml:space="preserve">Descontos Financeiros Concedidos </t>
  </si>
  <si>
    <t>SFIN</t>
  </si>
  <si>
    <t>S</t>
  </si>
  <si>
    <t>IRRF Sobre Rendimentos de Apl. Finan. a Recuperar</t>
  </si>
  <si>
    <t>Despesas Faturadas Antecipadamente</t>
  </si>
  <si>
    <t>Sicredi - Conta Capital</t>
  </si>
  <si>
    <t xml:space="preserve">Fornecedores de Mercadorias p/ Revenda </t>
  </si>
  <si>
    <t>Fornecedores de Matéria-Prima</t>
  </si>
  <si>
    <t xml:space="preserve">Fornecedores de Mercadorias p/ Consumo </t>
  </si>
  <si>
    <t xml:space="preserve">Fornecedores de Serviços </t>
  </si>
  <si>
    <t>Fornecedores de Mercadorias - Coligadas</t>
  </si>
  <si>
    <t xml:space="preserve">Obrigações por Aquisição de Imobilizado </t>
  </si>
  <si>
    <t xml:space="preserve">Férias a Pagar </t>
  </si>
  <si>
    <t>Rescisões a Pagar</t>
  </si>
  <si>
    <t>Funcionários a Pagar</t>
  </si>
  <si>
    <t>INSS s/ Serviços de Terceiros à Recolher</t>
  </si>
  <si>
    <t>Encargos Trabalhistas e Prev. à Pagar</t>
  </si>
  <si>
    <t>Empréstimos a Pagar Bco. Do Brasil</t>
  </si>
  <si>
    <t>Empréstimos a Pagar Bco. Safra</t>
  </si>
  <si>
    <t>Empréstimos a Pagar BNB</t>
  </si>
  <si>
    <t>Empréstimos a Pagar Sicredi</t>
  </si>
  <si>
    <t>Empréstimos a Pagar CEF</t>
  </si>
  <si>
    <t>Empréstimos a Pagar Bco. Daycoval</t>
  </si>
  <si>
    <t>Financiamentos Bco. Bradesco</t>
  </si>
  <si>
    <t>Financiamentos BNB</t>
  </si>
  <si>
    <t>Finimp - Bco. Safra</t>
  </si>
  <si>
    <t>Finimp - Bco. Santander</t>
  </si>
  <si>
    <t>ICMS Antecipado a Recolher</t>
  </si>
  <si>
    <t>IRRF s/ Serviços a Recolher</t>
  </si>
  <si>
    <t>IRRF s/ Alugueis a Recolher</t>
  </si>
  <si>
    <t>CSRF s/ Serviços a Recolher - 4,65%</t>
  </si>
  <si>
    <t>Funrural a Recolher</t>
  </si>
  <si>
    <t>FECOEP a Recolher</t>
  </si>
  <si>
    <t>FECOEP Antecipado a Recolher</t>
  </si>
  <si>
    <t>Tributos Federais a Pagar</t>
  </si>
  <si>
    <t>Tributos Estaduais a Pagar</t>
  </si>
  <si>
    <t>Tributos Municipais a Pagar</t>
  </si>
  <si>
    <t>Parcelamentos Tributários Federais a Pagar</t>
  </si>
  <si>
    <t>Parcelamentos Tributários Estaduais a Pagar</t>
  </si>
  <si>
    <t>Outras Contas a Pagar - Fornecedor</t>
  </si>
  <si>
    <t xml:space="preserve">Seguros a Pagar </t>
  </si>
  <si>
    <t>Alugueis e Condomínios a Pagar</t>
  </si>
  <si>
    <t>Outras Contas a Pagar - Colaborador</t>
  </si>
  <si>
    <t>Troco Solidário a Pagar</t>
  </si>
  <si>
    <t>Adiantamento de Clientes</t>
  </si>
  <si>
    <t>Devolução de Vendas - Dinheiro</t>
  </si>
  <si>
    <t>Crédito Cliente - Devolução e-commerce</t>
  </si>
  <si>
    <t>Ressarcimento a Cliente - Dinheiro</t>
  </si>
  <si>
    <t>Adiantamentos a Liberar - Fornecedor</t>
  </si>
  <si>
    <t>Adiantamentos a Liberar - Colaborador</t>
  </si>
  <si>
    <t>Adiantamentos a Liberar - Importação de Mercadorias</t>
  </si>
  <si>
    <t>Parcelamentos Tributários Federais a Pagar - LP</t>
  </si>
  <si>
    <t>Parcelamentos Tributários Estaduais a Pagar - LP</t>
  </si>
  <si>
    <t>Mútuos e Outros Empréstimos a Pagar - LP</t>
  </si>
  <si>
    <t>Conta Corrente Sócios Quotistas - LP</t>
  </si>
  <si>
    <t>Obrigações com Coligadas - LP</t>
  </si>
  <si>
    <t>IRRF (Exclusivo na Fonte)</t>
  </si>
  <si>
    <t>Tarifas Bancárias ( Exceto sobre Empréstimos)</t>
  </si>
  <si>
    <t>Tarifa Adm. PIX</t>
  </si>
  <si>
    <t xml:space="preserve">Taxa Adm. Mastercard </t>
  </si>
  <si>
    <t>Taxa Adm. Mastercard Maestro (Rede Shop)</t>
  </si>
  <si>
    <t>Taxa Adm. Visa Crédito</t>
  </si>
  <si>
    <t>Taxa Adm. Visa Electron</t>
  </si>
  <si>
    <t xml:space="preserve">Taxa Adm. Dinners Club </t>
  </si>
  <si>
    <t xml:space="preserve">Taxa Adm. American Express </t>
  </si>
  <si>
    <t>Taxa Adm. Elo Crédito</t>
  </si>
  <si>
    <t>Taxa Adm. Elo Débito</t>
  </si>
  <si>
    <t>Taxa Adm. Hipercard Crédito</t>
  </si>
  <si>
    <t xml:space="preserve">Taxa Adm. Ticket Alimentação </t>
  </si>
  <si>
    <t xml:space="preserve">Taxa Adm. Ticket Refeição </t>
  </si>
  <si>
    <t>Taxa Adm. Visa Vale Alimentação</t>
  </si>
  <si>
    <t xml:space="preserve">Taxa Adm. Sodexho Alimentação </t>
  </si>
  <si>
    <t>Taxa Adm. VR Benefícios</t>
  </si>
  <si>
    <t>Taxa Adm. Ticket Valecard</t>
  </si>
  <si>
    <t>Taxa Adm. Good Card Alimentação/Refeição</t>
  </si>
  <si>
    <t>Taxa Adm. Ticket GreenCard Alimentação</t>
  </si>
  <si>
    <t>Taxa Adm. Ticket GreenCard Refeição</t>
  </si>
  <si>
    <t>Taxa Adm. Ticket Ben Visa Vale Alimentação</t>
  </si>
  <si>
    <t>Publicidade Institucional</t>
  </si>
  <si>
    <t>Variação Cambial Passiva</t>
  </si>
  <si>
    <t>Encargos de Mora s/ Pagamento de Títulos, Empréstimos e Financiamentos</t>
  </si>
  <si>
    <t xml:space="preserve">Juros Sobre Empréstimos e Financiamentos </t>
  </si>
  <si>
    <t>Tarifas e Comissões s/ Empréstimos e Financiamento</t>
  </si>
  <si>
    <t>IOF - Sobre Empréstimos e Financiamentos</t>
  </si>
  <si>
    <t>IOF - Outras Operações Financeiras</t>
  </si>
  <si>
    <t>Inicial</t>
  </si>
  <si>
    <t>Final</t>
  </si>
  <si>
    <t>Variação</t>
  </si>
  <si>
    <t>Auditoria</t>
  </si>
  <si>
    <t>Vendas Dinheiro</t>
  </si>
  <si>
    <t>Vda_Din</t>
  </si>
  <si>
    <t>Vda_Pix</t>
  </si>
  <si>
    <t>Vendas - PIX</t>
  </si>
  <si>
    <t>Vda_Prazo</t>
  </si>
  <si>
    <t>Vendas - Crédito</t>
  </si>
  <si>
    <t>Vendas - Débito</t>
  </si>
  <si>
    <t>Vendas - Ticket</t>
  </si>
  <si>
    <t>Vendas - Clientes</t>
  </si>
  <si>
    <t>Vda_Credito</t>
  </si>
  <si>
    <t>Vda_Debito</t>
  </si>
  <si>
    <t>Vda_Ticket</t>
  </si>
  <si>
    <t>Vendas - Total</t>
  </si>
  <si>
    <t>S_Deduções</t>
  </si>
  <si>
    <t>( - ) Adiantamentos Utilizados</t>
  </si>
  <si>
    <t>( - ) COMPRAS</t>
  </si>
  <si>
    <t>E_Ligadas</t>
  </si>
  <si>
    <t>C.O.F.I.N.S</t>
  </si>
  <si>
    <t>P.I.S</t>
  </si>
  <si>
    <t>Outras Taxas e Tributos Federais</t>
  </si>
  <si>
    <t>Imp_Vda</t>
  </si>
  <si>
    <t>SOMA</t>
  </si>
  <si>
    <t>E_Fornec</t>
  </si>
  <si>
    <t>I.C.M.S Normal</t>
  </si>
  <si>
    <t>I.P.V.A / Taxas D.E.T.R.A.N</t>
  </si>
  <si>
    <t>I.C.M.S Importação De Mercadorias</t>
  </si>
  <si>
    <t>I.C.M.S Substituição Tributária</t>
  </si>
  <si>
    <t>I.C.M.S Antecipado</t>
  </si>
  <si>
    <t>F.E.C.O.E.P - I.C.M.S Importação De Mercadorias</t>
  </si>
  <si>
    <t>F.E.C.O.E.P - I.C.M.S Substituição Tributária</t>
  </si>
  <si>
    <t>Outras Taxas Estaduais</t>
  </si>
  <si>
    <t>214198/0721</t>
  </si>
  <si>
    <t>214198/0722</t>
  </si>
  <si>
    <t>214198/0723</t>
  </si>
  <si>
    <t>214198/0724</t>
  </si>
  <si>
    <t>214198/0725</t>
  </si>
  <si>
    <t>214198/0727</t>
  </si>
  <si>
    <t>214198/0728</t>
  </si>
  <si>
    <t>214198/0730</t>
  </si>
  <si>
    <t>214197/0702</t>
  </si>
  <si>
    <t>214197/0703</t>
  </si>
  <si>
    <t>214197/0710</t>
  </si>
  <si>
    <t>214199/0731</t>
  </si>
  <si>
    <t>Desp_Aluguel</t>
  </si>
  <si>
    <t>Desp_Seguros</t>
  </si>
  <si>
    <t>( - ) Recuperação de Despesas</t>
  </si>
  <si>
    <t>Desp_TAXA</t>
  </si>
  <si>
    <t>ICMS a Recuperar</t>
  </si>
  <si>
    <t>ICMS Substituição Tributária</t>
  </si>
  <si>
    <t>Outras Entradas de Mercadorias</t>
  </si>
  <si>
    <t>Compra de Matéria-Prima</t>
  </si>
  <si>
    <t>Almoxarifado</t>
  </si>
  <si>
    <t>Importações em Andamento</t>
  </si>
  <si>
    <t>Máquinas e Equipamentos</t>
  </si>
  <si>
    <t>Benfeitorias em Imóveis Próprios</t>
  </si>
  <si>
    <t>Benfeitorias em Imóveis de Terceiros</t>
  </si>
  <si>
    <t xml:space="preserve">Bens em Formação </t>
  </si>
  <si>
    <t>Apropriação Despesa - NFe emitida em Competência Posterior</t>
  </si>
  <si>
    <t xml:space="preserve">Vale Transporte </t>
  </si>
  <si>
    <t>Terceirizados</t>
  </si>
  <si>
    <t>Assistência Médica, Odontológica e Farmacêutica</t>
  </si>
  <si>
    <t>Saúde e Segurança no Trabalho</t>
  </si>
  <si>
    <t>Conduções p/ Colaboradores</t>
  </si>
  <si>
    <t>Fardamentos</t>
  </si>
  <si>
    <t xml:space="preserve">Seleção e Recrutamento de Pessoal </t>
  </si>
  <si>
    <t xml:space="preserve">Confraternizações </t>
  </si>
  <si>
    <t xml:space="preserve">Energia Elétrica </t>
  </si>
  <si>
    <t xml:space="preserve">Gás </t>
  </si>
  <si>
    <t xml:space="preserve">Assessoria e Consultoria </t>
  </si>
  <si>
    <t xml:space="preserve">Advocacia </t>
  </si>
  <si>
    <t>Segurança e Vigilância</t>
  </si>
  <si>
    <t xml:space="preserve">Dedetização </t>
  </si>
  <si>
    <t xml:space="preserve">Coleta de Lixo </t>
  </si>
  <si>
    <t xml:space="preserve">Serviços de Consulta a Crédito </t>
  </si>
  <si>
    <t xml:space="preserve">Lavanderia </t>
  </si>
  <si>
    <t>Manut. de Máquinas e Equipamentos</t>
  </si>
  <si>
    <t xml:space="preserve">Manut. de Móveis e Utensílios </t>
  </si>
  <si>
    <t>Manut. de Ar-Condicionado</t>
  </si>
  <si>
    <t>Manut. de Frio Alimentar</t>
  </si>
  <si>
    <t>Manut. de Elevadores</t>
  </si>
  <si>
    <t>Manut. de Balanças Eletrônicas</t>
  </si>
  <si>
    <t>Manut. de Outros Dispositivos Eletrônicos</t>
  </si>
  <si>
    <t>Manut. de Pintura e Revestimento</t>
  </si>
  <si>
    <t xml:space="preserve">Manut. Hidrosanitária </t>
  </si>
  <si>
    <t xml:space="preserve">Manut. Elétrica / Iluminação </t>
  </si>
  <si>
    <t>Manut. de Esquadrias e Coberta</t>
  </si>
  <si>
    <t>Manut. de Instalações e Equipamentos Contra Incêndio</t>
  </si>
  <si>
    <t xml:space="preserve">Material de Limpeza </t>
  </si>
  <si>
    <t xml:space="preserve">Material de Uso e Consumo </t>
  </si>
  <si>
    <t xml:space="preserve">Suprimentos de Hardware </t>
  </si>
  <si>
    <t>Manutenção e Uso de Softwares</t>
  </si>
  <si>
    <t>Aluguel de Máquinas e Equipamentos</t>
  </si>
  <si>
    <t>Despesas com Assinaturas Digitais</t>
  </si>
  <si>
    <t>Associações de Classe</t>
  </si>
  <si>
    <t>Embalagens e Etiquetas de Produtos</t>
  </si>
  <si>
    <t>Impressos Comerciais</t>
  </si>
  <si>
    <t xml:space="preserve">Fretes Sobre Vendas </t>
  </si>
  <si>
    <t xml:space="preserve">Royalties </t>
  </si>
  <si>
    <t xml:space="preserve">Anúncios de Rua </t>
  </si>
  <si>
    <t>Publicidade Promocional</t>
  </si>
  <si>
    <t>Ações Promocionais</t>
  </si>
  <si>
    <t>Mídias Virtuais</t>
  </si>
  <si>
    <t>Assessoria de Marketing</t>
  </si>
  <si>
    <t>Sinalização de Loja</t>
  </si>
  <si>
    <t xml:space="preserve">Outras Mídias </t>
  </si>
  <si>
    <t>Veículos - Peças e Serviços c/Manutenção - Preventiva</t>
  </si>
  <si>
    <t>Veículos - Peças e Serviços c/Manutenção - Corretiva</t>
  </si>
  <si>
    <t xml:space="preserve">Veículos - Combustível </t>
  </si>
  <si>
    <t>Armazenagem Terceirizada</t>
  </si>
  <si>
    <t>Dsitribuição Terceirizada</t>
  </si>
  <si>
    <t>Veículos - Outras Despesas</t>
  </si>
  <si>
    <t xml:space="preserve">Hospedagens </t>
  </si>
  <si>
    <t>Despesas com Importação Direta de Mercadorias</t>
  </si>
  <si>
    <t xml:space="preserve">Outras Despesas Comerciais </t>
  </si>
  <si>
    <t>Outras Despesas Administrativas</t>
  </si>
  <si>
    <t>Manutenção</t>
  </si>
  <si>
    <t>Energia Elétrica</t>
  </si>
  <si>
    <t>Utilidades</t>
  </si>
  <si>
    <t>Utilidades e Serviços</t>
  </si>
  <si>
    <t>Aluguel</t>
  </si>
  <si>
    <t>Logística</t>
  </si>
  <si>
    <t>Viagens</t>
  </si>
  <si>
    <t>Propaganda e Publicidade</t>
  </si>
  <si>
    <t>Tributárias</t>
  </si>
  <si>
    <t>Uso e Consumo</t>
  </si>
  <si>
    <t>Pessoal</t>
  </si>
  <si>
    <t>Informática</t>
  </si>
  <si>
    <t>Gerais</t>
  </si>
  <si>
    <t>Vendas</t>
  </si>
  <si>
    <t>Propaganda</t>
  </si>
  <si>
    <t>Administrativas</t>
  </si>
  <si>
    <t>TIPO</t>
  </si>
  <si>
    <t>DESP</t>
  </si>
  <si>
    <t>ADTO</t>
  </si>
  <si>
    <t>COMPRAS</t>
  </si>
  <si>
    <t>INVEST</t>
  </si>
  <si>
    <t>Despesa Com Vendas</t>
  </si>
  <si>
    <t>Compras</t>
  </si>
  <si>
    <t>Outras (119103/215323)</t>
  </si>
  <si>
    <t>( + ) Adiantamentos de Clientes/Outras Receitas</t>
  </si>
  <si>
    <t>Outros_Creditos</t>
  </si>
  <si>
    <t>Outros_Debitos</t>
  </si>
  <si>
    <t>Rec_Desp</t>
  </si>
  <si>
    <t>IOF S/ Empréstimos Bancários</t>
  </si>
  <si>
    <t>Ativos em Formação/Imobilizados</t>
  </si>
  <si>
    <t>Imobilizado</t>
  </si>
  <si>
    <t>Empres_S</t>
  </si>
  <si>
    <t>Parcela</t>
  </si>
  <si>
    <t>Desp_Emp</t>
  </si>
  <si>
    <t>IOF_EMP</t>
  </si>
  <si>
    <t>Empres_E</t>
  </si>
  <si>
    <t>Empréstimos/Capital de Giro</t>
  </si>
  <si>
    <t>Juros_E</t>
  </si>
  <si>
    <t>( - ) Juros S/ Empréstimos Bancários - Transcorrer</t>
  </si>
  <si>
    <t>Ligadas / Controladas</t>
  </si>
  <si>
    <t>( + ) Recursos Recebidos</t>
  </si>
  <si>
    <t>( - ) Recursos Enviados</t>
  </si>
  <si>
    <t>Impostos e Taxas</t>
  </si>
  <si>
    <t>Outros Patrocínios</t>
  </si>
  <si>
    <t>Veículos - Multas de Trânsito</t>
  </si>
  <si>
    <t>Condunção em Viagem</t>
  </si>
  <si>
    <t>Outras Despesas Indedutíveis</t>
  </si>
  <si>
    <t>Indedutíveis</t>
  </si>
  <si>
    <t>Adto_S</t>
  </si>
  <si>
    <t>Mvto de Adiantamentos</t>
  </si>
  <si>
    <t>S_Ligadas</t>
  </si>
  <si>
    <t>Juros S/ Empréstimos e Parcelamentos</t>
  </si>
  <si>
    <t>Acionistas</t>
  </si>
  <si>
    <t>Comercial</t>
  </si>
  <si>
    <t>Ativo</t>
  </si>
  <si>
    <t>S_Fornec</t>
  </si>
  <si>
    <t>Manual</t>
  </si>
  <si>
    <t>Relatório de Movimento</t>
  </si>
  <si>
    <t>Verificara se o final do Mês é o inicial do seguinte</t>
  </si>
  <si>
    <t>Cadastro de Usuário</t>
  </si>
  <si>
    <t>Depósitos Bancários Não Identificados</t>
  </si>
  <si>
    <t>Ordenados e Salários</t>
  </si>
  <si>
    <t xml:space="preserve"> Flex - 4.02.66 -  Usu:1663 - Alexia Mafalda Ramos Martins</t>
  </si>
  <si>
    <t>Contas Caixa: 111101;111102;111104;111105;111201;111202;111203;111204;111205;111206;111209...</t>
  </si>
  <si>
    <t>Unidades: 001;002;003;004;005;006;007;008;009;010</t>
  </si>
  <si>
    <t>Saldo Inicial</t>
  </si>
  <si>
    <t>Saldo Final</t>
  </si>
  <si>
    <t/>
  </si>
  <si>
    <t>Outras Contas a Receber - Funcionários</t>
  </si>
  <si>
    <t>Salários e Ordenados</t>
  </si>
  <si>
    <t>ISS a Recolher</t>
  </si>
  <si>
    <t>Alugueis a Pagar - Ligadas</t>
  </si>
  <si>
    <t>214199/0733</t>
  </si>
  <si>
    <t>214199/0736</t>
  </si>
  <si>
    <t>Alvará De Funcionamento</t>
  </si>
  <si>
    <t>Alvará Vigilância Sanitária</t>
  </si>
  <si>
    <t>Custo dos Serviços Prestados - Eventos Pagos</t>
  </si>
  <si>
    <t>Despesas Cartorárias</t>
  </si>
  <si>
    <t xml:space="preserve">Despesas Legais e Judiciais </t>
  </si>
  <si>
    <t xml:space="preserve">Laboratorios </t>
  </si>
  <si>
    <t>Jardinagem</t>
  </si>
  <si>
    <t>Manut. de Geradores e Subestação</t>
  </si>
  <si>
    <t>Material de Escritório</t>
  </si>
  <si>
    <t>Formulários Internos e Outros Impressos Adm.</t>
  </si>
  <si>
    <t>Taxas e Outros Tributos</t>
  </si>
  <si>
    <t>Ferramentas, Utensílios e Outros Bens de Pequeno Valor</t>
  </si>
  <si>
    <t>Suprimentos p/ PDVs - Bobinas</t>
  </si>
  <si>
    <t>Eventos Clientes Fidelidade</t>
  </si>
  <si>
    <t>Decoração</t>
  </si>
  <si>
    <t xml:space="preserve">Veículos - Lavagens e Polimentos </t>
  </si>
  <si>
    <t>FINANCEIRO</t>
  </si>
  <si>
    <t>Trans_S</t>
  </si>
  <si>
    <t>Trans_E</t>
  </si>
  <si>
    <t>SALDO FINAL</t>
  </si>
  <si>
    <t>SALDO INICIAL</t>
  </si>
  <si>
    <t>VARIAÇÃO</t>
  </si>
  <si>
    <t xml:space="preserve">Emissão: 10/09/25 19:15:01  </t>
  </si>
  <si>
    <t>211103;211104;215101</t>
  </si>
  <si>
    <t xml:space="preserve">Emissão: 11/09/25 08:53:22  </t>
  </si>
  <si>
    <t>Relação Das Contas a Pagar Baixadas</t>
  </si>
  <si>
    <t>Transação</t>
  </si>
  <si>
    <t>Valor</t>
  </si>
  <si>
    <t>Baixa</t>
  </si>
  <si>
    <t>Cta Baixa</t>
  </si>
  <si>
    <t>Trans Baixa</t>
  </si>
  <si>
    <t>CTADEB</t>
  </si>
  <si>
    <t>DESC_CTADEB</t>
  </si>
  <si>
    <t xml:space="preserve">Fretes Sobre Compras de Mercadorias </t>
  </si>
  <si>
    <t xml:space="preserve">Impostos e Taxas </t>
  </si>
  <si>
    <t>Remunerações - Indedutíveis</t>
  </si>
  <si>
    <t>Correios e Malotes</t>
  </si>
  <si>
    <t>Disitribuição Terceirizada</t>
  </si>
  <si>
    <t>Outras Despesas - Indedutíveis</t>
  </si>
  <si>
    <t>Filtros: Cta Baixa # 0  /  Cta Baixa # 0</t>
  </si>
  <si>
    <t xml:space="preserve">Emissão: 11/09/25 09:00:23  </t>
  </si>
  <si>
    <t>Manut. de Computadores, Periféricos e Impressoras</t>
  </si>
  <si>
    <t>Sacolas de F. de Loja</t>
  </si>
  <si>
    <t>Indenizações Trabalhistas</t>
  </si>
  <si>
    <t xml:space="preserve">Despesas c/ Seguros </t>
  </si>
  <si>
    <t>Bonificações Eventuais a Colaboradores</t>
  </si>
  <si>
    <t>Unidades: 201;202;203;204;205;206;207</t>
  </si>
  <si>
    <t>Títulos de Clientes a Receber - PIX POS CEF</t>
  </si>
  <si>
    <t>( - ) Enc. Fin. a Incorrer - Empréstimos Bco. Sant</t>
  </si>
  <si>
    <t>Dividendos Distribuidos a Pagar</t>
  </si>
  <si>
    <t>Empréstimos a Pagar Bco. Santander</t>
  </si>
  <si>
    <t>Ben Vale Refeição</t>
  </si>
  <si>
    <t>Taxa Adm. Ticket Ben Visa Vale Refeição</t>
  </si>
  <si>
    <t>Unidade(s): 201,202,203,204,205,206,207 / Contas: 211103,211104,215101</t>
  </si>
  <si>
    <t xml:space="preserve">Outros Fretes Contratados </t>
  </si>
  <si>
    <t xml:space="preserve"> </t>
  </si>
  <si>
    <t>ESPECIARYA</t>
  </si>
  <si>
    <t>ALL COOK</t>
  </si>
  <si>
    <t>PALATO</t>
  </si>
  <si>
    <t>=&gt; destino</t>
  </si>
  <si>
    <t>Indenizações a Pagar</t>
  </si>
  <si>
    <t>Estorno de Pagamento a Fornecedor</t>
  </si>
  <si>
    <t>Rendimentos Financeiros a Apropriar</t>
  </si>
  <si>
    <t xml:space="preserve"> Flex - 4.02.78 -  Usu:2284 - Juliana Vieira Machado Lima</t>
  </si>
  <si>
    <t>Unidades: 001;002;003;004;005;006;007;008;009;010;011;012</t>
  </si>
  <si>
    <t>Lucros e Dividendos Derivados de Participações Societárias</t>
  </si>
  <si>
    <t>Resumo De Movimento De Caixa / Período Movimento: 01/05/25 a 31/05/25</t>
  </si>
  <si>
    <t>Resumo De Movimento De Caixa / Período Movimento: 01/06/25 a 30/06/25</t>
  </si>
  <si>
    <t>Títulos de Clientes a Receber - Transportadoras</t>
  </si>
  <si>
    <t>( - ) Enc. Fin. a Incorrer - Empréstimos Bco. Brad</t>
  </si>
  <si>
    <t>Encargos Sobre Tributos - Indedutíveis</t>
  </si>
  <si>
    <t>Empréstimos Consignados a Pagar</t>
  </si>
  <si>
    <t>Empréstimos a Pagar Bco. Bradesco</t>
  </si>
  <si>
    <t>Receitas de Juros Sobre Capital Próprio</t>
  </si>
  <si>
    <t xml:space="preserve">Numerarios Recebidos </t>
  </si>
  <si>
    <t xml:space="preserve">Numerarios Enviados </t>
  </si>
  <si>
    <t>Resumo De Movimento De Caixa / Período Movimento: 01/07/25 a 31/07/25</t>
  </si>
  <si>
    <t xml:space="preserve">Emissão: 20/10/25 15:09:13  </t>
  </si>
  <si>
    <t>Resumo De Movimento De Caixa / Período Movimento: 01/08/25 a 31/08/25</t>
  </si>
  <si>
    <t>Outros Tributos a Recuperar</t>
  </si>
  <si>
    <t xml:space="preserve">Emissão: 20/10/25 15:31:19  </t>
  </si>
  <si>
    <t>Resumo De Movimento De Caixa / Período Movimento: 01/09/25 a 30/09/25</t>
  </si>
  <si>
    <t>Adiantamentos a Fornecedores</t>
  </si>
  <si>
    <t>Filtro: Ctadeb2</t>
  </si>
  <si>
    <t>Outras Despesas com Pessoal - Indedutíveis</t>
  </si>
  <si>
    <t xml:space="preserve">Cursos e Treinamentos </t>
  </si>
  <si>
    <t>Custos das Mercadorias Vendidas (CMV)</t>
  </si>
  <si>
    <t xml:space="preserve">Passagens </t>
  </si>
  <si>
    <t>Bens do Imobilizado em Trânsito</t>
  </si>
  <si>
    <t>Unidade(s): 001,002,003,004,005,006,007,008,009,010,011,012 / Contas: 211103,211104,215101</t>
  </si>
  <si>
    <t>Manut. de Impressoras PDV, Gavetas e Leitores</t>
  </si>
  <si>
    <t>Equipamentos de Proteção Individual</t>
  </si>
  <si>
    <t>Auditoria e Contabilidade</t>
  </si>
  <si>
    <t>Outros Benefícios</t>
  </si>
  <si>
    <t xml:space="preserve">Emissão: 21/10/25 16:17:49  </t>
  </si>
  <si>
    <t>Baixa: 01/05/25 a 31/05/25</t>
  </si>
  <si>
    <t xml:space="preserve">Emissão: 21/10/25 16:27:52  </t>
  </si>
  <si>
    <t>Baixa: 01/06/25 a 30/06/25</t>
  </si>
  <si>
    <t>Despesas Com Logística - Indedutíveis</t>
  </si>
  <si>
    <t xml:space="preserve">Emissão: 21/10/25 16:30:37  </t>
  </si>
  <si>
    <t>Baixa: 01/07/25 a 31/07/25</t>
  </si>
  <si>
    <t xml:space="preserve">Emissão: 21/10/25 16:45:51  </t>
  </si>
  <si>
    <t>Baixa: 01/08/25 a 31/08/25</t>
  </si>
  <si>
    <t xml:space="preserve">Prêmios e Brindes </t>
  </si>
  <si>
    <t>Importações em Andamento - Nota</t>
  </si>
  <si>
    <t>Alimentação em Viagens</t>
  </si>
  <si>
    <t xml:space="preserve">Emissão: 21/10/25 17:58:41  </t>
  </si>
  <si>
    <t>Baixa: 01/09/25 a 30/09/25</t>
  </si>
  <si>
    <t>111205</t>
  </si>
  <si>
    <t>111214</t>
  </si>
  <si>
    <t>111102</t>
  </si>
  <si>
    <t xml:space="preserve">Emissão: 22/10/25 15:04:18  </t>
  </si>
  <si>
    <t>IRPJ a Pagar</t>
  </si>
  <si>
    <t>CSLL a Pagar</t>
  </si>
  <si>
    <t xml:space="preserve">Emissão: 22/10/25 15:22:12  </t>
  </si>
  <si>
    <t>Alelo Refeição</t>
  </si>
  <si>
    <t>Taxa Adm. Visa Vale Refeição</t>
  </si>
  <si>
    <t xml:space="preserve">Emissão: 22/10/25 15:30:24  </t>
  </si>
  <si>
    <t xml:space="preserve">Emissão: 22/10/25 15:32:44  </t>
  </si>
  <si>
    <t xml:space="preserve">Emissão: 22/10/25 15:35:03  </t>
  </si>
  <si>
    <t>111218</t>
  </si>
  <si>
    <t>111220</t>
  </si>
  <si>
    <t xml:space="preserve">Depósitos Judiciais - LP </t>
  </si>
  <si>
    <t xml:space="preserve">Emissão: 22/10/25 16:40:21  </t>
  </si>
  <si>
    <t xml:space="preserve">Emissão: 22/10/25 16:57:02  </t>
  </si>
  <si>
    <t xml:space="preserve">Emissão: 22/10/25 17:10:47  </t>
  </si>
  <si>
    <t xml:space="preserve">Emissão: 22/10/25 17:12:55  </t>
  </si>
  <si>
    <t>Baixa: 01/08/25 a 30/08/25</t>
  </si>
  <si>
    <t xml:space="preserve">Emissão: 22/10/25 17:14:34  </t>
  </si>
  <si>
    <t>desconsidera contas:111103;111104; 111808</t>
  </si>
  <si>
    <t xml:space="preserve">Cheques à Vista a Compensar </t>
  </si>
  <si>
    <t>Adiantamentos a Liberar - Imobilizado / Investimentos</t>
  </si>
  <si>
    <t xml:space="preserve"> Flex - 4.03.56 -  Usu:2700 - Jones Rerisson De Lima</t>
  </si>
  <si>
    <t>Resumo De Movimento De Caixa / Período Movimento: 01/10/25 a 31/10/25</t>
  </si>
  <si>
    <t>Contas Caixa: 111101;111102;111105;111201;111202;111203;111204;111205;111206;111209;111210...</t>
  </si>
  <si>
    <t>Resumo De Movimento De Caixa / Período Movimento: 01/11/25 a 30/11/25</t>
  </si>
  <si>
    <t>Créditos Por Devoluções de Mercadorias</t>
  </si>
  <si>
    <t>filtro: CATEDEB - CONSULTORIA2</t>
  </si>
  <si>
    <t xml:space="preserve">Emissão: 29/12/25 11:04:30  </t>
  </si>
  <si>
    <t>Baixa: 01/10/25 a 31/10/25</t>
  </si>
  <si>
    <t>Anúncios em Televisão</t>
  </si>
  <si>
    <t xml:space="preserve">Emissão: 29/12/25 11:09:07  </t>
  </si>
  <si>
    <t>Baixa: 01/11/25 a 30/11/25</t>
  </si>
  <si>
    <t>111225</t>
  </si>
  <si>
    <t xml:space="preserve">Emissão: 29/12/25 11:12:53  </t>
  </si>
  <si>
    <t xml:space="preserve">Emissão: 29/12/25 11:15:24  </t>
  </si>
  <si>
    <t xml:space="preserve">Emissão: 29/12/25 11:18:01  </t>
  </si>
  <si>
    <t xml:space="preserve">Emissão: 29/12/25 11:34:19  </t>
  </si>
  <si>
    <t xml:space="preserve"> Flex - 4.04.08 -  Usu:2700 - Jones Rerisson De Lima</t>
  </si>
  <si>
    <t xml:space="preserve">Emissão: 12/01/26 11:41:51  </t>
  </si>
  <si>
    <t>Baixa: 01/12/25 a 31/12/25</t>
  </si>
  <si>
    <t>Despesas Comerciais - Indedutíveis</t>
  </si>
  <si>
    <t xml:space="preserve">Emissão: 12/01/26 11:48:15  </t>
  </si>
  <si>
    <t>Resumo De Movimento De Caixa / Período Movimento: 01/12/25 a 31/12/25</t>
  </si>
  <si>
    <t xml:space="preserve">Emissão: 12/01/26 11:53:42  </t>
  </si>
  <si>
    <t>Perdas Indenizadas a Receber</t>
  </si>
  <si>
    <t>Títulos de Clientes a Receber - Showroom</t>
  </si>
  <si>
    <t xml:space="preserve">Emissão: 12/01/26 13:45:03  </t>
  </si>
  <si>
    <t>Despesas Com Manutenção - Indedutíveis</t>
  </si>
  <si>
    <t>Manut. de Climatização (AC e Exaustão)</t>
  </si>
  <si>
    <t>Manut. Hidrosanitária e Gás</t>
  </si>
  <si>
    <t>Etiquetas de Gôndolas e Balanças</t>
  </si>
  <si>
    <t>00453638422</t>
  </si>
  <si>
    <t>Manut. de Elevadores, Esteiras e Escadas Rolantes</t>
  </si>
  <si>
    <t xml:space="preserve"> Flex - 4.04.08 -  Usu:2284 - Juliana Vieira Machado Lima</t>
  </si>
  <si>
    <t xml:space="preserve">Emissão: 02/03/26 08:54:08  </t>
  </si>
  <si>
    <t>Unidades: 001;002;003;004;005;006;007;008;009;010;011</t>
  </si>
  <si>
    <t xml:space="preserve">Emissão: 02/03/26 08:58:34  </t>
  </si>
  <si>
    <t xml:space="preserve">Emissão: 02/03/26 09:01:30  </t>
  </si>
  <si>
    <t xml:space="preserve">Emissão: 02/03/26 10:26:21  </t>
  </si>
  <si>
    <t xml:space="preserve">Emissão: 02/03/26 10:32:20  </t>
  </si>
  <si>
    <t>Demonstração Financeira</t>
  </si>
  <si>
    <t>00458064467</t>
  </si>
  <si>
    <t>Títulos de Clientes a Receber - PIX TEF</t>
  </si>
  <si>
    <t xml:space="preserve">Venda de Mercadorias - Dinheiro </t>
  </si>
  <si>
    <t>Venda de Mercadorias - Cartões de Crédito</t>
  </si>
  <si>
    <t>Venda de Mercadorias - Cartões de Débito</t>
  </si>
  <si>
    <t>Descontos Incondicionais</t>
  </si>
  <si>
    <t>Falta de Caixa</t>
  </si>
  <si>
    <t>desconsidera contas:111103;111104</t>
  </si>
  <si>
    <t>Venda de Mercadorias - Tickets</t>
  </si>
  <si>
    <t>Venda de Mercadorias - Crédito DDM</t>
  </si>
  <si>
    <t>Venda de Mercadorias - Voucher Colaborador</t>
  </si>
  <si>
    <t>Venda de Mercadorias - PIX</t>
  </si>
  <si>
    <t>Outras Receitas Operacionais</t>
  </si>
  <si>
    <t>PAT - Programa de Alimentação do Trabalhador</t>
  </si>
  <si>
    <t>Crédito Lista de Presentes</t>
  </si>
  <si>
    <t>Venda de Mercadorias - Convênios</t>
  </si>
  <si>
    <t>Venda de Mercadorias - Delivery</t>
  </si>
  <si>
    <t>Venda de Mercadorias - Dotz/Vale Compras</t>
  </si>
  <si>
    <t>Títulos de Clientes a Receber - Crédito DDM</t>
  </si>
  <si>
    <t>Títulos de Clientes a Receber - Voucher Colaborador</t>
  </si>
  <si>
    <t xml:space="preserve">Vendas Canceladas </t>
  </si>
  <si>
    <t>Títulos de Clientes - Vale Compras</t>
  </si>
  <si>
    <t>Títulos de Clientes - Transitória Boletos</t>
  </si>
  <si>
    <t>Venda de Mercadorias - Convênio Noivas</t>
  </si>
  <si>
    <t>Títulos de Clientes - Crédito Lista de Presente</t>
  </si>
  <si>
    <t>Adiantamentos de Clientes - Encomendas</t>
  </si>
  <si>
    <t>Vda_PIX</t>
  </si>
  <si>
    <t>Vda_S_Pz</t>
  </si>
  <si>
    <t>Vda_S_Pix</t>
  </si>
  <si>
    <t>Vda_S_Ticket</t>
  </si>
  <si>
    <t>Vda_S_Deb</t>
  </si>
  <si>
    <t>Vda_S_Cre</t>
  </si>
  <si>
    <t>Vda_S_Din</t>
  </si>
  <si>
    <t>Pessoal_E</t>
  </si>
  <si>
    <t>Apresentação Artística</t>
  </si>
  <si>
    <t>00458524565</t>
  </si>
  <si>
    <t>00458538957</t>
  </si>
  <si>
    <t>00458833576</t>
  </si>
  <si>
    <t>00458972606</t>
  </si>
  <si>
    <t>00610454048</t>
  </si>
  <si>
    <t>00458691410</t>
  </si>
  <si>
    <t>00458744395</t>
  </si>
  <si>
    <t>00458872113</t>
  </si>
  <si>
    <t>00458350273</t>
  </si>
  <si>
    <t>00458394890</t>
  </si>
  <si>
    <t>00458304328</t>
  </si>
  <si>
    <t>00458792543</t>
  </si>
  <si>
    <t>00458301418</t>
  </si>
  <si>
    <t>00458521884</t>
  </si>
  <si>
    <t>00458756261</t>
  </si>
  <si>
    <t>00458936480</t>
  </si>
  <si>
    <t>00458010065</t>
  </si>
  <si>
    <t>00458505706</t>
  </si>
  <si>
    <t>00458881279</t>
  </si>
  <si>
    <t>00458936227</t>
  </si>
  <si>
    <t>00458641154</t>
  </si>
  <si>
    <t>00458648272</t>
  </si>
  <si>
    <t>00458926655</t>
  </si>
  <si>
    <t>00458652741</t>
  </si>
  <si>
    <t>00458705780</t>
  </si>
  <si>
    <t>00458690473</t>
  </si>
  <si>
    <t>00458919900</t>
  </si>
  <si>
    <t>00458157015</t>
  </si>
  <si>
    <t>00458394220</t>
  </si>
  <si>
    <t>00610455486</t>
  </si>
  <si>
    <t>00458988162</t>
  </si>
  <si>
    <t>00458449679</t>
  </si>
  <si>
    <t>00459054210</t>
  </si>
  <si>
    <t>00459071300</t>
  </si>
  <si>
    <t>00458536318</t>
  </si>
  <si>
    <t>00458748935</t>
  </si>
  <si>
    <t>00459053981</t>
  </si>
  <si>
    <t>00458521299</t>
  </si>
  <si>
    <t>00458601403</t>
  </si>
  <si>
    <t>00458990264</t>
  </si>
  <si>
    <t>00458998150</t>
  </si>
  <si>
    <t>00458349267</t>
  </si>
  <si>
    <t>00458598798</t>
  </si>
  <si>
    <t>00458614351</t>
  </si>
  <si>
    <t>Baixa: 01/01/26 a 31/01/26</t>
  </si>
  <si>
    <t>Baixa: 01/02/26 a 28/02/26</t>
  </si>
  <si>
    <t>Resumo De Movimento De Caixa / Período Movimento: 01/01/26 a 31/01/26</t>
  </si>
  <si>
    <t xml:space="preserve">Emissão: 26/03/26 14:43:16  </t>
  </si>
  <si>
    <t>RP One - Enterprise - 5.01.16 -  Usu:2700 - Jones Rerisson De Lima</t>
  </si>
  <si>
    <t xml:space="preserve">Emissão: 26/03/26 14:31:37  </t>
  </si>
  <si>
    <t>Filtro: CATEDEB - CONSULTORIA2</t>
  </si>
  <si>
    <t>00458013412</t>
  </si>
  <si>
    <t>00458412520</t>
  </si>
  <si>
    <t>00458725951</t>
  </si>
  <si>
    <t>00458776041</t>
  </si>
  <si>
    <t>00458701688</t>
  </si>
  <si>
    <t>00458879967</t>
  </si>
  <si>
    <t>00458832090</t>
  </si>
  <si>
    <t>00458395706</t>
  </si>
  <si>
    <t>00458314609</t>
  </si>
  <si>
    <t>00458989703</t>
  </si>
  <si>
    <t>00458710903</t>
  </si>
  <si>
    <t>00459093363</t>
  </si>
  <si>
    <t>00459106694</t>
  </si>
  <si>
    <t>00457904852</t>
  </si>
  <si>
    <t>00458526495</t>
  </si>
  <si>
    <t>00458855863</t>
  </si>
  <si>
    <t>00458417246</t>
  </si>
  <si>
    <t>00458775975</t>
  </si>
  <si>
    <t>00458990019</t>
  </si>
  <si>
    <t>00458508381</t>
  </si>
  <si>
    <t>00458306479</t>
  </si>
  <si>
    <t>00458792225</t>
  </si>
  <si>
    <t>00458577120</t>
  </si>
  <si>
    <t>00811940900</t>
  </si>
  <si>
    <t>00458818933</t>
  </si>
  <si>
    <t>00458615412</t>
  </si>
  <si>
    <t>00458742600</t>
  </si>
  <si>
    <t>00458920967</t>
  </si>
  <si>
    <t>00458712523</t>
  </si>
  <si>
    <t>00458753530</t>
  </si>
  <si>
    <t>00458872849</t>
  </si>
  <si>
    <t>00459071360</t>
  </si>
  <si>
    <t>00610452770</t>
  </si>
  <si>
    <t>00458700606</t>
  </si>
  <si>
    <t>00458874787</t>
  </si>
  <si>
    <t>00458229148</t>
  </si>
  <si>
    <t>00610455168</t>
  </si>
  <si>
    <t>00459011812</t>
  </si>
  <si>
    <t>00458557668</t>
  </si>
  <si>
    <t>00458714011</t>
  </si>
  <si>
    <t>00458847755</t>
  </si>
  <si>
    <t>00458780596</t>
  </si>
  <si>
    <t>00458695289</t>
  </si>
  <si>
    <t>00458472670</t>
  </si>
  <si>
    <t>00458888940</t>
  </si>
  <si>
    <t>00458415707</t>
  </si>
  <si>
    <t>00458418200</t>
  </si>
  <si>
    <t>00458701289</t>
  </si>
  <si>
    <t>00458417467</t>
  </si>
  <si>
    <t>00458743313</t>
  </si>
  <si>
    <t>00458460125</t>
  </si>
  <si>
    <t>00458713724</t>
  </si>
  <si>
    <t>00458486027</t>
  </si>
  <si>
    <t>00458714518</t>
  </si>
  <si>
    <t>00458922447</t>
  </si>
  <si>
    <t>00458937169</t>
  </si>
  <si>
    <t>00458481831</t>
  </si>
  <si>
    <t>00458803227</t>
  </si>
  <si>
    <t>00458715476</t>
  </si>
  <si>
    <t>00458936774</t>
  </si>
  <si>
    <t>00458941816</t>
  </si>
  <si>
    <t>00458869643</t>
  </si>
  <si>
    <t>00458268810</t>
  </si>
  <si>
    <t>00458740306</t>
  </si>
  <si>
    <t>00458467200</t>
  </si>
  <si>
    <t>00458736988</t>
  </si>
  <si>
    <t>00458920878</t>
  </si>
  <si>
    <t>00459050494</t>
  </si>
  <si>
    <t>00458535877</t>
  </si>
  <si>
    <t>00458743232</t>
  </si>
  <si>
    <t>00458887463</t>
  </si>
  <si>
    <t>00458919667</t>
  </si>
  <si>
    <t>00459083236</t>
  </si>
  <si>
    <t>00458256340</t>
  </si>
  <si>
    <t>00610453050</t>
  </si>
  <si>
    <t>00458877735</t>
  </si>
  <si>
    <t>00458600865</t>
  </si>
  <si>
    <t>00458902950</t>
  </si>
  <si>
    <t>00458503312</t>
  </si>
  <si>
    <t>00458556564</t>
  </si>
  <si>
    <t>00610455109</t>
  </si>
  <si>
    <t>00458700223</t>
  </si>
  <si>
    <t>00459054635</t>
  </si>
  <si>
    <t>00811985075</t>
  </si>
  <si>
    <t>00458937843</t>
  </si>
  <si>
    <t>00459049941</t>
  </si>
  <si>
    <t>00458833690</t>
  </si>
  <si>
    <t>00458714984</t>
  </si>
  <si>
    <t>00458870838</t>
  </si>
  <si>
    <t>00458693944</t>
  </si>
  <si>
    <t>00458989940</t>
  </si>
  <si>
    <t>00610453882</t>
  </si>
  <si>
    <t>00458781487</t>
  </si>
  <si>
    <t>00458253812</t>
  </si>
  <si>
    <t xml:space="preserve">Assinaturas de Periódicos Digitais </t>
  </si>
  <si>
    <t>00459048201</t>
  </si>
  <si>
    <t>00458156710</t>
  </si>
  <si>
    <t>00459054864</t>
  </si>
  <si>
    <t>00458278319</t>
  </si>
  <si>
    <t>00458418552</t>
  </si>
  <si>
    <t>00459071025</t>
  </si>
  <si>
    <t>00459072978</t>
  </si>
  <si>
    <t>00812051025</t>
  </si>
  <si>
    <t>00459073460</t>
  </si>
  <si>
    <t>00458468878</t>
  </si>
  <si>
    <t>00458716510</t>
  </si>
  <si>
    <t>00458668370</t>
  </si>
  <si>
    <t>00458751162</t>
  </si>
  <si>
    <t>00458915017</t>
  </si>
  <si>
    <t>00458784699</t>
  </si>
  <si>
    <t>00610445405</t>
  </si>
  <si>
    <t>00610454080</t>
  </si>
  <si>
    <t>00458691496</t>
  </si>
  <si>
    <t>00458433896</t>
  </si>
  <si>
    <t>00458435910</t>
  </si>
  <si>
    <t>00458896020</t>
  </si>
  <si>
    <t>00458905461</t>
  </si>
  <si>
    <t>00458736210</t>
  </si>
  <si>
    <t>00610454323</t>
  </si>
  <si>
    <t>00458230162</t>
  </si>
  <si>
    <t>00458435252</t>
  </si>
  <si>
    <t>00610454790</t>
  </si>
  <si>
    <t>00458149543</t>
  </si>
  <si>
    <t>00610455079</t>
  </si>
  <si>
    <t>00458502669</t>
  </si>
  <si>
    <t>00458782548</t>
  </si>
  <si>
    <t>00129455040</t>
  </si>
  <si>
    <t>00458912492</t>
  </si>
  <si>
    <t>00459012568</t>
  </si>
  <si>
    <t>00129442070</t>
  </si>
  <si>
    <t>00458888427</t>
  </si>
  <si>
    <t>Despesas Com Marketing - Indedutíveis</t>
  </si>
  <si>
    <t>00129403091</t>
  </si>
  <si>
    <t>00458627437</t>
  </si>
  <si>
    <t>00458856517</t>
  </si>
  <si>
    <t>00458974862</t>
  </si>
  <si>
    <t>00458701920</t>
  </si>
  <si>
    <t>00458752762</t>
  </si>
  <si>
    <t>00458941689</t>
  </si>
  <si>
    <t>00458989363</t>
  </si>
  <si>
    <t>00458369179</t>
  </si>
  <si>
    <t>00458484245</t>
  </si>
  <si>
    <t>00458939463</t>
  </si>
  <si>
    <t>00458724254</t>
  </si>
  <si>
    <t>00458903027</t>
  </si>
  <si>
    <t>00458347736</t>
  </si>
  <si>
    <t>00458421103</t>
  </si>
  <si>
    <t>00458820687</t>
  </si>
  <si>
    <t>00458937142</t>
  </si>
  <si>
    <t>00458701866</t>
  </si>
  <si>
    <t>00458725455</t>
  </si>
  <si>
    <t>00459102494</t>
  </si>
  <si>
    <t>00459103091</t>
  </si>
  <si>
    <t>00458718297</t>
  </si>
  <si>
    <t>00458737801</t>
  </si>
  <si>
    <t>00459072803</t>
  </si>
  <si>
    <t>00459101560</t>
  </si>
  <si>
    <t>00458943002</t>
  </si>
  <si>
    <t>00458513237</t>
  </si>
  <si>
    <t>00458570214</t>
  </si>
  <si>
    <t>00458909998</t>
  </si>
  <si>
    <t>00458694916</t>
  </si>
  <si>
    <t>00458822825</t>
  </si>
  <si>
    <t>00458598810</t>
  </si>
  <si>
    <t>00458699047</t>
  </si>
  <si>
    <t>00458507377</t>
  </si>
  <si>
    <t>00812048610</t>
  </si>
  <si>
    <t>00459057707</t>
  </si>
  <si>
    <t>00610454730</t>
  </si>
  <si>
    <t>00458888419</t>
  </si>
  <si>
    <t>00458567558</t>
  </si>
  <si>
    <t>00459055771</t>
  </si>
  <si>
    <t>00459066218</t>
  </si>
  <si>
    <t>00458421162</t>
  </si>
  <si>
    <t>00458552976</t>
  </si>
  <si>
    <t>00458786675</t>
  </si>
  <si>
    <t>00458874159</t>
  </si>
  <si>
    <t>00458534269</t>
  </si>
  <si>
    <t>00459014765</t>
  </si>
  <si>
    <t>00459046284</t>
  </si>
  <si>
    <t>00458718882</t>
  </si>
  <si>
    <t>00458851000</t>
  </si>
  <si>
    <t>00458785784</t>
  </si>
  <si>
    <t>00458536997</t>
  </si>
  <si>
    <t>00459051610</t>
  </si>
  <si>
    <t>00459051903</t>
  </si>
  <si>
    <t>00458649112</t>
  </si>
  <si>
    <t>00458668184</t>
  </si>
  <si>
    <t>00458778184</t>
  </si>
  <si>
    <t>111226</t>
  </si>
  <si>
    <t>00458781193</t>
  </si>
  <si>
    <t>( - ) Enc. Fin. a Incorrer - Emp. Sicredi - LP</t>
  </si>
  <si>
    <t>Nutricash Alimentação</t>
  </si>
  <si>
    <t>Taxa Adm. Nutricash Alimentação</t>
  </si>
  <si>
    <t>Empréstimos a Pagar Sicredi - LP</t>
  </si>
  <si>
    <t xml:space="preserve">Cartão Débito Cabal </t>
  </si>
  <si>
    <t>Resumo De Movimento De Caixa / Período Movimento: 01/02/26 a 28/02/26</t>
  </si>
  <si>
    <t>00458473782</t>
  </si>
  <si>
    <t>00458601330</t>
  </si>
  <si>
    <t>00458527238</t>
  </si>
  <si>
    <t>00458074489</t>
  </si>
  <si>
    <t>00458607398</t>
  </si>
  <si>
    <t>00457719095</t>
  </si>
  <si>
    <t>00458314110</t>
  </si>
  <si>
    <t>00458360384</t>
  </si>
  <si>
    <t>00458359785</t>
  </si>
  <si>
    <t>00458305260</t>
  </si>
  <si>
    <t>00458203394</t>
  </si>
  <si>
    <t>00458464244</t>
  </si>
  <si>
    <t>00458299340</t>
  </si>
  <si>
    <t>00458204099</t>
  </si>
  <si>
    <t>00458433586</t>
  </si>
  <si>
    <t>00458484385</t>
  </si>
  <si>
    <t>00458605786</t>
  </si>
  <si>
    <t>00458479721</t>
  </si>
  <si>
    <t>00458228800</t>
  </si>
  <si>
    <t>00458561320</t>
  </si>
  <si>
    <t>00458647144</t>
  </si>
  <si>
    <t>00458323853</t>
  </si>
  <si>
    <t>00457792809</t>
  </si>
  <si>
    <t>00458471437</t>
  </si>
  <si>
    <t>00456834737</t>
  </si>
  <si>
    <t>00458448478</t>
  </si>
  <si>
    <t>00458353884</t>
  </si>
  <si>
    <t>00458652660</t>
  </si>
  <si>
    <t>00458435171</t>
  </si>
  <si>
    <t>00458665363</t>
  </si>
  <si>
    <t>00458465186</t>
  </si>
  <si>
    <t>00458511099</t>
  </si>
  <si>
    <t>00458089931</t>
  </si>
  <si>
    <t>00458607967</t>
  </si>
  <si>
    <t>00458167789</t>
  </si>
  <si>
    <t>00458348430</t>
  </si>
  <si>
    <t>00457983493</t>
  </si>
  <si>
    <t>00610452886</t>
  </si>
  <si>
    <t>00458482773</t>
  </si>
  <si>
    <t>00610451820</t>
  </si>
  <si>
    <t>00458371718</t>
  </si>
  <si>
    <t>00610452576</t>
  </si>
  <si>
    <t>00610452835</t>
  </si>
  <si>
    <t>00610452843</t>
  </si>
  <si>
    <t>00458538167</t>
  </si>
  <si>
    <t>00458368440</t>
  </si>
  <si>
    <t>00458447420</t>
  </si>
  <si>
    <t>00610452517</t>
  </si>
  <si>
    <t>00458618993</t>
  </si>
  <si>
    <t>00458632945</t>
  </si>
  <si>
    <t>00458400971</t>
  </si>
  <si>
    <t>00458370550</t>
  </si>
  <si>
    <t>00458671738</t>
  </si>
  <si>
    <t>00458487813</t>
  </si>
  <si>
    <t>00458460320</t>
  </si>
  <si>
    <t>00458635464</t>
  </si>
  <si>
    <t>00458646709</t>
  </si>
  <si>
    <t>00458461679</t>
  </si>
  <si>
    <t>00458822663</t>
  </si>
  <si>
    <t>00459050737</t>
  </si>
  <si>
    <t>RP One - Enterprise - 5.02.14 -  Usu:2700 - Jones Rerisson De Lima</t>
  </si>
  <si>
    <t>Resumo De Movimento De Caixa / Período Movimento: 01/03/26 a 31/03/26</t>
  </si>
  <si>
    <t>Variação Cambial Ativa</t>
  </si>
  <si>
    <t>Baixa: 01/03/26 a 31/03/26</t>
  </si>
  <si>
    <t>00459431811</t>
  </si>
  <si>
    <t>111203</t>
  </si>
  <si>
    <t>00459523910</t>
  </si>
  <si>
    <t>00458998958</t>
  </si>
  <si>
    <t>00459480898</t>
  </si>
  <si>
    <t>00610456059</t>
  </si>
  <si>
    <t>00459481002</t>
  </si>
  <si>
    <t>00459285840</t>
  </si>
  <si>
    <t>00459104144</t>
  </si>
  <si>
    <t>00458706663</t>
  </si>
  <si>
    <t>00459152149</t>
  </si>
  <si>
    <t>00459047418</t>
  </si>
  <si>
    <t>00459333860</t>
  </si>
  <si>
    <t>00458874051</t>
  </si>
  <si>
    <t>00459186574</t>
  </si>
  <si>
    <t>00459173421</t>
  </si>
  <si>
    <t>00459187287</t>
  </si>
  <si>
    <t>00459357425</t>
  </si>
  <si>
    <t>00459509047</t>
  </si>
  <si>
    <t>00459102400</t>
  </si>
  <si>
    <t>00459291084</t>
  </si>
  <si>
    <t>00459336975</t>
  </si>
  <si>
    <t>00459232908</t>
  </si>
  <si>
    <t>00459262068</t>
  </si>
  <si>
    <t>00459372890</t>
  </si>
  <si>
    <t>00458761885</t>
  </si>
  <si>
    <t>00459460331</t>
  </si>
  <si>
    <t>00459045300</t>
  </si>
  <si>
    <t>00458742503</t>
  </si>
  <si>
    <t>00458529060</t>
  </si>
  <si>
    <t>00459202405</t>
  </si>
  <si>
    <t>00459249150</t>
  </si>
  <si>
    <t>00459060600</t>
  </si>
  <si>
    <t>00459453041</t>
  </si>
  <si>
    <t>00459105981</t>
  </si>
  <si>
    <t>00459245287</t>
  </si>
  <si>
    <t>Veículos - Multas de Trânsito (Indedutível)</t>
  </si>
  <si>
    <t>00610453467</t>
  </si>
  <si>
    <t>00459128647</t>
  </si>
  <si>
    <t>00459168398</t>
  </si>
  <si>
    <t>00459188801</t>
  </si>
  <si>
    <t>00459206923</t>
  </si>
  <si>
    <t>00459263145</t>
  </si>
  <si>
    <t>00459032690</t>
  </si>
  <si>
    <t>00459022229</t>
  </si>
  <si>
    <t>00459257382</t>
  </si>
  <si>
    <t>00459434098</t>
  </si>
  <si>
    <t>00459440071</t>
  </si>
  <si>
    <t>00459031848</t>
  </si>
  <si>
    <t>00459224620</t>
  </si>
  <si>
    <t>00459388053</t>
  </si>
  <si>
    <t>00459086910</t>
  </si>
  <si>
    <t>00458925519</t>
  </si>
  <si>
    <t>00459259172</t>
  </si>
  <si>
    <t>00610456946</t>
  </si>
  <si>
    <t>00459333828</t>
  </si>
  <si>
    <t>00610456172</t>
  </si>
  <si>
    <t>00459430165</t>
  </si>
  <si>
    <t>00610459821</t>
  </si>
  <si>
    <t>00459509365</t>
  </si>
  <si>
    <t>00459204262</t>
  </si>
  <si>
    <t>00459324470</t>
  </si>
  <si>
    <t>00610455915</t>
  </si>
  <si>
    <t>00459409948</t>
  </si>
  <si>
    <t>00458877042</t>
  </si>
  <si>
    <t>00459144405</t>
  </si>
  <si>
    <t>00459449354</t>
  </si>
  <si>
    <t>00459647040</t>
  </si>
  <si>
    <t>00459086120</t>
  </si>
  <si>
    <t>00459163736</t>
  </si>
  <si>
    <t>00458856789</t>
  </si>
  <si>
    <t>00459228641</t>
  </si>
  <si>
    <t>00459050974</t>
  </si>
  <si>
    <t>00610455770</t>
  </si>
  <si>
    <t>00459325353</t>
  </si>
  <si>
    <t>00610455907</t>
  </si>
  <si>
    <t>00610456288</t>
  </si>
  <si>
    <t>00459446770</t>
  </si>
  <si>
    <t>00459480774</t>
  </si>
  <si>
    <t>00459065998</t>
  </si>
  <si>
    <t xml:space="preserve">Planos de Suporte e Assistência Técnica </t>
  </si>
  <si>
    <t>00459315145</t>
  </si>
  <si>
    <t>00610456733</t>
  </si>
  <si>
    <t>00459207202</t>
  </si>
  <si>
    <t>00459259520</t>
  </si>
  <si>
    <t>00459200437</t>
  </si>
  <si>
    <t>00459320491</t>
  </si>
  <si>
    <t>00459273280</t>
  </si>
  <si>
    <t>00459291157</t>
  </si>
  <si>
    <t>00459258451</t>
  </si>
  <si>
    <t>00459371479</t>
  </si>
  <si>
    <t>00459415069</t>
  </si>
  <si>
    <t>00459508709</t>
  </si>
  <si>
    <t>00459232223</t>
  </si>
  <si>
    <t>00459364219</t>
  </si>
  <si>
    <t>00459273710</t>
  </si>
  <si>
    <t>00459459953</t>
  </si>
  <si>
    <t>00459512919</t>
  </si>
  <si>
    <t>00459519271</t>
  </si>
  <si>
    <t>00459154737</t>
  </si>
  <si>
    <t>00459186213</t>
  </si>
  <si>
    <t>00610456725</t>
  </si>
  <si>
    <t>00459613960</t>
  </si>
  <si>
    <t>00459137859</t>
  </si>
  <si>
    <t>00459244760</t>
  </si>
  <si>
    <t>00459124250</t>
  </si>
  <si>
    <t>00459182978</t>
  </si>
  <si>
    <t>00459183630</t>
  </si>
  <si>
    <t>00459448250</t>
  </si>
  <si>
    <t>00459417878</t>
  </si>
  <si>
    <t>00459242954</t>
  </si>
  <si>
    <t>00459318527</t>
  </si>
  <si>
    <t>00459444271</t>
  </si>
  <si>
    <t>00459449168</t>
  </si>
  <si>
    <t>00459416006</t>
  </si>
  <si>
    <t>00459084763</t>
  </si>
  <si>
    <t>00459256904</t>
  </si>
  <si>
    <t>00459477366</t>
  </si>
  <si>
    <t>00459199757</t>
  </si>
  <si>
    <t>00610456440</t>
  </si>
  <si>
    <t>00459141503</t>
  </si>
  <si>
    <t>00459148311</t>
  </si>
  <si>
    <t>00459434560</t>
  </si>
  <si>
    <t>111808</t>
  </si>
  <si>
    <t>00459445758</t>
  </si>
  <si>
    <t xml:space="preserve">Emissão: 17/04/26 09:15:12  </t>
  </si>
  <si>
    <t xml:space="preserve">Emissão: 17/04/26 10:18:58  </t>
  </si>
  <si>
    <t>00458967351</t>
  </si>
  <si>
    <t>00459478591</t>
  </si>
  <si>
    <t>00459338056</t>
  </si>
  <si>
    <t>00459518674</t>
  </si>
  <si>
    <t>00459390635</t>
  </si>
  <si>
    <t>00459459023</t>
  </si>
  <si>
    <t>00459332988</t>
  </si>
  <si>
    <t>00459369130</t>
  </si>
  <si>
    <t>00458819450</t>
  </si>
  <si>
    <t>00459183230</t>
  </si>
  <si>
    <t>00459102982</t>
  </si>
  <si>
    <t>00459290304</t>
  </si>
  <si>
    <t>00459083155</t>
  </si>
  <si>
    <t>00459197835</t>
  </si>
  <si>
    <t>00459263757</t>
  </si>
  <si>
    <t>00459273620</t>
  </si>
  <si>
    <t>00610455583</t>
  </si>
  <si>
    <t>00459449729</t>
  </si>
  <si>
    <t>00459389009</t>
  </si>
  <si>
    <t>00459440993</t>
  </si>
  <si>
    <t>00459483730</t>
  </si>
  <si>
    <t>00459526804</t>
  </si>
  <si>
    <t>00459340220</t>
  </si>
  <si>
    <t>00459593587</t>
  </si>
  <si>
    <t xml:space="preserve">Emissão: 17/04/26 10:31:18  </t>
  </si>
  <si>
    <t>Dividendos Recebidos Antecipadamente</t>
  </si>
  <si>
    <t>Unidade(s): 001,002,003,004,005,006,007,008,009,010,011,012,013,014 / Contas: 211103,211104,215101</t>
  </si>
  <si>
    <t>00459310925</t>
  </si>
  <si>
    <t>00459431919</t>
  </si>
  <si>
    <t>00459262831</t>
  </si>
  <si>
    <t>00459277294</t>
  </si>
  <si>
    <t>00459312448</t>
  </si>
  <si>
    <t>00610461354</t>
  </si>
  <si>
    <t xml:space="preserve">Emissão: 27/04/26 13:35:56  </t>
  </si>
  <si>
    <t xml:space="preserve">Emissão: 27/04/26 14:05:17  </t>
  </si>
  <si>
    <t>Unidades: 001;002;003;004;005;006;007;008;009;010,011,012,013,014</t>
  </si>
  <si>
    <t>00459691554</t>
  </si>
  <si>
    <t>00459929720</t>
  </si>
  <si>
    <t>00459482734</t>
  </si>
  <si>
    <t>00459594044</t>
  </si>
  <si>
    <t>00459077511</t>
  </si>
  <si>
    <t>00459595792</t>
  </si>
  <si>
    <t>00459626930</t>
  </si>
  <si>
    <t>00459686780</t>
  </si>
  <si>
    <t>00459649582</t>
  </si>
  <si>
    <t>00459852620</t>
  </si>
  <si>
    <t>00459887637</t>
  </si>
  <si>
    <t>00459501534</t>
  </si>
  <si>
    <t>00459662716</t>
  </si>
  <si>
    <t>00459645390</t>
  </si>
  <si>
    <t>00459749226</t>
  </si>
  <si>
    <t>00459741403</t>
  </si>
  <si>
    <t>00459741586</t>
  </si>
  <si>
    <t>RP One - Enterprise - 5.03.07 -  Usu:2700 - Jones Rerisson De Lima</t>
  </si>
  <si>
    <t xml:space="preserve">Emissão: 12/05/26 17:45:47  </t>
  </si>
  <si>
    <t>Baixa: 01/04/26 a 30/04/26</t>
  </si>
  <si>
    <t>( - ) Dividendos Distribuídos por Antecipação PJ</t>
  </si>
  <si>
    <t>Resumo De Movimento De Caixa / Período Movimento: 01/04/26 a 30/04/26</t>
  </si>
  <si>
    <t xml:space="preserve">Emissão: 12/05/26 17:49:24  </t>
  </si>
  <si>
    <t xml:space="preserve">Emissão: 12/05/26 18:05:09  </t>
  </si>
  <si>
    <t>00459465511</t>
  </si>
  <si>
    <t>00459704567</t>
  </si>
  <si>
    <t>00459425595</t>
  </si>
  <si>
    <t>00459563777</t>
  </si>
  <si>
    <t>00459632639</t>
  </si>
  <si>
    <t>00459648330</t>
  </si>
  <si>
    <t>00459481053</t>
  </si>
  <si>
    <t>00459446045</t>
  </si>
  <si>
    <t>00459630814</t>
  </si>
  <si>
    <t>00459446789</t>
  </si>
  <si>
    <t>00459463950</t>
  </si>
  <si>
    <t>00610461370</t>
  </si>
  <si>
    <t>00459441094</t>
  </si>
  <si>
    <t>00459557220</t>
  </si>
  <si>
    <t>00458580163</t>
  </si>
  <si>
    <t>00459606654</t>
  </si>
  <si>
    <t>00459449230</t>
  </si>
  <si>
    <t>00459688880</t>
  </si>
  <si>
    <t>00610458345</t>
  </si>
  <si>
    <t>00459666371</t>
  </si>
  <si>
    <t>00459448331</t>
  </si>
  <si>
    <t>00459853791</t>
  </si>
  <si>
    <t>00610460838</t>
  </si>
  <si>
    <t>00129996238</t>
  </si>
  <si>
    <t>00459449320</t>
  </si>
  <si>
    <t>00610468642</t>
  </si>
  <si>
    <t>00459793810</t>
  </si>
  <si>
    <t>00610469223</t>
  </si>
  <si>
    <t>00459868705</t>
  </si>
  <si>
    <t>00459876384</t>
  </si>
  <si>
    <t>00459635425</t>
  </si>
  <si>
    <t>00459723472</t>
  </si>
  <si>
    <t>00459625993</t>
  </si>
  <si>
    <t>00459741977</t>
  </si>
  <si>
    <t>00459608193</t>
  </si>
  <si>
    <t>00459691589</t>
  </si>
  <si>
    <t>00459875957</t>
  </si>
  <si>
    <t>00459380699</t>
  </si>
  <si>
    <t>00459597892</t>
  </si>
  <si>
    <t>00459061496</t>
  </si>
  <si>
    <t>00459593978</t>
  </si>
  <si>
    <t>00459719173</t>
  </si>
  <si>
    <t>00459937197</t>
  </si>
  <si>
    <t>00459450166</t>
  </si>
  <si>
    <t>00459692283</t>
  </si>
  <si>
    <t>00459907980</t>
  </si>
  <si>
    <t>00459483048</t>
  </si>
  <si>
    <t>00459688812</t>
  </si>
  <si>
    <t>00610462652</t>
  </si>
  <si>
    <t>00459708910</t>
  </si>
  <si>
    <t>00459709801</t>
  </si>
  <si>
    <t>00459812165</t>
  </si>
  <si>
    <t>00459445804</t>
  </si>
  <si>
    <t>00459850857</t>
  </si>
  <si>
    <t>00459900382</t>
  </si>
  <si>
    <t>00459814850</t>
  </si>
  <si>
    <t>00610452894</t>
  </si>
  <si>
    <t>00459740750</t>
  </si>
  <si>
    <t>00459913131</t>
  </si>
  <si>
    <t>00459460595</t>
  </si>
  <si>
    <t>00459836439</t>
  </si>
  <si>
    <t>00610474553</t>
  </si>
  <si>
    <t>00459914600</t>
  </si>
  <si>
    <t>00459480316</t>
  </si>
  <si>
    <t>00459099337</t>
  </si>
  <si>
    <t>00459435159</t>
  </si>
  <si>
    <t>00459787705</t>
  </si>
  <si>
    <t>Fretes Sobre Compra de Matéria-Prima</t>
  </si>
  <si>
    <t>00459460862</t>
  </si>
  <si>
    <t>00459451901</t>
  </si>
  <si>
    <t>00459917188</t>
  </si>
  <si>
    <t>00610473948</t>
  </si>
  <si>
    <t>00459757814</t>
  </si>
  <si>
    <t>00610461281</t>
  </si>
  <si>
    <t>00459689800</t>
  </si>
  <si>
    <t>00459691961</t>
  </si>
  <si>
    <t>00459658662</t>
  </si>
  <si>
    <t>00459681559</t>
  </si>
  <si>
    <t>00459700448</t>
  </si>
  <si>
    <t>00459754297</t>
  </si>
  <si>
    <t>00459836730</t>
  </si>
  <si>
    <t>00459687190</t>
  </si>
  <si>
    <t>00459504770</t>
  </si>
  <si>
    <t>00459626663</t>
  </si>
  <si>
    <t>00459874276</t>
  </si>
  <si>
    <t>00459932543</t>
  </si>
  <si>
    <t>00459874098</t>
  </si>
  <si>
    <t>00459509748</t>
  </si>
  <si>
    <t>00459536613</t>
  </si>
  <si>
    <t>00459616552</t>
  </si>
  <si>
    <t>00459527223</t>
  </si>
  <si>
    <t>00459595393</t>
  </si>
  <si>
    <t>00459877542</t>
  </si>
  <si>
    <t>00459650394</t>
  </si>
  <si>
    <t>00459687239</t>
  </si>
  <si>
    <t>00610465562</t>
  </si>
  <si>
    <t>00459684418</t>
  </si>
  <si>
    <t>00459535331</t>
  </si>
  <si>
    <t>00459665871</t>
  </si>
  <si>
    <t>00459722263</t>
  </si>
  <si>
    <t>00459524232</t>
  </si>
  <si>
    <t>00459536699</t>
  </si>
  <si>
    <t>00459180525</t>
  </si>
  <si>
    <t>00459813099</t>
  </si>
  <si>
    <t>00610474022</t>
  </si>
  <si>
    <t>00459873920</t>
  </si>
  <si>
    <t>00459499980</t>
  </si>
  <si>
    <t>00459606328</t>
  </si>
  <si>
    <t>00459653571</t>
  </si>
  <si>
    <t>00459664409</t>
  </si>
  <si>
    <t>00459614428</t>
  </si>
  <si>
    <t>00459558994</t>
  </si>
  <si>
    <t>00459628577</t>
  </si>
  <si>
    <t>00459838695</t>
  </si>
  <si>
    <t>00459482971</t>
  </si>
  <si>
    <t>00459629433</t>
  </si>
  <si>
    <t>00459791109</t>
  </si>
  <si>
    <t>00459513990</t>
  </si>
  <si>
    <t>00459553402</t>
  </si>
  <si>
    <t>Unidades: 001;002;003;004;005;006;007;008;009;010,011,012,014</t>
  </si>
  <si>
    <t xml:space="preserve">Emissão: 12/05/26 18:08:59  </t>
  </si>
  <si>
    <t>214199/0735</t>
  </si>
  <si>
    <t>Autorização Ambiental de Operação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</si>
</sst>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_-* #,##0.00_-;\-* #,##0.00_-;_-* \-??_-;_-@_-"/>
    <numFmt numFmtId="165" formatCode="_-&quot;R$&quot;* #,##0.00_-;&quot;-R$&quot;* #,##0.00_-;_-&quot;R$&quot;* \-??_-;_-@_-"/>
    <numFmt numFmtId="166" formatCode="[$R$-416]\ #,##0.00;[Red]\-[$R$-416]\ #,##0.00"/>
    <numFmt numFmtId="167" formatCode="#,##0_ ;\-#,##0\ "/>
    <numFmt numFmtId="168" formatCode="#,##0.00&quot; &quot;;&quot;(&quot;#,##0.00&quot;)&quot;;&quot;-&quot;#&quot; &quot;;@&quot; &quot;"/>
    <numFmt numFmtId="169" formatCode="#,##0_ ;[Red]\-#,##0\ "/>
    <numFmt numFmtId="170" formatCode="#,##0.00_ ;[Red]\-#,##0.00\ "/>
    <numFmt numFmtId="171" formatCode="dd/mm/yy"/>
    <numFmt numFmtId="172" formatCode="###,###,##0.00"/>
  </numFmts>
  <fonts count="101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rgb="FFFF0000"/>
      <name val="Arial"/>
      <family val="2"/>
    </font>
    <font>
      <b/>
      <sz val="9"/>
      <color rgb="FF000000"/>
      <name val="Calibri1"/>
      <charset val="1"/>
    </font>
    <font>
      <b/>
      <sz val="9"/>
      <color rgb="FFFF0000"/>
      <name val="Calibri1"/>
      <charset val="1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FF0000"/>
      <name val="Calibri1"/>
      <charset val="1"/>
    </font>
    <font>
      <b/>
      <sz val="11"/>
      <color rgb="FF3F3F3F"/>
      <name val="Calibri"/>
      <family val="2"/>
    </font>
    <font>
      <sz val="11"/>
      <color rgb="FFFFFFFF"/>
      <name val="Calibri"/>
      <family val="2"/>
    </font>
    <font>
      <sz val="10"/>
      <color rgb="FFFF0000"/>
      <name val="Arial1"/>
      <charset val="1"/>
    </font>
    <font>
      <sz val="10"/>
      <color rgb="FF000000"/>
      <name val="Arial1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i/>
      <sz val="11"/>
      <color rgb="FF7F7F7F"/>
      <name val="Calibri"/>
      <family val="2"/>
    </font>
    <font>
      <b/>
      <sz val="11"/>
      <name val="Calibri"/>
      <family val="2"/>
    </font>
    <font>
      <sz val="11"/>
      <color rgb="FF000000"/>
      <name val="Arial1"/>
    </font>
    <font>
      <sz val="11"/>
      <color rgb="FF000000"/>
      <name val="Calibri11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3F3F3F"/>
      <name val="Calibri"/>
      <family val="2"/>
    </font>
    <font>
      <sz val="11"/>
      <color rgb="FFFFFFFF"/>
      <name val="Calibri"/>
      <family val="2"/>
    </font>
    <font>
      <sz val="10"/>
      <name val="Arial"/>
      <family val="2"/>
    </font>
    <font>
      <i/>
      <sz val="11"/>
      <color rgb="FF7F7F7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34"/>
    </font>
    <font>
      <sz val="11"/>
      <name val="Calibri"/>
      <family val="2"/>
      <charset val="134"/>
    </font>
    <font>
      <b/>
      <sz val="9"/>
      <color theme="0"/>
      <name val="Georgia"/>
      <family val="1"/>
    </font>
    <font>
      <b/>
      <sz val="7"/>
      <color theme="1"/>
      <name val="Georgia"/>
      <family val="1"/>
    </font>
    <font>
      <b/>
      <sz val="5"/>
      <color theme="1"/>
      <name val="Segoe U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theme="1"/>
      <name val="Segoe UI"/>
      <family val="2"/>
    </font>
    <font>
      <sz val="8"/>
      <name val="Calibri"/>
      <family val="2"/>
    </font>
    <font>
      <sz val="7"/>
      <color theme="1"/>
      <name val="Georgia"/>
      <family val="1"/>
    </font>
    <font>
      <sz val="7"/>
      <color theme="1"/>
      <name val="Segoe UI"/>
      <family val="2"/>
    </font>
    <font>
      <sz val="8"/>
      <color theme="1"/>
      <name val="Calibri"/>
      <family val="2"/>
    </font>
    <font>
      <b/>
      <sz val="10"/>
      <color theme="0"/>
      <name val="Georgia"/>
      <family val="1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7"/>
      <color theme="1"/>
      <name val="Arial"/>
      <family val="2"/>
    </font>
    <font>
      <b/>
      <sz val="5"/>
      <color theme="1"/>
      <name val="Arial"/>
      <family val="2"/>
    </font>
    <font>
      <sz val="6"/>
      <color theme="1"/>
      <name val="Arial"/>
      <family val="2"/>
    </font>
    <font>
      <b/>
      <sz val="7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.5"/>
      <color theme="0"/>
      <name val="Arial"/>
      <family val="2"/>
    </font>
    <font>
      <sz val="7"/>
      <color rgb="FFFFFFFF"/>
      <name val="Arial"/>
      <family val="2"/>
    </font>
    <font>
      <sz val="8"/>
      <color theme="2" tint="-0.89999084444715716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8"/>
      <color theme="1"/>
      <name val="Segoe UI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A5A5A5"/>
        <bgColor rgb="FFC0C0C0"/>
      </patternFill>
    </fill>
    <fill>
      <patternFill patternType="solid">
        <fgColor rgb="FFF2F2F2"/>
        <bgColor rgb="FFF0F0F0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rgb="FF414141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41414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14141"/>
      </patternFill>
    </fill>
    <fill>
      <patternFill patternType="solid">
        <fgColor rgb="FFE6E6E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41414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404040"/>
      </patternFill>
    </fill>
    <fill>
      <patternFill patternType="solid">
        <fgColor theme="0"/>
        <bgColor rgb="FFEEEEEE"/>
      </patternFill>
    </fill>
    <fill>
      <patternFill patternType="solid">
        <fgColor theme="0"/>
        <bgColor rgb="FF33CCCC"/>
      </patternFill>
    </fill>
    <fill>
      <patternFill patternType="solid">
        <fgColor theme="5" tint="0.59999389629810485"/>
        <bgColor rgb="FF404040"/>
      </patternFill>
    </fill>
    <fill>
      <patternFill patternType="solid">
        <fgColor theme="9" tint="0.79998168889431442"/>
        <bgColor rgb="FF414141"/>
      </patternFill>
    </fill>
    <fill>
      <patternFill patternType="solid">
        <fgColor theme="9" tint="-0.249977111117893"/>
        <bgColor rgb="FF414141"/>
      </patternFill>
    </fill>
    <fill>
      <patternFill patternType="solid">
        <fgColor theme="5" tint="-0.249977111117893"/>
        <bgColor rgb="FF414141"/>
      </patternFill>
    </fill>
    <fill>
      <patternFill patternType="solid">
        <fgColor rgb="FFC00000"/>
        <bgColor rgb="FF414141"/>
      </patternFill>
    </fill>
    <fill>
      <patternFill patternType="solid">
        <fgColor theme="2" tint="-0.89999084444715716"/>
        <bgColor rgb="FF414141"/>
      </patternFill>
    </fill>
    <fill>
      <patternFill patternType="solid">
        <fgColor rgb="FF002060"/>
        <bgColor rgb="FF414141"/>
      </patternFill>
    </fill>
    <fill>
      <patternFill patternType="solid">
        <fgColor theme="9" tint="0.79998168889431442"/>
        <bgColor rgb="FF404040"/>
      </patternFill>
    </fill>
    <fill>
      <patternFill patternType="solid">
        <fgColor rgb="FFBEA278"/>
        <bgColor rgb="FF414141"/>
      </patternFill>
    </fill>
    <fill>
      <patternFill patternType="solid">
        <fgColor theme="5" tint="0.79998168889431442"/>
        <bgColor rgb="FF404040"/>
      </patternFill>
    </fill>
    <fill>
      <patternFill patternType="solid">
        <fgColor theme="9" tint="0.59999389629810485"/>
        <bgColor rgb="FF41414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rgb="FF404040"/>
      </patternFill>
    </fill>
    <fill>
      <patternFill patternType="solid">
        <fgColor theme="2" tint="-0.249977111117893"/>
        <bgColor rgb="FF41414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414141"/>
      </patternFill>
    </fill>
  </fills>
  <borders count="4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 style="medium">
        <color theme="0"/>
      </bottom>
      <diagonal/>
    </border>
    <border>
      <left/>
      <right style="thin">
        <color indexed="64"/>
      </right>
      <top style="medium">
        <color theme="0"/>
      </top>
      <bottom/>
      <diagonal/>
    </border>
    <border>
      <left/>
      <right style="dotted">
        <color theme="1"/>
      </right>
      <top/>
      <bottom/>
      <diagonal/>
    </border>
    <border>
      <left/>
      <right style="dotted">
        <color theme="1"/>
      </right>
      <top/>
      <bottom style="medium">
        <color theme="0"/>
      </bottom>
      <diagonal/>
    </border>
    <border>
      <left style="dotted">
        <color theme="1"/>
      </left>
      <right style="dashed">
        <color indexed="64"/>
      </right>
      <top style="medium">
        <color theme="0"/>
      </top>
      <bottom/>
      <diagonal/>
    </border>
    <border>
      <left style="dotted">
        <color theme="1"/>
      </left>
      <right style="dashed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/>
      <right style="dotted">
        <color theme="1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dotted">
        <color theme="1"/>
      </left>
      <right style="dashed">
        <color indexed="64"/>
      </right>
      <top/>
      <bottom style="thin">
        <color indexed="64"/>
      </bottom>
      <diagonal/>
    </border>
    <border>
      <left/>
      <right style="dotted">
        <color theme="1"/>
      </right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</borders>
  <cellStyleXfs count="57">
    <xf numFmtId="0" fontId="0" fillId="0" borderId="0"/>
    <xf numFmtId="164" fontId="46" fillId="0" borderId="0" applyBorder="0" applyProtection="0"/>
    <xf numFmtId="165" fontId="47" fillId="0" borderId="0" applyBorder="0" applyProtection="0"/>
    <xf numFmtId="0" fontId="42" fillId="5" borderId="0" applyBorder="0" applyProtection="0"/>
    <xf numFmtId="0" fontId="42" fillId="6" borderId="0" applyBorder="0" applyProtection="0"/>
    <xf numFmtId="0" fontId="42" fillId="3" borderId="0" applyBorder="0" applyProtection="0"/>
    <xf numFmtId="0" fontId="37" fillId="3" borderId="1" applyProtection="0"/>
    <xf numFmtId="0" fontId="48" fillId="0" borderId="0" applyBorder="0" applyProtection="0"/>
    <xf numFmtId="0" fontId="41" fillId="4" borderId="4" applyProtection="0"/>
    <xf numFmtId="0" fontId="32" fillId="0" borderId="0"/>
    <xf numFmtId="168" fontId="50" fillId="0" borderId="0"/>
    <xf numFmtId="9" fontId="50" fillId="0" borderId="0"/>
    <xf numFmtId="0" fontId="51" fillId="0" borderId="0"/>
    <xf numFmtId="0" fontId="52" fillId="0" borderId="0"/>
    <xf numFmtId="164" fontId="52" fillId="0" borderId="0" applyBorder="0" applyProtection="0"/>
    <xf numFmtId="165" fontId="56" fillId="0" borderId="0" applyBorder="0" applyProtection="0"/>
    <xf numFmtId="0" fontId="55" fillId="5" borderId="0" applyBorder="0" applyProtection="0"/>
    <xf numFmtId="0" fontId="55" fillId="6" borderId="0" applyBorder="0" applyProtection="0"/>
    <xf numFmtId="0" fontId="55" fillId="3" borderId="0" applyBorder="0" applyProtection="0"/>
    <xf numFmtId="0" fontId="53" fillId="3" borderId="1" applyProtection="0"/>
    <xf numFmtId="0" fontId="57" fillId="0" borderId="0" applyBorder="0" applyProtection="0"/>
    <xf numFmtId="0" fontId="54" fillId="4" borderId="4" applyProtection="0"/>
    <xf numFmtId="0" fontId="31" fillId="0" borderId="0"/>
    <xf numFmtId="9" fontId="59" fillId="0" borderId="0" applyFont="0" applyFill="0" applyBorder="0" applyAlignment="0" applyProtection="0"/>
    <xf numFmtId="0" fontId="30" fillId="0" borderId="0"/>
    <xf numFmtId="0" fontId="46" fillId="0" borderId="0"/>
    <xf numFmtId="164" fontId="46" fillId="0" borderId="0" applyBorder="0" applyProtection="0"/>
    <xf numFmtId="165" fontId="47" fillId="0" borderId="0" applyBorder="0" applyProtection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1">
    <xf numFmtId="0" fontId="0" fillId="0" borderId="0" xfId="0"/>
    <xf numFmtId="166" fontId="0" fillId="0" borderId="0" xfId="0" applyNumberFormat="1"/>
    <xf numFmtId="166" fontId="46" fillId="0" borderId="0" xfId="1" applyNumberFormat="1" applyBorder="1" applyProtection="1"/>
    <xf numFmtId="166" fontId="0" fillId="2" borderId="7" xfId="0" applyNumberFormat="1" applyFill="1" applyBorder="1"/>
    <xf numFmtId="166" fontId="0" fillId="0" borderId="7" xfId="0" applyNumberFormat="1" applyBorder="1"/>
    <xf numFmtId="166" fontId="46" fillId="0" borderId="7" xfId="1" applyNumberFormat="1" applyBorder="1" applyProtection="1"/>
    <xf numFmtId="164" fontId="46" fillId="0" borderId="7" xfId="1" applyBorder="1"/>
    <xf numFmtId="0" fontId="0" fillId="8" borderId="0" xfId="0" applyFill="1"/>
    <xf numFmtId="164" fontId="46" fillId="0" borderId="10" xfId="1" applyBorder="1"/>
    <xf numFmtId="164" fontId="46" fillId="0" borderId="0" xfId="1" applyBorder="1"/>
    <xf numFmtId="166" fontId="0" fillId="2" borderId="0" xfId="0" applyNumberFormat="1" applyFill="1"/>
    <xf numFmtId="0" fontId="0" fillId="8" borderId="0" xfId="0" applyFill="1" applyAlignment="1">
      <alignment horizontal="center" vertical="center"/>
    </xf>
    <xf numFmtId="164" fontId="46" fillId="9" borderId="10" xfId="1" applyFill="1" applyBorder="1"/>
    <xf numFmtId="164" fontId="46" fillId="9" borderId="10" xfId="1" applyFill="1" applyBorder="1" applyProtection="1"/>
    <xf numFmtId="164" fontId="46" fillId="9" borderId="10" xfId="1" applyFill="1" applyBorder="1" applyProtection="1">
      <protection hidden="1"/>
    </xf>
    <xf numFmtId="164" fontId="46" fillId="9" borderId="8" xfId="1" applyFill="1" applyBorder="1" applyProtection="1"/>
    <xf numFmtId="164" fontId="33" fillId="9" borderId="5" xfId="1" applyFont="1" applyFill="1" applyBorder="1" applyProtection="1"/>
    <xf numFmtId="164" fontId="33" fillId="9" borderId="12" xfId="1" applyFont="1" applyFill="1" applyBorder="1"/>
    <xf numFmtId="164" fontId="49" fillId="9" borderId="2" xfId="1" quotePrefix="1" applyFont="1" applyFill="1" applyBorder="1" applyAlignment="1" applyProtection="1">
      <alignment horizontal="center"/>
      <protection hidden="1"/>
    </xf>
    <xf numFmtId="164" fontId="45" fillId="9" borderId="10" xfId="1" applyFont="1" applyFill="1" applyBorder="1" applyProtection="1"/>
    <xf numFmtId="164" fontId="45" fillId="9" borderId="10" xfId="1" applyFont="1" applyFill="1" applyBorder="1" applyProtection="1">
      <protection hidden="1"/>
    </xf>
    <xf numFmtId="164" fontId="45" fillId="9" borderId="2" xfId="1" quotePrefix="1" applyFont="1" applyFill="1" applyBorder="1" applyAlignment="1" applyProtection="1">
      <alignment horizontal="center"/>
      <protection hidden="1"/>
    </xf>
    <xf numFmtId="164" fontId="46" fillId="9" borderId="11" xfId="1" applyFill="1" applyBorder="1" applyProtection="1"/>
    <xf numFmtId="164" fontId="66" fillId="9" borderId="2" xfId="1" quotePrefix="1" applyFont="1" applyFill="1" applyBorder="1" applyAlignment="1" applyProtection="1">
      <alignment horizontal="center"/>
      <protection hidden="1"/>
    </xf>
    <xf numFmtId="164" fontId="65" fillId="9" borderId="8" xfId="1" quotePrefix="1" applyFont="1" applyFill="1" applyBorder="1" applyAlignment="1" applyProtection="1">
      <alignment horizontal="center"/>
      <protection hidden="1"/>
    </xf>
    <xf numFmtId="164" fontId="66" fillId="9" borderId="9" xfId="1" quotePrefix="1" applyFont="1" applyFill="1" applyBorder="1" applyAlignment="1" applyProtection="1">
      <alignment horizontal="center"/>
      <protection hidden="1"/>
    </xf>
    <xf numFmtId="0" fontId="70" fillId="11" borderId="0" xfId="0" applyFont="1" applyFill="1"/>
    <xf numFmtId="0" fontId="72" fillId="12" borderId="0" xfId="0" applyFont="1" applyFill="1"/>
    <xf numFmtId="0" fontId="33" fillId="0" borderId="0" xfId="0" applyFont="1"/>
    <xf numFmtId="0" fontId="46" fillId="8" borderId="0" xfId="0" applyFont="1" applyFill="1"/>
    <xf numFmtId="0" fontId="0" fillId="8" borderId="0" xfId="0" applyFill="1" applyAlignment="1">
      <alignment horizontal="center"/>
    </xf>
    <xf numFmtId="164" fontId="58" fillId="8" borderId="7" xfId="1" applyFont="1" applyFill="1" applyBorder="1"/>
    <xf numFmtId="164" fontId="58" fillId="8" borderId="0" xfId="1" applyFont="1" applyFill="1" applyBorder="1"/>
    <xf numFmtId="0" fontId="0" fillId="8" borderId="0" xfId="0" applyFill="1" applyAlignment="1" applyProtection="1">
      <alignment horizontal="center" vertical="center"/>
      <protection hidden="1"/>
    </xf>
    <xf numFmtId="164" fontId="46" fillId="0" borderId="0" xfId="1"/>
    <xf numFmtId="0" fontId="33" fillId="8" borderId="0" xfId="0" applyFont="1" applyFill="1"/>
    <xf numFmtId="0" fontId="46" fillId="0" borderId="0" xfId="0" applyFont="1"/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43" fontId="29" fillId="0" borderId="0" xfId="29" applyFont="1" applyFill="1"/>
    <xf numFmtId="0" fontId="0" fillId="8" borderId="0" xfId="0" applyFill="1" applyProtection="1">
      <protection hidden="1"/>
    </xf>
    <xf numFmtId="0" fontId="0" fillId="14" borderId="0" xfId="0" applyFill="1" applyProtection="1">
      <protection hidden="1"/>
    </xf>
    <xf numFmtId="0" fontId="0" fillId="14" borderId="0" xfId="0" applyFill="1" applyAlignment="1" applyProtection="1">
      <alignment vertical="center"/>
      <protection hidden="1"/>
    </xf>
    <xf numFmtId="0" fontId="34" fillId="14" borderId="0" xfId="0" applyFont="1" applyFill="1" applyAlignment="1" applyProtection="1">
      <alignment horizontal="center" vertical="center"/>
      <protection hidden="1"/>
    </xf>
    <xf numFmtId="4" fontId="35" fillId="8" borderId="3" xfId="0" applyNumberFormat="1" applyFont="1" applyFill="1" applyBorder="1" applyAlignment="1" applyProtection="1">
      <alignment horizontal="center" vertical="center"/>
      <protection hidden="1"/>
    </xf>
    <xf numFmtId="4" fontId="35" fillId="8" borderId="0" xfId="0" applyNumberFormat="1" applyFont="1" applyFill="1" applyAlignment="1" applyProtection="1">
      <alignment horizontal="center" vertical="center"/>
      <protection hidden="1"/>
    </xf>
    <xf numFmtId="0" fontId="0" fillId="14" borderId="0" xfId="0" applyFill="1" applyAlignment="1" applyProtection="1">
      <alignment horizontal="center" vertical="center"/>
      <protection hidden="1"/>
    </xf>
    <xf numFmtId="164" fontId="33" fillId="8" borderId="0" xfId="1" applyFont="1" applyFill="1" applyAlignment="1">
      <alignment horizontal="center"/>
    </xf>
    <xf numFmtId="49" fontId="0" fillId="8" borderId="0" xfId="0" applyNumberFormat="1" applyFill="1"/>
    <xf numFmtId="164" fontId="45" fillId="8" borderId="0" xfId="1" applyFont="1" applyFill="1"/>
    <xf numFmtId="43" fontId="29" fillId="8" borderId="0" xfId="29" applyFont="1" applyFill="1"/>
    <xf numFmtId="164" fontId="0" fillId="8" borderId="0" xfId="1" applyFont="1" applyFill="1"/>
    <xf numFmtId="49" fontId="33" fillId="8" borderId="0" xfId="0" applyNumberFormat="1" applyFont="1" applyFill="1"/>
    <xf numFmtId="164" fontId="49" fillId="8" borderId="0" xfId="1" applyFont="1" applyFill="1"/>
    <xf numFmtId="164" fontId="33" fillId="8" borderId="0" xfId="1" applyFont="1" applyFill="1"/>
    <xf numFmtId="49" fontId="46" fillId="8" borderId="0" xfId="0" applyNumberFormat="1" applyFont="1" applyFill="1"/>
    <xf numFmtId="0" fontId="36" fillId="14" borderId="0" xfId="0" applyFont="1" applyFill="1" applyAlignment="1" applyProtection="1">
      <alignment horizontal="center" vertical="center"/>
      <protection hidden="1"/>
    </xf>
    <xf numFmtId="4" fontId="39" fillId="14" borderId="0" xfId="0" applyNumberFormat="1" applyFont="1" applyFill="1" applyAlignment="1" applyProtection="1">
      <alignment horizontal="right" vertical="center"/>
      <protection hidden="1"/>
    </xf>
    <xf numFmtId="0" fontId="44" fillId="14" borderId="0" xfId="0" applyFont="1" applyFill="1" applyProtection="1">
      <protection hidden="1"/>
    </xf>
    <xf numFmtId="0" fontId="38" fillId="14" borderId="0" xfId="0" applyFont="1" applyFill="1" applyAlignment="1" applyProtection="1">
      <alignment vertical="center"/>
      <protection hidden="1"/>
    </xf>
    <xf numFmtId="0" fontId="71" fillId="8" borderId="0" xfId="0" applyFont="1" applyFill="1"/>
    <xf numFmtId="10" fontId="40" fillId="14" borderId="0" xfId="0" applyNumberFormat="1" applyFont="1" applyFill="1" applyAlignment="1" applyProtection="1">
      <alignment horizontal="center" vertical="center"/>
      <protection hidden="1"/>
    </xf>
    <xf numFmtId="43" fontId="0" fillId="8" borderId="0" xfId="0" applyNumberFormat="1" applyFill="1"/>
    <xf numFmtId="0" fontId="43" fillId="14" borderId="0" xfId="0" applyFont="1" applyFill="1" applyProtection="1">
      <protection hidden="1"/>
    </xf>
    <xf numFmtId="4" fontId="38" fillId="14" borderId="0" xfId="0" applyNumberFormat="1" applyFont="1" applyFill="1" applyAlignment="1" applyProtection="1">
      <alignment horizontal="right" vertical="center"/>
      <protection hidden="1"/>
    </xf>
    <xf numFmtId="164" fontId="46" fillId="8" borderId="0" xfId="1" applyFill="1" applyProtection="1">
      <protection hidden="1"/>
    </xf>
    <xf numFmtId="0" fontId="44" fillId="14" borderId="0" xfId="0" applyFont="1" applyFill="1" applyAlignment="1" applyProtection="1">
      <alignment vertical="center"/>
      <protection hidden="1"/>
    </xf>
    <xf numFmtId="43" fontId="44" fillId="14" borderId="0" xfId="0" applyNumberFormat="1" applyFont="1" applyFill="1" applyAlignment="1" applyProtection="1">
      <alignment vertical="center"/>
      <protection hidden="1"/>
    </xf>
    <xf numFmtId="0" fontId="33" fillId="0" borderId="0" xfId="0" applyFont="1" applyProtection="1">
      <protection hidden="1"/>
    </xf>
    <xf numFmtId="0" fontId="70" fillId="12" borderId="0" xfId="0" applyFont="1" applyFill="1"/>
    <xf numFmtId="43" fontId="71" fillId="8" borderId="0" xfId="29" applyFont="1" applyFill="1"/>
    <xf numFmtId="0" fontId="33" fillId="14" borderId="0" xfId="0" applyFont="1" applyFill="1" applyProtection="1">
      <protection hidden="1"/>
    </xf>
    <xf numFmtId="164" fontId="0" fillId="15" borderId="0" xfId="1" applyFont="1" applyFill="1"/>
    <xf numFmtId="43" fontId="29" fillId="15" borderId="0" xfId="29" applyFont="1" applyFill="1"/>
    <xf numFmtId="164" fontId="45" fillId="15" borderId="0" xfId="1" applyFont="1" applyFill="1"/>
    <xf numFmtId="0" fontId="0" fillId="15" borderId="0" xfId="0" applyFill="1"/>
    <xf numFmtId="164" fontId="49" fillId="9" borderId="6" xfId="1" quotePrefix="1" applyFont="1" applyFill="1" applyBorder="1" applyAlignment="1" applyProtection="1">
      <alignment horizontal="center"/>
      <protection hidden="1"/>
    </xf>
    <xf numFmtId="0" fontId="64" fillId="8" borderId="18" xfId="0" applyFont="1" applyFill="1" applyBorder="1" applyProtection="1">
      <protection hidden="1"/>
    </xf>
    <xf numFmtId="0" fontId="64" fillId="8" borderId="18" xfId="0" applyFont="1" applyFill="1" applyBorder="1" applyAlignment="1" applyProtection="1">
      <alignment horizontal="center" vertical="center"/>
      <protection hidden="1"/>
    </xf>
    <xf numFmtId="0" fontId="0" fillId="8" borderId="2" xfId="0" applyFill="1" applyBorder="1"/>
    <xf numFmtId="0" fontId="46" fillId="7" borderId="2" xfId="0" applyFont="1" applyFill="1" applyBorder="1" applyProtection="1">
      <protection locked="0" hidden="1"/>
    </xf>
    <xf numFmtId="0" fontId="46" fillId="8" borderId="2" xfId="0" applyFont="1" applyFill="1" applyBorder="1" applyProtection="1">
      <protection hidden="1"/>
    </xf>
    <xf numFmtId="49" fontId="0" fillId="8" borderId="2" xfId="0" applyNumberFormat="1" applyFill="1" applyBorder="1"/>
    <xf numFmtId="49" fontId="63" fillId="8" borderId="2" xfId="0" applyNumberFormat="1" applyFont="1" applyFill="1" applyBorder="1"/>
    <xf numFmtId="0" fontId="46" fillId="8" borderId="2" xfId="0" applyFont="1" applyFill="1" applyBorder="1"/>
    <xf numFmtId="0" fontId="0" fillId="8" borderId="2" xfId="0" applyFill="1" applyBorder="1" applyAlignment="1">
      <alignment horizontal="center"/>
    </xf>
    <xf numFmtId="0" fontId="0" fillId="7" borderId="2" xfId="0" applyFill="1" applyBorder="1" applyProtection="1">
      <protection hidden="1"/>
    </xf>
    <xf numFmtId="0" fontId="0" fillId="8" borderId="2" xfId="0" applyFill="1" applyBorder="1" applyProtection="1">
      <protection hidden="1"/>
    </xf>
    <xf numFmtId="0" fontId="0" fillId="7" borderId="2" xfId="0" applyFill="1" applyBorder="1"/>
    <xf numFmtId="0" fontId="45" fillId="8" borderId="2" xfId="0" applyFont="1" applyFill="1" applyBorder="1" applyProtection="1">
      <protection hidden="1"/>
    </xf>
    <xf numFmtId="0" fontId="58" fillId="8" borderId="2" xfId="0" applyFont="1" applyFill="1" applyBorder="1" applyProtection="1">
      <protection hidden="1"/>
    </xf>
    <xf numFmtId="0" fontId="63" fillId="8" borderId="2" xfId="0" applyFont="1" applyFill="1" applyBorder="1"/>
    <xf numFmtId="0" fontId="52" fillId="7" borderId="2" xfId="0" applyFont="1" applyFill="1" applyBorder="1" applyProtection="1">
      <protection locked="0" hidden="1"/>
    </xf>
    <xf numFmtId="0" fontId="0" fillId="7" borderId="2" xfId="0" applyFill="1" applyBorder="1" applyProtection="1">
      <protection locked="0" hidden="1"/>
    </xf>
    <xf numFmtId="0" fontId="33" fillId="8" borderId="2" xfId="0" applyFont="1" applyFill="1" applyBorder="1"/>
    <xf numFmtId="0" fontId="0" fillId="8" borderId="19" xfId="0" applyFill="1" applyBorder="1"/>
    <xf numFmtId="0" fontId="33" fillId="8" borderId="19" xfId="0" applyFont="1" applyFill="1" applyBorder="1"/>
    <xf numFmtId="0" fontId="58" fillId="8" borderId="2" xfId="0" applyFont="1" applyFill="1" applyBorder="1" applyAlignment="1" applyProtection="1">
      <alignment horizontal="center"/>
      <protection hidden="1"/>
    </xf>
    <xf numFmtId="0" fontId="63" fillId="8" borderId="2" xfId="0" applyFont="1" applyFill="1" applyBorder="1" applyAlignment="1">
      <alignment horizontal="center"/>
    </xf>
    <xf numFmtId="0" fontId="47" fillId="8" borderId="2" xfId="0" applyFont="1" applyFill="1" applyBorder="1" applyAlignment="1" applyProtection="1">
      <alignment horizontal="center"/>
      <protection hidden="1"/>
    </xf>
    <xf numFmtId="0" fontId="0" fillId="8" borderId="2" xfId="0" applyFill="1" applyBorder="1" applyAlignment="1" applyProtection="1">
      <alignment horizontal="center"/>
      <protection hidden="1"/>
    </xf>
    <xf numFmtId="0" fontId="0" fillId="7" borderId="2" xfId="0" applyFill="1" applyBorder="1" applyAlignment="1">
      <alignment horizontal="center"/>
    </xf>
    <xf numFmtId="0" fontId="45" fillId="8" borderId="2" xfId="0" applyFont="1" applyFill="1" applyBorder="1" applyAlignment="1" applyProtection="1">
      <alignment horizontal="center"/>
      <protection hidden="1"/>
    </xf>
    <xf numFmtId="0" fontId="0" fillId="8" borderId="19" xfId="0" applyFill="1" applyBorder="1" applyAlignment="1">
      <alignment horizontal="center"/>
    </xf>
    <xf numFmtId="0" fontId="0" fillId="15" borderId="0" xfId="0" applyFill="1" applyProtection="1">
      <protection hidden="1"/>
    </xf>
    <xf numFmtId="49" fontId="0" fillId="15" borderId="0" xfId="0" applyNumberFormat="1" applyFill="1"/>
    <xf numFmtId="0" fontId="0" fillId="16" borderId="0" xfId="0" applyFill="1" applyProtection="1">
      <protection hidden="1"/>
    </xf>
    <xf numFmtId="43" fontId="36" fillId="14" borderId="0" xfId="0" applyNumberFormat="1" applyFont="1" applyFill="1" applyAlignment="1" applyProtection="1">
      <alignment horizontal="center" vertical="center"/>
      <protection hidden="1"/>
    </xf>
    <xf numFmtId="49" fontId="0" fillId="0" borderId="0" xfId="0" applyNumberFormat="1"/>
    <xf numFmtId="164" fontId="0" fillId="0" borderId="0" xfId="1" applyFont="1"/>
    <xf numFmtId="49" fontId="0" fillId="17" borderId="0" xfId="0" applyNumberFormat="1" applyFill="1"/>
    <xf numFmtId="164" fontId="0" fillId="17" borderId="0" xfId="1" applyFont="1" applyFill="1"/>
    <xf numFmtId="0" fontId="0" fillId="17" borderId="0" xfId="0" applyFill="1"/>
    <xf numFmtId="0" fontId="0" fillId="18" borderId="0" xfId="0" applyFill="1"/>
    <xf numFmtId="0" fontId="26" fillId="0" borderId="0" xfId="33"/>
    <xf numFmtId="49" fontId="26" fillId="0" borderId="0" xfId="33" applyNumberFormat="1"/>
    <xf numFmtId="4" fontId="26" fillId="0" borderId="0" xfId="33" applyNumberFormat="1"/>
    <xf numFmtId="171" fontId="26" fillId="0" borderId="0" xfId="33" applyNumberFormat="1"/>
    <xf numFmtId="49" fontId="26" fillId="17" borderId="0" xfId="33" applyNumberFormat="1" applyFill="1"/>
    <xf numFmtId="4" fontId="26" fillId="17" borderId="0" xfId="33" applyNumberFormat="1" applyFill="1"/>
    <xf numFmtId="171" fontId="26" fillId="17" borderId="0" xfId="33" applyNumberFormat="1" applyFill="1"/>
    <xf numFmtId="0" fontId="0" fillId="19" borderId="0" xfId="0" applyFill="1"/>
    <xf numFmtId="164" fontId="0" fillId="8" borderId="0" xfId="0" applyNumberFormat="1" applyFill="1"/>
    <xf numFmtId="0" fontId="26" fillId="17" borderId="0" xfId="33" applyFill="1"/>
    <xf numFmtId="4" fontId="0" fillId="0" borderId="0" xfId="0" applyNumberFormat="1"/>
    <xf numFmtId="171" fontId="0" fillId="0" borderId="0" xfId="0" applyNumberFormat="1"/>
    <xf numFmtId="4" fontId="0" fillId="17" borderId="0" xfId="0" applyNumberFormat="1" applyFill="1"/>
    <xf numFmtId="171" fontId="0" fillId="17" borderId="0" xfId="0" applyNumberFormat="1" applyFill="1"/>
    <xf numFmtId="49" fontId="46" fillId="0" borderId="0" xfId="0" applyNumberFormat="1" applyFont="1"/>
    <xf numFmtId="0" fontId="0" fillId="20" borderId="0" xfId="0" applyFill="1" applyProtection="1">
      <protection hidden="1"/>
    </xf>
    <xf numFmtId="0" fontId="0" fillId="20" borderId="0" xfId="0" applyFill="1"/>
    <xf numFmtId="0" fontId="46" fillId="20" borderId="0" xfId="0" applyFont="1" applyFill="1"/>
    <xf numFmtId="49" fontId="0" fillId="20" borderId="0" xfId="0" applyNumberFormat="1" applyFill="1"/>
    <xf numFmtId="164" fontId="0" fillId="20" borderId="0" xfId="1" applyFont="1" applyFill="1"/>
    <xf numFmtId="43" fontId="29" fillId="20" borderId="0" xfId="29" applyFont="1" applyFill="1"/>
    <xf numFmtId="0" fontId="0" fillId="21" borderId="0" xfId="0" applyFill="1" applyProtection="1">
      <protection hidden="1"/>
    </xf>
    <xf numFmtId="49" fontId="25" fillId="0" borderId="0" xfId="34" applyNumberFormat="1"/>
    <xf numFmtId="4" fontId="25" fillId="0" borderId="0" xfId="34" applyNumberFormat="1"/>
    <xf numFmtId="4" fontId="25" fillId="17" borderId="0" xfId="34" applyNumberFormat="1" applyFill="1"/>
    <xf numFmtId="0" fontId="25" fillId="0" borderId="0" xfId="34"/>
    <xf numFmtId="43" fontId="0" fillId="0" borderId="0" xfId="0" applyNumberFormat="1"/>
    <xf numFmtId="4" fontId="25" fillId="22" borderId="0" xfId="34" applyNumberFormat="1" applyFill="1"/>
    <xf numFmtId="164" fontId="0" fillId="23" borderId="0" xfId="1" applyFont="1" applyFill="1"/>
    <xf numFmtId="164" fontId="45" fillId="23" borderId="0" xfId="1" applyFont="1" applyFill="1"/>
    <xf numFmtId="0" fontId="71" fillId="23" borderId="0" xfId="0" applyFont="1" applyFill="1"/>
    <xf numFmtId="4" fontId="44" fillId="14" borderId="0" xfId="0" applyNumberFormat="1" applyFont="1" applyFill="1" applyProtection="1">
      <protection hidden="1"/>
    </xf>
    <xf numFmtId="49" fontId="25" fillId="8" borderId="0" xfId="34" applyNumberFormat="1" applyFill="1"/>
    <xf numFmtId="49" fontId="25" fillId="0" borderId="0" xfId="33" applyNumberFormat="1" applyFont="1"/>
    <xf numFmtId="0" fontId="72" fillId="15" borderId="0" xfId="0" applyFont="1" applyFill="1"/>
    <xf numFmtId="0" fontId="0" fillId="24" borderId="2" xfId="0" applyFill="1" applyBorder="1"/>
    <xf numFmtId="0" fontId="63" fillId="24" borderId="2" xfId="0" applyFont="1" applyFill="1" applyBorder="1" applyAlignment="1">
      <alignment horizontal="center"/>
    </xf>
    <xf numFmtId="49" fontId="0" fillId="24" borderId="2" xfId="0" applyNumberFormat="1" applyFill="1" applyBorder="1"/>
    <xf numFmtId="49" fontId="25" fillId="8" borderId="2" xfId="34" applyNumberFormat="1" applyFill="1" applyBorder="1"/>
    <xf numFmtId="49" fontId="24" fillId="0" borderId="0" xfId="35" applyNumberFormat="1"/>
    <xf numFmtId="49" fontId="24" fillId="17" borderId="0" xfId="35" applyNumberFormat="1" applyFill="1"/>
    <xf numFmtId="0" fontId="24" fillId="0" borderId="0" xfId="35"/>
    <xf numFmtId="4" fontId="24" fillId="0" borderId="0" xfId="35" applyNumberFormat="1"/>
    <xf numFmtId="4" fontId="24" fillId="17" borderId="0" xfId="35" applyNumberFormat="1" applyFill="1"/>
    <xf numFmtId="0" fontId="24" fillId="17" borderId="0" xfId="35" applyFill="1"/>
    <xf numFmtId="0" fontId="24" fillId="24" borderId="0" xfId="35" applyFill="1"/>
    <xf numFmtId="49" fontId="24" fillId="24" borderId="0" xfId="35" applyNumberFormat="1" applyFill="1"/>
    <xf numFmtId="4" fontId="25" fillId="24" borderId="0" xfId="34" applyNumberFormat="1" applyFill="1"/>
    <xf numFmtId="171" fontId="24" fillId="0" borderId="0" xfId="35" applyNumberFormat="1"/>
    <xf numFmtId="171" fontId="24" fillId="17" borderId="0" xfId="35" applyNumberFormat="1" applyFill="1"/>
    <xf numFmtId="0" fontId="46" fillId="24" borderId="2" xfId="0" applyFont="1" applyFill="1" applyBorder="1" applyProtection="1">
      <protection hidden="1"/>
    </xf>
    <xf numFmtId="0" fontId="23" fillId="17" borderId="0" xfId="36" applyFill="1"/>
    <xf numFmtId="0" fontId="23" fillId="0" borderId="0" xfId="36"/>
    <xf numFmtId="0" fontId="23" fillId="24" borderId="0" xfId="36" applyFill="1"/>
    <xf numFmtId="49" fontId="23" fillId="0" borderId="0" xfId="36" applyNumberFormat="1"/>
    <xf numFmtId="4" fontId="23" fillId="0" borderId="0" xfId="36" applyNumberFormat="1"/>
    <xf numFmtId="171" fontId="23" fillId="0" borderId="0" xfId="36" applyNumberFormat="1"/>
    <xf numFmtId="49" fontId="23" fillId="17" borderId="0" xfId="36" applyNumberFormat="1" applyFill="1"/>
    <xf numFmtId="4" fontId="23" fillId="17" borderId="0" xfId="36" applyNumberFormat="1" applyFill="1"/>
    <xf numFmtId="171" fontId="23" fillId="17" borderId="0" xfId="36" applyNumberFormat="1" applyFill="1"/>
    <xf numFmtId="49" fontId="23" fillId="24" borderId="0" xfId="36" applyNumberFormat="1" applyFill="1"/>
    <xf numFmtId="164" fontId="46" fillId="0" borderId="0" xfId="1" applyProtection="1">
      <protection hidden="1"/>
    </xf>
    <xf numFmtId="0" fontId="61" fillId="14" borderId="0" xfId="0" applyFont="1" applyFill="1" applyAlignment="1" applyProtection="1">
      <alignment vertical="center"/>
      <protection hidden="1"/>
    </xf>
    <xf numFmtId="0" fontId="68" fillId="13" borderId="14" xfId="0" applyFont="1" applyFill="1" applyBorder="1" applyAlignment="1" applyProtection="1">
      <alignment vertical="center"/>
      <protection hidden="1"/>
    </xf>
    <xf numFmtId="0" fontId="75" fillId="25" borderId="14" xfId="0" applyFont="1" applyFill="1" applyBorder="1" applyAlignment="1" applyProtection="1">
      <alignment vertical="center"/>
      <protection hidden="1"/>
    </xf>
    <xf numFmtId="10" fontId="69" fillId="25" borderId="0" xfId="23" applyNumberFormat="1" applyFont="1" applyFill="1" applyBorder="1" applyAlignment="1" applyProtection="1">
      <alignment horizontal="right" vertical="center"/>
      <protection hidden="1"/>
    </xf>
    <xf numFmtId="0" fontId="68" fillId="25" borderId="14" xfId="0" applyFont="1" applyFill="1" applyBorder="1" applyAlignment="1" applyProtection="1">
      <alignment vertical="center"/>
      <protection hidden="1"/>
    </xf>
    <xf numFmtId="0" fontId="68" fillId="26" borderId="14" xfId="0" applyFont="1" applyFill="1" applyBorder="1" applyAlignment="1" applyProtection="1">
      <alignment vertical="center"/>
      <protection hidden="1"/>
    </xf>
    <xf numFmtId="0" fontId="68" fillId="27" borderId="14" xfId="0" applyFont="1" applyFill="1" applyBorder="1" applyAlignment="1" applyProtection="1">
      <alignment vertical="center"/>
      <protection hidden="1"/>
    </xf>
    <xf numFmtId="0" fontId="75" fillId="14" borderId="14" xfId="0" applyFont="1" applyFill="1" applyBorder="1" applyAlignment="1" applyProtection="1">
      <alignment vertical="center"/>
      <protection hidden="1"/>
    </xf>
    <xf numFmtId="10" fontId="69" fillId="26" borderId="26" xfId="23" applyNumberFormat="1" applyFont="1" applyFill="1" applyBorder="1" applyAlignment="1" applyProtection="1">
      <alignment vertical="center"/>
      <protection hidden="1"/>
    </xf>
    <xf numFmtId="0" fontId="77" fillId="14" borderId="0" xfId="0" applyFont="1" applyFill="1" applyAlignment="1" applyProtection="1">
      <alignment vertical="center"/>
      <protection hidden="1"/>
    </xf>
    <xf numFmtId="169" fontId="77" fillId="14" borderId="0" xfId="0" applyNumberFormat="1" applyFont="1" applyFill="1" applyAlignment="1" applyProtection="1">
      <alignment vertical="center"/>
      <protection hidden="1"/>
    </xf>
    <xf numFmtId="170" fontId="77" fillId="14" borderId="0" xfId="0" applyNumberFormat="1" applyFont="1" applyFill="1" applyAlignment="1" applyProtection="1">
      <alignment vertical="center"/>
      <protection hidden="1"/>
    </xf>
    <xf numFmtId="0" fontId="62" fillId="8" borderId="0" xfId="0" applyFont="1" applyFill="1" applyProtection="1">
      <protection hidden="1"/>
    </xf>
    <xf numFmtId="0" fontId="68" fillId="28" borderId="14" xfId="0" applyFont="1" applyFill="1" applyBorder="1" applyAlignment="1" applyProtection="1">
      <alignment horizontal="left" vertical="center"/>
      <protection hidden="1"/>
    </xf>
    <xf numFmtId="3" fontId="76" fillId="25" borderId="28" xfId="2" applyNumberFormat="1" applyFont="1" applyFill="1" applyBorder="1" applyAlignment="1" applyProtection="1">
      <alignment horizontal="right" vertical="center"/>
      <protection hidden="1"/>
    </xf>
    <xf numFmtId="3" fontId="73" fillId="28" borderId="28" xfId="2" applyNumberFormat="1" applyFont="1" applyFill="1" applyBorder="1" applyAlignment="1" applyProtection="1">
      <alignment horizontal="right" vertical="center"/>
      <protection hidden="1"/>
    </xf>
    <xf numFmtId="3" fontId="73" fillId="13" borderId="28" xfId="2" applyNumberFormat="1" applyFont="1" applyFill="1" applyBorder="1" applyAlignment="1" applyProtection="1">
      <alignment vertical="center"/>
      <protection hidden="1"/>
    </xf>
    <xf numFmtId="167" fontId="73" fillId="25" borderId="28" xfId="2" applyNumberFormat="1" applyFont="1" applyFill="1" applyBorder="1" applyAlignment="1" applyProtection="1">
      <alignment horizontal="right" vertical="center"/>
      <protection hidden="1"/>
    </xf>
    <xf numFmtId="169" fontId="73" fillId="26" borderId="28" xfId="2" applyNumberFormat="1" applyFont="1" applyFill="1" applyBorder="1" applyAlignment="1" applyProtection="1">
      <alignment vertical="center"/>
      <protection hidden="1"/>
    </xf>
    <xf numFmtId="167" fontId="73" fillId="25" borderId="28" xfId="2" applyNumberFormat="1" applyFont="1" applyFill="1" applyBorder="1" applyAlignment="1" applyProtection="1">
      <alignment vertical="center"/>
      <protection hidden="1"/>
    </xf>
    <xf numFmtId="169" fontId="73" fillId="27" borderId="28" xfId="2" applyNumberFormat="1" applyFont="1" applyFill="1" applyBorder="1" applyAlignment="1" applyProtection="1">
      <alignment vertical="center"/>
      <protection hidden="1"/>
    </xf>
    <xf numFmtId="167" fontId="76" fillId="14" borderId="28" xfId="0" applyNumberFormat="1" applyFont="1" applyFill="1" applyBorder="1" applyAlignment="1" applyProtection="1">
      <alignment vertical="center"/>
      <protection hidden="1"/>
    </xf>
    <xf numFmtId="169" fontId="73" fillId="13" borderId="28" xfId="2" applyNumberFormat="1" applyFont="1" applyFill="1" applyBorder="1" applyAlignment="1" applyProtection="1">
      <alignment vertical="center"/>
      <protection hidden="1"/>
    </xf>
    <xf numFmtId="169" fontId="73" fillId="26" borderId="29" xfId="2" applyNumberFormat="1" applyFont="1" applyFill="1" applyBorder="1" applyAlignment="1" applyProtection="1">
      <alignment vertical="center"/>
      <protection hidden="1"/>
    </xf>
    <xf numFmtId="10" fontId="69" fillId="25" borderId="27" xfId="23" applyNumberFormat="1" applyFont="1" applyFill="1" applyBorder="1" applyAlignment="1" applyProtection="1">
      <alignment horizontal="right" vertical="center"/>
      <protection hidden="1"/>
    </xf>
    <xf numFmtId="10" fontId="69" fillId="25" borderId="6" xfId="23" applyNumberFormat="1" applyFont="1" applyFill="1" applyBorder="1" applyAlignment="1" applyProtection="1">
      <alignment horizontal="right" vertical="center"/>
      <protection hidden="1"/>
    </xf>
    <xf numFmtId="10" fontId="69" fillId="28" borderId="6" xfId="23" applyNumberFormat="1" applyFont="1" applyFill="1" applyBorder="1" applyAlignment="1" applyProtection="1">
      <alignment horizontal="right" vertical="center"/>
      <protection hidden="1"/>
    </xf>
    <xf numFmtId="10" fontId="69" fillId="13" borderId="6" xfId="23" applyNumberFormat="1" applyFont="1" applyFill="1" applyBorder="1" applyAlignment="1" applyProtection="1">
      <alignment vertical="center"/>
      <protection hidden="1"/>
    </xf>
    <xf numFmtId="10" fontId="69" fillId="26" borderId="6" xfId="23" applyNumberFormat="1" applyFont="1" applyFill="1" applyBorder="1" applyAlignment="1" applyProtection="1">
      <alignment vertical="center"/>
      <protection hidden="1"/>
    </xf>
    <xf numFmtId="10" fontId="69" fillId="27" borderId="6" xfId="23" applyNumberFormat="1" applyFont="1" applyFill="1" applyBorder="1" applyAlignment="1" applyProtection="1">
      <alignment vertical="center"/>
      <protection hidden="1"/>
    </xf>
    <xf numFmtId="4" fontId="61" fillId="14" borderId="0" xfId="0" applyNumberFormat="1" applyFont="1" applyFill="1" applyAlignment="1" applyProtection="1">
      <alignment vertical="center"/>
      <protection hidden="1"/>
    </xf>
    <xf numFmtId="4" fontId="77" fillId="14" borderId="0" xfId="0" applyNumberFormat="1" applyFont="1" applyFill="1" applyAlignment="1" applyProtection="1">
      <alignment vertical="center"/>
      <protection hidden="1"/>
    </xf>
    <xf numFmtId="10" fontId="69" fillId="25" borderId="30" xfId="23" applyNumberFormat="1" applyFont="1" applyFill="1" applyBorder="1" applyAlignment="1" applyProtection="1">
      <alignment horizontal="right" vertical="center"/>
      <protection hidden="1"/>
    </xf>
    <xf numFmtId="10" fontId="69" fillId="25" borderId="31" xfId="23" applyNumberFormat="1" applyFont="1" applyFill="1" applyBorder="1" applyAlignment="1" applyProtection="1">
      <alignment horizontal="right" vertical="center"/>
      <protection hidden="1"/>
    </xf>
    <xf numFmtId="10" fontId="69" fillId="28" borderId="31" xfId="23" applyNumberFormat="1" applyFont="1" applyFill="1" applyBorder="1" applyAlignment="1" applyProtection="1">
      <alignment horizontal="right" vertical="center"/>
      <protection hidden="1"/>
    </xf>
    <xf numFmtId="10" fontId="69" fillId="13" borderId="31" xfId="23" applyNumberFormat="1" applyFont="1" applyFill="1" applyBorder="1" applyAlignment="1" applyProtection="1">
      <alignment vertical="center"/>
      <protection hidden="1"/>
    </xf>
    <xf numFmtId="10" fontId="69" fillId="26" borderId="31" xfId="23" applyNumberFormat="1" applyFont="1" applyFill="1" applyBorder="1" applyAlignment="1" applyProtection="1">
      <alignment vertical="center"/>
      <protection hidden="1"/>
    </xf>
    <xf numFmtId="10" fontId="69" fillId="27" borderId="31" xfId="23" applyNumberFormat="1" applyFont="1" applyFill="1" applyBorder="1" applyAlignment="1" applyProtection="1">
      <alignment vertical="center"/>
      <protection hidden="1"/>
    </xf>
    <xf numFmtId="0" fontId="77" fillId="14" borderId="32" xfId="0" applyFont="1" applyFill="1" applyBorder="1" applyAlignment="1" applyProtection="1">
      <alignment vertical="center"/>
      <protection hidden="1"/>
    </xf>
    <xf numFmtId="10" fontId="69" fillId="25" borderId="32" xfId="23" applyNumberFormat="1" applyFont="1" applyFill="1" applyBorder="1" applyAlignment="1" applyProtection="1">
      <alignment horizontal="right" vertical="center"/>
      <protection hidden="1"/>
    </xf>
    <xf numFmtId="10" fontId="69" fillId="26" borderId="32" xfId="23" applyNumberFormat="1" applyFont="1" applyFill="1" applyBorder="1" applyAlignment="1" applyProtection="1">
      <alignment vertical="center"/>
      <protection hidden="1"/>
    </xf>
    <xf numFmtId="10" fontId="69" fillId="27" borderId="32" xfId="23" applyNumberFormat="1" applyFont="1" applyFill="1" applyBorder="1" applyAlignment="1" applyProtection="1">
      <alignment vertical="center"/>
      <protection hidden="1"/>
    </xf>
    <xf numFmtId="10" fontId="69" fillId="13" borderId="32" xfId="23" applyNumberFormat="1" applyFont="1" applyFill="1" applyBorder="1" applyAlignment="1" applyProtection="1">
      <alignment vertical="center"/>
      <protection hidden="1"/>
    </xf>
    <xf numFmtId="3" fontId="76" fillId="25" borderId="33" xfId="2" applyNumberFormat="1" applyFont="1" applyFill="1" applyBorder="1" applyAlignment="1" applyProtection="1">
      <alignment horizontal="right" vertical="center"/>
      <protection hidden="1"/>
    </xf>
    <xf numFmtId="3" fontId="73" fillId="25" borderId="28" xfId="2" applyNumberFormat="1" applyFont="1" applyFill="1" applyBorder="1" applyAlignment="1" applyProtection="1">
      <alignment horizontal="right" vertical="center"/>
      <protection hidden="1"/>
    </xf>
    <xf numFmtId="0" fontId="68" fillId="26" borderId="37" xfId="0" applyFont="1" applyFill="1" applyBorder="1" applyAlignment="1" applyProtection="1">
      <alignment vertical="center"/>
      <protection hidden="1"/>
    </xf>
    <xf numFmtId="10" fontId="69" fillId="26" borderId="38" xfId="23" applyNumberFormat="1" applyFont="1" applyFill="1" applyBorder="1" applyAlignment="1" applyProtection="1">
      <alignment vertical="center"/>
      <protection hidden="1"/>
    </xf>
    <xf numFmtId="169" fontId="73" fillId="26" borderId="39" xfId="2" applyNumberFormat="1" applyFont="1" applyFill="1" applyBorder="1" applyAlignment="1" applyProtection="1">
      <alignment vertical="center"/>
      <protection hidden="1"/>
    </xf>
    <xf numFmtId="10" fontId="69" fillId="26" borderId="40" xfId="23" applyNumberFormat="1" applyFont="1" applyFill="1" applyBorder="1" applyAlignment="1" applyProtection="1">
      <alignment vertical="center"/>
      <protection hidden="1"/>
    </xf>
    <xf numFmtId="3" fontId="77" fillId="29" borderId="0" xfId="0" applyNumberFormat="1" applyFont="1" applyFill="1" applyAlignment="1" applyProtection="1">
      <alignment vertical="center"/>
      <protection hidden="1"/>
    </xf>
    <xf numFmtId="169" fontId="77" fillId="29" borderId="0" xfId="0" applyNumberFormat="1" applyFont="1" applyFill="1" applyAlignment="1" applyProtection="1">
      <alignment vertical="center"/>
      <protection hidden="1"/>
    </xf>
    <xf numFmtId="4" fontId="77" fillId="29" borderId="0" xfId="0" applyNumberFormat="1" applyFont="1" applyFill="1" applyAlignment="1" applyProtection="1">
      <alignment vertical="center"/>
      <protection hidden="1"/>
    </xf>
    <xf numFmtId="0" fontId="58" fillId="14" borderId="0" xfId="0" applyFont="1" applyFill="1" applyProtection="1">
      <protection hidden="1"/>
    </xf>
    <xf numFmtId="0" fontId="58" fillId="8" borderId="0" xfId="0" applyFont="1" applyFill="1"/>
    <xf numFmtId="49" fontId="21" fillId="0" borderId="0" xfId="38" applyNumberFormat="1"/>
    <xf numFmtId="4" fontId="21" fillId="0" borderId="0" xfId="38" applyNumberFormat="1"/>
    <xf numFmtId="171" fontId="21" fillId="0" borderId="0" xfId="38" applyNumberFormat="1"/>
    <xf numFmtId="49" fontId="21" fillId="17" borderId="0" xfId="38" applyNumberFormat="1" applyFill="1"/>
    <xf numFmtId="4" fontId="21" fillId="17" borderId="0" xfId="38" applyNumberFormat="1" applyFill="1"/>
    <xf numFmtId="171" fontId="21" fillId="17" borderId="0" xfId="38" applyNumberFormat="1" applyFill="1"/>
    <xf numFmtId="0" fontId="21" fillId="17" borderId="0" xfId="38" applyFill="1"/>
    <xf numFmtId="0" fontId="21" fillId="0" borderId="0" xfId="38"/>
    <xf numFmtId="0" fontId="79" fillId="14" borderId="0" xfId="0" applyFont="1" applyFill="1" applyAlignment="1" applyProtection="1">
      <alignment vertical="center"/>
      <protection hidden="1"/>
    </xf>
    <xf numFmtId="0" fontId="80" fillId="8" borderId="0" xfId="0" applyFont="1" applyFill="1" applyProtection="1">
      <protection hidden="1"/>
    </xf>
    <xf numFmtId="0" fontId="83" fillId="25" borderId="14" xfId="0" applyFont="1" applyFill="1" applyBorder="1" applyAlignment="1" applyProtection="1">
      <alignment vertical="center"/>
      <protection hidden="1"/>
    </xf>
    <xf numFmtId="10" fontId="84" fillId="25" borderId="30" xfId="23" applyNumberFormat="1" applyFont="1" applyFill="1" applyBorder="1" applyAlignment="1" applyProtection="1">
      <alignment horizontal="right" vertical="center"/>
      <protection hidden="1"/>
    </xf>
    <xf numFmtId="3" fontId="83" fillId="25" borderId="28" xfId="2" applyNumberFormat="1" applyFont="1" applyFill="1" applyBorder="1" applyAlignment="1" applyProtection="1">
      <alignment horizontal="right" vertical="center"/>
      <protection hidden="1"/>
    </xf>
    <xf numFmtId="10" fontId="84" fillId="25" borderId="27" xfId="23" applyNumberFormat="1" applyFont="1" applyFill="1" applyBorder="1" applyAlignment="1" applyProtection="1">
      <alignment horizontal="right" vertical="center"/>
      <protection hidden="1"/>
    </xf>
    <xf numFmtId="3" fontId="83" fillId="25" borderId="33" xfId="2" applyNumberFormat="1" applyFont="1" applyFill="1" applyBorder="1" applyAlignment="1" applyProtection="1">
      <alignment horizontal="right" vertical="center"/>
      <protection hidden="1"/>
    </xf>
    <xf numFmtId="3" fontId="85" fillId="25" borderId="34" xfId="2" applyNumberFormat="1" applyFont="1" applyFill="1" applyBorder="1" applyAlignment="1" applyProtection="1">
      <alignment horizontal="right" vertical="center"/>
      <protection hidden="1"/>
    </xf>
    <xf numFmtId="10" fontId="84" fillId="25" borderId="31" xfId="23" applyNumberFormat="1" applyFont="1" applyFill="1" applyBorder="1" applyAlignment="1" applyProtection="1">
      <alignment horizontal="right" vertical="center"/>
      <protection hidden="1"/>
    </xf>
    <xf numFmtId="10" fontId="84" fillId="25" borderId="6" xfId="23" applyNumberFormat="1" applyFont="1" applyFill="1" applyBorder="1" applyAlignment="1" applyProtection="1">
      <alignment horizontal="right" vertical="center"/>
      <protection hidden="1"/>
    </xf>
    <xf numFmtId="3" fontId="85" fillId="25" borderId="35" xfId="2" applyNumberFormat="1" applyFont="1" applyFill="1" applyBorder="1" applyAlignment="1" applyProtection="1">
      <alignment horizontal="right" vertical="center"/>
      <protection hidden="1"/>
    </xf>
    <xf numFmtId="3" fontId="86" fillId="25" borderId="28" xfId="2" applyNumberFormat="1" applyFont="1" applyFill="1" applyBorder="1" applyAlignment="1" applyProtection="1">
      <alignment horizontal="right" vertical="center"/>
      <protection hidden="1"/>
    </xf>
    <xf numFmtId="3" fontId="86" fillId="28" borderId="28" xfId="2" applyNumberFormat="1" applyFont="1" applyFill="1" applyBorder="1" applyAlignment="1" applyProtection="1">
      <alignment horizontal="right" vertical="center"/>
      <protection hidden="1"/>
    </xf>
    <xf numFmtId="10" fontId="84" fillId="28" borderId="6" xfId="23" applyNumberFormat="1" applyFont="1" applyFill="1" applyBorder="1" applyAlignment="1" applyProtection="1">
      <alignment horizontal="right" vertical="center"/>
      <protection hidden="1"/>
    </xf>
    <xf numFmtId="10" fontId="84" fillId="25" borderId="0" xfId="23" applyNumberFormat="1" applyFont="1" applyFill="1" applyBorder="1" applyAlignment="1" applyProtection="1">
      <alignment horizontal="right" vertical="center"/>
      <protection hidden="1"/>
    </xf>
    <xf numFmtId="0" fontId="86" fillId="13" borderId="14" xfId="0" applyFont="1" applyFill="1" applyBorder="1" applyAlignment="1" applyProtection="1">
      <alignment vertical="center"/>
      <protection hidden="1"/>
    </xf>
    <xf numFmtId="10" fontId="84" fillId="13" borderId="31" xfId="23" applyNumberFormat="1" applyFont="1" applyFill="1" applyBorder="1" applyAlignment="1" applyProtection="1">
      <alignment vertical="center"/>
      <protection hidden="1"/>
    </xf>
    <xf numFmtId="3" fontId="86" fillId="13" borderId="28" xfId="2" applyNumberFormat="1" applyFont="1" applyFill="1" applyBorder="1" applyAlignment="1" applyProtection="1">
      <alignment vertical="center"/>
      <protection hidden="1"/>
    </xf>
    <xf numFmtId="10" fontId="84" fillId="13" borderId="6" xfId="23" applyNumberFormat="1" applyFont="1" applyFill="1" applyBorder="1" applyAlignment="1" applyProtection="1">
      <alignment vertical="center"/>
      <protection hidden="1"/>
    </xf>
    <xf numFmtId="0" fontId="86" fillId="25" borderId="14" xfId="0" applyFont="1" applyFill="1" applyBorder="1" applyAlignment="1" applyProtection="1">
      <alignment vertical="center"/>
      <protection hidden="1"/>
    </xf>
    <xf numFmtId="167" fontId="86" fillId="25" borderId="28" xfId="2" applyNumberFormat="1" applyFont="1" applyFill="1" applyBorder="1" applyAlignment="1" applyProtection="1">
      <alignment horizontal="right" vertical="center"/>
      <protection hidden="1"/>
    </xf>
    <xf numFmtId="10" fontId="84" fillId="25" borderId="32" xfId="23" applyNumberFormat="1" applyFont="1" applyFill="1" applyBorder="1" applyAlignment="1" applyProtection="1">
      <alignment horizontal="right" vertical="center"/>
      <protection hidden="1"/>
    </xf>
    <xf numFmtId="0" fontId="86" fillId="26" borderId="14" xfId="0" applyFont="1" applyFill="1" applyBorder="1" applyAlignment="1" applyProtection="1">
      <alignment vertical="center"/>
      <protection hidden="1"/>
    </xf>
    <xf numFmtId="10" fontId="84" fillId="26" borderId="31" xfId="23" applyNumberFormat="1" applyFont="1" applyFill="1" applyBorder="1" applyAlignment="1" applyProtection="1">
      <alignment vertical="center"/>
      <protection hidden="1"/>
    </xf>
    <xf numFmtId="169" fontId="86" fillId="26" borderId="28" xfId="2" applyNumberFormat="1" applyFont="1" applyFill="1" applyBorder="1" applyAlignment="1" applyProtection="1">
      <alignment vertical="center"/>
      <protection hidden="1"/>
    </xf>
    <xf numFmtId="10" fontId="84" fillId="26" borderId="32" xfId="23" applyNumberFormat="1" applyFont="1" applyFill="1" applyBorder="1" applyAlignment="1" applyProtection="1">
      <alignment vertical="center"/>
      <protection hidden="1"/>
    </xf>
    <xf numFmtId="10" fontId="84" fillId="26" borderId="6" xfId="23" applyNumberFormat="1" applyFont="1" applyFill="1" applyBorder="1" applyAlignment="1" applyProtection="1">
      <alignment vertical="center"/>
      <protection hidden="1"/>
    </xf>
    <xf numFmtId="167" fontId="86" fillId="25" borderId="28" xfId="2" applyNumberFormat="1" applyFont="1" applyFill="1" applyBorder="1" applyAlignment="1" applyProtection="1">
      <alignment vertical="center"/>
      <protection hidden="1"/>
    </xf>
    <xf numFmtId="0" fontId="86" fillId="27" borderId="14" xfId="0" applyFont="1" applyFill="1" applyBorder="1" applyAlignment="1" applyProtection="1">
      <alignment vertical="center"/>
      <protection hidden="1"/>
    </xf>
    <xf numFmtId="10" fontId="84" fillId="27" borderId="31" xfId="23" applyNumberFormat="1" applyFont="1" applyFill="1" applyBorder="1" applyAlignment="1" applyProtection="1">
      <alignment vertical="center"/>
      <protection hidden="1"/>
    </xf>
    <xf numFmtId="169" fontId="86" fillId="27" borderId="28" xfId="2" applyNumberFormat="1" applyFont="1" applyFill="1" applyBorder="1" applyAlignment="1" applyProtection="1">
      <alignment vertical="center"/>
      <protection hidden="1"/>
    </xf>
    <xf numFmtId="10" fontId="84" fillId="27" borderId="32" xfId="23" applyNumberFormat="1" applyFont="1" applyFill="1" applyBorder="1" applyAlignment="1" applyProtection="1">
      <alignment vertical="center"/>
      <protection hidden="1"/>
    </xf>
    <xf numFmtId="10" fontId="84" fillId="27" borderId="6" xfId="23" applyNumberFormat="1" applyFont="1" applyFill="1" applyBorder="1" applyAlignment="1" applyProtection="1">
      <alignment vertical="center"/>
      <protection hidden="1"/>
    </xf>
    <xf numFmtId="167" fontId="83" fillId="14" borderId="28" xfId="0" applyNumberFormat="1" applyFont="1" applyFill="1" applyBorder="1" applyAlignment="1" applyProtection="1">
      <alignment vertical="center"/>
      <protection hidden="1"/>
    </xf>
    <xf numFmtId="10" fontId="84" fillId="13" borderId="32" xfId="23" applyNumberFormat="1" applyFont="1" applyFill="1" applyBorder="1" applyAlignment="1" applyProtection="1">
      <alignment vertical="center"/>
      <protection hidden="1"/>
    </xf>
    <xf numFmtId="169" fontId="86" fillId="13" borderId="28" xfId="2" applyNumberFormat="1" applyFont="1" applyFill="1" applyBorder="1" applyAlignment="1" applyProtection="1">
      <alignment vertical="center"/>
      <protection hidden="1"/>
    </xf>
    <xf numFmtId="0" fontId="83" fillId="14" borderId="14" xfId="0" applyFont="1" applyFill="1" applyBorder="1" applyAlignment="1" applyProtection="1">
      <alignment vertical="center"/>
      <protection hidden="1"/>
    </xf>
    <xf numFmtId="0" fontId="86" fillId="26" borderId="37" xfId="0" applyFont="1" applyFill="1" applyBorder="1" applyAlignment="1" applyProtection="1">
      <alignment vertical="center"/>
      <protection hidden="1"/>
    </xf>
    <xf numFmtId="10" fontId="84" fillId="26" borderId="38" xfId="23" applyNumberFormat="1" applyFont="1" applyFill="1" applyBorder="1" applyAlignment="1" applyProtection="1">
      <alignment vertical="center"/>
      <protection hidden="1"/>
    </xf>
    <xf numFmtId="169" fontId="86" fillId="26" borderId="39" xfId="2" applyNumberFormat="1" applyFont="1" applyFill="1" applyBorder="1" applyAlignment="1" applyProtection="1">
      <alignment vertical="center"/>
      <protection hidden="1"/>
    </xf>
    <xf numFmtId="10" fontId="84" fillId="26" borderId="40" xfId="23" applyNumberFormat="1" applyFont="1" applyFill="1" applyBorder="1" applyAlignment="1" applyProtection="1">
      <alignment vertical="center"/>
      <protection hidden="1"/>
    </xf>
    <xf numFmtId="0" fontId="89" fillId="14" borderId="0" xfId="0" applyFont="1" applyFill="1" applyAlignment="1" applyProtection="1">
      <alignment vertical="center"/>
      <protection hidden="1"/>
    </xf>
    <xf numFmtId="170" fontId="89" fillId="14" borderId="0" xfId="0" applyNumberFormat="1" applyFont="1" applyFill="1" applyAlignment="1" applyProtection="1">
      <alignment vertical="center"/>
      <protection hidden="1"/>
    </xf>
    <xf numFmtId="4" fontId="89" fillId="14" borderId="0" xfId="0" applyNumberFormat="1" applyFont="1" applyFill="1" applyAlignment="1" applyProtection="1">
      <alignment vertical="center"/>
      <protection hidden="1"/>
    </xf>
    <xf numFmtId="4" fontId="79" fillId="14" borderId="0" xfId="0" applyNumberFormat="1" applyFont="1" applyFill="1" applyAlignment="1" applyProtection="1">
      <alignment vertical="center"/>
      <protection hidden="1"/>
    </xf>
    <xf numFmtId="0" fontId="90" fillId="34" borderId="15" xfId="0" applyFont="1" applyFill="1" applyBorder="1" applyAlignment="1" applyProtection="1">
      <alignment horizontal="center" vertical="center" wrapText="1"/>
      <protection hidden="1"/>
    </xf>
    <xf numFmtId="0" fontId="82" fillId="33" borderId="21" xfId="0" applyFont="1" applyFill="1" applyBorder="1" applyAlignment="1" applyProtection="1">
      <alignment horizontal="center" vertical="center"/>
      <protection hidden="1"/>
    </xf>
    <xf numFmtId="0" fontId="91" fillId="14" borderId="0" xfId="0" applyFont="1" applyFill="1" applyAlignment="1" applyProtection="1">
      <alignment vertical="center"/>
      <protection hidden="1"/>
    </xf>
    <xf numFmtId="0" fontId="83" fillId="14" borderId="0" xfId="0" applyFont="1" applyFill="1" applyAlignment="1" applyProtection="1">
      <alignment vertical="center"/>
      <protection hidden="1"/>
    </xf>
    <xf numFmtId="3" fontId="83" fillId="29" borderId="0" xfId="0" applyNumberFormat="1" applyFont="1" applyFill="1" applyAlignment="1" applyProtection="1">
      <alignment vertical="center"/>
      <protection hidden="1"/>
    </xf>
    <xf numFmtId="4" fontId="83" fillId="14" borderId="0" xfId="0" applyNumberFormat="1" applyFont="1" applyFill="1" applyAlignment="1" applyProtection="1">
      <alignment vertical="center"/>
      <protection hidden="1"/>
    </xf>
    <xf numFmtId="3" fontId="83" fillId="14" borderId="0" xfId="0" applyNumberFormat="1" applyFont="1" applyFill="1" applyAlignment="1" applyProtection="1">
      <alignment vertical="center"/>
      <protection hidden="1"/>
    </xf>
    <xf numFmtId="0" fontId="86" fillId="35" borderId="14" xfId="0" applyFont="1" applyFill="1" applyBorder="1" applyAlignment="1" applyProtection="1">
      <alignment vertical="center"/>
      <protection hidden="1"/>
    </xf>
    <xf numFmtId="10" fontId="84" fillId="35" borderId="31" xfId="23" applyNumberFormat="1" applyFont="1" applyFill="1" applyBorder="1" applyAlignment="1" applyProtection="1">
      <alignment horizontal="right" vertical="center"/>
      <protection hidden="1"/>
    </xf>
    <xf numFmtId="167" fontId="88" fillId="35" borderId="28" xfId="2" applyNumberFormat="1" applyFont="1" applyFill="1" applyBorder="1" applyAlignment="1" applyProtection="1">
      <alignment vertical="center"/>
      <protection hidden="1"/>
    </xf>
    <xf numFmtId="10" fontId="84" fillId="35" borderId="32" xfId="23" applyNumberFormat="1" applyFont="1" applyFill="1" applyBorder="1" applyAlignment="1" applyProtection="1">
      <alignment horizontal="right" vertical="center"/>
      <protection hidden="1"/>
    </xf>
    <xf numFmtId="3" fontId="83" fillId="35" borderId="28" xfId="2" applyNumberFormat="1" applyFont="1" applyFill="1" applyBorder="1" applyAlignment="1" applyProtection="1">
      <alignment horizontal="right" vertical="center"/>
      <protection hidden="1"/>
    </xf>
    <xf numFmtId="10" fontId="84" fillId="35" borderId="6" xfId="23" applyNumberFormat="1" applyFont="1" applyFill="1" applyBorder="1" applyAlignment="1" applyProtection="1">
      <alignment horizontal="right" vertical="center"/>
      <protection hidden="1"/>
    </xf>
    <xf numFmtId="167" fontId="87" fillId="35" borderId="36" xfId="2" applyNumberFormat="1" applyFont="1" applyFill="1" applyBorder="1" applyAlignment="1" applyProtection="1">
      <alignment vertical="center"/>
      <protection hidden="1"/>
    </xf>
    <xf numFmtId="167" fontId="87" fillId="35" borderId="13" xfId="2" applyNumberFormat="1" applyFont="1" applyFill="1" applyBorder="1" applyAlignment="1" applyProtection="1">
      <alignment vertical="center"/>
      <protection hidden="1"/>
    </xf>
    <xf numFmtId="3" fontId="85" fillId="25" borderId="42" xfId="2" applyNumberFormat="1" applyFont="1" applyFill="1" applyBorder="1" applyAlignment="1" applyProtection="1">
      <alignment horizontal="right" vertical="center"/>
      <protection hidden="1"/>
    </xf>
    <xf numFmtId="10" fontId="84" fillId="37" borderId="31" xfId="23" applyNumberFormat="1" applyFont="1" applyFill="1" applyBorder="1" applyAlignment="1" applyProtection="1">
      <alignment horizontal="right" vertical="center"/>
      <protection hidden="1"/>
    </xf>
    <xf numFmtId="3" fontId="85" fillId="37" borderId="34" xfId="2" applyNumberFormat="1" applyFont="1" applyFill="1" applyBorder="1" applyAlignment="1" applyProtection="1">
      <alignment horizontal="right" vertical="center"/>
      <protection hidden="1"/>
    </xf>
    <xf numFmtId="0" fontId="86" fillId="37" borderId="14" xfId="0" applyFont="1" applyFill="1" applyBorder="1" applyAlignment="1" applyProtection="1">
      <alignment vertical="center"/>
      <protection hidden="1"/>
    </xf>
    <xf numFmtId="167" fontId="88" fillId="37" borderId="28" xfId="2" applyNumberFormat="1" applyFont="1" applyFill="1" applyBorder="1" applyAlignment="1" applyProtection="1">
      <alignment vertical="center"/>
      <protection hidden="1"/>
    </xf>
    <xf numFmtId="10" fontId="84" fillId="37" borderId="32" xfId="23" applyNumberFormat="1" applyFont="1" applyFill="1" applyBorder="1" applyAlignment="1" applyProtection="1">
      <alignment horizontal="right" vertical="center"/>
      <protection hidden="1"/>
    </xf>
    <xf numFmtId="169" fontId="83" fillId="14" borderId="0" xfId="0" applyNumberFormat="1" applyFont="1" applyFill="1" applyAlignment="1" applyProtection="1">
      <alignment vertical="center"/>
      <protection hidden="1"/>
    </xf>
    <xf numFmtId="169" fontId="92" fillId="14" borderId="0" xfId="0" applyNumberFormat="1" applyFont="1" applyFill="1" applyAlignment="1" applyProtection="1">
      <alignment vertical="center"/>
      <protection hidden="1"/>
    </xf>
    <xf numFmtId="43" fontId="0" fillId="14" borderId="0" xfId="0" applyNumberFormat="1" applyFill="1" applyAlignment="1" applyProtection="1">
      <alignment vertical="center"/>
      <protection hidden="1"/>
    </xf>
    <xf numFmtId="164" fontId="0" fillId="14" borderId="0" xfId="0" applyNumberFormat="1" applyFill="1" applyAlignment="1" applyProtection="1">
      <alignment vertical="center"/>
      <protection hidden="1"/>
    </xf>
    <xf numFmtId="3" fontId="77" fillId="14" borderId="0" xfId="0" applyNumberFormat="1" applyFont="1" applyFill="1" applyAlignment="1" applyProtection="1">
      <alignment vertical="center"/>
      <protection hidden="1"/>
    </xf>
    <xf numFmtId="164" fontId="45" fillId="9" borderId="0" xfId="1" applyFont="1" applyFill="1"/>
    <xf numFmtId="164" fontId="0" fillId="9" borderId="0" xfId="1" applyFont="1" applyFill="1"/>
    <xf numFmtId="43" fontId="29" fillId="9" borderId="0" xfId="29" applyFont="1" applyFill="1"/>
    <xf numFmtId="3" fontId="83" fillId="38" borderId="0" xfId="0" applyNumberFormat="1" applyFont="1" applyFill="1" applyAlignment="1" applyProtection="1">
      <alignment vertical="center"/>
      <protection hidden="1"/>
    </xf>
    <xf numFmtId="0" fontId="86" fillId="28" borderId="14" xfId="0" applyFont="1" applyFill="1" applyBorder="1" applyAlignment="1" applyProtection="1">
      <alignment horizontal="left" vertical="center"/>
      <protection hidden="1"/>
    </xf>
    <xf numFmtId="10" fontId="69" fillId="25" borderId="38" xfId="23" applyNumberFormat="1" applyFont="1" applyFill="1" applyBorder="1" applyAlignment="1" applyProtection="1">
      <alignment horizontal="right" vertical="center"/>
      <protection hidden="1"/>
    </xf>
    <xf numFmtId="169" fontId="89" fillId="14" borderId="0" xfId="0" applyNumberFormat="1" applyFont="1" applyFill="1" applyAlignment="1" applyProtection="1">
      <alignment vertical="center"/>
      <protection hidden="1"/>
    </xf>
    <xf numFmtId="10" fontId="69" fillId="26" borderId="0" xfId="23" applyNumberFormat="1" applyFont="1" applyFill="1" applyBorder="1" applyAlignment="1" applyProtection="1">
      <alignment vertical="center"/>
      <protection hidden="1"/>
    </xf>
    <xf numFmtId="43" fontId="29" fillId="39" borderId="0" xfId="29" applyFont="1" applyFill="1"/>
    <xf numFmtId="3" fontId="85" fillId="28" borderId="34" xfId="2" applyNumberFormat="1" applyFont="1" applyFill="1" applyBorder="1" applyAlignment="1" applyProtection="1">
      <alignment horizontal="right" vertical="center"/>
      <protection hidden="1"/>
    </xf>
    <xf numFmtId="10" fontId="84" fillId="28" borderId="31" xfId="23" applyNumberFormat="1" applyFont="1" applyFill="1" applyBorder="1" applyAlignment="1" applyProtection="1">
      <alignment horizontal="right" vertical="center"/>
      <protection hidden="1"/>
    </xf>
    <xf numFmtId="0" fontId="79" fillId="21" borderId="0" xfId="0" applyFont="1" applyFill="1" applyAlignment="1" applyProtection="1">
      <alignment vertical="center"/>
      <protection hidden="1"/>
    </xf>
    <xf numFmtId="49" fontId="23" fillId="20" borderId="0" xfId="36" applyNumberFormat="1" applyFill="1"/>
    <xf numFmtId="4" fontId="19" fillId="0" borderId="0" xfId="40" applyNumberFormat="1"/>
    <xf numFmtId="0" fontId="23" fillId="20" borderId="0" xfId="36" applyFill="1"/>
    <xf numFmtId="49" fontId="71" fillId="0" borderId="0" xfId="34" applyNumberFormat="1" applyFont="1"/>
    <xf numFmtId="49" fontId="18" fillId="0" borderId="0" xfId="41" applyNumberFormat="1"/>
    <xf numFmtId="172" fontId="18" fillId="0" borderId="0" xfId="41" applyNumberFormat="1"/>
    <xf numFmtId="49" fontId="18" fillId="17" borderId="0" xfId="41" applyNumberFormat="1" applyFill="1"/>
    <xf numFmtId="172" fontId="18" fillId="17" borderId="0" xfId="41" applyNumberFormat="1" applyFill="1"/>
    <xf numFmtId="0" fontId="18" fillId="0" borderId="0" xfId="41"/>
    <xf numFmtId="171" fontId="18" fillId="0" borderId="0" xfId="41" applyNumberFormat="1"/>
    <xf numFmtId="171" fontId="18" fillId="17" borderId="0" xfId="41" applyNumberFormat="1" applyFill="1"/>
    <xf numFmtId="0" fontId="18" fillId="17" borderId="0" xfId="41" applyFill="1"/>
    <xf numFmtId="49" fontId="24" fillId="15" borderId="0" xfId="35" applyNumberFormat="1" applyFill="1"/>
    <xf numFmtId="4" fontId="24" fillId="15" borderId="0" xfId="35" applyNumberFormat="1" applyFill="1"/>
    <xf numFmtId="0" fontId="18" fillId="15" borderId="0" xfId="41" applyFill="1"/>
    <xf numFmtId="49" fontId="17" fillId="0" borderId="0" xfId="41" applyNumberFormat="1" applyFont="1"/>
    <xf numFmtId="0" fontId="17" fillId="0" borderId="0" xfId="42"/>
    <xf numFmtId="49" fontId="17" fillId="0" borderId="0" xfId="42" applyNumberFormat="1"/>
    <xf numFmtId="0" fontId="17" fillId="17" borderId="0" xfId="42" applyFill="1"/>
    <xf numFmtId="172" fontId="17" fillId="0" borderId="0" xfId="42" applyNumberFormat="1"/>
    <xf numFmtId="171" fontId="17" fillId="0" borderId="0" xfId="42" applyNumberFormat="1"/>
    <xf numFmtId="49" fontId="17" fillId="17" borderId="0" xfId="42" applyNumberFormat="1" applyFill="1"/>
    <xf numFmtId="172" fontId="17" fillId="17" borderId="0" xfId="42" applyNumberFormat="1" applyFill="1"/>
    <xf numFmtId="171" fontId="17" fillId="17" borderId="0" xfId="42" applyNumberFormat="1" applyFill="1"/>
    <xf numFmtId="172" fontId="17" fillId="15" borderId="0" xfId="42" applyNumberFormat="1" applyFill="1"/>
    <xf numFmtId="0" fontId="0" fillId="8" borderId="0" xfId="0" applyFill="1" applyAlignment="1" applyProtection="1">
      <alignment horizontal="center"/>
      <protection hidden="1"/>
    </xf>
    <xf numFmtId="0" fontId="0" fillId="7" borderId="0" xfId="0" applyFill="1" applyAlignment="1">
      <alignment horizontal="center"/>
    </xf>
    <xf numFmtId="164" fontId="46" fillId="9" borderId="2" xfId="1" applyFill="1" applyBorder="1"/>
    <xf numFmtId="49" fontId="15" fillId="0" borderId="0" xfId="44" applyNumberFormat="1"/>
    <xf numFmtId="49" fontId="15" fillId="17" borderId="0" xfId="44" applyNumberFormat="1" applyFill="1"/>
    <xf numFmtId="0" fontId="15" fillId="17" borderId="0" xfId="44" applyFill="1"/>
    <xf numFmtId="0" fontId="15" fillId="0" borderId="0" xfId="44"/>
    <xf numFmtId="49" fontId="15" fillId="0" borderId="0" xfId="34" applyNumberFormat="1" applyFont="1"/>
    <xf numFmtId="172" fontId="15" fillId="0" borderId="0" xfId="44" applyNumberFormat="1"/>
    <xf numFmtId="172" fontId="15" fillId="17" borderId="0" xfId="44" applyNumberFormat="1" applyFill="1"/>
    <xf numFmtId="49" fontId="15" fillId="0" borderId="0" xfId="35" applyNumberFormat="1" applyFont="1"/>
    <xf numFmtId="0" fontId="21" fillId="15" borderId="0" xfId="38" applyFill="1"/>
    <xf numFmtId="49" fontId="21" fillId="15" borderId="0" xfId="38" applyNumberFormat="1" applyFill="1"/>
    <xf numFmtId="4" fontId="21" fillId="15" borderId="0" xfId="38" applyNumberFormat="1" applyFill="1"/>
    <xf numFmtId="171" fontId="21" fillId="15" borderId="0" xfId="38" applyNumberFormat="1" applyFill="1"/>
    <xf numFmtId="49" fontId="15" fillId="15" borderId="0" xfId="38" applyNumberFormat="1" applyFont="1" applyFill="1"/>
    <xf numFmtId="172" fontId="14" fillId="0" borderId="0" xfId="45" applyNumberFormat="1"/>
    <xf numFmtId="49" fontId="14" fillId="0" borderId="0" xfId="45" applyNumberFormat="1"/>
    <xf numFmtId="49" fontId="14" fillId="17" borderId="0" xfId="45" applyNumberFormat="1" applyFill="1"/>
    <xf numFmtId="0" fontId="14" fillId="17" borderId="0" xfId="45" applyFill="1"/>
    <xf numFmtId="0" fontId="14" fillId="0" borderId="0" xfId="45"/>
    <xf numFmtId="172" fontId="14" fillId="17" borderId="0" xfId="45" applyNumberFormat="1" applyFill="1"/>
    <xf numFmtId="0" fontId="71" fillId="8" borderId="0" xfId="0" applyFont="1" applyFill="1" applyAlignment="1">
      <alignment horizontal="right"/>
    </xf>
    <xf numFmtId="4" fontId="23" fillId="15" borderId="0" xfId="36" applyNumberFormat="1" applyFill="1"/>
    <xf numFmtId="43" fontId="0" fillId="14" borderId="0" xfId="0" applyNumberFormat="1" applyFill="1" applyProtection="1">
      <protection hidden="1"/>
    </xf>
    <xf numFmtId="0" fontId="83" fillId="40" borderId="14" xfId="0" applyFont="1" applyFill="1" applyBorder="1" applyAlignment="1" applyProtection="1">
      <alignment vertical="center"/>
      <protection hidden="1"/>
    </xf>
    <xf numFmtId="3" fontId="76" fillId="40" borderId="28" xfId="2" applyNumberFormat="1" applyFont="1" applyFill="1" applyBorder="1" applyAlignment="1" applyProtection="1">
      <alignment horizontal="right" vertical="center"/>
      <protection hidden="1"/>
    </xf>
    <xf numFmtId="10" fontId="69" fillId="40" borderId="31" xfId="23" applyNumberFormat="1" applyFont="1" applyFill="1" applyBorder="1" applyAlignment="1" applyProtection="1">
      <alignment horizontal="right" vertical="center"/>
      <protection hidden="1"/>
    </xf>
    <xf numFmtId="3" fontId="85" fillId="40" borderId="34" xfId="2" applyNumberFormat="1" applyFont="1" applyFill="1" applyBorder="1" applyAlignment="1" applyProtection="1">
      <alignment horizontal="right" vertical="center"/>
      <protection hidden="1"/>
    </xf>
    <xf numFmtId="3" fontId="83" fillId="40" borderId="28" xfId="2" applyNumberFormat="1" applyFont="1" applyFill="1" applyBorder="1" applyAlignment="1" applyProtection="1">
      <alignment horizontal="right" vertical="center"/>
      <protection hidden="1"/>
    </xf>
    <xf numFmtId="10" fontId="84" fillId="40" borderId="31" xfId="23" applyNumberFormat="1" applyFont="1" applyFill="1" applyBorder="1" applyAlignment="1" applyProtection="1">
      <alignment horizontal="right" vertical="center"/>
      <protection hidden="1"/>
    </xf>
    <xf numFmtId="10" fontId="84" fillId="40" borderId="6" xfId="23" applyNumberFormat="1" applyFont="1" applyFill="1" applyBorder="1" applyAlignment="1" applyProtection="1">
      <alignment horizontal="right" vertical="center"/>
      <protection hidden="1"/>
    </xf>
    <xf numFmtId="0" fontId="79" fillId="41" borderId="0" xfId="0" applyFont="1" applyFill="1" applyAlignment="1" applyProtection="1">
      <alignment vertical="center"/>
      <protection hidden="1"/>
    </xf>
    <xf numFmtId="3" fontId="76" fillId="0" borderId="28" xfId="2" applyNumberFormat="1" applyFont="1" applyBorder="1" applyAlignment="1" applyProtection="1">
      <alignment horizontal="right" vertical="center"/>
      <protection hidden="1"/>
    </xf>
    <xf numFmtId="167" fontId="73" fillId="8" borderId="28" xfId="2" applyNumberFormat="1" applyFont="1" applyFill="1" applyBorder="1" applyAlignment="1" applyProtection="1">
      <alignment vertical="center"/>
      <protection hidden="1"/>
    </xf>
    <xf numFmtId="3" fontId="76" fillId="8" borderId="28" xfId="2" applyNumberFormat="1" applyFont="1" applyFill="1" applyBorder="1" applyAlignment="1" applyProtection="1">
      <alignment horizontal="right" vertical="center"/>
      <protection hidden="1"/>
    </xf>
    <xf numFmtId="169" fontId="73" fillId="8" borderId="28" xfId="2" applyNumberFormat="1" applyFont="1" applyFill="1" applyBorder="1" applyAlignment="1" applyProtection="1">
      <alignment vertical="center"/>
      <protection hidden="1"/>
    </xf>
    <xf numFmtId="43" fontId="44" fillId="14" borderId="0" xfId="0" applyNumberFormat="1" applyFont="1" applyFill="1" applyProtection="1">
      <protection hidden="1"/>
    </xf>
    <xf numFmtId="49" fontId="13" fillId="0" borderId="0" xfId="46" applyNumberFormat="1"/>
    <xf numFmtId="49" fontId="13" fillId="17" borderId="0" xfId="46" applyNumberFormat="1" applyFill="1"/>
    <xf numFmtId="0" fontId="13" fillId="17" borderId="0" xfId="46" applyFill="1"/>
    <xf numFmtId="0" fontId="13" fillId="0" borderId="0" xfId="46"/>
    <xf numFmtId="4" fontId="25" fillId="8" borderId="0" xfId="34" applyNumberFormat="1" applyFill="1"/>
    <xf numFmtId="172" fontId="13" fillId="0" borderId="0" xfId="46" applyNumberFormat="1"/>
    <xf numFmtId="172" fontId="13" fillId="17" borderId="0" xfId="46" applyNumberFormat="1" applyFill="1"/>
    <xf numFmtId="49" fontId="15" fillId="9" borderId="0" xfId="44" applyNumberFormat="1" applyFill="1"/>
    <xf numFmtId="49" fontId="12" fillId="0" borderId="0" xfId="47" applyNumberFormat="1"/>
    <xf numFmtId="0" fontId="12" fillId="0" borderId="0" xfId="47"/>
    <xf numFmtId="43" fontId="95" fillId="8" borderId="0" xfId="29" applyFont="1" applyFill="1"/>
    <xf numFmtId="172" fontId="18" fillId="15" borderId="0" xfId="41" applyNumberFormat="1" applyFill="1"/>
    <xf numFmtId="0" fontId="46" fillId="15" borderId="0" xfId="0" applyFont="1" applyFill="1"/>
    <xf numFmtId="164" fontId="45" fillId="0" borderId="0" xfId="1" applyFont="1"/>
    <xf numFmtId="49" fontId="11" fillId="0" borderId="0" xfId="42" applyNumberFormat="1" applyFont="1"/>
    <xf numFmtId="172" fontId="0" fillId="17" borderId="0" xfId="0" applyNumberFormat="1" applyFill="1"/>
    <xf numFmtId="172" fontId="0" fillId="0" borderId="0" xfId="0" applyNumberFormat="1"/>
    <xf numFmtId="49" fontId="9" fillId="17" borderId="0" xfId="49" applyNumberFormat="1" applyFill="1"/>
    <xf numFmtId="0" fontId="9" fillId="17" borderId="0" xfId="49" applyFill="1"/>
    <xf numFmtId="49" fontId="9" fillId="0" borderId="0" xfId="49" applyNumberFormat="1"/>
    <xf numFmtId="172" fontId="9" fillId="0" borderId="0" xfId="49" applyNumberFormat="1"/>
    <xf numFmtId="172" fontId="9" fillId="17" borderId="0" xfId="49" applyNumberFormat="1" applyFill="1"/>
    <xf numFmtId="0" fontId="9" fillId="0" borderId="0" xfId="49"/>
    <xf numFmtId="49" fontId="15" fillId="15" borderId="0" xfId="44" applyNumberFormat="1" applyFill="1"/>
    <xf numFmtId="49" fontId="8" fillId="0" borderId="0" xfId="50" applyNumberFormat="1"/>
    <xf numFmtId="49" fontId="8" fillId="17" borderId="0" xfId="50" applyNumberFormat="1" applyFill="1"/>
    <xf numFmtId="0" fontId="8" fillId="17" borderId="0" xfId="50" applyFill="1"/>
    <xf numFmtId="0" fontId="8" fillId="0" borderId="0" xfId="50"/>
    <xf numFmtId="172" fontId="8" fillId="0" borderId="0" xfId="50" applyNumberFormat="1"/>
    <xf numFmtId="172" fontId="8" fillId="17" borderId="0" xfId="50" applyNumberFormat="1" applyFill="1"/>
    <xf numFmtId="49" fontId="7" fillId="0" borderId="0" xfId="51" applyNumberFormat="1"/>
    <xf numFmtId="49" fontId="7" fillId="17" borderId="0" xfId="51" applyNumberFormat="1" applyFill="1"/>
    <xf numFmtId="0" fontId="7" fillId="17" borderId="0" xfId="51" applyFill="1"/>
    <xf numFmtId="0" fontId="7" fillId="0" borderId="0" xfId="51"/>
    <xf numFmtId="172" fontId="7" fillId="0" borderId="0" xfId="51" applyNumberFormat="1"/>
    <xf numFmtId="172" fontId="7" fillId="17" borderId="0" xfId="51" applyNumberFormat="1" applyFill="1"/>
    <xf numFmtId="43" fontId="96" fillId="8" borderId="0" xfId="29" applyFont="1" applyFill="1"/>
    <xf numFmtId="43" fontId="0" fillId="15" borderId="0" xfId="0" applyNumberFormat="1" applyFill="1"/>
    <xf numFmtId="170" fontId="92" fillId="14" borderId="0" xfId="0" applyNumberFormat="1" applyFont="1" applyFill="1" applyAlignment="1" applyProtection="1">
      <alignment vertical="center"/>
      <protection hidden="1"/>
    </xf>
    <xf numFmtId="164" fontId="45" fillId="42" borderId="0" xfId="1" applyFont="1" applyFill="1"/>
    <xf numFmtId="4" fontId="39" fillId="29" borderId="0" xfId="0" applyNumberFormat="1" applyFont="1" applyFill="1" applyAlignment="1" applyProtection="1">
      <alignment horizontal="right" vertical="center"/>
      <protection hidden="1"/>
    </xf>
    <xf numFmtId="164" fontId="46" fillId="42" borderId="10" xfId="1" applyFill="1" applyBorder="1" applyProtection="1"/>
    <xf numFmtId="0" fontId="97" fillId="14" borderId="0" xfId="0" applyFont="1" applyFill="1" applyAlignment="1" applyProtection="1">
      <alignment vertical="center"/>
      <protection hidden="1"/>
    </xf>
    <xf numFmtId="171" fontId="9" fillId="17" borderId="0" xfId="49" applyNumberFormat="1" applyFill="1"/>
    <xf numFmtId="171" fontId="9" fillId="0" borderId="0" xfId="49" applyNumberFormat="1"/>
    <xf numFmtId="49" fontId="6" fillId="0" borderId="0" xfId="33" applyNumberFormat="1" applyFont="1"/>
    <xf numFmtId="0" fontId="5" fillId="17" borderId="0" xfId="52" applyFill="1"/>
    <xf numFmtId="0" fontId="5" fillId="0" borderId="0" xfId="52"/>
    <xf numFmtId="49" fontId="5" fillId="0" borderId="0" xfId="52" applyNumberFormat="1"/>
    <xf numFmtId="49" fontId="5" fillId="17" borderId="0" xfId="52" applyNumberFormat="1" applyFill="1"/>
    <xf numFmtId="172" fontId="5" fillId="0" borderId="0" xfId="52" applyNumberFormat="1"/>
    <xf numFmtId="172" fontId="5" fillId="17" borderId="0" xfId="52" applyNumberFormat="1" applyFill="1"/>
    <xf numFmtId="171" fontId="5" fillId="0" borderId="0" xfId="52" applyNumberFormat="1"/>
    <xf numFmtId="171" fontId="5" fillId="17" borderId="0" xfId="52" applyNumberFormat="1" applyFill="1"/>
    <xf numFmtId="0" fontId="4" fillId="0" borderId="0" xfId="53"/>
    <xf numFmtId="49" fontId="4" fillId="0" borderId="0" xfId="53" applyNumberFormat="1"/>
    <xf numFmtId="172" fontId="4" fillId="0" borderId="0" xfId="53" applyNumberFormat="1"/>
    <xf numFmtId="172" fontId="4" fillId="17" borderId="0" xfId="53" applyNumberFormat="1" applyFill="1"/>
    <xf numFmtId="49" fontId="4" fillId="17" borderId="0" xfId="53" applyNumberFormat="1" applyFill="1"/>
    <xf numFmtId="0" fontId="4" fillId="17" borderId="0" xfId="53" applyFill="1"/>
    <xf numFmtId="0" fontId="0" fillId="43" borderId="0" xfId="0" applyFill="1" applyProtection="1">
      <protection hidden="1"/>
    </xf>
    <xf numFmtId="0" fontId="0" fillId="43" borderId="0" xfId="0" applyFill="1"/>
    <xf numFmtId="0" fontId="72" fillId="43" borderId="0" xfId="0" applyFont="1" applyFill="1"/>
    <xf numFmtId="49" fontId="0" fillId="43" borderId="0" xfId="0" applyNumberFormat="1" applyFill="1"/>
    <xf numFmtId="164" fontId="45" fillId="43" borderId="0" xfId="1" applyFont="1" applyFill="1"/>
    <xf numFmtId="164" fontId="0" fillId="43" borderId="0" xfId="1" applyFont="1" applyFill="1"/>
    <xf numFmtId="43" fontId="29" fillId="43" borderId="0" xfId="29" applyFont="1" applyFill="1"/>
    <xf numFmtId="0" fontId="0" fillId="44" borderId="0" xfId="0" applyFill="1" applyProtection="1">
      <protection hidden="1"/>
    </xf>
    <xf numFmtId="171" fontId="4" fillId="0" borderId="0" xfId="53" applyNumberFormat="1"/>
    <xf numFmtId="171" fontId="4" fillId="17" borderId="0" xfId="53" applyNumberFormat="1" applyFill="1"/>
    <xf numFmtId="165" fontId="47" fillId="0" borderId="0" xfId="2"/>
    <xf numFmtId="0" fontId="0" fillId="0" borderId="2" xfId="0" applyBorder="1"/>
    <xf numFmtId="0" fontId="46" fillId="0" borderId="2" xfId="0" applyFont="1" applyBorder="1" applyProtection="1">
      <protection locked="0" hidden="1"/>
    </xf>
    <xf numFmtId="0" fontId="46" fillId="0" borderId="2" xfId="0" applyFont="1" applyBorder="1" applyProtection="1">
      <protection hidden="1"/>
    </xf>
    <xf numFmtId="49" fontId="2" fillId="0" borderId="0" xfId="55" applyNumberFormat="1"/>
    <xf numFmtId="172" fontId="2" fillId="0" borderId="0" xfId="55" applyNumberFormat="1"/>
    <xf numFmtId="171" fontId="2" fillId="0" borderId="0" xfId="55" applyNumberFormat="1"/>
    <xf numFmtId="49" fontId="2" fillId="17" borderId="0" xfId="55" applyNumberFormat="1" applyFill="1"/>
    <xf numFmtId="172" fontId="2" fillId="17" borderId="0" xfId="55" applyNumberFormat="1" applyFill="1"/>
    <xf numFmtId="171" fontId="2" fillId="17" borderId="0" xfId="55" applyNumberFormat="1" applyFill="1"/>
    <xf numFmtId="0" fontId="2" fillId="17" borderId="0" xfId="55" applyFill="1"/>
    <xf numFmtId="0" fontId="2" fillId="0" borderId="0" xfId="55"/>
    <xf numFmtId="49" fontId="2" fillId="0" borderId="0" xfId="53" applyNumberFormat="1" applyFont="1"/>
    <xf numFmtId="169" fontId="61" fillId="14" borderId="0" xfId="0" applyNumberFormat="1" applyFont="1" applyFill="1" applyAlignment="1" applyProtection="1">
      <alignment vertical="center"/>
      <protection hidden="1"/>
    </xf>
    <xf numFmtId="49" fontId="1" fillId="0" borderId="0" xfId="36" applyNumberFormat="1" applyFont="1"/>
    <xf numFmtId="0" fontId="1" fillId="0" borderId="0" xfId="56"/>
    <xf numFmtId="49" fontId="1" fillId="0" borderId="0" xfId="56" applyNumberFormat="1"/>
    <xf numFmtId="172" fontId="1" fillId="0" borderId="0" xfId="56" applyNumberFormat="1"/>
    <xf numFmtId="49" fontId="1" fillId="17" borderId="0" xfId="56" applyNumberFormat="1" applyFill="1"/>
    <xf numFmtId="172" fontId="1" fillId="17" borderId="0" xfId="56" applyNumberFormat="1" applyFill="1"/>
    <xf numFmtId="0" fontId="1" fillId="17" borderId="0" xfId="56" applyFill="1"/>
    <xf numFmtId="0" fontId="1" fillId="15" borderId="0" xfId="56" applyFill="1"/>
    <xf numFmtId="171" fontId="1" fillId="0" borderId="0" xfId="56" applyNumberFormat="1"/>
    <xf numFmtId="171" fontId="1" fillId="17" borderId="0" xfId="56" applyNumberFormat="1" applyFill="1"/>
    <xf numFmtId="0" fontId="82" fillId="34" borderId="41" xfId="0" applyFont="1" applyFill="1" applyBorder="1" applyAlignment="1" applyProtection="1">
      <alignment horizontal="center" vertical="center"/>
      <protection hidden="1"/>
    </xf>
    <xf numFmtId="0" fontId="82" fillId="34" borderId="16" xfId="0" applyFont="1" applyFill="1" applyBorder="1" applyAlignment="1" applyProtection="1">
      <alignment horizontal="center" vertical="center"/>
      <protection hidden="1"/>
    </xf>
    <xf numFmtId="0" fontId="82" fillId="34" borderId="25" xfId="0" applyFont="1" applyFill="1" applyBorder="1" applyAlignment="1" applyProtection="1">
      <alignment horizontal="center" vertical="center"/>
      <protection hidden="1"/>
    </xf>
    <xf numFmtId="0" fontId="82" fillId="34" borderId="22" xfId="0" applyFont="1" applyFill="1" applyBorder="1" applyAlignment="1" applyProtection="1">
      <alignment horizontal="center" vertical="center"/>
      <protection hidden="1"/>
    </xf>
    <xf numFmtId="0" fontId="82" fillId="34" borderId="23" xfId="0" applyFont="1" applyFill="1" applyBorder="1" applyAlignment="1" applyProtection="1">
      <alignment horizontal="center" vertical="center"/>
      <protection hidden="1"/>
    </xf>
    <xf numFmtId="0" fontId="82" fillId="32" borderId="20" xfId="0" applyFont="1" applyFill="1" applyBorder="1" applyAlignment="1" applyProtection="1">
      <alignment horizontal="center" vertical="center"/>
      <protection hidden="1"/>
    </xf>
    <xf numFmtId="0" fontId="82" fillId="32" borderId="21" xfId="0" applyFont="1" applyFill="1" applyBorder="1" applyAlignment="1" applyProtection="1">
      <alignment horizontal="center" vertical="center"/>
      <protection hidden="1"/>
    </xf>
    <xf numFmtId="0" fontId="81" fillId="34" borderId="17" xfId="0" applyFont="1" applyFill="1" applyBorder="1" applyAlignment="1" applyProtection="1">
      <alignment horizontal="center" vertical="center"/>
      <protection hidden="1"/>
    </xf>
    <xf numFmtId="0" fontId="81" fillId="34" borderId="16" xfId="0" applyFont="1" applyFill="1" applyBorder="1" applyAlignment="1" applyProtection="1">
      <alignment horizontal="center" vertical="center"/>
      <protection hidden="1"/>
    </xf>
    <xf numFmtId="0" fontId="81" fillId="34" borderId="24" xfId="0" applyFont="1" applyFill="1" applyBorder="1" applyAlignment="1" applyProtection="1">
      <alignment horizontal="center" vertical="center"/>
      <protection hidden="1"/>
    </xf>
    <xf numFmtId="0" fontId="82" fillId="31" borderId="20" xfId="0" applyFont="1" applyFill="1" applyBorder="1" applyAlignment="1" applyProtection="1">
      <alignment horizontal="center" vertical="center"/>
      <protection hidden="1"/>
    </xf>
    <xf numFmtId="0" fontId="82" fillId="31" borderId="21" xfId="0" applyFont="1" applyFill="1" applyBorder="1" applyAlignment="1" applyProtection="1">
      <alignment horizontal="center" vertical="center"/>
      <protection hidden="1"/>
    </xf>
    <xf numFmtId="0" fontId="82" fillId="30" borderId="20" xfId="0" applyFont="1" applyFill="1" applyBorder="1" applyAlignment="1" applyProtection="1">
      <alignment horizontal="center" vertical="center"/>
      <protection hidden="1"/>
    </xf>
    <xf numFmtId="0" fontId="82" fillId="30" borderId="21" xfId="0" applyFont="1" applyFill="1" applyBorder="1" applyAlignment="1" applyProtection="1">
      <alignment horizontal="center" vertical="center"/>
      <protection hidden="1"/>
    </xf>
    <xf numFmtId="0" fontId="81" fillId="10" borderId="17" xfId="0" applyFont="1" applyFill="1" applyBorder="1" applyAlignment="1" applyProtection="1">
      <alignment horizontal="center" vertical="center"/>
      <protection hidden="1"/>
    </xf>
    <xf numFmtId="0" fontId="81" fillId="10" borderId="24" xfId="0" applyFont="1" applyFill="1" applyBorder="1" applyAlignment="1" applyProtection="1">
      <alignment horizontal="center" vertical="center"/>
      <protection hidden="1"/>
    </xf>
    <xf numFmtId="0" fontId="78" fillId="10" borderId="17" xfId="0" applyFont="1" applyFill="1" applyBorder="1" applyAlignment="1" applyProtection="1">
      <alignment horizontal="center" vertical="center"/>
      <protection hidden="1"/>
    </xf>
    <xf numFmtId="0" fontId="78" fillId="10" borderId="24" xfId="0" applyFont="1" applyFill="1" applyBorder="1" applyAlignment="1" applyProtection="1">
      <alignment horizontal="center" vertical="center"/>
      <protection hidden="1"/>
    </xf>
    <xf numFmtId="0" fontId="67" fillId="36" borderId="17" xfId="0" applyFont="1" applyFill="1" applyBorder="1" applyAlignment="1" applyProtection="1">
      <alignment horizontal="center" vertical="center"/>
      <protection hidden="1"/>
    </xf>
    <xf numFmtId="0" fontId="67" fillId="36" borderId="24" xfId="0" applyFont="1" applyFill="1" applyBorder="1" applyAlignment="1" applyProtection="1">
      <alignment horizontal="center" vertical="center"/>
      <protection hidden="1"/>
    </xf>
    <xf numFmtId="0" fontId="78" fillId="10" borderId="16" xfId="0" applyFont="1" applyFill="1" applyBorder="1" applyAlignment="1" applyProtection="1">
      <alignment horizontal="center" vertical="center"/>
      <protection hidden="1"/>
    </xf>
    <xf numFmtId="169" fontId="97" fillId="14" borderId="0" xfId="0" applyNumberFormat="1" applyFont="1" applyFill="1" applyAlignment="1" applyProtection="1">
      <alignment vertical="center"/>
      <protection hidden="1"/>
    </xf>
    <xf numFmtId="169" fontId="100" fillId="26" borderId="39" xfId="2" applyNumberFormat="1" applyFont="1" applyFill="1" applyBorder="1" applyAlignment="1" applyProtection="1">
      <alignment vertical="center"/>
      <protection hidden="1"/>
    </xf>
  </cellXfs>
  <cellStyles count="57">
    <cellStyle name="Excel Built-in Accent1" xfId="3" xr:uid="{00000000-0005-0000-0000-000000000000}"/>
    <cellStyle name="Excel Built-in Accent1 2" xfId="16" xr:uid="{00000000-0005-0000-0000-000001000000}"/>
    <cellStyle name="Excel Built-in Accent2" xfId="4" xr:uid="{00000000-0005-0000-0000-000002000000}"/>
    <cellStyle name="Excel Built-in Accent2 2" xfId="17" xr:uid="{00000000-0005-0000-0000-000003000000}"/>
    <cellStyle name="Excel Built-in Accent3" xfId="5" xr:uid="{00000000-0005-0000-0000-000004000000}"/>
    <cellStyle name="Excel Built-in Accent3 2" xfId="18" xr:uid="{00000000-0005-0000-0000-000005000000}"/>
    <cellStyle name="Excel Built-in Check Cell" xfId="6" xr:uid="{00000000-0005-0000-0000-000006000000}"/>
    <cellStyle name="Excel Built-in Check Cell 2" xfId="19" xr:uid="{00000000-0005-0000-0000-000007000000}"/>
    <cellStyle name="Excel Built-in Comma" xfId="10" xr:uid="{00000000-0005-0000-0000-000008000000}"/>
    <cellStyle name="Excel Built-in Explanatory Text" xfId="12" xr:uid="{00000000-0005-0000-0000-000009000000}"/>
    <cellStyle name="Excel Built-in Explanatory Text 1" xfId="7" xr:uid="{00000000-0005-0000-0000-00000A000000}"/>
    <cellStyle name="Excel Built-in Explanatory Text 1 2" xfId="20" xr:uid="{00000000-0005-0000-0000-00000B000000}"/>
    <cellStyle name="Excel Built-in Output" xfId="8" xr:uid="{00000000-0005-0000-0000-00000C000000}"/>
    <cellStyle name="Excel Built-in Output 2" xfId="21" xr:uid="{00000000-0005-0000-0000-00000D000000}"/>
    <cellStyle name="Excel Built-in Percent" xfId="11" xr:uid="{00000000-0005-0000-0000-00000E000000}"/>
    <cellStyle name="Moeda" xfId="2" builtinId="4"/>
    <cellStyle name="Moeda 2" xfId="15" xr:uid="{00000000-0005-0000-0000-000010000000}"/>
    <cellStyle name="Moeda 2 2" xfId="27" xr:uid="{00000000-0005-0000-0000-000011000000}"/>
    <cellStyle name="Normal" xfId="0" builtinId="0"/>
    <cellStyle name="Normal 10" xfId="34" xr:uid="{00000000-0005-0000-0000-000013000000}"/>
    <cellStyle name="Normal 11" xfId="35" xr:uid="{00000000-0005-0000-0000-000014000000}"/>
    <cellStyle name="Normal 12" xfId="36" xr:uid="{00000000-0005-0000-0000-000015000000}"/>
    <cellStyle name="Normal 13" xfId="37" xr:uid="{00000000-0005-0000-0000-000016000000}"/>
    <cellStyle name="Normal 14" xfId="38" xr:uid="{00000000-0005-0000-0000-000017000000}"/>
    <cellStyle name="Normal 15" xfId="39" xr:uid="{00000000-0005-0000-0000-000018000000}"/>
    <cellStyle name="Normal 16" xfId="40" xr:uid="{00000000-0005-0000-0000-000019000000}"/>
    <cellStyle name="Normal 17" xfId="41" xr:uid="{00000000-0005-0000-0000-00001A000000}"/>
    <cellStyle name="Normal 18" xfId="42" xr:uid="{00000000-0005-0000-0000-00001B000000}"/>
    <cellStyle name="Normal 19" xfId="43" xr:uid="{00000000-0005-0000-0000-00001C000000}"/>
    <cellStyle name="Normal 2" xfId="13" xr:uid="{00000000-0005-0000-0000-00001D000000}"/>
    <cellStyle name="Normal 2 2" xfId="25" xr:uid="{00000000-0005-0000-0000-00001E000000}"/>
    <cellStyle name="Normal 20" xfId="44" xr:uid="{00000000-0005-0000-0000-00001F000000}"/>
    <cellStyle name="Normal 21" xfId="45" xr:uid="{00000000-0005-0000-0000-000020000000}"/>
    <cellStyle name="Normal 22" xfId="46" xr:uid="{00000000-0005-0000-0000-000021000000}"/>
    <cellStyle name="Normal 23" xfId="47" xr:uid="{00000000-0005-0000-0000-000022000000}"/>
    <cellStyle name="Normal 24" xfId="48" xr:uid="{00000000-0005-0000-0000-000023000000}"/>
    <cellStyle name="Normal 25" xfId="49" xr:uid="{00000000-0005-0000-0000-000024000000}"/>
    <cellStyle name="Normal 26" xfId="50" xr:uid="{00000000-0005-0000-0000-000025000000}"/>
    <cellStyle name="Normal 27" xfId="51" xr:uid="{00000000-0005-0000-0000-000026000000}"/>
    <cellStyle name="Normal 28" xfId="52" xr:uid="{00000000-0005-0000-0000-000027000000}"/>
    <cellStyle name="Normal 29" xfId="53" xr:uid="{00000000-0005-0000-0000-000028000000}"/>
    <cellStyle name="Normal 3" xfId="9" xr:uid="{00000000-0005-0000-0000-000029000000}"/>
    <cellStyle name="Normal 30" xfId="54" xr:uid="{00000000-0005-0000-0000-00002A000000}"/>
    <cellStyle name="Normal 31" xfId="55" xr:uid="{00000000-0005-0000-0000-00002B000000}"/>
    <cellStyle name="Normal 32" xfId="56" xr:uid="{00000000-0005-0000-0000-00002C000000}"/>
    <cellStyle name="Normal 4" xfId="22" xr:uid="{00000000-0005-0000-0000-00002D000000}"/>
    <cellStyle name="Normal 5" xfId="24" xr:uid="{00000000-0005-0000-0000-00002E000000}"/>
    <cellStyle name="Normal 6" xfId="28" xr:uid="{00000000-0005-0000-0000-00002F000000}"/>
    <cellStyle name="Normal 7" xfId="30" xr:uid="{00000000-0005-0000-0000-000030000000}"/>
    <cellStyle name="Normal 8" xfId="32" xr:uid="{00000000-0005-0000-0000-000031000000}"/>
    <cellStyle name="Normal 9" xfId="33" xr:uid="{00000000-0005-0000-0000-000032000000}"/>
    <cellStyle name="Porcentagem" xfId="23" builtinId="5"/>
    <cellStyle name="Vírgula" xfId="1" builtinId="3"/>
    <cellStyle name="Vírgula 2" xfId="14" xr:uid="{00000000-0005-0000-0000-000035000000}"/>
    <cellStyle name="Vírgula 2 2" xfId="26" xr:uid="{00000000-0005-0000-0000-000036000000}"/>
    <cellStyle name="Vírgula 3" xfId="29" xr:uid="{00000000-0005-0000-0000-000037000000}"/>
    <cellStyle name="Vírgula 4" xfId="31" xr:uid="{00000000-0005-0000-0000-000038000000}"/>
  </cellStyles>
  <dxfs count="59"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bgColor rgb="FFFFFFFF"/>
        </patternFill>
      </fill>
    </dxf>
    <dxf>
      <numFmt numFmtId="166" formatCode="[$R$-416]\ #,##0.00;[Red]\-[$R$-416]\ #,##0.00"/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  <protection locked="1" hidden="1"/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[$R$-416]\ #,##0.00;[Red]\-[$R$-416]\ #,##0.00"/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9" tint="0.59999389629810485"/>
        </patternFill>
      </fill>
    </dxf>
    <dxf>
      <numFmt numFmtId="166" formatCode="[$R$-416]\ #,##0.00;[Red]\-[$R$-416]\ #,##0.00"/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59999389629810485"/>
        </patternFill>
      </fill>
    </dxf>
    <dxf>
      <numFmt numFmtId="166" formatCode="[$R$-416]\ #,##0.00;[Red]\-[$R$-416]\ #,##0.00"/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59999389629810485"/>
        </patternFill>
      </fill>
    </dxf>
    <dxf>
      <numFmt numFmtId="166" formatCode="[$R$-416]\ #,##0.00;[Red]\-[$R$-416]\ #,##0.00"/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59999389629810485"/>
        </patternFill>
      </fill>
    </dxf>
    <dxf>
      <numFmt numFmtId="166" formatCode="[$R$-416]\ #,##0.00;[Red]\-[$R$-416]\ #,##0.00"/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59999389629810485"/>
        </patternFill>
      </fill>
    </dxf>
    <dxf>
      <numFmt numFmtId="166" formatCode="[$R$-416]\ #,##0.00;[Red]\-[$R$-416]\ #,##0.00"/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59999389629810485"/>
        </patternFill>
      </fill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bgColor theme="0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2060"/>
      <rgbColor rgb="00808000"/>
      <rgbColor rgb="00800080"/>
      <rgbColor rgb="00008080"/>
      <rgbColor rgb="00C0C0C0"/>
      <rgbColor rgb="007F7F7F"/>
      <rgbColor rgb="009999FF"/>
      <rgbColor rgb="00993366"/>
      <rgbColor rgb="00FDEADA"/>
      <rgbColor rgb="00F0F0F0"/>
      <rgbColor rgb="00660066"/>
      <rgbColor rgb="00FF8080"/>
      <rgbColor rgb="000066CC"/>
      <rgbColor rgb="00DDDDDD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CCFF"/>
      <rgbColor rgb="00EEEEEE"/>
      <rgbColor rgb="00F2F2F2"/>
      <rgbColor rgb="00FFFF99"/>
      <rgbColor rgb="0074CADA"/>
      <rgbColor rgb="00FF99CC"/>
      <rgbColor rgb="00CC99FF"/>
      <rgbColor rgb="00E6E0EC"/>
      <rgbColor rgb="004472C4"/>
      <rgbColor rgb="0033CCCC"/>
      <rgbColor rgb="0092CC46"/>
      <rgbColor rgb="00FFCC00"/>
      <rgbColor rgb="00FF9900"/>
      <rgbColor rgb="00ED7D31"/>
      <rgbColor rgb="00666699"/>
      <rgbColor rgb="00A5A5A5"/>
      <rgbColor rgb="00003366"/>
      <rgbColor rgb="00339966"/>
      <rgbColor rgb="00414141"/>
      <rgbColor rgb="00404040"/>
      <rgbColor rgb="00C55A11"/>
      <rgbColor rgb="00993366"/>
      <rgbColor rgb="001F497D"/>
      <rgbColor rgb="00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B7B4B"/>
      <color rgb="FFBEA278"/>
      <color rgb="FFD5C2A7"/>
      <color rgb="FF6D0B09"/>
      <color rgb="FF99FFCC"/>
      <color rgb="FF8FE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19</xdr:col>
      <xdr:colOff>308404</xdr:colOff>
      <xdr:row>90</xdr:row>
      <xdr:rowOff>56374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D00F6C92-13E5-4F68-92BB-E82A6D7E4690}"/>
            </a:ext>
          </a:extLst>
        </xdr:cNvPr>
        <xdr:cNvSpPr/>
      </xdr:nvSpPr>
      <xdr:spPr>
        <a:xfrm>
          <a:off x="0" y="311150"/>
          <a:ext cx="11687876" cy="11379512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14</xdr:col>
      <xdr:colOff>289286</xdr:colOff>
      <xdr:row>80</xdr:row>
      <xdr:rowOff>18539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3BCD7400-22DF-4E90-9362-97FD94D95566}"/>
            </a:ext>
          </a:extLst>
        </xdr:cNvPr>
        <xdr:cNvSpPr/>
      </xdr:nvSpPr>
      <xdr:spPr>
        <a:xfrm>
          <a:off x="0" y="311150"/>
          <a:ext cx="9001395" cy="10029949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18</xdr:col>
      <xdr:colOff>189568</xdr:colOff>
      <xdr:row>89</xdr:row>
      <xdr:rowOff>91752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40987239-B613-4FB5-B432-4C39E2F82119}"/>
            </a:ext>
          </a:extLst>
        </xdr:cNvPr>
        <xdr:cNvSpPr/>
      </xdr:nvSpPr>
      <xdr:spPr>
        <a:xfrm>
          <a:off x="0" y="254000"/>
          <a:ext cx="11631697" cy="11395316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13</xdr:col>
      <xdr:colOff>495207</xdr:colOff>
      <xdr:row>79</xdr:row>
      <xdr:rowOff>76778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A5FD7DFA-7A89-4589-B557-8A6E06E77A81}"/>
            </a:ext>
          </a:extLst>
        </xdr:cNvPr>
        <xdr:cNvSpPr/>
      </xdr:nvSpPr>
      <xdr:spPr>
        <a:xfrm>
          <a:off x="0" y="254000"/>
          <a:ext cx="8946553" cy="10049472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23</xdr:col>
      <xdr:colOff>193831</xdr:colOff>
      <xdr:row>90</xdr:row>
      <xdr:rowOff>312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29B4E871-530A-476A-95EA-AECC72868AE7}"/>
            </a:ext>
          </a:extLst>
        </xdr:cNvPr>
        <xdr:cNvSpPr/>
      </xdr:nvSpPr>
      <xdr:spPr>
        <a:xfrm>
          <a:off x="0" y="311150"/>
          <a:ext cx="11682434" cy="11379512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16</xdr:col>
      <xdr:colOff>441776</xdr:colOff>
      <xdr:row>79</xdr:row>
      <xdr:rowOff>117599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80F6CC3E-1A5C-4A84-B55F-4F31879F29F3}"/>
            </a:ext>
          </a:extLst>
        </xdr:cNvPr>
        <xdr:cNvSpPr/>
      </xdr:nvSpPr>
      <xdr:spPr>
        <a:xfrm>
          <a:off x="0" y="311150"/>
          <a:ext cx="8995952" cy="10029949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34400</xdr:colOff>
      <xdr:row>85</xdr:row>
      <xdr:rowOff>2155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8798560" cy="16195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872885</xdr:colOff>
      <xdr:row>85</xdr:row>
      <xdr:rowOff>2155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8682355" cy="16195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2820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8094345" cy="16221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2820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8094345" cy="16221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2820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8094345" cy="16221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2820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8094345" cy="16221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2820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0" y="0"/>
          <a:ext cx="8094345" cy="16221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2820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0" y="0"/>
          <a:ext cx="8094345" cy="16221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2820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0" y="0"/>
          <a:ext cx="8094345" cy="16221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38798</xdr:colOff>
      <xdr:row>103</xdr:row>
      <xdr:rowOff>110490</xdr:rowOff>
    </xdr:from>
    <xdr:to>
      <xdr:col>70</xdr:col>
      <xdr:colOff>756285</xdr:colOff>
      <xdr:row>104</xdr:row>
      <xdr:rowOff>149087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D1F026-A3FF-0280-0042-F9E9D05C0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45098" y="18750915"/>
          <a:ext cx="8076502" cy="2195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34400</xdr:colOff>
      <xdr:row>84</xdr:row>
      <xdr:rowOff>186940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521722C8-E738-4E1F-B43D-755456252C0D}"/>
            </a:ext>
          </a:extLst>
        </xdr:cNvPr>
        <xdr:cNvSpPr/>
      </xdr:nvSpPr>
      <xdr:spPr>
        <a:xfrm>
          <a:off x="723900" y="0"/>
          <a:ext cx="8778350" cy="16190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872885</xdr:colOff>
      <xdr:row>84</xdr:row>
      <xdr:rowOff>186940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323A2EEC-B962-484D-A562-590812B716E0}"/>
            </a:ext>
          </a:extLst>
        </xdr:cNvPr>
        <xdr:cNvSpPr/>
      </xdr:nvSpPr>
      <xdr:spPr>
        <a:xfrm>
          <a:off x="723900" y="0"/>
          <a:ext cx="8711960" cy="16190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35205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B91850E4-9DA8-4E18-954E-FA30441E7C3F}"/>
            </a:ext>
          </a:extLst>
        </xdr:cNvPr>
        <xdr:cNvSpPr/>
      </xdr:nvSpPr>
      <xdr:spPr>
        <a:xfrm>
          <a:off x="723900" y="0"/>
          <a:ext cx="8102220" cy="161972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35205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84022C2B-86AC-4469-BF4E-924145CD6C9D}"/>
            </a:ext>
          </a:extLst>
        </xdr:cNvPr>
        <xdr:cNvSpPr/>
      </xdr:nvSpPr>
      <xdr:spPr>
        <a:xfrm>
          <a:off x="723900" y="0"/>
          <a:ext cx="8102220" cy="161972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35205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CE73A8D1-609A-4364-9099-07802865DFD1}"/>
            </a:ext>
          </a:extLst>
        </xdr:cNvPr>
        <xdr:cNvSpPr/>
      </xdr:nvSpPr>
      <xdr:spPr>
        <a:xfrm>
          <a:off x="723900" y="0"/>
          <a:ext cx="8102220" cy="161972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35205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FAC37A3B-1241-4431-882A-008C32631397}"/>
            </a:ext>
          </a:extLst>
        </xdr:cNvPr>
        <xdr:cNvSpPr/>
      </xdr:nvSpPr>
      <xdr:spPr>
        <a:xfrm>
          <a:off x="723900" y="0"/>
          <a:ext cx="8102220" cy="161972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35205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12DED260-5B9D-4923-A4DE-F54BF4360973}"/>
            </a:ext>
          </a:extLst>
        </xdr:cNvPr>
        <xdr:cNvSpPr/>
      </xdr:nvSpPr>
      <xdr:spPr>
        <a:xfrm>
          <a:off x="723900" y="0"/>
          <a:ext cx="8102220" cy="161972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35205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F3354F26-E05C-475A-A2F8-05A078D779CF}"/>
            </a:ext>
          </a:extLst>
        </xdr:cNvPr>
        <xdr:cNvSpPr/>
      </xdr:nvSpPr>
      <xdr:spPr>
        <a:xfrm>
          <a:off x="723900" y="0"/>
          <a:ext cx="8102220" cy="161972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0</xdr:row>
      <xdr:rowOff>0</xdr:rowOff>
    </xdr:from>
    <xdr:to>
      <xdr:col>7</xdr:col>
      <xdr:colOff>263145</xdr:colOff>
      <xdr:row>85</xdr:row>
      <xdr:rowOff>35205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819D566B-78B4-4B9E-A772-B04464F3C97F}"/>
            </a:ext>
          </a:extLst>
        </xdr:cNvPr>
        <xdr:cNvSpPr/>
      </xdr:nvSpPr>
      <xdr:spPr>
        <a:xfrm>
          <a:off x="723900" y="0"/>
          <a:ext cx="8102220" cy="161972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126</xdr:col>
      <xdr:colOff>343083</xdr:colOff>
      <xdr:row>0</xdr:row>
      <xdr:rowOff>0</xdr:rowOff>
    </xdr:from>
    <xdr:to>
      <xdr:col>144</xdr:col>
      <xdr:colOff>530237</xdr:colOff>
      <xdr:row>33</xdr:row>
      <xdr:rowOff>72390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5F3F3E-17F9-AF6D-7F5B-7E9284BCC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04983" y="0"/>
          <a:ext cx="11281874" cy="6347460"/>
        </a:xfrm>
        <a:prstGeom prst="rect">
          <a:avLst/>
        </a:prstGeom>
      </xdr:spPr>
    </xdr:pic>
    <xdr:clientData/>
  </xdr:twoCellAnchor>
  <xdr:twoCellAnchor editAs="oneCell">
    <xdr:from>
      <xdr:col>108</xdr:col>
      <xdr:colOff>0</xdr:colOff>
      <xdr:row>0</xdr:row>
      <xdr:rowOff>0</xdr:rowOff>
    </xdr:from>
    <xdr:to>
      <xdr:col>126</xdr:col>
      <xdr:colOff>225166</xdr:colOff>
      <xdr:row>33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AEA337-C982-9E90-59AF-1C5958ACC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51940" y="0"/>
          <a:ext cx="11327506" cy="63703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C2:R150" totalsRowShown="0" dataDxfId="58" tableBorderDxfId="57">
  <autoFilter ref="C2:R150" xr:uid="{00000000-0009-0000-0100-000003000000}"/>
  <sortState xmlns:xlrd2="http://schemas.microsoft.com/office/spreadsheetml/2017/richdata2" ref="C3:R147">
    <sortCondition ref="E2:E147"/>
  </sortState>
  <tableColumns count="16">
    <tableColumn id="2" xr3:uid="{00000000-0010-0000-0000-000002000000}" name="TIPO" dataDxfId="56" totalsRowDxfId="55"/>
    <tableColumn id="1" xr3:uid="{00000000-0010-0000-0000-000001000000}" name="Rubrica" dataDxfId="54" totalsRowDxfId="53"/>
    <tableColumn id="3" xr3:uid="{00000000-0010-0000-0000-000003000000}" name="Conta" dataDxfId="52" totalsRowDxfId="51"/>
    <tableColumn id="4" xr3:uid="{00000000-0010-0000-0000-000004000000}" name="Descrição" dataDxfId="50" totalsRowDxfId="49"/>
    <tableColumn id="22" xr3:uid="{00000000-0010-0000-0000-000016000000}" name="JAN3" dataDxfId="48" totalsRowDxfId="47" dataCellStyle="Vírgula"/>
    <tableColumn id="33" xr3:uid="{00000000-0010-0000-0000-000021000000}" name="FEV3" dataDxfId="46" totalsRowDxfId="45" dataCellStyle="Vírgula"/>
    <tableColumn id="35" xr3:uid="{00000000-0010-0000-0000-000023000000}" name="MAR3" dataDxfId="44" totalsRowDxfId="43" dataCellStyle="Vírgula"/>
    <tableColumn id="25" xr3:uid="{00000000-0010-0000-0000-000019000000}" name="ABR3" dataDxfId="42" totalsRowDxfId="41"/>
    <tableColumn id="36" xr3:uid="{00000000-0010-0000-0000-000024000000}" name="MAI3" dataDxfId="40" totalsRowDxfId="39" dataCellStyle="Vírgula"/>
    <tableColumn id="37" xr3:uid="{00000000-0010-0000-0000-000025000000}" name="JUN3" dataDxfId="38" totalsRowDxfId="37"/>
    <tableColumn id="34" xr3:uid="{00000000-0010-0000-0000-000022000000}" name="JUL3" dataDxfId="36" totalsRowDxfId="35"/>
    <tableColumn id="39" xr3:uid="{00000000-0010-0000-0000-000027000000}" name="AGO3" dataDxfId="34" totalsRowDxfId="33"/>
    <tableColumn id="17" xr3:uid="{00000000-0010-0000-0000-000011000000}" name="SET3" dataDxfId="32" totalsRowDxfId="31"/>
    <tableColumn id="27" xr3:uid="{00000000-0010-0000-0000-00001B000000}" name="OUT3" dataDxfId="30" totalsRowDxfId="29" dataCellStyle="Vírgula">
      <calculatedColumnFormula>IFERROR(VLOOKUP(Tabela3[[#This Row],[Conta]],'BD - E - Despesas'!$CD$15:$CH$500,5,0),0)</calculatedColumnFormula>
    </tableColumn>
    <tableColumn id="42" xr3:uid="{00000000-0010-0000-0000-00002A000000}" name="NOV3" dataDxfId="28" totalsRowDxfId="27" dataCellStyle="Vírgula">
      <calculatedColumnFormula>IFERROR(VLOOKUP(Tabela3[[#This Row],[Conta]],'BD - E - Despesas'!$CM$15:$CQ$500,5,0),0)</calculatedColumnFormula>
    </tableColumn>
    <tableColumn id="40" xr3:uid="{00000000-0010-0000-0000-000028000000}" name="DEZ3" dataDxfId="26" totalsRowDxfId="25" dataCellStyle="Vírgul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32" displayName="Tabela32" ref="C2:R134" totalsRowShown="0" dataDxfId="24" tableBorderDxfId="23">
  <autoFilter ref="C2:R134" xr:uid="{00000000-0009-0000-0100-000001000000}"/>
  <sortState xmlns:xlrd2="http://schemas.microsoft.com/office/spreadsheetml/2017/richdata2" ref="C3:R134">
    <sortCondition ref="E2:E134"/>
  </sortState>
  <tableColumns count="16">
    <tableColumn id="2" xr3:uid="{00000000-0010-0000-0100-000002000000}" name="TIPO" dataDxfId="22"/>
    <tableColumn id="1" xr3:uid="{00000000-0010-0000-0100-000001000000}" name="Rubrica" dataDxfId="21"/>
    <tableColumn id="3" xr3:uid="{00000000-0010-0000-0100-000003000000}" name="Conta" dataDxfId="20"/>
    <tableColumn id="4" xr3:uid="{00000000-0010-0000-0100-000004000000}" name="Descrição" dataDxfId="19"/>
    <tableColumn id="22" xr3:uid="{00000000-0010-0000-0100-000016000000}" name="JAN3" dataDxfId="18" dataCellStyle="Vírgula"/>
    <tableColumn id="33" xr3:uid="{00000000-0010-0000-0100-000021000000}" name="FEV3" dataDxfId="17"/>
    <tableColumn id="35" xr3:uid="{00000000-0010-0000-0100-000023000000}" name="MAR3" dataDxfId="16"/>
    <tableColumn id="25" xr3:uid="{00000000-0010-0000-0100-000019000000}" name="ABR3" dataDxfId="15"/>
    <tableColumn id="36" xr3:uid="{00000000-0010-0000-0100-000024000000}" name="MAI3" dataDxfId="14"/>
    <tableColumn id="37" xr3:uid="{00000000-0010-0000-0100-000025000000}" name="JUN3" dataDxfId="13"/>
    <tableColumn id="34" xr3:uid="{00000000-0010-0000-0100-000022000000}" name="JUL3" dataDxfId="12"/>
    <tableColumn id="39" xr3:uid="{00000000-0010-0000-0100-000027000000}" name="AGO3" dataDxfId="11"/>
    <tableColumn id="17" xr3:uid="{00000000-0010-0000-0100-000011000000}" name="SET3" dataDxfId="10"/>
    <tableColumn id="27" xr3:uid="{00000000-0010-0000-0100-00001B000000}" name="OUT3" dataDxfId="9">
      <calculatedColumnFormula>IFERROR(VLOOKUP(Tabela32[[#This Row],[Conta]],'BD - A - Despesas'!$CD$15:$CH$500,5,0),0)</calculatedColumnFormula>
    </tableColumn>
    <tableColumn id="42" xr3:uid="{00000000-0010-0000-0100-00002A000000}" name="NOV3" dataDxfId="8">
      <calculatedColumnFormula>IFERROR(VLOOKUP(Tabela32[[#This Row],[Conta]],'BD - A - Despesas'!$CM$15:$CQ$500,5,0),0)</calculatedColumnFormula>
    </tableColumn>
    <tableColumn id="40" xr3:uid="{00000000-0010-0000-0100-000028000000}" name="DEZ3" dataDxfId="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7"/>
  <sheetViews>
    <sheetView topLeftCell="A4" workbookViewId="0">
      <selection activeCell="E5" sqref="E5"/>
    </sheetView>
  </sheetViews>
  <sheetFormatPr defaultRowHeight="14.4"/>
  <cols>
    <col min="5" max="5" width="42.33203125" bestFit="1" customWidth="1"/>
  </cols>
  <sheetData>
    <row r="4" spans="3:7">
      <c r="C4" t="s">
        <v>386</v>
      </c>
    </row>
    <row r="5" spans="3:7">
      <c r="D5" s="28">
        <v>1</v>
      </c>
      <c r="E5" s="28" t="s">
        <v>387</v>
      </c>
      <c r="G5" s="36" t="s">
        <v>389</v>
      </c>
    </row>
    <row r="6" spans="3:7">
      <c r="D6" s="28">
        <v>2</v>
      </c>
      <c r="E6" s="28" t="s">
        <v>388</v>
      </c>
    </row>
    <row r="7" spans="3:7">
      <c r="D7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R87"/>
  <sheetViews>
    <sheetView tabSelected="1" zoomScale="140" zoomScaleNormal="140" workbookViewId="0">
      <pane xSplit="2" ySplit="3" topLeftCell="C67" activePane="bottomRight" state="frozen"/>
      <selection pane="topRight"/>
      <selection pane="bottomLeft"/>
      <selection pane="bottomRight" activeCell="G73" sqref="G73"/>
    </sheetView>
  </sheetViews>
  <sheetFormatPr defaultColWidth="9" defaultRowHeight="10.199999999999999"/>
  <cols>
    <col min="1" max="1" width="0.44140625" style="238" customWidth="1"/>
    <col min="2" max="2" width="26.33203125" style="238" customWidth="1"/>
    <col min="3" max="3" width="13" style="238" customWidth="1"/>
    <col min="4" max="4" width="6" style="238" customWidth="1"/>
    <col min="5" max="5" width="10" style="238" customWidth="1"/>
    <col min="6" max="6" width="5.6640625" style="238" customWidth="1"/>
    <col min="7" max="7" width="9.88671875" style="238" customWidth="1"/>
    <col min="8" max="8" width="5.6640625" style="238" customWidth="1"/>
    <col min="9" max="9" width="10.88671875" style="238" customWidth="1"/>
    <col min="10" max="10" width="5.6640625" style="238" customWidth="1"/>
    <col min="11" max="11" width="8.109375" style="238" customWidth="1"/>
    <col min="12" max="12" width="7" style="238" customWidth="1"/>
    <col min="13" max="13" width="8.88671875" style="238" customWidth="1"/>
    <col min="14" max="14" width="7" style="238" customWidth="1"/>
    <col min="15" max="15" width="8" style="238" customWidth="1"/>
    <col min="16" max="16" width="10.88671875" style="238" customWidth="1"/>
    <col min="17" max="17" width="5.6640625" style="238" customWidth="1"/>
    <col min="18" max="18" width="8" style="238" customWidth="1"/>
    <col min="19" max="19" width="5.6640625" style="238" customWidth="1"/>
    <col min="20" max="20" width="8.6640625" style="238" customWidth="1"/>
    <col min="21" max="21" width="6.5546875" style="238" customWidth="1"/>
    <col min="22" max="22" width="8" style="238" customWidth="1"/>
    <col min="23" max="23" width="10.44140625" style="279" bestFit="1" customWidth="1"/>
    <col min="24" max="24" width="6.109375" style="279" customWidth="1"/>
    <col min="25" max="25" width="6.88671875" style="279" customWidth="1"/>
    <col min="26" max="26" width="5.33203125" style="279" customWidth="1"/>
    <col min="27" max="27" width="7.88671875" style="279" customWidth="1"/>
    <col min="28" max="28" width="4.5546875" style="279" customWidth="1"/>
    <col min="29" max="29" width="9.44140625" style="279" bestFit="1" customWidth="1"/>
    <col min="30" max="30" width="8.6640625" style="279" customWidth="1"/>
    <col min="31" max="31" width="7.6640625" style="279" customWidth="1"/>
    <col min="32" max="32" width="8.33203125" style="279" bestFit="1" customWidth="1"/>
    <col min="33" max="33" width="4.5546875" style="279" customWidth="1"/>
    <col min="34" max="34" width="7.6640625" style="279" bestFit="1" customWidth="1"/>
    <col min="35" max="35" width="4.5546875" style="279" customWidth="1"/>
    <col min="36" max="36" width="7.44140625" style="279" customWidth="1"/>
    <col min="37" max="37" width="9.5546875" style="279" bestFit="1" customWidth="1"/>
    <col min="38" max="38" width="7.33203125" style="279" customWidth="1"/>
    <col min="39" max="39" width="8.44140625" style="279" customWidth="1"/>
    <col min="40" max="40" width="6.33203125" style="279" customWidth="1"/>
    <col min="41" max="41" width="8.44140625" style="279" bestFit="1" customWidth="1"/>
    <col min="42" max="42" width="4.5546875" style="279" customWidth="1"/>
    <col min="43" max="43" width="8.44140625" style="279" customWidth="1"/>
    <col min="44" max="44" width="9.5546875" style="279" bestFit="1" customWidth="1"/>
    <col min="45" max="45" width="7.6640625" style="279" customWidth="1"/>
    <col min="46" max="46" width="8.44140625" style="279" bestFit="1" customWidth="1"/>
    <col min="47" max="47" width="6.6640625" style="279" customWidth="1"/>
    <col min="48" max="48" width="7.6640625" style="279" bestFit="1" customWidth="1"/>
    <col min="49" max="49" width="4.5546875" style="279" customWidth="1"/>
    <col min="50" max="50" width="7.88671875" style="279" customWidth="1"/>
    <col min="51" max="51" width="9.5546875" style="279" bestFit="1" customWidth="1"/>
    <col min="52" max="52" width="5.33203125" style="279" bestFit="1" customWidth="1"/>
    <col min="53" max="53" width="8.44140625" style="279" bestFit="1" customWidth="1"/>
    <col min="54" max="54" width="5.33203125" style="279" bestFit="1" customWidth="1"/>
    <col min="55" max="55" width="9.109375" style="279" bestFit="1" customWidth="1"/>
    <col min="56" max="56" width="4.5546875" style="279" customWidth="1"/>
    <col min="57" max="57" width="9.44140625" style="279" bestFit="1" customWidth="1"/>
    <col min="58" max="58" width="9.5546875" style="279" bestFit="1" customWidth="1"/>
    <col min="59" max="59" width="6.109375" style="279" customWidth="1"/>
    <col min="60" max="60" width="8" style="279" bestFit="1" customWidth="1"/>
    <col min="61" max="61" width="5.6640625" style="279" customWidth="1"/>
    <col min="62" max="62" width="8.109375" style="279" customWidth="1"/>
    <col min="63" max="63" width="4.5546875" style="279" customWidth="1"/>
    <col min="64" max="64" width="9" style="279" bestFit="1" customWidth="1"/>
    <col min="65" max="65" width="9.109375" style="279" bestFit="1" customWidth="1"/>
    <col min="66" max="66" width="4.5546875" style="279" customWidth="1"/>
    <col min="67" max="67" width="8.33203125" style="279" bestFit="1" customWidth="1"/>
    <col min="68" max="68" width="4.5546875" style="279" customWidth="1"/>
    <col min="69" max="69" width="8.6640625" style="279" bestFit="1" customWidth="1"/>
    <col min="70" max="70" width="4.5546875" style="279" customWidth="1"/>
    <col min="71" max="71" width="7.88671875" style="279" bestFit="1" customWidth="1"/>
    <col min="72" max="72" width="9.109375" style="279" bestFit="1" customWidth="1"/>
    <col min="73" max="73" width="4.5546875" style="279" customWidth="1"/>
    <col min="74" max="74" width="8.33203125" style="279" bestFit="1" customWidth="1"/>
    <col min="75" max="75" width="4.5546875" style="279" customWidth="1"/>
    <col min="76" max="76" width="8.6640625" style="279" bestFit="1" customWidth="1"/>
    <col min="77" max="77" width="4.5546875" style="279" customWidth="1"/>
    <col min="78" max="78" width="8.33203125" style="279" bestFit="1" customWidth="1"/>
    <col min="79" max="79" width="9.109375" style="279" bestFit="1" customWidth="1"/>
    <col min="80" max="80" width="5.44140625" style="279" customWidth="1"/>
    <col min="81" max="81" width="8.33203125" style="279" bestFit="1" customWidth="1"/>
    <col min="82" max="82" width="4.5546875" style="279" customWidth="1"/>
    <col min="83" max="83" width="9.109375" style="279" bestFit="1" customWidth="1"/>
    <col min="84" max="84" width="4.5546875" style="279" customWidth="1"/>
    <col min="85" max="85" width="8.109375" style="279" bestFit="1" customWidth="1"/>
    <col min="86" max="86" width="9.44140625" style="279" customWidth="1"/>
    <col min="87" max="87" width="6.5546875" style="238" customWidth="1"/>
    <col min="88" max="88" width="9.44140625" style="238" customWidth="1"/>
    <col min="89" max="89" width="6.5546875" style="238" customWidth="1"/>
    <col min="90" max="90" width="9.44140625" style="238" hidden="1" customWidth="1"/>
    <col min="91" max="91" width="6.5546875" style="238" hidden="1" customWidth="1"/>
    <col min="92" max="1058" width="9.109375" style="238" customWidth="1"/>
    <col min="1059" max="16384" width="9" style="239"/>
  </cols>
  <sheetData>
    <row r="1" spans="2:91" ht="5.25" customHeight="1" thickBot="1"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8"/>
      <c r="AT1" s="238"/>
      <c r="AU1" s="238"/>
      <c r="AV1" s="238"/>
      <c r="AW1" s="238"/>
      <c r="AX1" s="238"/>
      <c r="AY1" s="238"/>
      <c r="AZ1" s="238"/>
      <c r="BA1" s="238"/>
      <c r="BB1" s="238"/>
      <c r="BC1" s="238"/>
      <c r="BD1" s="238"/>
      <c r="BE1" s="238"/>
      <c r="BF1" s="238"/>
      <c r="BG1" s="238"/>
      <c r="BH1" s="238"/>
      <c r="BI1" s="238"/>
      <c r="BJ1" s="238"/>
      <c r="BK1" s="238"/>
      <c r="BL1" s="238"/>
      <c r="BM1" s="238"/>
      <c r="BN1" s="238"/>
      <c r="BO1" s="238"/>
      <c r="BP1" s="238"/>
      <c r="BQ1" s="238"/>
      <c r="BR1" s="238"/>
      <c r="BS1" s="238"/>
      <c r="BT1" s="238"/>
      <c r="BU1" s="238"/>
      <c r="BV1" s="238"/>
      <c r="BW1" s="238"/>
      <c r="BX1" s="238"/>
      <c r="BY1" s="238"/>
      <c r="BZ1" s="238"/>
      <c r="CA1" s="238"/>
      <c r="CB1" s="238"/>
      <c r="CC1" s="238"/>
      <c r="CD1" s="238"/>
      <c r="CE1" s="238"/>
      <c r="CF1" s="238"/>
      <c r="CG1" s="238"/>
      <c r="CH1" s="238"/>
    </row>
    <row r="2" spans="2:91" ht="19.5" customHeight="1" thickBot="1">
      <c r="B2" s="499">
        <f>G42+M42+T42+AA42</f>
        <v>14869988.430000003</v>
      </c>
      <c r="C2" s="481" t="s">
        <v>58</v>
      </c>
      <c r="D2" s="482"/>
      <c r="E2" s="482"/>
      <c r="F2" s="482"/>
      <c r="G2" s="482"/>
      <c r="H2" s="482"/>
      <c r="I2" s="478" t="s">
        <v>59</v>
      </c>
      <c r="J2" s="479"/>
      <c r="K2" s="479"/>
      <c r="L2" s="479"/>
      <c r="M2" s="479"/>
      <c r="N2" s="479"/>
      <c r="O2" s="480"/>
      <c r="P2" s="478" t="s">
        <v>60</v>
      </c>
      <c r="Q2" s="479"/>
      <c r="R2" s="479"/>
      <c r="S2" s="479"/>
      <c r="T2" s="479"/>
      <c r="U2" s="479"/>
      <c r="V2" s="480"/>
      <c r="W2" s="478" t="s">
        <v>61</v>
      </c>
      <c r="X2" s="479"/>
      <c r="Y2" s="479"/>
      <c r="Z2" s="479"/>
      <c r="AA2" s="479"/>
      <c r="AB2" s="479"/>
      <c r="AC2" s="480"/>
      <c r="AD2" s="478" t="s">
        <v>11</v>
      </c>
      <c r="AE2" s="479"/>
      <c r="AF2" s="479"/>
      <c r="AG2" s="479"/>
      <c r="AH2" s="479"/>
      <c r="AI2" s="479"/>
      <c r="AJ2" s="480"/>
      <c r="AK2" s="478" t="s">
        <v>62</v>
      </c>
      <c r="AL2" s="479"/>
      <c r="AM2" s="479"/>
      <c r="AN2" s="479"/>
      <c r="AO2" s="479"/>
      <c r="AP2" s="479"/>
      <c r="AQ2" s="480"/>
      <c r="AR2" s="478" t="s">
        <v>63</v>
      </c>
      <c r="AS2" s="479"/>
      <c r="AT2" s="479"/>
      <c r="AU2" s="479"/>
      <c r="AV2" s="479"/>
      <c r="AW2" s="479"/>
      <c r="AX2" s="480"/>
      <c r="AY2" s="478" t="s">
        <v>64</v>
      </c>
      <c r="AZ2" s="479"/>
      <c r="BA2" s="479"/>
      <c r="BB2" s="479"/>
      <c r="BC2" s="479"/>
      <c r="BD2" s="479"/>
      <c r="BE2" s="480"/>
      <c r="BF2" s="478" t="s">
        <v>65</v>
      </c>
      <c r="BG2" s="479"/>
      <c r="BH2" s="479"/>
      <c r="BI2" s="479"/>
      <c r="BJ2" s="479"/>
      <c r="BK2" s="479"/>
      <c r="BL2" s="480"/>
      <c r="BM2" s="478" t="s">
        <v>66</v>
      </c>
      <c r="BN2" s="479"/>
      <c r="BO2" s="479"/>
      <c r="BP2" s="479"/>
      <c r="BQ2" s="479"/>
      <c r="BR2" s="479"/>
      <c r="BS2" s="480"/>
      <c r="BT2" s="478" t="s">
        <v>67</v>
      </c>
      <c r="BU2" s="479"/>
      <c r="BV2" s="479"/>
      <c r="BW2" s="479"/>
      <c r="BX2" s="479"/>
      <c r="BY2" s="479"/>
      <c r="BZ2" s="480"/>
      <c r="CA2" s="478" t="s">
        <v>68</v>
      </c>
      <c r="CB2" s="479"/>
      <c r="CC2" s="479"/>
      <c r="CD2" s="479"/>
      <c r="CE2" s="479"/>
      <c r="CF2" s="479"/>
      <c r="CG2" s="480"/>
      <c r="CH2" s="485">
        <v>2026</v>
      </c>
      <c r="CI2" s="486"/>
      <c r="CJ2" s="486"/>
      <c r="CK2" s="486"/>
      <c r="CL2" s="486"/>
      <c r="CM2" s="487"/>
    </row>
    <row r="3" spans="2:91" ht="17.399999999999999" customHeight="1" thickBot="1">
      <c r="B3" s="283" t="s">
        <v>45</v>
      </c>
      <c r="C3" s="488" t="s">
        <v>460</v>
      </c>
      <c r="D3" s="489"/>
      <c r="E3" s="490" t="s">
        <v>461</v>
      </c>
      <c r="F3" s="491"/>
      <c r="G3" s="483" t="s">
        <v>462</v>
      </c>
      <c r="H3" s="484"/>
      <c r="I3" s="488" t="s">
        <v>460</v>
      </c>
      <c r="J3" s="489"/>
      <c r="K3" s="490" t="s">
        <v>461</v>
      </c>
      <c r="L3" s="491"/>
      <c r="M3" s="483" t="s">
        <v>462</v>
      </c>
      <c r="N3" s="484"/>
      <c r="O3" s="284" t="s">
        <v>69</v>
      </c>
      <c r="P3" s="488" t="s">
        <v>460</v>
      </c>
      <c r="Q3" s="489"/>
      <c r="R3" s="490" t="s">
        <v>461</v>
      </c>
      <c r="S3" s="491"/>
      <c r="T3" s="483" t="s">
        <v>462</v>
      </c>
      <c r="U3" s="484"/>
      <c r="V3" s="284" t="s">
        <v>69</v>
      </c>
      <c r="W3" s="488" t="s">
        <v>460</v>
      </c>
      <c r="X3" s="489"/>
      <c r="Y3" s="490" t="s">
        <v>461</v>
      </c>
      <c r="Z3" s="491"/>
      <c r="AA3" s="483" t="s">
        <v>462</v>
      </c>
      <c r="AB3" s="484"/>
      <c r="AC3" s="284" t="s">
        <v>69</v>
      </c>
      <c r="AD3" s="488" t="s">
        <v>460</v>
      </c>
      <c r="AE3" s="489"/>
      <c r="AF3" s="490" t="s">
        <v>461</v>
      </c>
      <c r="AG3" s="491"/>
      <c r="AH3" s="483" t="s">
        <v>462</v>
      </c>
      <c r="AI3" s="484"/>
      <c r="AJ3" s="284" t="s">
        <v>69</v>
      </c>
      <c r="AK3" s="488" t="s">
        <v>460</v>
      </c>
      <c r="AL3" s="489"/>
      <c r="AM3" s="490" t="s">
        <v>461</v>
      </c>
      <c r="AN3" s="491"/>
      <c r="AO3" s="483" t="s">
        <v>462</v>
      </c>
      <c r="AP3" s="484"/>
      <c r="AQ3" s="284" t="s">
        <v>69</v>
      </c>
      <c r="AR3" s="488" t="s">
        <v>460</v>
      </c>
      <c r="AS3" s="489"/>
      <c r="AT3" s="490" t="s">
        <v>461</v>
      </c>
      <c r="AU3" s="491"/>
      <c r="AV3" s="483" t="s">
        <v>462</v>
      </c>
      <c r="AW3" s="484"/>
      <c r="AX3" s="284" t="s">
        <v>69</v>
      </c>
      <c r="AY3" s="488" t="s">
        <v>460</v>
      </c>
      <c r="AZ3" s="489"/>
      <c r="BA3" s="490" t="s">
        <v>461</v>
      </c>
      <c r="BB3" s="491"/>
      <c r="BC3" s="483" t="s">
        <v>462</v>
      </c>
      <c r="BD3" s="484"/>
      <c r="BE3" s="284" t="s">
        <v>69</v>
      </c>
      <c r="BF3" s="488" t="s">
        <v>460</v>
      </c>
      <c r="BG3" s="489"/>
      <c r="BH3" s="490" t="s">
        <v>461</v>
      </c>
      <c r="BI3" s="491"/>
      <c r="BJ3" s="483" t="s">
        <v>462</v>
      </c>
      <c r="BK3" s="484"/>
      <c r="BL3" s="284" t="s">
        <v>69</v>
      </c>
      <c r="BM3" s="488" t="s">
        <v>460</v>
      </c>
      <c r="BN3" s="489"/>
      <c r="BO3" s="490" t="s">
        <v>461</v>
      </c>
      <c r="BP3" s="491"/>
      <c r="BQ3" s="483" t="s">
        <v>462</v>
      </c>
      <c r="BR3" s="484"/>
      <c r="BS3" s="284" t="s">
        <v>69</v>
      </c>
      <c r="BT3" s="488" t="s">
        <v>460</v>
      </c>
      <c r="BU3" s="489"/>
      <c r="BV3" s="490" t="s">
        <v>461</v>
      </c>
      <c r="BW3" s="491"/>
      <c r="BX3" s="483" t="s">
        <v>462</v>
      </c>
      <c r="BY3" s="484"/>
      <c r="BZ3" s="284" t="s">
        <v>69</v>
      </c>
      <c r="CA3" s="488" t="s">
        <v>460</v>
      </c>
      <c r="CB3" s="489"/>
      <c r="CC3" s="490" t="s">
        <v>461</v>
      </c>
      <c r="CD3" s="491"/>
      <c r="CE3" s="483" t="s">
        <v>462</v>
      </c>
      <c r="CF3" s="484"/>
      <c r="CG3" s="284" t="s">
        <v>69</v>
      </c>
      <c r="CH3" s="492" t="s">
        <v>460</v>
      </c>
      <c r="CI3" s="493"/>
      <c r="CJ3" s="492" t="s">
        <v>461</v>
      </c>
      <c r="CK3" s="493"/>
      <c r="CL3" s="492" t="s">
        <v>462</v>
      </c>
      <c r="CM3" s="493"/>
    </row>
    <row r="4" spans="2:91" s="238" customFormat="1" ht="10.35" customHeight="1" thickBot="1">
      <c r="B4" s="240" t="s">
        <v>215</v>
      </c>
      <c r="C4" s="219">
        <f>SUMIF('MVTO E'!$C$3:$C$240,"Vda_Din",'MVTO E'!$G$3:$G$240)-SUMIF('MVTO E'!$C$3:$C$240,"Vda_S_Din",'MVTO E'!$G$3:$G$240)</f>
        <v>1612193.8</v>
      </c>
      <c r="D4" s="208">
        <f>C4/$C$10</f>
        <v>4.9001350252261544E-2</v>
      </c>
      <c r="E4" s="219">
        <f>SUMIF('MVTO A'!$C$3:$C$184,"Vda_Din",'MVTO A'!$G$3:$G$184)-SUMIF('MVTO A'!$C$3:$C$184,"Vda_S_Din",'MVTO A'!$G$3:$G$184)</f>
        <v>0</v>
      </c>
      <c r="F4" s="208">
        <f>E4/$E$10</f>
        <v>0</v>
      </c>
      <c r="G4" s="219">
        <f>C4+E4</f>
        <v>1612193.8</v>
      </c>
      <c r="H4" s="208">
        <f>G4/$G$10</f>
        <v>4.3746923600140687E-2</v>
      </c>
      <c r="I4" s="219">
        <f>SUMIF('MVTO E'!$C$3:$C$240,"Vda_Din",'MVTO E'!$H$3:$H$240)-SUMIF('MVTO E'!$C$3:$C$240,"Vda_S_Din",'MVTO E'!$H$3:$H$240)</f>
        <v>1483685.35</v>
      </c>
      <c r="J4" s="208">
        <f>I4/$I$10</f>
        <v>6.9886186948066753E-2</v>
      </c>
      <c r="K4" s="219">
        <f>SUMIF('MVTO A'!$C$3:$C$184,"Vda_Din",'MVTO A'!$H$3:$H$184)-SUMIF('MVTO A'!$C$3:$C$184,"Vda_S_Din",'MVTO A'!$H$3:$H$184)</f>
        <v>0</v>
      </c>
      <c r="L4" s="208">
        <f t="shared" ref="L4:L9" si="0">K4/$K$10</f>
        <v>0</v>
      </c>
      <c r="M4" s="219">
        <f t="shared" ref="M4:M17" si="1">I4+K4</f>
        <v>1483685.35</v>
      </c>
      <c r="N4" s="208">
        <f t="shared" ref="N4:N9" si="2">M4/$M$10</f>
        <v>6.0191888352712858E-2</v>
      </c>
      <c r="O4" s="245">
        <f>M4-G4</f>
        <v>-128508.44999999995</v>
      </c>
      <c r="P4" s="219">
        <f>SUMIF('MVTO E'!$C$3:$C$240,"Vda_Din",'MVTO E'!$I$3:$I$240)-SUMIF('MVTO E'!$C$3:$C$240,"Vda_S_Din",'MVTO E'!$I$3:$I$240)</f>
        <v>1481071.31</v>
      </c>
      <c r="Q4" s="208">
        <f>P4/$I$10</f>
        <v>6.9763057547261031E-2</v>
      </c>
      <c r="R4" s="219">
        <f>SUMIF('MVTO A'!$C$3:$C$184,"Vda_Din",'MVTO A'!$I$3:$I$184)-SUMIF('MVTO A'!$C$3:$C$184,"Vda_S_Din",'MVTO A'!$I$3:$I$184)</f>
        <v>0</v>
      </c>
      <c r="S4" s="208">
        <f t="shared" ref="S4:S9" si="3">R4/$K$10</f>
        <v>0</v>
      </c>
      <c r="T4" s="219">
        <f t="shared" ref="T4:T17" si="4">P4+R4</f>
        <v>1481071.31</v>
      </c>
      <c r="U4" s="208">
        <f t="shared" ref="U4:U9" si="5">T4/$T$10</f>
        <v>5.3939707016765384E-2</v>
      </c>
      <c r="V4" s="245">
        <f>T4-M4</f>
        <v>-2614.0400000000373</v>
      </c>
      <c r="W4" s="219">
        <f>SUMIF('MVTO E'!$C$3:$C$240,"Vda_Din",'MVTO E'!$J$3:$J$240)-SUMIF('MVTO E'!$C$3:$C$240,"Vda_S_Din",'MVTO E'!$J$3:$J$240)</f>
        <v>1430187.35</v>
      </c>
      <c r="X4" s="208">
        <f>W4/$I$10</f>
        <v>6.7366265032447872E-2</v>
      </c>
      <c r="Y4" s="219">
        <f>SUMIF('MVTO A'!$C$3:$C$184,"Vda_Din",'MVTO A'!$J$3:$J$184)-SUMIF('MVTO A'!$C$3:$C$184,"Vda_S_Din",'MVTO A'!$J$3:$J$184)</f>
        <v>0</v>
      </c>
      <c r="Z4" s="208">
        <f t="shared" ref="Z4:Z9" si="6">Y4/$K$10</f>
        <v>0</v>
      </c>
      <c r="AA4" s="219">
        <f>W4+Y4</f>
        <v>1430187.35</v>
      </c>
      <c r="AB4" s="243">
        <f t="shared" ref="AB4:AB9" si="7">AA4/$AA$10</f>
        <v>5.6404765384910113E-2</v>
      </c>
      <c r="AC4" s="245">
        <f>AA4-T4</f>
        <v>-50883.959999999963</v>
      </c>
      <c r="AD4" s="219">
        <f>SUMIF('MVTO E'!$C$3:$C$240,"Vda_Din",'MVTO E'!$K$3:$K$240)-SUMIF('MVTO E'!$C$3:$C$240,"Vda_S_Din",'MVTO E'!$K$3:$K$240)</f>
        <v>0</v>
      </c>
      <c r="AE4" s="208">
        <f>AD4/$I$10</f>
        <v>0</v>
      </c>
      <c r="AF4" s="219">
        <f>SUMIF('MVTO A'!$C$3:$C$184,"Vda_Din",'MVTO A'!$K$3:$K$184)-SUMIF('MVTO A'!$C$3:$C$184,"Vda_S_Din",'MVTO A'!$K$3:$K$184)</f>
        <v>0</v>
      </c>
      <c r="AG4" s="208">
        <f t="shared" ref="AG4:AG9" si="8">AF4/$K$10</f>
        <v>0</v>
      </c>
      <c r="AH4" s="219">
        <f>AD4+AF4</f>
        <v>0</v>
      </c>
      <c r="AI4" s="243">
        <f t="shared" ref="AI4" si="9">AH4/$AA$10</f>
        <v>0</v>
      </c>
      <c r="AJ4" s="245">
        <f>AH4-AA4</f>
        <v>-1430187.35</v>
      </c>
      <c r="AK4" s="219">
        <f>SUMIF('MVTO E'!$C$3:$C$240,"Vda_Din",'MVTO E'!$L$3:$L$240)-SUMIF('MVTO E'!$C$3:$C$240,"Vda_S_Din",'MVTO E'!$L$3:$L$240)</f>
        <v>0</v>
      </c>
      <c r="AL4" s="208">
        <f>AK4/$I$10</f>
        <v>0</v>
      </c>
      <c r="AM4" s="219">
        <f>SUMIF('MVTO A'!$C$3:$C$184,"Vda_Din",'MVTO A'!$L$3:$L$184)-SUMIF('MVTO A'!$C$3:$C$184,"Vda_S_Din",'MVTO A'!$L$3:$L$184)</f>
        <v>0</v>
      </c>
      <c r="AN4" s="208">
        <f t="shared" ref="AN4:AN9" si="10">AM4/$K$10</f>
        <v>0</v>
      </c>
      <c r="AO4" s="219">
        <f>AK4+AM4</f>
        <v>0</v>
      </c>
      <c r="AP4" s="243">
        <f t="shared" ref="AP4" si="11">AO4/$AA$10</f>
        <v>0</v>
      </c>
      <c r="AQ4" s="245">
        <f>AO4-AH4</f>
        <v>0</v>
      </c>
      <c r="AR4" s="219">
        <f>SUMIF('MVTO E'!$C$3:$C$240,"Vda_Din",'MVTO E'!$M$3:$M$240)-SUMIF('MVTO E'!$C$3:$C$240,"Vda_S_Din",'MVTO E'!$M$3:$M$240)</f>
        <v>0</v>
      </c>
      <c r="AS4" s="208">
        <f>AR4/$I$10</f>
        <v>0</v>
      </c>
      <c r="AT4" s="219">
        <f>SUMIF('MVTO A'!$C$3:$C$184,"Vda_Din",'MVTO A'!$M$3:$M$184)-SUMIF('MVTO A'!$C$3:$C$184,"Vda_S_Din",'MVTO A'!$M$3:$M$184)</f>
        <v>0</v>
      </c>
      <c r="AU4" s="208">
        <f t="shared" ref="AU4:AU9" si="12">AT4/$K$10</f>
        <v>0</v>
      </c>
      <c r="AV4" s="219">
        <f>AR4+AT4</f>
        <v>0</v>
      </c>
      <c r="AW4" s="243">
        <f t="shared" ref="AW4" si="13">AV4/$AA$10</f>
        <v>0</v>
      </c>
      <c r="AX4" s="245">
        <f>AV4-AO4</f>
        <v>0</v>
      </c>
      <c r="AY4" s="219">
        <f>SUMIF('MVTO E'!$C$3:$C$240,"Vda_Din",'MVTO E'!$N$3:$N$240)-SUMIF('MVTO E'!$C$3:$C$240,"Vda_S_Din",'MVTO E'!$N$3:$N$240)</f>
        <v>0</v>
      </c>
      <c r="AZ4" s="208">
        <f>AY4/$I$10</f>
        <v>0</v>
      </c>
      <c r="BA4" s="219">
        <f>SUMIF('MVTO A'!$C$3:$C$184,"Vda_Din",'MVTO A'!$N$3:$N$184)-SUMIF('MVTO A'!$C$3:$C$184,"Vda_S_Din",'MVTO A'!$N$3:$N$184)</f>
        <v>0</v>
      </c>
      <c r="BB4" s="208">
        <f t="shared" ref="BB4:BB9" si="14">BA4/$K$10</f>
        <v>0</v>
      </c>
      <c r="BC4" s="219">
        <f>AY4+BA4</f>
        <v>0</v>
      </c>
      <c r="BD4" s="243">
        <f t="shared" ref="BD4" si="15">BC4/$AA$10</f>
        <v>0</v>
      </c>
      <c r="BE4" s="245">
        <f>BC4-AV4</f>
        <v>0</v>
      </c>
      <c r="BF4" s="219">
        <f>SUMIF('MVTO E'!$C$3:$C$240,"Vda_Din",'MVTO E'!$O$3:$O$240)-SUMIF('MVTO E'!$C$3:$C$240,"Vda_S_Din",'MVTO E'!$O$3:$O$240)</f>
        <v>0</v>
      </c>
      <c r="BG4" s="208">
        <f>BF4/$I$10</f>
        <v>0</v>
      </c>
      <c r="BH4" s="219">
        <f>SUMIF('MVTO A'!$C$3:$C$184,"Vda_Din",'MVTO A'!$O$3:$O$184)-SUMIF('MVTO A'!$C$3:$C$184,"Vda_S_Din",'MVTO A'!$O$3:$O$184)</f>
        <v>0</v>
      </c>
      <c r="BI4" s="208">
        <f t="shared" ref="BI4:BI9" si="16">BH4/$K$10</f>
        <v>0</v>
      </c>
      <c r="BJ4" s="219">
        <f>BF4+BH4</f>
        <v>0</v>
      </c>
      <c r="BK4" s="243">
        <f t="shared" ref="BK4" si="17">BJ4/$AA$10</f>
        <v>0</v>
      </c>
      <c r="BL4" s="245">
        <f>BJ4-BC4</f>
        <v>0</v>
      </c>
      <c r="BM4" s="219">
        <f>SUMIF('MVTO E'!$C$3:$C$240,"Vda_Din",'MVTO E'!$P$3:$P$240)-SUMIF('MVTO E'!$C$3:$C$240,"Vda_S_Din",'MVTO E'!$P$3:$P$240)</f>
        <v>0</v>
      </c>
      <c r="BN4" s="208">
        <f>BM4/$I$10</f>
        <v>0</v>
      </c>
      <c r="BO4" s="219">
        <f>SUMIF('MVTO A'!$C$3:$C$184,"Vda_Din",'MVTO A'!$P$3:$P$184)-SUMIF('MVTO A'!$C$3:$C$184,"Vda_S_Din",'MVTO A'!$P$3:$P$184)</f>
        <v>0</v>
      </c>
      <c r="BP4" s="208">
        <f t="shared" ref="BP4:BP9" si="18">BO4/$K$10</f>
        <v>0</v>
      </c>
      <c r="BQ4" s="219">
        <f>BM4+BO4</f>
        <v>0</v>
      </c>
      <c r="BR4" s="243">
        <f t="shared" ref="BR4" si="19">BQ4/$AA$10</f>
        <v>0</v>
      </c>
      <c r="BS4" s="245">
        <f>BQ4-BJ4</f>
        <v>0</v>
      </c>
      <c r="BT4" s="219">
        <f>SUMIF('MVTO E'!$C$3:$C$240,"Vda_Din",'MVTO E'!$Q$3:$Q$240)-SUMIF('MVTO E'!$C$3:$C$240,"Vda_S_Din",'MVTO E'!$Q$3:$Q$240)</f>
        <v>0</v>
      </c>
      <c r="BU4" s="208">
        <f>BT4/$I$10</f>
        <v>0</v>
      </c>
      <c r="BV4" s="219">
        <f>SUMIF('MVTO A'!$C$3:$C$184,"Vda_Din",'MVTO A'!$Q$3:$Q$184)-SUMIF('MVTO A'!$C$3:$C$184,"Vda_S_Din",'MVTO A'!$Q$3:$Q$184)</f>
        <v>0</v>
      </c>
      <c r="BW4" s="208">
        <f t="shared" ref="BW4:BW9" si="20">BV4/$K$10</f>
        <v>0</v>
      </c>
      <c r="BX4" s="219">
        <f>BT4+BV4</f>
        <v>0</v>
      </c>
      <c r="BY4" s="243">
        <f t="shared" ref="BY4" si="21">BX4/$AA$10</f>
        <v>0</v>
      </c>
      <c r="BZ4" s="245">
        <f>BX4-BQ4</f>
        <v>0</v>
      </c>
      <c r="CA4" s="219">
        <f>SUMIF('MVTO E'!$C$3:$C$240,"Vda_Din",'MVTO E'!$R$3:$R$240)-SUMIF('MVTO E'!$C$3:$C$240,"Vda_S_Din",'MVTO E'!$R$3:$R$240)</f>
        <v>0</v>
      </c>
      <c r="CB4" s="208">
        <f>CA4/$I$10</f>
        <v>0</v>
      </c>
      <c r="CC4" s="219">
        <f>SUMIF('MVTO A'!$C$3:$C$184,"Vda_Din",'MVTO A'!$R$3:$R$184)-SUMIF('MVTO A'!$C$3:$C$184,"Vda_S_Din",'MVTO A'!$R$3:$R$184)</f>
        <v>0</v>
      </c>
      <c r="CD4" s="208">
        <f t="shared" ref="CD4:CD9" si="22">CC4/$K$10</f>
        <v>0</v>
      </c>
      <c r="CE4" s="219">
        <f>CA4+CC4</f>
        <v>0</v>
      </c>
      <c r="CF4" s="243">
        <f t="shared" ref="CF4" si="23">CE4/$AA$10</f>
        <v>0</v>
      </c>
      <c r="CG4" s="245">
        <f>CE4-BX4</f>
        <v>0</v>
      </c>
      <c r="CH4" s="244">
        <f>SUM(C4,I4,P4,W4,AD4,AK4,AR4,AY4,BF4,BM4,BT4,CA4)</f>
        <v>6007137.8100000005</v>
      </c>
      <c r="CI4" s="241">
        <f t="shared" ref="CI4:CI17" si="24">CH4/$CH$10</f>
        <v>5.9988985783557075E-2</v>
      </c>
      <c r="CJ4" s="242">
        <f>SUM(E4,K4,R4,Y4,AF4,AM4,AT4,BA4,BH4,BO4,BV4,CC4)</f>
        <v>0</v>
      </c>
      <c r="CK4" s="241">
        <f t="shared" ref="CK4:CK17" si="25">CJ4/$CJ$10</f>
        <v>0</v>
      </c>
      <c r="CL4" s="242">
        <f>SUM(G4,M4,T4,AA4,AH4,AO4,AV4,BC4,BJ4,BQ4,BX4,CE4)</f>
        <v>6007137.8100000005</v>
      </c>
      <c r="CM4" s="243">
        <f t="shared" ref="CM4:CM17" si="26">CL4/$CL$10</f>
        <v>5.2548674627688828E-2</v>
      </c>
    </row>
    <row r="5" spans="2:91" s="238" customFormat="1" ht="10.35" customHeight="1" thickBot="1">
      <c r="B5" s="240" t="s">
        <v>218</v>
      </c>
      <c r="C5" s="190">
        <f>SUMIF('MVTO E'!$C$3:$C$240,"Vda_PIX",'MVTO E'!$G$3:$G$240)-SUMIF('MVTO E'!$C$3:$C$240,"Vda_S_PIX",'MVTO E'!$G$3:$G$240)</f>
        <v>27676.119999999995</v>
      </c>
      <c r="D5" s="209">
        <f t="shared" ref="D5:D9" si="27">C5/$C$10</f>
        <v>8.4119368883791797E-4</v>
      </c>
      <c r="E5" s="190">
        <f>SUMIF('MVTO A'!$C$3:$C$184,"Vda_PIX",'MVTO A'!$G$3:$G$184)-SUMIF('MVTO A'!$C$3:$C$184,"Vda_S_PIX",'MVTO A'!$G$3:$G$184)</f>
        <v>230404.64</v>
      </c>
      <c r="F5" s="209">
        <f t="shared" ref="F5:F8" si="28">E5/$E$10</f>
        <v>5.830478594661484E-2</v>
      </c>
      <c r="G5" s="190">
        <f t="shared" ref="G5:G9" si="29">C5+E5</f>
        <v>258080.76</v>
      </c>
      <c r="H5" s="209">
        <f t="shared" ref="H5:H9" si="30">G5/$G$10</f>
        <v>7.0030286001510761E-3</v>
      </c>
      <c r="I5" s="190">
        <f>SUMIF('MVTO E'!$C$3:$C$240,"Vda_PIX",'MVTO E'!$H$3:$H$240)-SUMIF('MVTO E'!$C$3:$C$240,"Vda_S_PIX",'MVTO E'!$H$3:$H$240)</f>
        <v>19035.570000000007</v>
      </c>
      <c r="J5" s="209">
        <f t="shared" ref="J5:J9" si="31">I5/$I$10</f>
        <v>8.9663445398514678E-4</v>
      </c>
      <c r="K5" s="190">
        <f>SUMIF('MVTO A'!$C$3:$C$184,"Vda_PIX",'MVTO A'!$H$3:$H$184)-SUMIF('MVTO A'!$C$3:$C$184,"Vda_S_PIX",'MVTO A'!$H$3:$H$184)</f>
        <v>185954.55</v>
      </c>
      <c r="L5" s="209">
        <f t="shared" si="0"/>
        <v>5.4384848421481481E-2</v>
      </c>
      <c r="M5" s="190">
        <f>I5+K5</f>
        <v>204990.12</v>
      </c>
      <c r="N5" s="209">
        <f t="shared" si="2"/>
        <v>8.3162797398041374E-3</v>
      </c>
      <c r="O5" s="245">
        <f t="shared" ref="O5:O68" si="32">M5-G5</f>
        <v>-53090.640000000014</v>
      </c>
      <c r="P5" s="190">
        <f>SUMIF('MVTO E'!$C$3:$C$240,"Vda_PIX",'MVTO E'!$I$3:$I$240)-SUMIF('MVTO E'!$C$3:$C$240,"Vda_S_PIX",'MVTO E'!$I$3:$I$240)</f>
        <v>19965.39</v>
      </c>
      <c r="Q5" s="209">
        <f t="shared" ref="Q5:Q6" si="33">P5/$I$10</f>
        <v>9.4043186315148446E-4</v>
      </c>
      <c r="R5" s="190">
        <f>SUMIF('MVTO A'!$C$3:$C$184,"Vda_PIX",'MVTO A'!$I$3:$I$184)-SUMIF('MVTO A'!$C$3:$C$184,"Vda_S_PIX",'MVTO A'!$I$3:$I$184)</f>
        <v>208795.25</v>
      </c>
      <c r="S5" s="209">
        <f t="shared" si="3"/>
        <v>6.1064910874056758E-2</v>
      </c>
      <c r="T5" s="190">
        <f t="shared" si="4"/>
        <v>228760.64</v>
      </c>
      <c r="U5" s="209">
        <f t="shared" si="5"/>
        <v>8.3313219392304218E-3</v>
      </c>
      <c r="V5" s="245">
        <f t="shared" ref="V5:V16" si="34">T5-M5</f>
        <v>23770.520000000019</v>
      </c>
      <c r="W5" s="190">
        <f>SUMIF('MVTO E'!$C$3:$C$240,"Vda_PIX",'MVTO E'!$J$3:$J$240)-SUMIF('MVTO E'!$C$3:$C$240,"Vda_S_PIX",'MVTO E'!$J$3:$J$240)</f>
        <v>34126.539999999994</v>
      </c>
      <c r="X5" s="209">
        <f t="shared" ref="X5:X6" si="35">W5/$I$10</f>
        <v>1.6074659996681085E-3</v>
      </c>
      <c r="Y5" s="190">
        <f>SUMIF('MVTO A'!$C$3:$C$184,"Vda_PIX",'MVTO A'!$J$3:$J$184)-SUMIF('MVTO A'!$C$3:$C$184,"Vda_S_PIX",'MVTO A'!$J$3:$J$184)</f>
        <v>164338.74</v>
      </c>
      <c r="Z5" s="209">
        <f t="shared" si="6"/>
        <v>4.8063021123587756E-2</v>
      </c>
      <c r="AA5" s="190">
        <f t="shared" ref="AA5:AA17" si="36">W5+Y5</f>
        <v>198465.27999999997</v>
      </c>
      <c r="AB5" s="247">
        <f>AA5/$AA$10</f>
        <v>7.8272175707962254E-3</v>
      </c>
      <c r="AC5" s="245">
        <f t="shared" ref="AC5:AC16" si="37">AA5-T5</f>
        <v>-30295.360000000044</v>
      </c>
      <c r="AD5" s="190">
        <f>SUMIF('MVTO E'!$C$3:$C$240,"Vda_PIX",'MVTO E'!$K$3:$K$240)-SUMIF('MVTO E'!$C$3:$C$240,"Vda_S_PIX",'MVTO E'!$K$3:$K$240)</f>
        <v>0</v>
      </c>
      <c r="AE5" s="209">
        <f t="shared" ref="AE5:AE6" si="38">AD5/$I$10</f>
        <v>0</v>
      </c>
      <c r="AF5" s="190">
        <f>SUMIF('MVTO A'!$C$3:$C$184,"Vda_PIX",'MVTO A'!$K$3:$K$184)-SUMIF('MVTO A'!$C$3:$C$184,"Vda_S_PIX",'MVTO A'!$K$3:$K$184)</f>
        <v>0</v>
      </c>
      <c r="AG5" s="209">
        <f t="shared" si="8"/>
        <v>0</v>
      </c>
      <c r="AH5" s="190">
        <f t="shared" ref="AH5:AH9" si="39">AD5+AF5</f>
        <v>0</v>
      </c>
      <c r="AI5" s="247">
        <f>AH5/$AA$10</f>
        <v>0</v>
      </c>
      <c r="AJ5" s="245">
        <f t="shared" ref="AJ5:AJ9" si="40">AH5-AA5</f>
        <v>-198465.27999999997</v>
      </c>
      <c r="AK5" s="190">
        <f>SUMIF('MVTO E'!$C$3:$C$240,"Vda_PIX",'MVTO E'!$L$3:$L$240)-SUMIF('MVTO E'!$C$3:$C$240,"Vda_S_PIX",'MVTO E'!$L$3:$L$240)</f>
        <v>0</v>
      </c>
      <c r="AL5" s="209">
        <f t="shared" ref="AL5:AL6" si="41">AK5/$I$10</f>
        <v>0</v>
      </c>
      <c r="AM5" s="190">
        <f>SUMIF('MVTO A'!$C$3:$C$184,"Vda_PIX",'MVTO A'!$L$3:$L$184)-SUMIF('MVTO A'!$C$3:$C$184,"Vda_S_PIX",'MVTO A'!$L$3:$L$184)</f>
        <v>0</v>
      </c>
      <c r="AN5" s="209">
        <f t="shared" si="10"/>
        <v>0</v>
      </c>
      <c r="AO5" s="190">
        <f t="shared" ref="AO5:AO9" si="42">AK5+AM5</f>
        <v>0</v>
      </c>
      <c r="AP5" s="247">
        <f>AO5/$AA$10</f>
        <v>0</v>
      </c>
      <c r="AQ5" s="245">
        <f t="shared" ref="AQ5:AQ9" si="43">AO5-AH5</f>
        <v>0</v>
      </c>
      <c r="AR5" s="190">
        <f>SUMIF('MVTO E'!$C$3:$C$240,"Vda_PIX",'MVTO E'!$M$3:$M$240)-SUMIF('MVTO E'!$C$3:$C$240,"Vda_S_PIX",'MVTO E'!$M$3:$M$240)</f>
        <v>0</v>
      </c>
      <c r="AS5" s="209">
        <f t="shared" ref="AS5:AS6" si="44">AR5/$I$10</f>
        <v>0</v>
      </c>
      <c r="AT5" s="190">
        <f>SUMIF('MVTO A'!$C$3:$C$184,"Vda_PIX",'MVTO A'!$M$3:$M$184)-SUMIF('MVTO A'!$C$3:$C$184,"Vda_S_PIX",'MVTO A'!$M$3:$M$184)</f>
        <v>0</v>
      </c>
      <c r="AU5" s="209">
        <f t="shared" si="12"/>
        <v>0</v>
      </c>
      <c r="AV5" s="190">
        <f t="shared" ref="AV5:AV9" si="45">AR5+AT5</f>
        <v>0</v>
      </c>
      <c r="AW5" s="247">
        <f>AV5/$AA$10</f>
        <v>0</v>
      </c>
      <c r="AX5" s="245">
        <f t="shared" ref="AX5:AX9" si="46">AV5-AO5</f>
        <v>0</v>
      </c>
      <c r="AY5" s="190">
        <f>SUMIF('MVTO E'!$C$3:$C$240,"Vda_PIX",'MVTO E'!$N$3:$N$240)-SUMIF('MVTO E'!$C$3:$C$240,"Vda_S_PIX",'MVTO E'!$N$3:$N$240)</f>
        <v>0</v>
      </c>
      <c r="AZ5" s="209">
        <f t="shared" ref="AZ5:AZ6" si="47">AY5/$I$10</f>
        <v>0</v>
      </c>
      <c r="BA5" s="190">
        <f>SUMIF('MVTO A'!$C$3:$C$184,"Vda_PIX",'MVTO A'!$N$3:$N$184)-SUMIF('MVTO A'!$C$3:$C$184,"Vda_S_PIX",'MVTO A'!$N$3:$N$184)</f>
        <v>0</v>
      </c>
      <c r="BB5" s="209">
        <f t="shared" si="14"/>
        <v>0</v>
      </c>
      <c r="BC5" s="190">
        <f t="shared" ref="BC5:BC9" si="48">AY5+BA5</f>
        <v>0</v>
      </c>
      <c r="BD5" s="247">
        <f>BC5/$AA$10</f>
        <v>0</v>
      </c>
      <c r="BE5" s="245">
        <f t="shared" ref="BE5:BE9" si="49">BC5-AV5</f>
        <v>0</v>
      </c>
      <c r="BF5" s="190">
        <f>SUMIF('MVTO E'!$C$3:$C$240,"Vda_PIX",'MVTO E'!$O$3:$O$240)-SUMIF('MVTO E'!$C$3:$C$240,"Vda_S_PIX",'MVTO E'!$O$3:$O$240)</f>
        <v>0</v>
      </c>
      <c r="BG5" s="209">
        <f t="shared" ref="BG5:BG6" si="50">BF5/$I$10</f>
        <v>0</v>
      </c>
      <c r="BH5" s="190">
        <f>SUMIF('MVTO A'!$C$3:$C$184,"Vda_PIX",'MVTO A'!$O$3:$O$184)-SUMIF('MVTO A'!$C$3:$C$184,"Vda_S_PIX",'MVTO A'!$O$3:$O$184)</f>
        <v>0</v>
      </c>
      <c r="BI5" s="209">
        <f t="shared" si="16"/>
        <v>0</v>
      </c>
      <c r="BJ5" s="190">
        <f t="shared" ref="BJ5:BJ9" si="51">BF5+BH5</f>
        <v>0</v>
      </c>
      <c r="BK5" s="247">
        <f>BJ5/$AA$10</f>
        <v>0</v>
      </c>
      <c r="BL5" s="245">
        <f t="shared" ref="BL5:BL9" si="52">BJ5-BC5</f>
        <v>0</v>
      </c>
      <c r="BM5" s="190">
        <f>SUMIF('MVTO E'!$C$3:$C$240,"Vda_PIX",'MVTO E'!$P$3:$P$240)-SUMIF('MVTO E'!$C$3:$C$240,"Vda_S_PIX",'MVTO E'!$P$3:$P$240)</f>
        <v>0</v>
      </c>
      <c r="BN5" s="209">
        <f t="shared" ref="BN5:BN6" si="53">BM5/$I$10</f>
        <v>0</v>
      </c>
      <c r="BO5" s="190">
        <f>SUMIF('MVTO A'!$C$3:$C$184,"Vda_PIX",'MVTO A'!$P$3:$P$184)-SUMIF('MVTO A'!$C$3:$C$184,"Vda_S_PIX",'MVTO A'!$P$3:$P$184)</f>
        <v>0</v>
      </c>
      <c r="BP5" s="209">
        <f t="shared" si="18"/>
        <v>0</v>
      </c>
      <c r="BQ5" s="190">
        <f t="shared" ref="BQ5:BQ9" si="54">BM5+BO5</f>
        <v>0</v>
      </c>
      <c r="BR5" s="247">
        <f>BQ5/$AA$10</f>
        <v>0</v>
      </c>
      <c r="BS5" s="245">
        <f t="shared" ref="BS5:BS9" si="55">BQ5-BJ5</f>
        <v>0</v>
      </c>
      <c r="BT5" s="190">
        <f>SUMIF('MVTO E'!$C$3:$C$240,"Vda_PIX",'MVTO E'!$Q$3:$Q$240)-SUMIF('MVTO E'!$C$3:$C$240,"Vda_S_PIX",'MVTO E'!$Q$3:$Q$240)</f>
        <v>0</v>
      </c>
      <c r="BU5" s="209">
        <f t="shared" ref="BU5:BU6" si="56">BT5/$I$10</f>
        <v>0</v>
      </c>
      <c r="BV5" s="190">
        <f>SUMIF('MVTO A'!$C$3:$C$184,"Vda_PIX",'MVTO A'!$Q$3:$Q$184)-SUMIF('MVTO A'!$C$3:$C$184,"Vda_S_PIX",'MVTO A'!$Q$3:$Q$184)</f>
        <v>0</v>
      </c>
      <c r="BW5" s="209">
        <f t="shared" si="20"/>
        <v>0</v>
      </c>
      <c r="BX5" s="190">
        <f t="shared" ref="BX5:BX9" si="57">BT5+BV5</f>
        <v>0</v>
      </c>
      <c r="BY5" s="247">
        <f>BX5/$AA$10</f>
        <v>0</v>
      </c>
      <c r="BZ5" s="245">
        <f t="shared" ref="BZ5:BZ9" si="58">BX5-BQ5</f>
        <v>0</v>
      </c>
      <c r="CA5" s="190">
        <f>SUMIF('MVTO E'!$C$3:$C$240,"Vda_PIX",'MVTO E'!$R$3:$R$240)-SUMIF('MVTO E'!$C$3:$C$240,"Vda_S_PIX",'MVTO E'!$R$3:$R$240)</f>
        <v>0</v>
      </c>
      <c r="CB5" s="209">
        <f t="shared" ref="CB5:CB6" si="59">CA5/$I$10</f>
        <v>0</v>
      </c>
      <c r="CC5" s="190">
        <f>SUMIF('MVTO A'!$C$3:$C$184,"Vda_PIX",'MVTO A'!$R$3:$R$184)-SUMIF('MVTO A'!$C$3:$C$184,"Vda_S_PIX",'MVTO A'!$R$3:$R$184)</f>
        <v>0</v>
      </c>
      <c r="CD5" s="209">
        <f t="shared" si="22"/>
        <v>0</v>
      </c>
      <c r="CE5" s="190">
        <f t="shared" ref="CE5:CE9" si="60">CA5+CC5</f>
        <v>0</v>
      </c>
      <c r="CF5" s="247">
        <f>CE5/$AA$10</f>
        <v>0</v>
      </c>
      <c r="CG5" s="245">
        <f t="shared" ref="CG5:CG9" si="61">CE5-BX5</f>
        <v>0</v>
      </c>
      <c r="CH5" s="242">
        <f t="shared" ref="CH5:CL12" si="62">SUM(C5,I5,P5,W5,AD5,AK5,AR5,AY5,BF5,BM5,BT5,CA5)</f>
        <v>100803.62</v>
      </c>
      <c r="CI5" s="246">
        <f t="shared" si="24"/>
        <v>1.0066536041581323E-3</v>
      </c>
      <c r="CJ5" s="242">
        <f t="shared" si="62"/>
        <v>789493.17999999993</v>
      </c>
      <c r="CK5" s="246">
        <f t="shared" si="25"/>
        <v>5.5683044890470955E-2</v>
      </c>
      <c r="CL5" s="242">
        <f t="shared" si="62"/>
        <v>890296.8</v>
      </c>
      <c r="CM5" s="247">
        <f t="shared" si="26"/>
        <v>7.7880545352883379E-3</v>
      </c>
    </row>
    <row r="6" spans="2:91" s="238" customFormat="1" ht="10.35" customHeight="1" thickBot="1">
      <c r="B6" s="240" t="s">
        <v>221</v>
      </c>
      <c r="C6" s="190">
        <f>SUMIF('MVTO E'!$C$3:$C$240,"Vda_Debito",'MVTO E'!$G$3:$G$240)-SUMIF('MVTO E'!$C$3:$C$240,"Vda_S_Deb",'MVTO E'!$G$3:$G$240)</f>
        <v>5599965.5600000005</v>
      </c>
      <c r="D6" s="209">
        <f t="shared" si="27"/>
        <v>0.1702065060702764</v>
      </c>
      <c r="E6" s="190">
        <f>SUMIF('MVTO A'!$C$3:$C$184,"Vda_Debito",'MVTO A'!$G$3:$G$184)-SUMIF('MVTO A'!$C$3:$C$184,"Vda_S_Deb",'MVTO A'!$G$3:$G$184)</f>
        <v>991436.74</v>
      </c>
      <c r="F6" s="209">
        <f>E6/$E$10</f>
        <v>0.25088690447080247</v>
      </c>
      <c r="G6" s="190">
        <f t="shared" si="29"/>
        <v>6591402.3000000007</v>
      </c>
      <c r="H6" s="209">
        <f t="shared" si="30"/>
        <v>0.1788578847257021</v>
      </c>
      <c r="I6" s="190">
        <f>SUMIF('MVTO E'!$C$3:$C$240,"Vda_Debito",'MVTO E'!$H$3:$H$240)-SUMIF('MVTO E'!$C$3:$C$240,"Vda_S_Deb",'MVTO E'!$H$3:$H$240)</f>
        <v>4567047.7300000014</v>
      </c>
      <c r="J6" s="209">
        <f t="shared" si="31"/>
        <v>0.21512212913575238</v>
      </c>
      <c r="K6" s="190">
        <f>SUMIF('MVTO A'!$C$3:$C$184,"Vda_Debito",'MVTO A'!$H$3:$H$184)-SUMIF('MVTO A'!$C$3:$C$184,"Vda_S_Deb",'MVTO A'!$H$3:$H$184)</f>
        <v>776917.09</v>
      </c>
      <c r="L6" s="209">
        <f t="shared" si="0"/>
        <v>0.22721959842181053</v>
      </c>
      <c r="M6" s="190">
        <f t="shared" si="1"/>
        <v>5343964.8200000012</v>
      </c>
      <c r="N6" s="209">
        <f t="shared" si="2"/>
        <v>0.21680023584937691</v>
      </c>
      <c r="O6" s="245">
        <f t="shared" si="32"/>
        <v>-1247437.4799999995</v>
      </c>
      <c r="P6" s="190">
        <f>SUMIF('MVTO E'!$C$3:$C$240,"Vda_Debito",'MVTO E'!$I$3:$I$240)-SUMIF('MVTO E'!$C$3:$C$240,"Vda_S_Deb",'MVTO E'!$I$3:$I$240)</f>
        <v>5183789.4800000004</v>
      </c>
      <c r="Q6" s="209">
        <f t="shared" si="33"/>
        <v>0.24417258059379082</v>
      </c>
      <c r="R6" s="190">
        <f>SUMIF('MVTO A'!$C$3:$C$184,"Vda_Debito",'MVTO A'!$I$3:$I$184)-SUMIF('MVTO A'!$C$3:$C$184,"Vda_S_Deb",'MVTO A'!$I$3:$I$184)</f>
        <v>903793.71</v>
      </c>
      <c r="S6" s="209">
        <f t="shared" si="3"/>
        <v>0.26432633093752422</v>
      </c>
      <c r="T6" s="190">
        <f t="shared" si="4"/>
        <v>6087583.1900000004</v>
      </c>
      <c r="U6" s="209">
        <f t="shared" si="5"/>
        <v>0.22170603906221503</v>
      </c>
      <c r="V6" s="245">
        <f t="shared" si="34"/>
        <v>743618.36999999918</v>
      </c>
      <c r="W6" s="190">
        <f>SUMIF('MVTO E'!$C$3:$C$240,"Vda_Debito",'MVTO E'!$J$3:$J$240)-SUMIF('MVTO E'!$C$3:$C$240,"Vda_S_Deb",'MVTO E'!$J$3:$J$240)</f>
        <v>4670126.4100000011</v>
      </c>
      <c r="X6" s="209">
        <f t="shared" si="35"/>
        <v>0.21997745503139454</v>
      </c>
      <c r="Y6" s="190">
        <f>SUMIF('MVTO A'!$C$3:$C$184,"Vda_Debito",'MVTO A'!$J$3:$J$184)-SUMIF('MVTO A'!$C$3:$C$184,"Vda_S_Deb",'MVTO A'!$J$3:$J$184)</f>
        <v>770320.33000000007</v>
      </c>
      <c r="Z6" s="209">
        <f t="shared" si="6"/>
        <v>0.2252902893907979</v>
      </c>
      <c r="AA6" s="190">
        <f t="shared" si="36"/>
        <v>5440446.7400000012</v>
      </c>
      <c r="AB6" s="208">
        <f t="shared" si="7"/>
        <v>0.21456428205633277</v>
      </c>
      <c r="AC6" s="245">
        <f t="shared" si="37"/>
        <v>-647136.44999999925</v>
      </c>
      <c r="AD6" s="190">
        <f>SUMIF('MVTO E'!$C$3:$C$240,"Vda_Debito",'MVTO E'!$K$3:$K$240)-SUMIF('MVTO E'!$C$3:$C$240,"Vda_S_Deb",'MVTO E'!$K$3:$K$240)</f>
        <v>0</v>
      </c>
      <c r="AE6" s="209">
        <f t="shared" si="38"/>
        <v>0</v>
      </c>
      <c r="AF6" s="190">
        <f>SUMIF('MVTO A'!$C$3:$C$184,"Vda_Debito",'MVTO A'!$K$3:$K$184)-SUMIF('MVTO A'!$C$3:$C$184,"Vda_S_Deb",'MVTO A'!$K$3:$K$184)</f>
        <v>0</v>
      </c>
      <c r="AG6" s="209">
        <f t="shared" si="8"/>
        <v>0</v>
      </c>
      <c r="AH6" s="190">
        <f t="shared" si="39"/>
        <v>0</v>
      </c>
      <c r="AI6" s="208">
        <f t="shared" ref="AI6:AI9" si="63">AH6/$AA$10</f>
        <v>0</v>
      </c>
      <c r="AJ6" s="245">
        <f t="shared" si="40"/>
        <v>-5440446.7400000012</v>
      </c>
      <c r="AK6" s="190">
        <f>SUMIF('MVTO E'!$C$3:$C$240,"Vda_Debito",'MVTO E'!$L$3:$L$240)-SUMIF('MVTO E'!$C$3:$C$240,"Vda_S_Deb",'MVTO E'!$L$3:$L$240)</f>
        <v>0</v>
      </c>
      <c r="AL6" s="209">
        <f t="shared" si="41"/>
        <v>0</v>
      </c>
      <c r="AM6" s="190">
        <f>SUMIF('MVTO A'!$C$3:$C$184,"Vda_Debito",'MVTO A'!$L$3:$L$184)-SUMIF('MVTO A'!$C$3:$C$184,"Vda_S_Deb",'MVTO A'!$L$3:$L$184)</f>
        <v>0</v>
      </c>
      <c r="AN6" s="209">
        <f t="shared" si="10"/>
        <v>0</v>
      </c>
      <c r="AO6" s="190">
        <f t="shared" si="42"/>
        <v>0</v>
      </c>
      <c r="AP6" s="208">
        <f t="shared" ref="AP6:AP9" si="64">AO6/$AA$10</f>
        <v>0</v>
      </c>
      <c r="AQ6" s="245">
        <f t="shared" si="43"/>
        <v>0</v>
      </c>
      <c r="AR6" s="190">
        <f>SUMIF('MVTO E'!$C$3:$C$240,"Vda_Debito",'MVTO E'!$M$3:$M$240)-SUMIF('MVTO E'!$C$3:$C$240,"Vda_S_Deb",'MVTO E'!$M$3:$M$240)</f>
        <v>0</v>
      </c>
      <c r="AS6" s="209">
        <f t="shared" si="44"/>
        <v>0</v>
      </c>
      <c r="AT6" s="190">
        <f>SUMIF('MVTO A'!$C$3:$C$184,"Vda_Debito",'MVTO A'!$M$3:$M$184)-SUMIF('MVTO A'!$C$3:$C$184,"Vda_S_Deb",'MVTO A'!$M$3:$M$184)</f>
        <v>0</v>
      </c>
      <c r="AU6" s="209">
        <f t="shared" si="12"/>
        <v>0</v>
      </c>
      <c r="AV6" s="190">
        <f t="shared" si="45"/>
        <v>0</v>
      </c>
      <c r="AW6" s="208">
        <f t="shared" ref="AW6:AW9" si="65">AV6/$AA$10</f>
        <v>0</v>
      </c>
      <c r="AX6" s="245">
        <f t="shared" si="46"/>
        <v>0</v>
      </c>
      <c r="AY6" s="190">
        <f>SUMIF('MVTO E'!$C$3:$C$240,"Vda_Debito",'MVTO E'!$N$3:$N$240)-SUMIF('MVTO E'!$C$3:$C$240,"Vda_S_Deb",'MVTO E'!$N$3:$N$240)</f>
        <v>0</v>
      </c>
      <c r="AZ6" s="209">
        <f t="shared" si="47"/>
        <v>0</v>
      </c>
      <c r="BA6" s="190">
        <f>SUMIF('MVTO A'!$C$3:$C$184,"Vda_Debito",'MVTO A'!$N$3:$N$184)-SUMIF('MVTO A'!$C$3:$C$184,"Vda_S_Deb",'MVTO A'!$N$3:$N$184)</f>
        <v>0</v>
      </c>
      <c r="BB6" s="209">
        <f t="shared" si="14"/>
        <v>0</v>
      </c>
      <c r="BC6" s="190">
        <f t="shared" si="48"/>
        <v>0</v>
      </c>
      <c r="BD6" s="208">
        <f t="shared" ref="BD6:BD9" si="66">BC6/$AA$10</f>
        <v>0</v>
      </c>
      <c r="BE6" s="245">
        <f t="shared" si="49"/>
        <v>0</v>
      </c>
      <c r="BF6" s="190">
        <f>SUMIF('MVTO E'!$C$3:$C$240,"Vda_Debito",'MVTO E'!$O$3:$O$240)-SUMIF('MVTO E'!$C$3:$C$240,"Vda_S_Deb",'MVTO E'!$O$3:$O$240)</f>
        <v>0</v>
      </c>
      <c r="BG6" s="209">
        <f t="shared" si="50"/>
        <v>0</v>
      </c>
      <c r="BH6" s="190">
        <f>SUMIF('MVTO A'!$C$3:$C$184,"Vda_Debito",'MVTO A'!$O$3:$O$184)-SUMIF('MVTO A'!$C$3:$C$184,"Vda_S_Deb",'MVTO A'!$O$3:$O$184)</f>
        <v>0</v>
      </c>
      <c r="BI6" s="209">
        <f t="shared" si="16"/>
        <v>0</v>
      </c>
      <c r="BJ6" s="190">
        <f t="shared" si="51"/>
        <v>0</v>
      </c>
      <c r="BK6" s="208">
        <f t="shared" ref="BK6:BK9" si="67">BJ6/$AA$10</f>
        <v>0</v>
      </c>
      <c r="BL6" s="245">
        <f t="shared" si="52"/>
        <v>0</v>
      </c>
      <c r="BM6" s="190">
        <f>SUMIF('MVTO E'!$C$3:$C$240,"Vda_Debito",'MVTO E'!$P$3:$P$240)-SUMIF('MVTO E'!$C$3:$C$240,"Vda_S_Deb",'MVTO E'!$P$3:$P$240)</f>
        <v>0</v>
      </c>
      <c r="BN6" s="209">
        <f t="shared" si="53"/>
        <v>0</v>
      </c>
      <c r="BO6" s="190">
        <f>SUMIF('MVTO A'!$C$3:$C$184,"Vda_Debito",'MVTO A'!$P$3:$P$184)-SUMIF('MVTO A'!$C$3:$C$184,"Vda_S_Deb",'MVTO A'!$P$3:$P$184)</f>
        <v>0</v>
      </c>
      <c r="BP6" s="209">
        <f t="shared" si="18"/>
        <v>0</v>
      </c>
      <c r="BQ6" s="190">
        <f t="shared" si="54"/>
        <v>0</v>
      </c>
      <c r="BR6" s="208">
        <f t="shared" ref="BR6:BR9" si="68">BQ6/$AA$10</f>
        <v>0</v>
      </c>
      <c r="BS6" s="245">
        <f t="shared" si="55"/>
        <v>0</v>
      </c>
      <c r="BT6" s="190">
        <f>SUMIF('MVTO E'!$C$3:$C$240,"Vda_Debito",'MVTO E'!$Q$3:$Q$240)-SUMIF('MVTO E'!$C$3:$C$240,"Vda_S_Deb",'MVTO E'!$Q$3:$Q$240)</f>
        <v>0</v>
      </c>
      <c r="BU6" s="209">
        <f t="shared" si="56"/>
        <v>0</v>
      </c>
      <c r="BV6" s="190">
        <f>SUMIF('MVTO A'!$C$3:$C$184,"Vda_Debito",'MVTO A'!$Q$3:$Q$184)-SUMIF('MVTO A'!$C$3:$C$184,"Vda_S_Deb",'MVTO A'!$Q$3:$Q$184)</f>
        <v>0</v>
      </c>
      <c r="BW6" s="209">
        <f t="shared" si="20"/>
        <v>0</v>
      </c>
      <c r="BX6" s="190">
        <f t="shared" si="57"/>
        <v>0</v>
      </c>
      <c r="BY6" s="208">
        <f t="shared" ref="BY6:BY9" si="69">BX6/$AA$10</f>
        <v>0</v>
      </c>
      <c r="BZ6" s="245">
        <f t="shared" si="58"/>
        <v>0</v>
      </c>
      <c r="CA6" s="190">
        <f>SUMIF('MVTO E'!$C$3:$C$240,"Vda_Debito",'MVTO E'!$R$3:$R$240)-SUMIF('MVTO E'!$C$3:$C$240,"Vda_S_Deb",'MVTO E'!$R$3:$R$240)</f>
        <v>0</v>
      </c>
      <c r="CB6" s="209">
        <f t="shared" si="59"/>
        <v>0</v>
      </c>
      <c r="CC6" s="190">
        <f>SUMIF('MVTO A'!$C$3:$C$184,"Vda_Debito",'MVTO A'!$R$3:$R$184)-SUMIF('MVTO A'!$C$3:$C$184,"Vda_S_Deb",'MVTO A'!$R$3:$R$184)</f>
        <v>0</v>
      </c>
      <c r="CD6" s="209">
        <f t="shared" si="22"/>
        <v>0</v>
      </c>
      <c r="CE6" s="190">
        <f t="shared" si="60"/>
        <v>0</v>
      </c>
      <c r="CF6" s="208">
        <f t="shared" ref="CF6:CF9" si="70">CE6/$AA$10</f>
        <v>0</v>
      </c>
      <c r="CG6" s="245">
        <f t="shared" si="61"/>
        <v>0</v>
      </c>
      <c r="CH6" s="242">
        <f t="shared" si="62"/>
        <v>20020929.180000003</v>
      </c>
      <c r="CI6" s="246">
        <f t="shared" si="24"/>
        <v>0.19993469002047468</v>
      </c>
      <c r="CJ6" s="242">
        <f t="shared" si="62"/>
        <v>3442467.87</v>
      </c>
      <c r="CK6" s="246">
        <f t="shared" si="25"/>
        <v>0.24279765524917385</v>
      </c>
      <c r="CL6" s="242">
        <f t="shared" si="62"/>
        <v>23463397.050000004</v>
      </c>
      <c r="CM6" s="247">
        <f t="shared" si="26"/>
        <v>0.20525089589058787</v>
      </c>
    </row>
    <row r="7" spans="2:91" s="238" customFormat="1" ht="10.35" customHeight="1" thickBot="1">
      <c r="B7" s="240" t="s">
        <v>220</v>
      </c>
      <c r="C7" s="190">
        <f>SUMIF('MVTO E'!$C$3:$C$240,"Vda_Credito",'MVTO E'!$G$3:$G$240)-SUMIF('MVTO E'!$C$3:$C$240,"Vda_S_Cre",'MVTO E'!$G$3:$G$240)</f>
        <v>20084100.629999999</v>
      </c>
      <c r="D7" s="209">
        <f t="shared" si="27"/>
        <v>0.61044028917137427</v>
      </c>
      <c r="E7" s="190">
        <f>SUMIF('MVTO A'!$C$3:$C$184,"Vda_Credito",'MVTO A'!$G$3:$G$184)-SUMIF('MVTO A'!$C$3:$C$184,"Vda_S_Cre",'MVTO A'!$G$3:$G$184)</f>
        <v>2297155.77</v>
      </c>
      <c r="F7" s="209">
        <f t="shared" si="28"/>
        <v>0.5813041588740625</v>
      </c>
      <c r="G7" s="190">
        <f>C7+E7</f>
        <v>22381256.399999999</v>
      </c>
      <c r="H7" s="209">
        <f t="shared" si="30"/>
        <v>0.60731601486493725</v>
      </c>
      <c r="I7" s="190">
        <f>SUMIF('MVTO E'!$C$3:$C$240,"Vda_Credito",'MVTO E'!$H$3:$H$240)-SUMIF('MVTO E'!$C$3:$C$240,"Vda_S_Cre",'MVTO E'!$H$3:$H$240)</f>
        <v>10918480.42</v>
      </c>
      <c r="J7" s="209">
        <f>I7/$I$10</f>
        <v>0.51429433054719209</v>
      </c>
      <c r="K7" s="190">
        <f>SUMIF('MVTO A'!$C$3:$C$184,"Vda_Credito",'MVTO A'!$H$3:$H$184)-SUMIF('MVTO A'!$C$3:$C$184,"Vda_S_Cre",'MVTO A'!$H$3:$H$184)</f>
        <v>2042355.7000000002</v>
      </c>
      <c r="L7" s="209">
        <f t="shared" si="0"/>
        <v>0.5973137262156194</v>
      </c>
      <c r="M7" s="190">
        <f t="shared" si="1"/>
        <v>12960836.120000001</v>
      </c>
      <c r="N7" s="209">
        <f t="shared" si="2"/>
        <v>0.52581040898789499</v>
      </c>
      <c r="O7" s="245">
        <f t="shared" si="32"/>
        <v>-9420420.2799999975</v>
      </c>
      <c r="P7" s="190">
        <f>SUMIF('MVTO E'!$C$3:$C$240,"Vda_Credito",'MVTO E'!$I$3:$I$240)-SUMIF('MVTO E'!$C$3:$C$240,"Vda_S_Cre",'MVTO E'!$I$3:$I$240)</f>
        <v>12259326.400000002</v>
      </c>
      <c r="Q7" s="209">
        <f>P7/$I$10</f>
        <v>0.57745233964045695</v>
      </c>
      <c r="R7" s="190">
        <f>SUMIF('MVTO A'!$C$3:$C$184,"Vda_Credito",'MVTO A'!$I$3:$I$184)-SUMIF('MVTO A'!$C$3:$C$184,"Vda_S_Cre",'MVTO A'!$I$3:$I$184)</f>
        <v>2074024.67</v>
      </c>
      <c r="S7" s="209">
        <f t="shared" si="3"/>
        <v>0.60657573208272209</v>
      </c>
      <c r="T7" s="190">
        <f t="shared" si="4"/>
        <v>14333351.070000002</v>
      </c>
      <c r="U7" s="209">
        <f t="shared" si="5"/>
        <v>0.52201183836600051</v>
      </c>
      <c r="V7" s="245">
        <f t="shared" si="34"/>
        <v>1372514.9500000011</v>
      </c>
      <c r="W7" s="190">
        <f>SUMIF('MVTO E'!$C$3:$C$240,"Vda_Credito",'MVTO E'!$J$3:$J$240)-SUMIF('MVTO E'!$C$3:$C$240,"Vda_S_Cre",'MVTO E'!$J$3:$J$240)</f>
        <v>10963832.68</v>
      </c>
      <c r="X7" s="209">
        <f>W7/$I$10</f>
        <v>0.51643056281562905</v>
      </c>
      <c r="Y7" s="190">
        <f>SUMIF('MVTO A'!$C$3:$C$184,"Vda_Credito",'MVTO A'!$J$3:$J$184)-SUMIF('MVTO A'!$C$3:$C$184,"Vda_S_Cre",'MVTO A'!$J$3:$J$184)</f>
        <v>1957630.3699999999</v>
      </c>
      <c r="Z7" s="209">
        <f t="shared" si="6"/>
        <v>0.57253469161006654</v>
      </c>
      <c r="AA7" s="190">
        <f t="shared" si="36"/>
        <v>12921463.049999999</v>
      </c>
      <c r="AB7" s="209">
        <f t="shared" si="7"/>
        <v>0.50960602592732684</v>
      </c>
      <c r="AC7" s="245">
        <f t="shared" si="37"/>
        <v>-1411888.0200000033</v>
      </c>
      <c r="AD7" s="190">
        <f>SUMIF('MVTO E'!$C$3:$C$240,"Vda_Credito",'MVTO E'!$K$3:$K$240)-SUMIF('MVTO E'!$C$3:$C$240,"Vda_S_Cre",'MVTO E'!$K$3:$K$240)</f>
        <v>0</v>
      </c>
      <c r="AE7" s="209">
        <f>AD7/$I$10</f>
        <v>0</v>
      </c>
      <c r="AF7" s="190">
        <f>SUMIF('MVTO A'!$C$3:$C$184,"Vda_Credito",'MVTO A'!$K$3:$K$184)-SUMIF('MVTO A'!$C$3:$C$184,"Vda_S_Cre",'MVTO A'!$K$3:$K$184)</f>
        <v>0</v>
      </c>
      <c r="AG7" s="209">
        <f t="shared" si="8"/>
        <v>0</v>
      </c>
      <c r="AH7" s="190">
        <f t="shared" si="39"/>
        <v>0</v>
      </c>
      <c r="AI7" s="209">
        <f t="shared" si="63"/>
        <v>0</v>
      </c>
      <c r="AJ7" s="245">
        <f t="shared" si="40"/>
        <v>-12921463.049999999</v>
      </c>
      <c r="AK7" s="190">
        <f>SUMIF('MVTO E'!$C$3:$C$240,"Vda_Credito",'MVTO E'!$L$3:$L$240)-SUMIF('MVTO E'!$C$3:$C$240,"Vda_S_Cre",'MVTO E'!$L$3:$L$240)</f>
        <v>0</v>
      </c>
      <c r="AL7" s="209">
        <f>AK7/$I$10</f>
        <v>0</v>
      </c>
      <c r="AM7" s="190">
        <f>SUMIF('MVTO A'!$C$3:$C$184,"Vda_Credito",'MVTO A'!$L$3:$L$184)-SUMIF('MVTO A'!$C$3:$C$184,"Vda_S_Cre",'MVTO A'!$L$3:$L$184)</f>
        <v>0</v>
      </c>
      <c r="AN7" s="209">
        <f t="shared" si="10"/>
        <v>0</v>
      </c>
      <c r="AO7" s="190">
        <f t="shared" si="42"/>
        <v>0</v>
      </c>
      <c r="AP7" s="209">
        <f t="shared" si="64"/>
        <v>0</v>
      </c>
      <c r="AQ7" s="245">
        <f t="shared" si="43"/>
        <v>0</v>
      </c>
      <c r="AR7" s="190">
        <f>SUMIF('MVTO E'!$C$3:$C$240,"Vda_Credito",'MVTO E'!$M$3:$M$240)-SUMIF('MVTO E'!$C$3:$C$240,"Vda_S_Cre",'MVTO E'!$M$3:$M$240)</f>
        <v>0</v>
      </c>
      <c r="AS7" s="209">
        <f>AR7/$I$10</f>
        <v>0</v>
      </c>
      <c r="AT7" s="190">
        <f>SUMIF('MVTO A'!$C$3:$C$184,"Vda_Credito",'MVTO A'!$M$3:$M$184)-SUMIF('MVTO A'!$C$3:$C$184,"Vda_S_Cre",'MVTO A'!$M$3:$M$184)</f>
        <v>0</v>
      </c>
      <c r="AU7" s="209">
        <f t="shared" si="12"/>
        <v>0</v>
      </c>
      <c r="AV7" s="190">
        <f t="shared" si="45"/>
        <v>0</v>
      </c>
      <c r="AW7" s="209">
        <f t="shared" si="65"/>
        <v>0</v>
      </c>
      <c r="AX7" s="245">
        <f t="shared" si="46"/>
        <v>0</v>
      </c>
      <c r="AY7" s="190">
        <f>SUMIF('MVTO E'!$C$3:$C$240,"Vda_Credito",'MVTO E'!$N$3:$N$240)-SUMIF('MVTO E'!$C$3:$C$240,"Vda_S_Cre",'MVTO E'!$N$3:$N$240)</f>
        <v>0</v>
      </c>
      <c r="AZ7" s="209">
        <f>AY7/$I$10</f>
        <v>0</v>
      </c>
      <c r="BA7" s="190">
        <f>SUMIF('MVTO A'!$C$3:$C$184,"Vda_Credito",'MVTO A'!$N$3:$N$184)-SUMIF('MVTO A'!$C$3:$C$184,"Vda_S_Cre",'MVTO A'!$N$3:$N$184)</f>
        <v>0</v>
      </c>
      <c r="BB7" s="209">
        <f t="shared" si="14"/>
        <v>0</v>
      </c>
      <c r="BC7" s="190">
        <f t="shared" si="48"/>
        <v>0</v>
      </c>
      <c r="BD7" s="209">
        <f t="shared" si="66"/>
        <v>0</v>
      </c>
      <c r="BE7" s="245">
        <f t="shared" si="49"/>
        <v>0</v>
      </c>
      <c r="BF7" s="190">
        <f>SUMIF('MVTO E'!$C$3:$C$240,"Vda_Credito",'MVTO E'!$O$3:$O$240)-SUMIF('MVTO E'!$C$3:$C$240,"Vda_S_Cre",'MVTO E'!$O$3:$O$240)</f>
        <v>0</v>
      </c>
      <c r="BG7" s="209">
        <f>BF7/$I$10</f>
        <v>0</v>
      </c>
      <c r="BH7" s="190">
        <f>SUMIF('MVTO A'!$C$3:$C$184,"Vda_Credito",'MVTO A'!$O$3:$O$184)-SUMIF('MVTO A'!$C$3:$C$184,"Vda_S_Cre",'MVTO A'!$O$3:$O$184)</f>
        <v>0</v>
      </c>
      <c r="BI7" s="209">
        <f t="shared" si="16"/>
        <v>0</v>
      </c>
      <c r="BJ7" s="190">
        <f t="shared" si="51"/>
        <v>0</v>
      </c>
      <c r="BK7" s="209">
        <f t="shared" si="67"/>
        <v>0</v>
      </c>
      <c r="BL7" s="245">
        <f t="shared" si="52"/>
        <v>0</v>
      </c>
      <c r="BM7" s="190">
        <f>SUMIF('MVTO E'!$C$3:$C$240,"Vda_Credito",'MVTO E'!$P$3:$P$240)-SUMIF('MVTO E'!$C$3:$C$240,"Vda_S_Cre",'MVTO E'!$P$3:$P$240)</f>
        <v>0</v>
      </c>
      <c r="BN7" s="209">
        <f>BM7/$I$10</f>
        <v>0</v>
      </c>
      <c r="BO7" s="190">
        <f>SUMIF('MVTO A'!$C$3:$C$184,"Vda_Credito",'MVTO A'!$P$3:$P$184)-SUMIF('MVTO A'!$C$3:$C$184,"Vda_S_Cre",'MVTO A'!$P$3:$P$184)</f>
        <v>0</v>
      </c>
      <c r="BP7" s="209">
        <f t="shared" si="18"/>
        <v>0</v>
      </c>
      <c r="BQ7" s="190">
        <f t="shared" si="54"/>
        <v>0</v>
      </c>
      <c r="BR7" s="209">
        <f t="shared" si="68"/>
        <v>0</v>
      </c>
      <c r="BS7" s="245">
        <f t="shared" si="55"/>
        <v>0</v>
      </c>
      <c r="BT7" s="190">
        <f>SUMIF('MVTO E'!$C$3:$C$240,"Vda_Credito",'MVTO E'!$Q$3:$Q$240)-SUMIF('MVTO E'!$C$3:$C$240,"Vda_S_Cre",'MVTO E'!$Q$3:$Q$240)</f>
        <v>0</v>
      </c>
      <c r="BU7" s="209">
        <f>BT7/$I$10</f>
        <v>0</v>
      </c>
      <c r="BV7" s="190">
        <f>SUMIF('MVTO A'!$C$3:$C$184,"Vda_Credito",'MVTO A'!$Q$3:$Q$184)-SUMIF('MVTO A'!$C$3:$C$184,"Vda_S_Cre",'MVTO A'!$Q$3:$Q$184)</f>
        <v>0</v>
      </c>
      <c r="BW7" s="209">
        <f t="shared" si="20"/>
        <v>0</v>
      </c>
      <c r="BX7" s="190">
        <f t="shared" si="57"/>
        <v>0</v>
      </c>
      <c r="BY7" s="209">
        <f t="shared" si="69"/>
        <v>0</v>
      </c>
      <c r="BZ7" s="245">
        <f t="shared" si="58"/>
        <v>0</v>
      </c>
      <c r="CA7" s="190">
        <f>SUMIF('MVTO E'!$C$3:$C$240,"Vda_Credito",'MVTO E'!$R$3:$R$240)-SUMIF('MVTO E'!$C$3:$C$240,"Vda_S_Cre",'MVTO E'!$R$3:$R$240)</f>
        <v>0</v>
      </c>
      <c r="CB7" s="209">
        <f>CA7/$I$10</f>
        <v>0</v>
      </c>
      <c r="CC7" s="190">
        <f>SUMIF('MVTO A'!$C$3:$C$184,"Vda_Credito",'MVTO A'!$R$3:$R$184)-SUMIF('MVTO A'!$C$3:$C$184,"Vda_S_Cre",'MVTO A'!$R$3:$R$184)</f>
        <v>0</v>
      </c>
      <c r="CD7" s="209">
        <f t="shared" si="22"/>
        <v>0</v>
      </c>
      <c r="CE7" s="190">
        <f t="shared" si="60"/>
        <v>0</v>
      </c>
      <c r="CF7" s="209">
        <f t="shared" si="70"/>
        <v>0</v>
      </c>
      <c r="CG7" s="245">
        <f t="shared" si="61"/>
        <v>0</v>
      </c>
      <c r="CH7" s="242">
        <f>SUM(C7,I7,P7,W7,AD7,AK7,AR7,AY7,BF7,BM7,BT7,CA7)</f>
        <v>54225740.130000003</v>
      </c>
      <c r="CI7" s="246">
        <f t="shared" si="24"/>
        <v>0.5415136553628408</v>
      </c>
      <c r="CJ7" s="242">
        <f t="shared" si="62"/>
        <v>8371166.5100000007</v>
      </c>
      <c r="CK7" s="246">
        <f t="shared" si="25"/>
        <v>0.59041933783637901</v>
      </c>
      <c r="CL7" s="242">
        <f t="shared" si="62"/>
        <v>62596906.639999993</v>
      </c>
      <c r="CM7" s="247">
        <f t="shared" si="26"/>
        <v>0.54757932708808188</v>
      </c>
    </row>
    <row r="8" spans="2:91" s="238" customFormat="1" ht="10.35" customHeight="1" thickBot="1">
      <c r="B8" s="240" t="s">
        <v>222</v>
      </c>
      <c r="C8" s="190">
        <f>SUMIF('MVTO E'!$C$3:$C$240,"Vda_Ticket",'MVTO E'!$G$3:$G$240)-SUMIF('MVTO E'!$C$3:$C$240,"Vda_S_Ticket",'MVTO E'!$G$3:$G$240)</f>
        <v>4601459.04</v>
      </c>
      <c r="D8" s="209">
        <f t="shared" si="27"/>
        <v>0.13985769334336551</v>
      </c>
      <c r="E8" s="190">
        <f>SUMIF('MVTO A'!$C$3:$C$184,"Vda_Ticket",'MVTO A'!$G$3:$G$184)-SUMIF('MVTO A'!$C$3:$C$184,"Vda_S_Ticket",'MVTO A'!$G$3:$G$184)</f>
        <v>11369.36</v>
      </c>
      <c r="F8" s="209">
        <f t="shared" si="28"/>
        <v>2.8770605537718551E-3</v>
      </c>
      <c r="G8" s="190">
        <f t="shared" si="29"/>
        <v>4612828.4000000004</v>
      </c>
      <c r="H8" s="209">
        <f t="shared" si="30"/>
        <v>0.12516922692256924</v>
      </c>
      <c r="I8" s="190">
        <f>SUMIF('MVTO E'!$C$3:$C$240,"Vda_Ticket",'MVTO E'!$H$3:$H$240)-SUMIF('MVTO E'!$C$3:$C$240,"Vda_S_Ticket",'MVTO E'!$H$3:$H$240)</f>
        <v>3733267.54</v>
      </c>
      <c r="J8" s="209">
        <f t="shared" si="31"/>
        <v>0.17584849323179558</v>
      </c>
      <c r="K8" s="190">
        <f>SUMIF('MVTO A'!$C$3:$C$184,"Vda_Ticket",'MVTO A'!$H$3:$H$184)-SUMIF('MVTO A'!$C$3:$C$184,"Vda_S_Ticket",'MVTO A'!$H$3:$H$184)</f>
        <v>7082.82</v>
      </c>
      <c r="L8" s="209">
        <f t="shared" si="0"/>
        <v>2.0714636565582153E-3</v>
      </c>
      <c r="M8" s="190">
        <f t="shared" si="1"/>
        <v>3740350.36</v>
      </c>
      <c r="N8" s="209">
        <f t="shared" si="2"/>
        <v>0.15174292262786671</v>
      </c>
      <c r="O8" s="245">
        <f t="shared" si="32"/>
        <v>-872478.0400000005</v>
      </c>
      <c r="P8" s="190">
        <f>SUMIF('MVTO E'!$C$3:$C$240,"Vda_Ticket",'MVTO E'!$I$3:$I$240)-SUMIF('MVTO E'!$C$3:$C$240,"Vda_S_Ticket",'MVTO E'!$I$3:$I$240)</f>
        <v>4398041.28</v>
      </c>
      <c r="Q8" s="209">
        <f t="shared" ref="Q8:Q9" si="71">P8/$I$10</f>
        <v>0.20716140056204962</v>
      </c>
      <c r="R8" s="190">
        <f>SUMIF('MVTO A'!$C$3:$C$184,"Vda_Ticket",'MVTO A'!$I$3:$I$184)-SUMIF('MVTO A'!$C$3:$C$184,"Vda_S_Ticket",'MVTO A'!$I$3:$I$184)</f>
        <v>15070.529999999999</v>
      </c>
      <c r="S8" s="209">
        <f t="shared" si="3"/>
        <v>4.4075742684510236E-3</v>
      </c>
      <c r="T8" s="190">
        <f t="shared" si="4"/>
        <v>4413111.8100000005</v>
      </c>
      <c r="U8" s="209">
        <f t="shared" si="5"/>
        <v>0.16072282033714311</v>
      </c>
      <c r="V8" s="245">
        <f t="shared" si="34"/>
        <v>672761.45000000065</v>
      </c>
      <c r="W8" s="190">
        <f>SUMIF('MVTO E'!$C$3:$C$240,"Vda_Ticket",'MVTO E'!$J$3:$J$240)-SUMIF('MVTO E'!$C$3:$C$240,"Vda_S_Ticket",'MVTO E'!$J$3:$J$240)</f>
        <v>3932518.06</v>
      </c>
      <c r="X8" s="209">
        <f t="shared" ref="X8:X9" si="72">W8/$I$10</f>
        <v>0.18523381141278289</v>
      </c>
      <c r="Y8" s="190">
        <f>SUMIF('MVTO A'!$C$3:$C$184,"Vda_Ticket",'MVTO A'!$J$3:$J$184)-SUMIF('MVTO A'!$C$3:$C$184,"Vda_S_Ticket",'MVTO A'!$J$3:$J$184)</f>
        <v>10029.76</v>
      </c>
      <c r="Z8" s="209">
        <f t="shared" si="6"/>
        <v>2.9333349321317391E-3</v>
      </c>
      <c r="AA8" s="190">
        <f t="shared" si="36"/>
        <v>3942547.82</v>
      </c>
      <c r="AB8" s="209">
        <f t="shared" si="7"/>
        <v>0.15548905869282706</v>
      </c>
      <c r="AC8" s="245">
        <f t="shared" si="37"/>
        <v>-470563.99000000069</v>
      </c>
      <c r="AD8" s="190">
        <f>SUMIF('MVTO E'!$C$3:$C$240,"Vda_Ticket",'MVTO E'!$K$3:$K$240)-SUMIF('MVTO E'!$C$3:$C$240,"Vda_S_Ticket",'MVTO E'!$K$3:$K$240)</f>
        <v>0</v>
      </c>
      <c r="AE8" s="209">
        <f t="shared" ref="AE8:AE9" si="73">AD8/$I$10</f>
        <v>0</v>
      </c>
      <c r="AF8" s="190">
        <f>SUMIF('MVTO A'!$C$3:$C$184,"Vda_Ticket",'MVTO A'!$K$3:$K$184)-SUMIF('MVTO A'!$C$3:$C$184,"Vda_S_Ticket",'MVTO A'!$K$3:$K$184)</f>
        <v>0</v>
      </c>
      <c r="AG8" s="209">
        <f t="shared" si="8"/>
        <v>0</v>
      </c>
      <c r="AH8" s="190">
        <f t="shared" si="39"/>
        <v>0</v>
      </c>
      <c r="AI8" s="209">
        <f t="shared" si="63"/>
        <v>0</v>
      </c>
      <c r="AJ8" s="245">
        <f t="shared" si="40"/>
        <v>-3942547.82</v>
      </c>
      <c r="AK8" s="190">
        <f>SUMIF('MVTO E'!$C$3:$C$240,"Vda_Ticket",'MVTO E'!$L$3:$L$240)-SUMIF('MVTO E'!$C$3:$C$240,"Vda_S_Ticket",'MVTO E'!$L$3:$L$240)</f>
        <v>0</v>
      </c>
      <c r="AL8" s="209">
        <f t="shared" ref="AL8:AL9" si="74">AK8/$I$10</f>
        <v>0</v>
      </c>
      <c r="AM8" s="190">
        <f>SUMIF('MVTO A'!$C$3:$C$184,"Vda_Ticket",'MVTO A'!$L$3:$L$184)-SUMIF('MVTO A'!$C$3:$C$184,"Vda_S_Ticket",'MVTO A'!$L$3:$L$184)</f>
        <v>0</v>
      </c>
      <c r="AN8" s="209">
        <f t="shared" si="10"/>
        <v>0</v>
      </c>
      <c r="AO8" s="190">
        <f t="shared" si="42"/>
        <v>0</v>
      </c>
      <c r="AP8" s="209">
        <f t="shared" si="64"/>
        <v>0</v>
      </c>
      <c r="AQ8" s="245">
        <f t="shared" si="43"/>
        <v>0</v>
      </c>
      <c r="AR8" s="190">
        <f>SUMIF('MVTO E'!$C$3:$C$240,"Vda_Ticket",'MVTO E'!$M$3:$M$240)-SUMIF('MVTO E'!$C$3:$C$240,"Vda_S_Ticket",'MVTO E'!$M$3:$M$240)</f>
        <v>0</v>
      </c>
      <c r="AS8" s="209">
        <f t="shared" ref="AS8:AS9" si="75">AR8/$I$10</f>
        <v>0</v>
      </c>
      <c r="AT8" s="190">
        <f>SUMIF('MVTO A'!$C$3:$C$184,"Vda_Ticket",'MVTO A'!$M$3:$M$184)-SUMIF('MVTO A'!$C$3:$C$184,"Vda_S_Ticket",'MVTO A'!$M$3:$M$184)</f>
        <v>0</v>
      </c>
      <c r="AU8" s="209">
        <f t="shared" si="12"/>
        <v>0</v>
      </c>
      <c r="AV8" s="190">
        <f t="shared" si="45"/>
        <v>0</v>
      </c>
      <c r="AW8" s="209">
        <f t="shared" si="65"/>
        <v>0</v>
      </c>
      <c r="AX8" s="245">
        <f t="shared" si="46"/>
        <v>0</v>
      </c>
      <c r="AY8" s="190">
        <f>SUMIF('MVTO E'!$C$3:$C$240,"Vda_Ticket",'MVTO E'!$N$3:$N$240)-SUMIF('MVTO E'!$C$3:$C$240,"Vda_S_Ticket",'MVTO E'!$N$3:$N$240)</f>
        <v>0</v>
      </c>
      <c r="AZ8" s="209">
        <f t="shared" ref="AZ8:AZ9" si="76">AY8/$I$10</f>
        <v>0</v>
      </c>
      <c r="BA8" s="190">
        <f>SUMIF('MVTO A'!$C$3:$C$184,"Vda_Ticket",'MVTO A'!$N$3:$N$184)-SUMIF('MVTO A'!$C$3:$C$184,"Vda_S_Ticket",'MVTO A'!$N$3:$N$184)</f>
        <v>0</v>
      </c>
      <c r="BB8" s="209">
        <f t="shared" si="14"/>
        <v>0</v>
      </c>
      <c r="BC8" s="190">
        <f t="shared" si="48"/>
        <v>0</v>
      </c>
      <c r="BD8" s="209">
        <f t="shared" si="66"/>
        <v>0</v>
      </c>
      <c r="BE8" s="245">
        <f t="shared" si="49"/>
        <v>0</v>
      </c>
      <c r="BF8" s="190">
        <f>SUMIF('MVTO E'!$C$3:$C$240,"Vda_Ticket",'MVTO E'!$O$3:$O$240)-SUMIF('MVTO E'!$C$3:$C$240,"Vda_S_Ticket",'MVTO E'!$O$3:$O$240)</f>
        <v>0</v>
      </c>
      <c r="BG8" s="209">
        <f t="shared" ref="BG8:BG9" si="77">BF8/$I$10</f>
        <v>0</v>
      </c>
      <c r="BH8" s="190">
        <f>SUMIF('MVTO A'!$C$3:$C$184,"Vda_Ticket",'MVTO A'!$O$3:$O$184)-SUMIF('MVTO A'!$C$3:$C$184,"Vda_S_Ticket",'MVTO A'!$O$3:$O$184)</f>
        <v>0</v>
      </c>
      <c r="BI8" s="209">
        <f t="shared" si="16"/>
        <v>0</v>
      </c>
      <c r="BJ8" s="190">
        <f t="shared" si="51"/>
        <v>0</v>
      </c>
      <c r="BK8" s="209">
        <f t="shared" si="67"/>
        <v>0</v>
      </c>
      <c r="BL8" s="245">
        <f t="shared" si="52"/>
        <v>0</v>
      </c>
      <c r="BM8" s="190">
        <f>SUMIF('MVTO E'!$C$3:$C$240,"Vda_Ticket",'MVTO E'!$P$3:$P$240)-SUMIF('MVTO E'!$C$3:$C$240,"Vda_S_Ticket",'MVTO E'!$P$3:$P$240)</f>
        <v>0</v>
      </c>
      <c r="BN8" s="209">
        <f t="shared" ref="BN8:BN9" si="78">BM8/$I$10</f>
        <v>0</v>
      </c>
      <c r="BO8" s="190">
        <f>SUMIF('MVTO A'!$C$3:$C$184,"Vda_Ticket",'MVTO A'!$P$3:$P$184)-SUMIF('MVTO A'!$C$3:$C$184,"Vda_S_Ticket",'MVTO A'!$P$3:$P$184)</f>
        <v>0</v>
      </c>
      <c r="BP8" s="209">
        <f t="shared" si="18"/>
        <v>0</v>
      </c>
      <c r="BQ8" s="190">
        <f t="shared" si="54"/>
        <v>0</v>
      </c>
      <c r="BR8" s="209">
        <f t="shared" si="68"/>
        <v>0</v>
      </c>
      <c r="BS8" s="245">
        <f t="shared" si="55"/>
        <v>0</v>
      </c>
      <c r="BT8" s="190">
        <f>SUMIF('MVTO E'!$C$3:$C$240,"Vda_Ticket",'MVTO E'!$Q$3:$Q$240)-SUMIF('MVTO E'!$C$3:$C$240,"Vda_S_Ticket",'MVTO E'!$Q$3:$Q$240)</f>
        <v>0</v>
      </c>
      <c r="BU8" s="209">
        <f t="shared" ref="BU8:BU9" si="79">BT8/$I$10</f>
        <v>0</v>
      </c>
      <c r="BV8" s="190">
        <f>SUMIF('MVTO A'!$C$3:$C$184,"Vda_Ticket",'MVTO A'!$Q$3:$Q$184)-SUMIF('MVTO A'!$C$3:$C$184,"Vda_S_Ticket",'MVTO A'!$Q$3:$Q$184)</f>
        <v>0</v>
      </c>
      <c r="BW8" s="209">
        <f t="shared" si="20"/>
        <v>0</v>
      </c>
      <c r="BX8" s="190">
        <f t="shared" si="57"/>
        <v>0</v>
      </c>
      <c r="BY8" s="209">
        <f t="shared" si="69"/>
        <v>0</v>
      </c>
      <c r="BZ8" s="245">
        <f t="shared" si="58"/>
        <v>0</v>
      </c>
      <c r="CA8" s="190">
        <f>SUMIF('MVTO E'!$C$3:$C$240,"Vda_Ticket",'MVTO E'!$R$3:$R$240)-SUMIF('MVTO E'!$C$3:$C$240,"Vda_S_Ticket",'MVTO E'!$R$3:$R$240)</f>
        <v>0</v>
      </c>
      <c r="CB8" s="209">
        <f t="shared" ref="CB8:CB9" si="80">CA8/$I$10</f>
        <v>0</v>
      </c>
      <c r="CC8" s="190">
        <f>SUMIF('MVTO A'!$C$3:$C$184,"Vda_Ticket",'MVTO A'!$R$3:$R$184)-SUMIF('MVTO A'!$C$3:$C$184,"Vda_S_Ticket",'MVTO A'!$R$3:$R$184)</f>
        <v>0</v>
      </c>
      <c r="CD8" s="209">
        <f t="shared" si="22"/>
        <v>0</v>
      </c>
      <c r="CE8" s="190">
        <f t="shared" si="60"/>
        <v>0</v>
      </c>
      <c r="CF8" s="209">
        <f t="shared" si="70"/>
        <v>0</v>
      </c>
      <c r="CG8" s="245">
        <f t="shared" si="61"/>
        <v>0</v>
      </c>
      <c r="CH8" s="242">
        <f t="shared" si="62"/>
        <v>16665285.92</v>
      </c>
      <c r="CI8" s="246">
        <f t="shared" si="24"/>
        <v>0.16642428253760902</v>
      </c>
      <c r="CJ8" s="242">
        <f t="shared" si="62"/>
        <v>43552.47</v>
      </c>
      <c r="CK8" s="246">
        <f t="shared" si="25"/>
        <v>3.0717607238873045E-3</v>
      </c>
      <c r="CL8" s="242">
        <f t="shared" si="62"/>
        <v>16708838.390000001</v>
      </c>
      <c r="CM8" s="247">
        <f t="shared" si="26"/>
        <v>0.1461640035128054</v>
      </c>
    </row>
    <row r="9" spans="2:91" s="238" customFormat="1" ht="10.35" customHeight="1" thickBot="1">
      <c r="B9" s="240" t="s">
        <v>223</v>
      </c>
      <c r="C9" s="190">
        <f>SUMIF('MVTO E'!$C$3:$C$240,"Vda_Prazo",'MVTO E'!$G$3:$G$240)-SUMIF('MVTO E'!$C$3:$C$240,"Vda_S_Pz",'MVTO E'!$G$3:$G$240)</f>
        <v>975612.51</v>
      </c>
      <c r="D9" s="209">
        <f t="shared" si="27"/>
        <v>2.9652967473884354E-2</v>
      </c>
      <c r="E9" s="190">
        <f>SUMIF('MVTO A'!$C$3:$C$184,"Vda_Prazo",'MVTO A'!$G$3:$G$184)-SUMIF('MVTO A'!$C$3:$C$184,"Vda_S_Pz",'MVTO A'!$G$3:$G$184)</f>
        <v>421361.23</v>
      </c>
      <c r="F9" s="209">
        <f>E9/$E$10</f>
        <v>0.10662709015474836</v>
      </c>
      <c r="G9" s="190">
        <f t="shared" si="29"/>
        <v>1396973.74</v>
      </c>
      <c r="H9" s="209">
        <f t="shared" si="30"/>
        <v>3.7906921286499674E-2</v>
      </c>
      <c r="I9" s="190">
        <f>SUMIF('MVTO E'!$C$3:$C$240,"Vda_Prazo",'MVTO E'!$H$3:$H$240)-SUMIF('MVTO E'!$C$3:$C$240,"Vda_S_Pz",'MVTO E'!$H$3:$H$240)</f>
        <v>508506.3</v>
      </c>
      <c r="J9" s="209">
        <f t="shared" si="31"/>
        <v>2.3952225683208175E-2</v>
      </c>
      <c r="K9" s="190">
        <f>SUMIF('MVTO A'!$C$3:$C$184,"Vda_Prazo",'MVTO A'!$H$3:$H$184)-SUMIF('MVTO A'!$C$3:$C$184,"Vda_S_Pz",'MVTO A'!$H$3:$H$184)</f>
        <v>406924.34</v>
      </c>
      <c r="L9" s="209">
        <f t="shared" si="0"/>
        <v>0.11901036328453052</v>
      </c>
      <c r="M9" s="190">
        <f t="shared" si="1"/>
        <v>915430.64</v>
      </c>
      <c r="N9" s="209">
        <f t="shared" si="2"/>
        <v>3.7138264442344512E-2</v>
      </c>
      <c r="O9" s="245">
        <f t="shared" si="32"/>
        <v>-481543.1</v>
      </c>
      <c r="P9" s="190">
        <f>SUMIF('MVTO E'!$C$3:$C$240,"Vda_Prazo",'MVTO E'!$I$3:$I$240)-SUMIF('MVTO E'!$C$3:$C$240,"Vda_S_Pz",'MVTO E'!$I$3:$I$240)</f>
        <v>465125.83999999997</v>
      </c>
      <c r="Q9" s="209">
        <f t="shared" si="71"/>
        <v>2.1908871317369669E-2</v>
      </c>
      <c r="R9" s="190">
        <f>SUMIF('MVTO A'!$C$3:$C$184,"Vda_Prazo",'MVTO A'!$I$3:$I$184)-SUMIF('MVTO A'!$C$3:$C$184,"Vda_S_Pz",'MVTO A'!$I$3:$I$184)</f>
        <v>448900.38</v>
      </c>
      <c r="S9" s="209">
        <f t="shared" si="3"/>
        <v>0.13128680703239279</v>
      </c>
      <c r="T9" s="190">
        <f t="shared" si="4"/>
        <v>914026.22</v>
      </c>
      <c r="U9" s="209">
        <f t="shared" si="5"/>
        <v>3.328827327864553E-2</v>
      </c>
      <c r="V9" s="245">
        <f t="shared" si="34"/>
        <v>-1404.4200000000419</v>
      </c>
      <c r="W9" s="190">
        <f>SUMIF('MVTO E'!$C$3:$C$240,"Vda_Prazo",'MVTO E'!$J$3:$J$240)-SUMIF('MVTO E'!$C$3:$C$240,"Vda_S_Pz",'MVTO E'!$J$3:$J$240)</f>
        <v>1168204.4300000004</v>
      </c>
      <c r="X9" s="209">
        <f t="shared" si="72"/>
        <v>5.5026056022282471E-2</v>
      </c>
      <c r="Y9" s="190">
        <f>SUMIF('MVTO A'!$C$3:$C$184,"Vda_Prazo",'MVTO A'!$J$3:$J$184)-SUMIF('MVTO A'!$C$3:$C$184,"Vda_S_Pz",'MVTO A'!$J$3:$J$184)</f>
        <v>254474.69</v>
      </c>
      <c r="Z9" s="209">
        <f t="shared" si="6"/>
        <v>7.4424462551486312E-2</v>
      </c>
      <c r="AA9" s="190">
        <f t="shared" si="36"/>
        <v>1422679.1200000003</v>
      </c>
      <c r="AB9" s="209">
        <f t="shared" si="7"/>
        <v>5.6108650367806982E-2</v>
      </c>
      <c r="AC9" s="245">
        <f t="shared" si="37"/>
        <v>508652.90000000037</v>
      </c>
      <c r="AD9" s="190">
        <f>SUMIF('MVTO E'!$C$3:$C$240,"Vda_Prazo",'MVTO E'!$K$3:$K$240)-SUMIF('MVTO E'!$C$3:$C$240,"Vda_S_Pz",'MVTO E'!$K$3:$K$240)</f>
        <v>0</v>
      </c>
      <c r="AE9" s="209">
        <f t="shared" si="73"/>
        <v>0</v>
      </c>
      <c r="AF9" s="190">
        <f>SUMIF('MVTO A'!$C$3:$C$184,"Vda_Prazo",'MVTO A'!$K$3:$K$184)-SUMIF('MVTO A'!$C$3:$C$184,"Vda_S_Pz",'MVTO A'!$K$3:$K$184)</f>
        <v>0</v>
      </c>
      <c r="AG9" s="209">
        <f t="shared" si="8"/>
        <v>0</v>
      </c>
      <c r="AH9" s="190">
        <f t="shared" si="39"/>
        <v>0</v>
      </c>
      <c r="AI9" s="209">
        <f t="shared" si="63"/>
        <v>0</v>
      </c>
      <c r="AJ9" s="245">
        <f t="shared" si="40"/>
        <v>-1422679.1200000003</v>
      </c>
      <c r="AK9" s="190">
        <f>SUMIF('MVTO E'!$C$3:$C$240,"Vda_Prazo",'MVTO E'!$L$3:$L$240)-SUMIF('MVTO E'!$C$3:$C$240,"Vda_S_Pz",'MVTO E'!$L$3:$L$240)</f>
        <v>0</v>
      </c>
      <c r="AL9" s="209">
        <f t="shared" si="74"/>
        <v>0</v>
      </c>
      <c r="AM9" s="190">
        <f>SUMIF('MVTO A'!$C$3:$C$184,"Vda_Prazo",'MVTO A'!$L$3:$L$184)-SUMIF('MVTO A'!$C$3:$C$184,"Vda_S_Pz",'MVTO A'!$L$3:$L$184)</f>
        <v>0</v>
      </c>
      <c r="AN9" s="209">
        <f t="shared" si="10"/>
        <v>0</v>
      </c>
      <c r="AO9" s="190">
        <f t="shared" si="42"/>
        <v>0</v>
      </c>
      <c r="AP9" s="209">
        <f t="shared" si="64"/>
        <v>0</v>
      </c>
      <c r="AQ9" s="245">
        <f t="shared" si="43"/>
        <v>0</v>
      </c>
      <c r="AR9" s="190">
        <f>SUMIF('MVTO E'!$C$3:$C$240,"Vda_Prazo",'MVTO E'!$M$3:$M$240)-SUMIF('MVTO E'!$C$3:$C$240,"Vda_S_Pz",'MVTO E'!$M$3:$M$240)</f>
        <v>0</v>
      </c>
      <c r="AS9" s="209">
        <f t="shared" si="75"/>
        <v>0</v>
      </c>
      <c r="AT9" s="190">
        <f>SUMIF('MVTO A'!$C$3:$C$184,"Vda_Prazo",'MVTO A'!$M$3:$M$184)-SUMIF('MVTO A'!$C$3:$C$184,"Vda_S_Pz",'MVTO A'!$M$3:$M$184)</f>
        <v>0</v>
      </c>
      <c r="AU9" s="209">
        <f t="shared" si="12"/>
        <v>0</v>
      </c>
      <c r="AV9" s="190">
        <f t="shared" si="45"/>
        <v>0</v>
      </c>
      <c r="AW9" s="209">
        <f t="shared" si="65"/>
        <v>0</v>
      </c>
      <c r="AX9" s="245">
        <f t="shared" si="46"/>
        <v>0</v>
      </c>
      <c r="AY9" s="190">
        <f>SUMIF('MVTO E'!$C$3:$C$240,"Vda_Prazo",'MVTO E'!$N$3:$N$240)-SUMIF('MVTO E'!$C$3:$C$240,"Vda_S_Pz",'MVTO E'!$N$3:$N$240)</f>
        <v>0</v>
      </c>
      <c r="AZ9" s="209">
        <f t="shared" si="76"/>
        <v>0</v>
      </c>
      <c r="BA9" s="190">
        <f>SUMIF('MVTO A'!$C$3:$C$184,"Vda_Prazo",'MVTO A'!$N$3:$N$184)-SUMIF('MVTO A'!$C$3:$C$184,"Vda_S_Pz",'MVTO A'!$N$3:$N$184)</f>
        <v>0</v>
      </c>
      <c r="BB9" s="209">
        <f t="shared" si="14"/>
        <v>0</v>
      </c>
      <c r="BC9" s="190">
        <f t="shared" si="48"/>
        <v>0</v>
      </c>
      <c r="BD9" s="209">
        <f t="shared" si="66"/>
        <v>0</v>
      </c>
      <c r="BE9" s="245">
        <f t="shared" si="49"/>
        <v>0</v>
      </c>
      <c r="BF9" s="190">
        <f>SUMIF('MVTO E'!$C$3:$C$240,"Vda_Prazo",'MVTO E'!$O$3:$O$240)-SUMIF('MVTO E'!$C$3:$C$240,"Vda_S_Pz",'MVTO E'!$O$3:$O$240)</f>
        <v>0</v>
      </c>
      <c r="BG9" s="209">
        <f t="shared" si="77"/>
        <v>0</v>
      </c>
      <c r="BH9" s="190">
        <f>SUMIF('MVTO A'!$C$3:$C$184,"Vda_Prazo",'MVTO A'!$O$3:$O$184)-SUMIF('MVTO A'!$C$3:$C$184,"Vda_S_Pz",'MVTO A'!$O$3:$O$184)</f>
        <v>0</v>
      </c>
      <c r="BI9" s="209">
        <f t="shared" si="16"/>
        <v>0</v>
      </c>
      <c r="BJ9" s="190">
        <f t="shared" si="51"/>
        <v>0</v>
      </c>
      <c r="BK9" s="209">
        <f t="shared" si="67"/>
        <v>0</v>
      </c>
      <c r="BL9" s="245">
        <f t="shared" si="52"/>
        <v>0</v>
      </c>
      <c r="BM9" s="190">
        <f>SUMIF('MVTO E'!$C$3:$C$240,"Vda_Prazo",'MVTO E'!$P$3:$P$240)-SUMIF('MVTO E'!$C$3:$C$240,"Vda_S_Pz",'MVTO E'!$P$3:$P$240)</f>
        <v>0</v>
      </c>
      <c r="BN9" s="209">
        <f t="shared" si="78"/>
        <v>0</v>
      </c>
      <c r="BO9" s="190">
        <f>SUMIF('MVTO A'!$C$3:$C$184,"Vda_Prazo",'MVTO A'!$P$3:$P$184)-SUMIF('MVTO A'!$C$3:$C$184,"Vda_S_Pz",'MVTO A'!$P$3:$P$184)</f>
        <v>0</v>
      </c>
      <c r="BP9" s="209">
        <f t="shared" si="18"/>
        <v>0</v>
      </c>
      <c r="BQ9" s="190">
        <f t="shared" si="54"/>
        <v>0</v>
      </c>
      <c r="BR9" s="209">
        <f t="shared" si="68"/>
        <v>0</v>
      </c>
      <c r="BS9" s="245">
        <f t="shared" si="55"/>
        <v>0</v>
      </c>
      <c r="BT9" s="190">
        <f>SUMIF('MVTO E'!$C$3:$C$240,"Vda_Prazo",'MVTO E'!$Q$3:$Q$240)-SUMIF('MVTO E'!$C$3:$C$240,"Vda_S_Pz",'MVTO E'!$Q$3:$Q$240)</f>
        <v>0</v>
      </c>
      <c r="BU9" s="209">
        <f t="shared" si="79"/>
        <v>0</v>
      </c>
      <c r="BV9" s="190">
        <f>SUMIF('MVTO A'!$C$3:$C$184,"Vda_Prazo",'MVTO A'!$Q$3:$Q$184)-SUMIF('MVTO A'!$C$3:$C$184,"Vda_S_Pz",'MVTO A'!$Q$3:$Q$184)</f>
        <v>0</v>
      </c>
      <c r="BW9" s="209">
        <f t="shared" si="20"/>
        <v>0</v>
      </c>
      <c r="BX9" s="190">
        <f t="shared" si="57"/>
        <v>0</v>
      </c>
      <c r="BY9" s="209">
        <f t="shared" si="69"/>
        <v>0</v>
      </c>
      <c r="BZ9" s="245">
        <f t="shared" si="58"/>
        <v>0</v>
      </c>
      <c r="CA9" s="190">
        <f>SUMIF('MVTO E'!$C$3:$C$240,"Vda_Prazo",'MVTO E'!$R$3:$R$240)-SUMIF('MVTO E'!$C$3:$C$240,"Vda_S_Pz",'MVTO E'!$R$3:$R$240)</f>
        <v>0</v>
      </c>
      <c r="CB9" s="209">
        <f t="shared" si="80"/>
        <v>0</v>
      </c>
      <c r="CC9" s="190">
        <f>SUMIF('MVTO A'!$C$3:$C$184,"Vda_Prazo",'MVTO A'!$R$3:$R$184)-SUMIF('MVTO A'!$C$3:$C$184,"Vda_S_Pz",'MVTO A'!$R$3:$R$184)</f>
        <v>0</v>
      </c>
      <c r="CD9" s="209">
        <f t="shared" si="22"/>
        <v>0</v>
      </c>
      <c r="CE9" s="190">
        <f t="shared" si="60"/>
        <v>0</v>
      </c>
      <c r="CF9" s="209">
        <f t="shared" si="70"/>
        <v>0</v>
      </c>
      <c r="CG9" s="245">
        <f t="shared" si="61"/>
        <v>0</v>
      </c>
      <c r="CH9" s="242">
        <f t="shared" si="62"/>
        <v>3117449.08</v>
      </c>
      <c r="CI9" s="246">
        <f t="shared" si="24"/>
        <v>3.1131732691360228E-2</v>
      </c>
      <c r="CJ9" s="242">
        <f t="shared" si="62"/>
        <v>1531660.6400000001</v>
      </c>
      <c r="CK9" s="246">
        <f t="shared" si="25"/>
        <v>0.10802820130008911</v>
      </c>
      <c r="CL9" s="242">
        <f t="shared" si="62"/>
        <v>4649109.72</v>
      </c>
      <c r="CM9" s="247">
        <f t="shared" si="26"/>
        <v>4.0669044345547564E-2</v>
      </c>
    </row>
    <row r="10" spans="2:91" s="378" customFormat="1" ht="10.35" customHeight="1" thickBot="1">
      <c r="B10" s="371" t="s">
        <v>227</v>
      </c>
      <c r="C10" s="372">
        <f>SUM(C4:C9)</f>
        <v>32901007.66</v>
      </c>
      <c r="D10" s="373">
        <f>SUM(D4:D9)</f>
        <v>1</v>
      </c>
      <c r="E10" s="372">
        <f>SUM(E4:E9)</f>
        <v>3951727.7399999998</v>
      </c>
      <c r="F10" s="373">
        <f>SUM(F4:F9)</f>
        <v>1</v>
      </c>
      <c r="G10" s="372">
        <f>C10+E10</f>
        <v>36852735.399999999</v>
      </c>
      <c r="H10" s="373">
        <f>SUM(H4:H9)</f>
        <v>1</v>
      </c>
      <c r="I10" s="372">
        <f>SUM(I4:I9)</f>
        <v>21230022.91</v>
      </c>
      <c r="J10" s="373">
        <f>SUM(J4:J9)</f>
        <v>1</v>
      </c>
      <c r="K10" s="372">
        <f>SUM(K4:K9)</f>
        <v>3419234.4999999995</v>
      </c>
      <c r="L10" s="373">
        <f>SUM(L4:L9)</f>
        <v>1</v>
      </c>
      <c r="M10" s="372">
        <f t="shared" si="1"/>
        <v>24649257.41</v>
      </c>
      <c r="N10" s="373">
        <f>SUM(N4:N9)</f>
        <v>1.0000000000000002</v>
      </c>
      <c r="O10" s="374">
        <f t="shared" si="32"/>
        <v>-12203477.989999998</v>
      </c>
      <c r="P10" s="372">
        <f>SUM(P4:P9)</f>
        <v>23807319.700000003</v>
      </c>
      <c r="Q10" s="373">
        <f>SUM(Q4:Q9)</f>
        <v>1.1213986815240795</v>
      </c>
      <c r="R10" s="372">
        <f>SUM(R4:R9)</f>
        <v>3650584.5399999996</v>
      </c>
      <c r="S10" s="373">
        <f>SUM(S4:S9)</f>
        <v>1.0676613551951468</v>
      </c>
      <c r="T10" s="372">
        <f t="shared" si="4"/>
        <v>27457904.240000002</v>
      </c>
      <c r="U10" s="373">
        <f>SUM(U4:U9)</f>
        <v>1</v>
      </c>
      <c r="V10" s="374">
        <f t="shared" si="34"/>
        <v>2808646.8300000019</v>
      </c>
      <c r="W10" s="372">
        <f>SUM(W4:W9)</f>
        <v>22198995.469999999</v>
      </c>
      <c r="X10" s="373">
        <f>W10/$W$10</f>
        <v>1</v>
      </c>
      <c r="Y10" s="372">
        <f>SUM(Y4:Y9)</f>
        <v>3156793.8899999997</v>
      </c>
      <c r="Z10" s="373">
        <f>Y10/$Y$10</f>
        <v>1</v>
      </c>
      <c r="AA10" s="372">
        <f t="shared" si="36"/>
        <v>25355789.359999999</v>
      </c>
      <c r="AB10" s="373">
        <f>SUM(AB4:AB9)</f>
        <v>1</v>
      </c>
      <c r="AC10" s="374">
        <f t="shared" si="37"/>
        <v>-2102114.8800000027</v>
      </c>
      <c r="AD10" s="372">
        <f>SUM(AD4:AD9)</f>
        <v>0</v>
      </c>
      <c r="AE10" s="373" t="e">
        <f t="shared" ref="AE10:AE11" si="81">AD10/$AD$10</f>
        <v>#DIV/0!</v>
      </c>
      <c r="AF10" s="372">
        <f>SUM(AF4:AF9)</f>
        <v>0</v>
      </c>
      <c r="AG10" s="373" t="e">
        <f t="shared" ref="AG10:AG12" si="82">AF10/$AF$10</f>
        <v>#DIV/0!</v>
      </c>
      <c r="AH10" s="372">
        <f t="shared" ref="AH10:AH17" si="83">AD10+AF10</f>
        <v>0</v>
      </c>
      <c r="AI10" s="373">
        <f>SUM(AI4:AI9)</f>
        <v>0</v>
      </c>
      <c r="AJ10" s="374">
        <f t="shared" ref="AJ10:AJ68" si="84">AH10-AA10</f>
        <v>-25355789.359999999</v>
      </c>
      <c r="AK10" s="372">
        <f>SUM(AK4:AK9)</f>
        <v>0</v>
      </c>
      <c r="AL10" s="373" t="e">
        <f t="shared" ref="AL10:AL11" si="85">AK10/$AK$10</f>
        <v>#DIV/0!</v>
      </c>
      <c r="AM10" s="372">
        <f>SUM(AM4:AM9)</f>
        <v>0</v>
      </c>
      <c r="AN10" s="373" t="e">
        <f t="shared" ref="AN10:AN12" si="86">AM10/$AM$10</f>
        <v>#DIV/0!</v>
      </c>
      <c r="AO10" s="372">
        <f t="shared" ref="AO10:AO17" si="87">AK10+AM10</f>
        <v>0</v>
      </c>
      <c r="AP10" s="373">
        <f>SUM(AP4:AP9)</f>
        <v>0</v>
      </c>
      <c r="AQ10" s="374">
        <f t="shared" ref="AQ10:AQ17" si="88">AO10-AH10</f>
        <v>0</v>
      </c>
      <c r="AR10" s="372">
        <f>SUM(AR4:AR9)</f>
        <v>0</v>
      </c>
      <c r="AS10" s="373" t="e">
        <f t="shared" ref="AS10:AS11" si="89">AR10/$AR$10</f>
        <v>#DIV/0!</v>
      </c>
      <c r="AT10" s="372">
        <f>SUM(AT4:AT9)</f>
        <v>0</v>
      </c>
      <c r="AU10" s="373" t="e">
        <f t="shared" ref="AU10:AU12" si="90">AT10/$AT$10</f>
        <v>#DIV/0!</v>
      </c>
      <c r="AV10" s="372">
        <f t="shared" ref="AV10:AV17" si="91">AR10+AT10</f>
        <v>0</v>
      </c>
      <c r="AW10" s="373">
        <f>SUM(AW4:AW9)</f>
        <v>0</v>
      </c>
      <c r="AX10" s="374">
        <f t="shared" ref="AX10:AX17" si="92">AV10-AO10</f>
        <v>0</v>
      </c>
      <c r="AY10" s="372">
        <f>SUM(AY4:AY9)</f>
        <v>0</v>
      </c>
      <c r="AZ10" s="373" t="e">
        <f t="shared" ref="AZ10:AZ11" si="93">AY10/$AY$10</f>
        <v>#DIV/0!</v>
      </c>
      <c r="BA10" s="372">
        <f>SUM(BA4:BA9)</f>
        <v>0</v>
      </c>
      <c r="BB10" s="373" t="e">
        <f t="shared" ref="BB10:BB12" si="94">BA10/$BA$10</f>
        <v>#DIV/0!</v>
      </c>
      <c r="BC10" s="372">
        <f t="shared" ref="BC10:BC17" si="95">AY10+BA10</f>
        <v>0</v>
      </c>
      <c r="BD10" s="373">
        <f>SUM(BD4:BD9)</f>
        <v>0</v>
      </c>
      <c r="BE10" s="374">
        <f t="shared" ref="BE10:BE17" si="96">BC10-AV10</f>
        <v>0</v>
      </c>
      <c r="BF10" s="372">
        <f>SUM(BF4:BF9)</f>
        <v>0</v>
      </c>
      <c r="BG10" s="373" t="e">
        <f t="shared" ref="BG10" si="97">BF10/$BF$10</f>
        <v>#DIV/0!</v>
      </c>
      <c r="BH10" s="372">
        <f>SUM(BH4:BH9)</f>
        <v>0</v>
      </c>
      <c r="BI10" s="373" t="e">
        <f t="shared" ref="BI10:BI12" si="98">BH10/$BH$10</f>
        <v>#DIV/0!</v>
      </c>
      <c r="BJ10" s="372">
        <f t="shared" ref="BJ10:BJ17" si="99">BF10+BH10</f>
        <v>0</v>
      </c>
      <c r="BK10" s="373">
        <f>SUM(BK4:BK9)</f>
        <v>0</v>
      </c>
      <c r="BL10" s="374">
        <f t="shared" ref="BL10:BL17" si="100">BJ10-BC10</f>
        <v>0</v>
      </c>
      <c r="BM10" s="372">
        <f>SUM(BM4:BM9)</f>
        <v>0</v>
      </c>
      <c r="BN10" s="373" t="e">
        <f t="shared" ref="BN10" si="101">BM10/$BF$10</f>
        <v>#DIV/0!</v>
      </c>
      <c r="BO10" s="372">
        <f>SUM(BO4:BO9)</f>
        <v>0</v>
      </c>
      <c r="BP10" s="373" t="e">
        <f t="shared" ref="BP10:BP12" si="102">BO10/$BH$10</f>
        <v>#DIV/0!</v>
      </c>
      <c r="BQ10" s="372">
        <f t="shared" ref="BQ10:BQ17" si="103">BM10+BO10</f>
        <v>0</v>
      </c>
      <c r="BR10" s="373">
        <f>SUM(BR4:BR9)</f>
        <v>0</v>
      </c>
      <c r="BS10" s="374">
        <f t="shared" ref="BS10:BS17" si="104">BQ10-BJ10</f>
        <v>0</v>
      </c>
      <c r="BT10" s="372">
        <f>SUM(BT4:BT9)</f>
        <v>0</v>
      </c>
      <c r="BU10" s="373" t="e">
        <f t="shared" ref="BU10" si="105">BT10/$BF$10</f>
        <v>#DIV/0!</v>
      </c>
      <c r="BV10" s="372">
        <f>SUM(BV4:BV9)</f>
        <v>0</v>
      </c>
      <c r="BW10" s="373" t="e">
        <f t="shared" ref="BW10:BW12" si="106">BV10/$BH$10</f>
        <v>#DIV/0!</v>
      </c>
      <c r="BX10" s="372">
        <f t="shared" ref="BX10:BX17" si="107">BT10+BV10</f>
        <v>0</v>
      </c>
      <c r="BY10" s="373">
        <f>SUM(BY4:BY9)</f>
        <v>0</v>
      </c>
      <c r="BZ10" s="374">
        <f t="shared" ref="BZ10:BZ17" si="108">BX10-BQ10</f>
        <v>0</v>
      </c>
      <c r="CA10" s="372">
        <f>SUM(CA4:CA9)</f>
        <v>0</v>
      </c>
      <c r="CB10" s="373" t="e">
        <f t="shared" ref="CB10" si="109">CA10/$BF$10</f>
        <v>#DIV/0!</v>
      </c>
      <c r="CC10" s="372">
        <f>SUM(CC4:CC9)</f>
        <v>0</v>
      </c>
      <c r="CD10" s="373" t="e">
        <f t="shared" ref="CD10:CD12" si="110">CC10/$BH$10</f>
        <v>#DIV/0!</v>
      </c>
      <c r="CE10" s="372">
        <f t="shared" ref="CE10:CE14" si="111">CA10+CC10</f>
        <v>0</v>
      </c>
      <c r="CF10" s="373">
        <f>SUM(CF4:CF9)</f>
        <v>0</v>
      </c>
      <c r="CG10" s="374">
        <f t="shared" ref="CG10:CG17" si="112">CE10-BX10</f>
        <v>0</v>
      </c>
      <c r="CH10" s="375">
        <f t="shared" si="62"/>
        <v>100137345.74000001</v>
      </c>
      <c r="CI10" s="376">
        <f t="shared" si="24"/>
        <v>1</v>
      </c>
      <c r="CJ10" s="375">
        <f t="shared" si="62"/>
        <v>14178340.669999998</v>
      </c>
      <c r="CK10" s="376">
        <f t="shared" si="25"/>
        <v>1</v>
      </c>
      <c r="CL10" s="375">
        <f t="shared" si="62"/>
        <v>114315686.41000001</v>
      </c>
      <c r="CM10" s="377">
        <f t="shared" si="26"/>
        <v>1</v>
      </c>
    </row>
    <row r="11" spans="2:91" s="238" customFormat="1" ht="10.35" customHeight="1" thickBot="1">
      <c r="B11" s="240" t="s">
        <v>12</v>
      </c>
      <c r="C11" s="190">
        <f>SUMIF('MVTO E'!$C$3:$C$240,"S_Deduções",'MVTO E'!$G$3:$G$240)</f>
        <v>65385</v>
      </c>
      <c r="D11" s="209">
        <f>C11/$C$10</f>
        <v>1.9873251505148582E-3</v>
      </c>
      <c r="E11" s="190">
        <f>SUMIF('MVTO A'!$C$3:$C$184,"S_Deduções",'MVTO A'!$G$3:$G$184)</f>
        <v>185.5</v>
      </c>
      <c r="F11" s="209">
        <f>E11/$E$10</f>
        <v>4.6941492988583268E-5</v>
      </c>
      <c r="G11" s="190">
        <f>C11+E11</f>
        <v>65570.5</v>
      </c>
      <c r="H11" s="209">
        <f>G11/$G$10</f>
        <v>1.7792573410982133E-3</v>
      </c>
      <c r="I11" s="190">
        <f>SUMIF('MVTO E'!$C$3:$C$240,"S_Deduções",'MVTO E'!$H$3:$H$240)</f>
        <v>43517.619999999995</v>
      </c>
      <c r="J11" s="209">
        <f>I11/$I$10</f>
        <v>2.0498150277314039E-3</v>
      </c>
      <c r="K11" s="190">
        <f>SUMIF('MVTO A'!$C$3:$C$184,"S_Deduções",'MVTO A'!$H$3:$H$184)</f>
        <v>0</v>
      </c>
      <c r="L11" s="209">
        <f>K11/$K$10</f>
        <v>0</v>
      </c>
      <c r="M11" s="190">
        <f t="shared" si="1"/>
        <v>43517.619999999995</v>
      </c>
      <c r="N11" s="209">
        <f>M11/$M$10</f>
        <v>1.7654738751823515E-3</v>
      </c>
      <c r="O11" s="245">
        <f t="shared" si="32"/>
        <v>-22052.880000000005</v>
      </c>
      <c r="P11" s="190">
        <f>SUMIF('MVTO E'!$C$3:$C$240,"S_Deduções",'MVTO E'!$I$3:$I$240)</f>
        <v>372509.19</v>
      </c>
      <c r="Q11" s="209">
        <f>P11/$P$10</f>
        <v>1.5646834448146633E-2</v>
      </c>
      <c r="R11" s="190">
        <f>SUMIF('MVTO A'!$C$3:$C$184,"S_Deduções",'MVTO A'!$I$3:$I$184)</f>
        <v>0</v>
      </c>
      <c r="S11" s="209">
        <f>R11/$R$10</f>
        <v>0</v>
      </c>
      <c r="T11" s="190">
        <f t="shared" si="4"/>
        <v>372509.19</v>
      </c>
      <c r="U11" s="209">
        <f>T11/$T$10</f>
        <v>1.3566555799161748E-2</v>
      </c>
      <c r="V11" s="245">
        <f t="shared" si="34"/>
        <v>328991.57</v>
      </c>
      <c r="W11" s="190">
        <f>SUMIF('MVTO E'!$C$3:$C$240,"S_Deduções",'MVTO E'!$J$3:$J$240)</f>
        <v>64143.509999999995</v>
      </c>
      <c r="X11" s="209">
        <f t="shared" ref="X11" si="113">W11/$W$10</f>
        <v>2.8894780435756357E-3</v>
      </c>
      <c r="Y11" s="190">
        <f>SUMIF('MVTO A'!$C$3:$C$184,"S_Deduções",'MVTO A'!$J$3:$J$184)</f>
        <v>0</v>
      </c>
      <c r="Z11" s="209">
        <f t="shared" ref="Z11:Z12" si="114">Y11/$Y$10</f>
        <v>0</v>
      </c>
      <c r="AA11" s="190">
        <f t="shared" si="36"/>
        <v>64143.509999999995</v>
      </c>
      <c r="AB11" s="209">
        <f>AA11/$AA$10</f>
        <v>2.5297382419965015E-3</v>
      </c>
      <c r="AC11" s="245">
        <f t="shared" si="37"/>
        <v>-308365.68</v>
      </c>
      <c r="AD11" s="190">
        <f>SUMIF('MVTO E'!$C$3:$C$240,"S_Deduções",'MVTO E'!$K$3:$K$240)</f>
        <v>0</v>
      </c>
      <c r="AE11" s="209" t="e">
        <f t="shared" si="81"/>
        <v>#DIV/0!</v>
      </c>
      <c r="AF11" s="190">
        <f>SUMIF('MVTO A'!$C$3:$C$184,"S_Deduções",'MVTO A'!$K$3:$K$184)</f>
        <v>0</v>
      </c>
      <c r="AG11" s="209" t="e">
        <f t="shared" si="82"/>
        <v>#DIV/0!</v>
      </c>
      <c r="AH11" s="190">
        <f t="shared" si="83"/>
        <v>0</v>
      </c>
      <c r="AI11" s="209" t="e">
        <f>AH11/$AH$10</f>
        <v>#DIV/0!</v>
      </c>
      <c r="AJ11" s="245">
        <f t="shared" si="84"/>
        <v>-64143.509999999995</v>
      </c>
      <c r="AK11" s="190">
        <f>SUMIF('MVTO E'!$C$3:$C$240,"S_Deduções",'MVTO E'!$L$3:$L$240)</f>
        <v>0</v>
      </c>
      <c r="AL11" s="209" t="e">
        <f t="shared" si="85"/>
        <v>#DIV/0!</v>
      </c>
      <c r="AM11" s="190">
        <f>SUMIF('MVTO A'!$C$3:$C$184,"S_Deduções",'MVTO A'!$L$3:$L$184)</f>
        <v>0</v>
      </c>
      <c r="AN11" s="209" t="e">
        <f t="shared" si="86"/>
        <v>#DIV/0!</v>
      </c>
      <c r="AO11" s="190">
        <f t="shared" si="87"/>
        <v>0</v>
      </c>
      <c r="AP11" s="209" t="e">
        <f>AO11/$AO$10</f>
        <v>#DIV/0!</v>
      </c>
      <c r="AQ11" s="245">
        <f t="shared" si="88"/>
        <v>0</v>
      </c>
      <c r="AR11" s="190">
        <f>SUMIF('MVTO E'!$C$3:$C$240,"S_Deduções",'MVTO E'!$M$3:$M$240)</f>
        <v>0</v>
      </c>
      <c r="AS11" s="209" t="e">
        <f t="shared" si="89"/>
        <v>#DIV/0!</v>
      </c>
      <c r="AT11" s="190">
        <f>SUMIF('MVTO A'!$C$3:$C$184,"S_Deduções",'MVTO A'!$M$3:$M$189)</f>
        <v>0</v>
      </c>
      <c r="AU11" s="209" t="e">
        <f t="shared" si="90"/>
        <v>#DIV/0!</v>
      </c>
      <c r="AV11" s="190">
        <f t="shared" si="91"/>
        <v>0</v>
      </c>
      <c r="AW11" s="209" t="e">
        <f>AV11/$AV$10</f>
        <v>#DIV/0!</v>
      </c>
      <c r="AX11" s="245">
        <f t="shared" si="92"/>
        <v>0</v>
      </c>
      <c r="AY11" s="190">
        <f>SUMIF('MVTO E'!$C$3:$C$240,"S_Deduções",'MVTO E'!$N$3:$N$240)</f>
        <v>0</v>
      </c>
      <c r="AZ11" s="209" t="e">
        <f t="shared" si="93"/>
        <v>#DIV/0!</v>
      </c>
      <c r="BA11" s="190">
        <f>SUMIF('MVTO A'!$C$3:$C$184,"S_Deduções",'MVTO A'!$N$3:$N$189)</f>
        <v>0</v>
      </c>
      <c r="BB11" s="209" t="e">
        <f t="shared" si="94"/>
        <v>#DIV/0!</v>
      </c>
      <c r="BC11" s="190">
        <f t="shared" si="95"/>
        <v>0</v>
      </c>
      <c r="BD11" s="209" t="e">
        <f>BC11/$BC$10</f>
        <v>#DIV/0!</v>
      </c>
      <c r="BE11" s="245">
        <f t="shared" si="96"/>
        <v>0</v>
      </c>
      <c r="BF11" s="190">
        <f>SUMIF('MVTO E'!$C$3:$C$240,"S_Deduções",'MVTO E'!$O$3:$O$240)</f>
        <v>0</v>
      </c>
      <c r="BG11" s="209" t="e">
        <f>BF11/$BF$10</f>
        <v>#DIV/0!</v>
      </c>
      <c r="BH11" s="190">
        <f>SUMIF('MVTO A'!$C$3:$C$195,"S_Deduções",'MVTO A'!$O$3:$O$195)</f>
        <v>0</v>
      </c>
      <c r="BI11" s="209" t="e">
        <f t="shared" si="98"/>
        <v>#DIV/0!</v>
      </c>
      <c r="BJ11" s="190">
        <f t="shared" si="99"/>
        <v>0</v>
      </c>
      <c r="BK11" s="209" t="e">
        <f>BJ11/$BJ$10</f>
        <v>#DIV/0!</v>
      </c>
      <c r="BL11" s="245">
        <f t="shared" si="100"/>
        <v>0</v>
      </c>
      <c r="BM11" s="190">
        <f>SUMIF('MVTO E'!$C$3:$C$240,"S_Deduções",'MVTO E'!$P$3:$P$240)</f>
        <v>0</v>
      </c>
      <c r="BN11" s="209" t="e">
        <f>BM11/$BF$10</f>
        <v>#DIV/0!</v>
      </c>
      <c r="BO11" s="190">
        <f>SUMIF('MVTO A'!$C$3:$C$184,"S_Deduções",'MVTO A'!$P$3:$P$189)</f>
        <v>0</v>
      </c>
      <c r="BP11" s="209" t="e">
        <f t="shared" si="102"/>
        <v>#DIV/0!</v>
      </c>
      <c r="BQ11" s="190">
        <f t="shared" si="103"/>
        <v>0</v>
      </c>
      <c r="BR11" s="209" t="e">
        <f>BQ11/$BJ$10</f>
        <v>#DIV/0!</v>
      </c>
      <c r="BS11" s="245">
        <f t="shared" si="104"/>
        <v>0</v>
      </c>
      <c r="BT11" s="190">
        <f>SUMIF('MVTO E'!$C$3:$C$240,"S_Deduções",'MVTO E'!$Q$3:$Q$240)</f>
        <v>0</v>
      </c>
      <c r="BU11" s="209" t="e">
        <f>BT11/$BF$10</f>
        <v>#DIV/0!</v>
      </c>
      <c r="BV11" s="190">
        <f>SUMIF('MVTO A'!$C$3:$C$184,"S_Deduções",'MVTO A'!$Q$3:$Q$189)</f>
        <v>0</v>
      </c>
      <c r="BW11" s="209" t="e">
        <f t="shared" si="106"/>
        <v>#DIV/0!</v>
      </c>
      <c r="BX11" s="190">
        <f t="shared" si="107"/>
        <v>0</v>
      </c>
      <c r="BY11" s="209" t="e">
        <f>BX11/$BJ$10</f>
        <v>#DIV/0!</v>
      </c>
      <c r="BZ11" s="245">
        <f t="shared" si="108"/>
        <v>0</v>
      </c>
      <c r="CA11" s="190">
        <f>SUMIF('MVTO E'!$C$3:$C$240,"S_Deduções",'MVTO E'!$R$3:$R$240)</f>
        <v>0</v>
      </c>
      <c r="CB11" s="209" t="e">
        <f>CA11/$BF$10</f>
        <v>#DIV/0!</v>
      </c>
      <c r="CC11" s="190">
        <f>SUMIF('MVTO A'!$C$3:$C$184,"S_Deduções",'MVTO A'!$R$3:$R$189)</f>
        <v>0</v>
      </c>
      <c r="CD11" s="209" t="e">
        <f t="shared" si="110"/>
        <v>#DIV/0!</v>
      </c>
      <c r="CE11" s="190">
        <f t="shared" si="111"/>
        <v>0</v>
      </c>
      <c r="CF11" s="209" t="e">
        <f>CE11/$BJ$10</f>
        <v>#DIV/0!</v>
      </c>
      <c r="CG11" s="245">
        <f t="shared" si="112"/>
        <v>0</v>
      </c>
      <c r="CH11" s="242">
        <f t="shared" si="62"/>
        <v>545555.31999999995</v>
      </c>
      <c r="CI11" s="246">
        <f t="shared" si="24"/>
        <v>5.4480705072461003E-3</v>
      </c>
      <c r="CJ11" s="242">
        <f t="shared" si="62"/>
        <v>185.5</v>
      </c>
      <c r="CK11" s="246">
        <f t="shared" si="25"/>
        <v>1.3083336359134051E-5</v>
      </c>
      <c r="CL11" s="242">
        <f t="shared" si="62"/>
        <v>545740.81999999995</v>
      </c>
      <c r="CM11" s="247">
        <f t="shared" si="26"/>
        <v>4.7739801696389068E-3</v>
      </c>
    </row>
    <row r="12" spans="2:91" s="238" customFormat="1" ht="10.35" customHeight="1" thickBot="1">
      <c r="B12" s="240" t="s">
        <v>230</v>
      </c>
      <c r="C12" s="220">
        <f>SUMIF('MVTO E'!$C$3:$C$240,"Compras",'MVTO E'!$G$3:$G$240)+SUMIF('DESP E'!$D$3:$D$146,"Compras",'DESP E'!$G$3:$G$146)</f>
        <v>22556749.009999998</v>
      </c>
      <c r="D12" s="209">
        <f>C12/$C$10</f>
        <v>0.68559447306605681</v>
      </c>
      <c r="E12" s="220">
        <f>SUMIF('MVTO A'!$C$3:$C$184,"Compras",'MVTO A'!$G$3:$G$184)+SUMIF('DESP A'!$D$3:$D$129,"Compras",'DESP A'!$G$3:$G$129)</f>
        <v>182167.49</v>
      </c>
      <c r="F12" s="209">
        <f>E12/$E$10</f>
        <v>4.6098188434408695E-2</v>
      </c>
      <c r="G12" s="220">
        <f t="shared" ref="G12:G17" si="115">C12+E12</f>
        <v>22738916.499999996</v>
      </c>
      <c r="H12" s="209">
        <f>G12/$G$10</f>
        <v>0.61702113162541516</v>
      </c>
      <c r="I12" s="220">
        <f>SUMIF('MVTO E'!$C$3:$C$240,"Compras",'MVTO E'!$H$3:$H$240)+SUMIF('DESP E'!$D$3:$D$146,"Compras",'DESP E'!$H$3:$H$146)</f>
        <v>12804108.17</v>
      </c>
      <c r="J12" s="209">
        <f>I12/$I$10</f>
        <v>0.60311325259893467</v>
      </c>
      <c r="K12" s="220">
        <f>SUMIF('MVTO A'!$C$3:$C$184,"Compras",'MVTO A'!$H$3:$H$184)+SUMIF('DESP A'!$D$3:$D$129,"Compras",'DESP A'!$H$3:$H$129)</f>
        <v>121690.06000000001</v>
      </c>
      <c r="L12" s="209">
        <f>K12/$K$10</f>
        <v>3.5589854980698173E-2</v>
      </c>
      <c r="M12" s="220">
        <f t="shared" si="1"/>
        <v>12925798.23</v>
      </c>
      <c r="N12" s="209">
        <f>M12/$M$10</f>
        <v>0.52438895075013947</v>
      </c>
      <c r="O12" s="245">
        <f t="shared" si="32"/>
        <v>-9813118.2699999958</v>
      </c>
      <c r="P12" s="220">
        <f>SUMIF('MVTO E'!$C$3:$C$240,"Compras",'MVTO E'!$I$3:$I$240)+SUMIF('DESP E'!$D$3:$D$146,"Compras",'DESP E'!$I$3:$I$146)</f>
        <v>15196260.689999999</v>
      </c>
      <c r="Q12" s="209">
        <f>P12/$P$10</f>
        <v>0.6383020382592669</v>
      </c>
      <c r="R12" s="220">
        <f>SUMIF('MVTO A'!$C$3:$C$184,"Compras",'MVTO A'!$I$3:$I$184)+SUMIF('DESP A'!$D$3:$D$129,"Compras",'DESP A'!$I$3:$I$129)</f>
        <v>141505.60000000001</v>
      </c>
      <c r="S12" s="209">
        <f>R12/$R$10</f>
        <v>3.8762449807558767E-2</v>
      </c>
      <c r="T12" s="220">
        <f t="shared" si="4"/>
        <v>15337766.289999999</v>
      </c>
      <c r="U12" s="209">
        <f>T12/$T$10</f>
        <v>0.55859202348212422</v>
      </c>
      <c r="V12" s="245">
        <f t="shared" si="34"/>
        <v>2411968.0599999987</v>
      </c>
      <c r="W12" s="220">
        <f>SUMIF('MVTO E'!$C$3:$C$240,"Compras",'MVTO E'!$J$3:$J$240)+SUMIF('DESP E'!$D$3:$D$146,"Compras",'DESP E'!$J$3:$J$146)</f>
        <v>14769757.640000001</v>
      </c>
      <c r="X12" s="209">
        <f>W12/$P$10</f>
        <v>0.62038725174090048</v>
      </c>
      <c r="Y12" s="220">
        <f>SUMIF('MVTO A'!$C$3:$C$184,"Compras",'MVTO A'!$J$3:$J$184)+SUMIF('DESP A'!$D$3:$D$129,"Compras",'DESP A'!$J$3:$J$129)</f>
        <v>112457.25</v>
      </c>
      <c r="Z12" s="209">
        <f t="shared" si="114"/>
        <v>3.56238810383658E-2</v>
      </c>
      <c r="AA12" s="220">
        <f t="shared" si="36"/>
        <v>14882214.890000001</v>
      </c>
      <c r="AB12" s="209">
        <f>AA12/$AA$10</f>
        <v>0.58693557825012632</v>
      </c>
      <c r="AC12" s="245">
        <f t="shared" si="37"/>
        <v>-455551.39999999851</v>
      </c>
      <c r="AD12" s="220">
        <f>SUMIF('MVTO E'!$C$3:$C$240,"Compras",'MVTO E'!$K$3:$K$240)+SUMIF('DESP E'!$D$3:$D$146,"Compras",'DESP E'!$K$3:$K$146)</f>
        <v>0</v>
      </c>
      <c r="AE12" s="209">
        <f>AD12/$P$10</f>
        <v>0</v>
      </c>
      <c r="AF12" s="220">
        <f>SUMIF('MVTO A'!$C$3:$C$184,"Compras",'MVTO A'!$K$3:$K$184)+SUMIF('DESP A'!$D$3:$D$129,"Compras",'DESP A'!$K$3:$K$129)</f>
        <v>0</v>
      </c>
      <c r="AG12" s="209" t="e">
        <f t="shared" si="82"/>
        <v>#DIV/0!</v>
      </c>
      <c r="AH12" s="220">
        <f t="shared" si="83"/>
        <v>0</v>
      </c>
      <c r="AI12" s="209" t="e">
        <f>AH12/$AH$10</f>
        <v>#DIV/0!</v>
      </c>
      <c r="AJ12" s="245">
        <f t="shared" si="84"/>
        <v>-14882214.890000001</v>
      </c>
      <c r="AK12" s="220">
        <f>SUMIF('MVTO E'!$C$3:$C$240,"Compras",'MVTO E'!$L$3:$L$240)+SUMIF('DESP E'!$D$3:$D$146,"Compras",'DESP E'!$L$3:$L$146)</f>
        <v>0</v>
      </c>
      <c r="AL12" s="209">
        <f>AK12/$P$10</f>
        <v>0</v>
      </c>
      <c r="AM12" s="220">
        <f>SUMIF('MVTO A'!$C$3:$C$184,"Compras",'MVTO A'!$L$3:$L$184)+SUMIF('DESP A'!$D$3:$D$129,"Compras",'DESP A'!$L$3:$L$129)</f>
        <v>0</v>
      </c>
      <c r="AN12" s="209" t="e">
        <f t="shared" si="86"/>
        <v>#DIV/0!</v>
      </c>
      <c r="AO12" s="220">
        <f t="shared" si="87"/>
        <v>0</v>
      </c>
      <c r="AP12" s="209" t="e">
        <f>AO12/$AO$10</f>
        <v>#DIV/0!</v>
      </c>
      <c r="AQ12" s="245">
        <f t="shared" si="88"/>
        <v>0</v>
      </c>
      <c r="AR12" s="220">
        <f>SUMIF('MVTO E'!$C$3:$C$240,"Compras",'MVTO E'!$M$3:$M$240)+SUMIF('DESP E'!$D$3:$D$146,"Compras",'DESP E'!$M$3:$M$146)</f>
        <v>0</v>
      </c>
      <c r="AS12" s="209">
        <f>AR12/$P$10</f>
        <v>0</v>
      </c>
      <c r="AT12" s="220">
        <f>SUMIF('MVTO A'!$C$3:$C$184,"Compras",'MVTO A'!$M$3:$M$189)+SUMIF('DESP A'!$D$3:$D$129,"Compras",'DESP A'!$M$3:$M$129)</f>
        <v>0</v>
      </c>
      <c r="AU12" s="209" t="e">
        <f t="shared" si="90"/>
        <v>#DIV/0!</v>
      </c>
      <c r="AV12" s="220">
        <f t="shared" si="91"/>
        <v>0</v>
      </c>
      <c r="AW12" s="209" t="e">
        <f>AV12/$AV$10</f>
        <v>#DIV/0!</v>
      </c>
      <c r="AX12" s="245">
        <f t="shared" si="92"/>
        <v>0</v>
      </c>
      <c r="AY12" s="220">
        <f>SUMIF('MVTO E'!$C$3:$C$240,"Compras",'MVTO E'!$N$3:$N$240)+SUMIF('DESP E'!$D$3:$D$146,"Compras",'DESP E'!$N$3:$N$146)</f>
        <v>0</v>
      </c>
      <c r="AZ12" s="209">
        <f>AY12/$P$10</f>
        <v>0</v>
      </c>
      <c r="BA12" s="220">
        <f>SUMIF('MVTO A'!$C$3:$C$184,"Compras",'MVTO A'!$N$3:$N$189)+SUMIF('DESP A'!$D$3:$D$129,"Compras",'DESP A'!$N$3:$N$129)</f>
        <v>0</v>
      </c>
      <c r="BB12" s="209" t="e">
        <f t="shared" si="94"/>
        <v>#DIV/0!</v>
      </c>
      <c r="BC12" s="220">
        <f t="shared" si="95"/>
        <v>0</v>
      </c>
      <c r="BD12" s="209" t="e">
        <f>BC12/$BC$10</f>
        <v>#DIV/0!</v>
      </c>
      <c r="BE12" s="245">
        <f t="shared" si="96"/>
        <v>0</v>
      </c>
      <c r="BF12" s="220">
        <f>SUMIF('MVTO E'!$C$3:$C$240,"Compras",'MVTO E'!$O$3:$O$240)+SUMIF('DESP E'!$D$3:$D$146,"Compras",'DESP E'!$O$3:$O$146)</f>
        <v>0</v>
      </c>
      <c r="BG12" s="209">
        <f>BF12/$P$10</f>
        <v>0</v>
      </c>
      <c r="BH12" s="220">
        <f>SUMIF('MVTO A'!$C$3:$C$195,"Compras",'MVTO A'!$O$3:$O$195)+SUMIF('DESP A'!$D$3:$D$144,"Compras",'DESP A'!$O$3:$O$185)</f>
        <v>0</v>
      </c>
      <c r="BI12" s="209" t="e">
        <f t="shared" si="98"/>
        <v>#DIV/0!</v>
      </c>
      <c r="BJ12" s="220">
        <f t="shared" si="99"/>
        <v>0</v>
      </c>
      <c r="BK12" s="209" t="e">
        <f>BJ12/$BJ$10</f>
        <v>#DIV/0!</v>
      </c>
      <c r="BL12" s="245">
        <f t="shared" si="100"/>
        <v>0</v>
      </c>
      <c r="BM12" s="220">
        <f>SUMIF('MVTO E'!$C$3:$C$240,"Compras",'MVTO E'!$P$3:$P$240)+SUMIF('DESP E'!$D$3:$D$146,"Compras",'DESP E'!$P$3:$P$146)</f>
        <v>0</v>
      </c>
      <c r="BN12" s="209">
        <f>BM12/$P$10</f>
        <v>0</v>
      </c>
      <c r="BO12" s="220">
        <f>SUMIF('MVTO A'!$C$3:$C$195,"Compras",'MVTO A'!$P$3:$P$195)+SUMIF('DESP A'!$D$3:$D$129,"Compras",'DESP A'!$P$3:$P$129)</f>
        <v>0</v>
      </c>
      <c r="BP12" s="209" t="e">
        <f t="shared" si="102"/>
        <v>#DIV/0!</v>
      </c>
      <c r="BQ12" s="220">
        <f t="shared" si="103"/>
        <v>0</v>
      </c>
      <c r="BR12" s="209" t="e">
        <f>BQ12/$BJ$10</f>
        <v>#DIV/0!</v>
      </c>
      <c r="BS12" s="245">
        <f>BQ12-BJ12</f>
        <v>0</v>
      </c>
      <c r="BT12" s="220">
        <f>SUMIF('MVTO E'!$C$3:$C$240,"Compras",'MVTO E'!$Q$3:$Q$240)+SUMIF('DESP E'!$D$3:$D$146,"Compras",'DESP E'!$Q$3:$Q$146)</f>
        <v>0</v>
      </c>
      <c r="BU12" s="209">
        <f>BT12/$P$10</f>
        <v>0</v>
      </c>
      <c r="BV12" s="220">
        <f>SUMIF('MVTO A'!$C$3:$C$184,"Compras",'MVTO A'!$Q$3:$Q$189)+SUMIF('DESP A'!$D$3:$D$129,"Compras",'DESP A'!$Q$3:$Q$129)</f>
        <v>0</v>
      </c>
      <c r="BW12" s="209" t="e">
        <f t="shared" si="106"/>
        <v>#DIV/0!</v>
      </c>
      <c r="BX12" s="220">
        <f>BT12+BV12</f>
        <v>0</v>
      </c>
      <c r="BY12" s="209" t="e">
        <f>BX12/$BJ$10</f>
        <v>#DIV/0!</v>
      </c>
      <c r="BZ12" s="245">
        <f t="shared" si="108"/>
        <v>0</v>
      </c>
      <c r="CA12" s="220">
        <f>SUMIF('MVTO E'!$C$3:$C$240,"Compras",'MVTO E'!$R$3:$R$240)+SUMIF('DESP E'!$D$3:$D$146,"Compras",'DESP E'!$R$3:$R$146)</f>
        <v>0</v>
      </c>
      <c r="CB12" s="209">
        <f>CA12/$P$10</f>
        <v>0</v>
      </c>
      <c r="CC12" s="220">
        <f>SUMIF('MVTO A'!$C$3:$C$184,"Compras",'MVTO A'!$R$3:$R$189)+SUMIF('DESP A'!$D$3:$D$174,"Compras",'DESP A'!$R$3:$R$174)</f>
        <v>0</v>
      </c>
      <c r="CD12" s="209" t="e">
        <f t="shared" si="110"/>
        <v>#DIV/0!</v>
      </c>
      <c r="CE12" s="220">
        <f t="shared" si="111"/>
        <v>0</v>
      </c>
      <c r="CF12" s="209" t="e">
        <f>CE12/$BJ$10</f>
        <v>#DIV/0!</v>
      </c>
      <c r="CG12" s="245">
        <f t="shared" si="112"/>
        <v>0</v>
      </c>
      <c r="CH12" s="249">
        <f t="shared" si="62"/>
        <v>65326875.509999998</v>
      </c>
      <c r="CI12" s="246">
        <f t="shared" si="24"/>
        <v>0.65237274892043684</v>
      </c>
      <c r="CJ12" s="249">
        <f t="shared" si="62"/>
        <v>557820.4</v>
      </c>
      <c r="CK12" s="246">
        <f t="shared" si="25"/>
        <v>3.9343137041437735E-2</v>
      </c>
      <c r="CL12" s="249">
        <f t="shared" si="62"/>
        <v>65884695.909999996</v>
      </c>
      <c r="CM12" s="247">
        <f t="shared" si="26"/>
        <v>0.57633994055462012</v>
      </c>
    </row>
    <row r="13" spans="2:91" s="320" customFormat="1" ht="10.35" customHeight="1" thickBot="1">
      <c r="B13" s="313" t="s">
        <v>13</v>
      </c>
      <c r="C13" s="191">
        <f>C10-C11-C12</f>
        <v>10278873.650000002</v>
      </c>
      <c r="D13" s="210">
        <f>D10-D11-D12</f>
        <v>0.31241820178342838</v>
      </c>
      <c r="E13" s="191">
        <f>E10-E11-E12</f>
        <v>3769374.75</v>
      </c>
      <c r="F13" s="210">
        <f>F10-F11-F12</f>
        <v>0.95385487007260272</v>
      </c>
      <c r="G13" s="191">
        <f t="shared" si="115"/>
        <v>14048248.400000002</v>
      </c>
      <c r="H13" s="210">
        <f>H10-H11-H12</f>
        <v>0.38119961103348665</v>
      </c>
      <c r="I13" s="191">
        <f>I10-I11-I12</f>
        <v>8382397.1199999992</v>
      </c>
      <c r="J13" s="210">
        <f>J10-J11-J12</f>
        <v>0.39483693237333395</v>
      </c>
      <c r="K13" s="191">
        <f>K10-K11-K12</f>
        <v>3297544.4399999995</v>
      </c>
      <c r="L13" s="210">
        <f>L10-L11-L12</f>
        <v>0.96441014501930178</v>
      </c>
      <c r="M13" s="191">
        <f t="shared" si="1"/>
        <v>11679941.559999999</v>
      </c>
      <c r="N13" s="210">
        <f>N10-N11-N12</f>
        <v>0.47384557537467842</v>
      </c>
      <c r="O13" s="318">
        <f t="shared" si="32"/>
        <v>-2368306.8400000036</v>
      </c>
      <c r="P13" s="191">
        <f>P10-P11-P12</f>
        <v>8238549.8200000022</v>
      </c>
      <c r="Q13" s="210">
        <f>Q10-Q11-Q12</f>
        <v>0.46744980881666598</v>
      </c>
      <c r="R13" s="191">
        <f>R10-R11-R12</f>
        <v>3509078.9399999995</v>
      </c>
      <c r="S13" s="210">
        <f>S10-S11-S12</f>
        <v>1.0288989053875881</v>
      </c>
      <c r="T13" s="191">
        <f t="shared" si="4"/>
        <v>11747628.760000002</v>
      </c>
      <c r="U13" s="210">
        <f>U10-U11-U12</f>
        <v>0.42784142071871401</v>
      </c>
      <c r="V13" s="318">
        <f t="shared" si="34"/>
        <v>67687.20000000298</v>
      </c>
      <c r="W13" s="191">
        <f>W10-W11-W12</f>
        <v>7365094.3199999966</v>
      </c>
      <c r="X13" s="210">
        <f>X10-X11-X12</f>
        <v>0.37672327021552388</v>
      </c>
      <c r="Y13" s="191">
        <f>Y10-Y11-Y12</f>
        <v>3044336.6399999997</v>
      </c>
      <c r="Z13" s="210">
        <f>Z10-Z11-Z12</f>
        <v>0.96437611896163422</v>
      </c>
      <c r="AA13" s="191">
        <f t="shared" si="36"/>
        <v>10409430.959999997</v>
      </c>
      <c r="AB13" s="210">
        <f>AB10-AB11-AB12</f>
        <v>0.41053468350787714</v>
      </c>
      <c r="AC13" s="318">
        <f t="shared" si="37"/>
        <v>-1338197.8000000045</v>
      </c>
      <c r="AD13" s="191">
        <f>AD10-AD11-AD12</f>
        <v>0</v>
      </c>
      <c r="AE13" s="210" t="e">
        <f>AE10-AE11-AE12</f>
        <v>#DIV/0!</v>
      </c>
      <c r="AF13" s="191">
        <f>AF10-AF11-AF12</f>
        <v>0</v>
      </c>
      <c r="AG13" s="210" t="e">
        <f>AG10-AG11-AG12</f>
        <v>#DIV/0!</v>
      </c>
      <c r="AH13" s="191">
        <f t="shared" si="83"/>
        <v>0</v>
      </c>
      <c r="AI13" s="210" t="e">
        <f>AI10-AI11-AI12</f>
        <v>#DIV/0!</v>
      </c>
      <c r="AJ13" s="318">
        <f t="shared" si="84"/>
        <v>-10409430.959999997</v>
      </c>
      <c r="AK13" s="191">
        <f>AK10-AK11-AK12</f>
        <v>0</v>
      </c>
      <c r="AL13" s="210" t="e">
        <f>AL10-AL11-AL12</f>
        <v>#DIV/0!</v>
      </c>
      <c r="AM13" s="191">
        <f>AM10-AM11-AM12</f>
        <v>0</v>
      </c>
      <c r="AN13" s="210" t="e">
        <f>AN10-AN11-AN12</f>
        <v>#DIV/0!</v>
      </c>
      <c r="AO13" s="191">
        <f t="shared" si="87"/>
        <v>0</v>
      </c>
      <c r="AP13" s="210" t="e">
        <f>AP10-AP11-AP12</f>
        <v>#DIV/0!</v>
      </c>
      <c r="AQ13" s="318">
        <f t="shared" si="88"/>
        <v>0</v>
      </c>
      <c r="AR13" s="191">
        <f>AR10-AR11-AR12</f>
        <v>0</v>
      </c>
      <c r="AS13" s="210" t="e">
        <f>AS10-AS11-AS12</f>
        <v>#DIV/0!</v>
      </c>
      <c r="AT13" s="191">
        <f>AT10-AT11-AT12</f>
        <v>0</v>
      </c>
      <c r="AU13" s="210" t="e">
        <f>AU10-AU11-AU12</f>
        <v>#DIV/0!</v>
      </c>
      <c r="AV13" s="191">
        <f t="shared" si="91"/>
        <v>0</v>
      </c>
      <c r="AW13" s="210" t="e">
        <f>AW10-AW11-AW12</f>
        <v>#DIV/0!</v>
      </c>
      <c r="AX13" s="318">
        <f t="shared" si="92"/>
        <v>0</v>
      </c>
      <c r="AY13" s="191">
        <f>AY10-AY11-AY12</f>
        <v>0</v>
      </c>
      <c r="AZ13" s="210" t="e">
        <f>AZ10-AZ11-AZ12</f>
        <v>#DIV/0!</v>
      </c>
      <c r="BA13" s="191">
        <f>BA10-BA11-BA12</f>
        <v>0</v>
      </c>
      <c r="BB13" s="210" t="e">
        <f>BB10-BB11-BB12</f>
        <v>#DIV/0!</v>
      </c>
      <c r="BC13" s="191">
        <f t="shared" si="95"/>
        <v>0</v>
      </c>
      <c r="BD13" s="210" t="e">
        <f>BD10-BD11-BD12</f>
        <v>#DIV/0!</v>
      </c>
      <c r="BE13" s="318">
        <f t="shared" si="96"/>
        <v>0</v>
      </c>
      <c r="BF13" s="191">
        <f>BF10-BF11-BF12</f>
        <v>0</v>
      </c>
      <c r="BG13" s="210" t="e">
        <f>BG10-BG11-BG12</f>
        <v>#DIV/0!</v>
      </c>
      <c r="BH13" s="191">
        <f>BH10-BH11-BH12</f>
        <v>0</v>
      </c>
      <c r="BI13" s="210" t="e">
        <f>BI10-BI11-BI12</f>
        <v>#DIV/0!</v>
      </c>
      <c r="BJ13" s="191">
        <f t="shared" si="99"/>
        <v>0</v>
      </c>
      <c r="BK13" s="210" t="e">
        <f>BK10-BK11-BK12</f>
        <v>#DIV/0!</v>
      </c>
      <c r="BL13" s="318">
        <f t="shared" si="100"/>
        <v>0</v>
      </c>
      <c r="BM13" s="191">
        <f>BM10-BM11-BM12</f>
        <v>0</v>
      </c>
      <c r="BN13" s="210" t="e">
        <f>BN10-BN11-BN12</f>
        <v>#DIV/0!</v>
      </c>
      <c r="BO13" s="191">
        <f>BO10-BO11-BO12</f>
        <v>0</v>
      </c>
      <c r="BP13" s="210" t="e">
        <f>BP10-BP11-BP12</f>
        <v>#DIV/0!</v>
      </c>
      <c r="BQ13" s="191">
        <f t="shared" si="103"/>
        <v>0</v>
      </c>
      <c r="BR13" s="210" t="e">
        <f>BR10-BR11-BR12</f>
        <v>#DIV/0!</v>
      </c>
      <c r="BS13" s="318">
        <f t="shared" si="104"/>
        <v>0</v>
      </c>
      <c r="BT13" s="191">
        <f>BT10-BT11-BT12</f>
        <v>0</v>
      </c>
      <c r="BU13" s="210" t="e">
        <f>BU10-BU11-BU12</f>
        <v>#DIV/0!</v>
      </c>
      <c r="BV13" s="191">
        <f>BV10-BV11-BV12</f>
        <v>0</v>
      </c>
      <c r="BW13" s="210" t="e">
        <f>BW10-BW11-BW12</f>
        <v>#DIV/0!</v>
      </c>
      <c r="BX13" s="191">
        <f t="shared" si="107"/>
        <v>0</v>
      </c>
      <c r="BY13" s="210" t="e">
        <f>BY10-BY11-BY12</f>
        <v>#DIV/0!</v>
      </c>
      <c r="BZ13" s="318">
        <f t="shared" si="108"/>
        <v>0</v>
      </c>
      <c r="CA13" s="191">
        <f>CA10-CA11-CA12</f>
        <v>0</v>
      </c>
      <c r="CB13" s="210" t="e">
        <f>CB10-CB11-CB12</f>
        <v>#DIV/0!</v>
      </c>
      <c r="CC13" s="191">
        <f>CC10-CC11-CC12</f>
        <v>0</v>
      </c>
      <c r="CD13" s="210" t="e">
        <f>CD10-CD11-CD12</f>
        <v>#DIV/0!</v>
      </c>
      <c r="CE13" s="191">
        <f t="shared" si="111"/>
        <v>0</v>
      </c>
      <c r="CF13" s="210" t="e">
        <f>CF10-CF11-CF12</f>
        <v>#DIV/0!</v>
      </c>
      <c r="CG13" s="318">
        <f t="shared" si="112"/>
        <v>0</v>
      </c>
      <c r="CH13" s="250">
        <f>CH10-CH11-CH12</f>
        <v>34264914.910000019</v>
      </c>
      <c r="CI13" s="319">
        <f t="shared" si="24"/>
        <v>0.34217918057231717</v>
      </c>
      <c r="CJ13" s="250">
        <f>CJ10-CJ11-CJ12</f>
        <v>13620334.769999998</v>
      </c>
      <c r="CK13" s="319">
        <f t="shared" si="25"/>
        <v>0.96064377962220315</v>
      </c>
      <c r="CL13" s="250">
        <f>CL10-CL11-CL12</f>
        <v>47885249.680000022</v>
      </c>
      <c r="CM13" s="251">
        <f t="shared" si="26"/>
        <v>0.41888607927574106</v>
      </c>
    </row>
    <row r="14" spans="2:91" s="238" customFormat="1" ht="10.35" customHeight="1" thickBot="1">
      <c r="B14" s="240" t="s">
        <v>14</v>
      </c>
      <c r="C14" s="190">
        <f>SUMIF('MVTO E'!$C$3:$C$240,"Imp_Vda",'MVTO E'!$G$3:$G$240)</f>
        <v>4511859.13</v>
      </c>
      <c r="D14" s="209">
        <f t="shared" ref="D14:H29" si="116">C14/$C$10</f>
        <v>0.13713437523329641</v>
      </c>
      <c r="E14" s="190">
        <f>SUMIF('MVTO A'!$C$3:$C$184,"Imp_Vda",'MVTO A'!$G$3:$G$184)</f>
        <v>295759.72000000003</v>
      </c>
      <c r="F14" s="209">
        <f>E14/$E$10</f>
        <v>7.4843141901268742E-2</v>
      </c>
      <c r="G14" s="190">
        <f t="shared" si="115"/>
        <v>4807618.8499999996</v>
      </c>
      <c r="H14" s="209">
        <f>G14/$G$10</f>
        <v>0.13045487120068705</v>
      </c>
      <c r="I14" s="190">
        <f>SUMIF('MVTO E'!$C$3:$C$240,"Imp_Vda",'MVTO E'!$H$3:$H$240)</f>
        <v>2213354.63</v>
      </c>
      <c r="J14" s="209">
        <f>I14/$I$10</f>
        <v>0.1042558757182236</v>
      </c>
      <c r="K14" s="190">
        <f>SUMIF('MVTO A'!$C$3:$C$184,"Imp_Vda",'MVTO A'!$H$3:$H$184)</f>
        <v>282321.15999999997</v>
      </c>
      <c r="L14" s="209">
        <f>K14/$K$10</f>
        <v>8.256852813107729E-2</v>
      </c>
      <c r="M14" s="190">
        <f t="shared" si="1"/>
        <v>2495675.79</v>
      </c>
      <c r="N14" s="209">
        <f>M14/$M$10</f>
        <v>0.10124750407237522</v>
      </c>
      <c r="O14" s="245">
        <f t="shared" si="32"/>
        <v>-2311943.0599999996</v>
      </c>
      <c r="P14" s="190">
        <f>SUMIF('MVTO E'!$C$3:$C$240,"Imp_Vda",'MVTO E'!$I$3:$I$240)</f>
        <v>2370780.41</v>
      </c>
      <c r="Q14" s="209">
        <f>P14/$P$10</f>
        <v>9.9581995784262939E-2</v>
      </c>
      <c r="R14" s="190">
        <f>SUMIF('MVTO A'!$C$3:$C$184,"Imp_Vda",'MVTO A'!$I$3:$I$184)</f>
        <v>144833.21</v>
      </c>
      <c r="S14" s="209">
        <f>R14/$R$10</f>
        <v>3.967397780082639E-2</v>
      </c>
      <c r="T14" s="190">
        <f t="shared" si="4"/>
        <v>2515613.62</v>
      </c>
      <c r="U14" s="209">
        <f>T14/$T$10</f>
        <v>9.1617102238098561E-2</v>
      </c>
      <c r="V14" s="245">
        <f t="shared" si="34"/>
        <v>19937.830000000075</v>
      </c>
      <c r="W14" s="190">
        <f>SUMIF('MVTO E'!$C$3:$C$240,"Imp_Vda",'MVTO E'!$J$3:$J$240)</f>
        <v>2203266.85</v>
      </c>
      <c r="X14" s="209">
        <f>W14/$W$10</f>
        <v>9.9250745511323818E-2</v>
      </c>
      <c r="Y14" s="190">
        <f>SUMIF('MVTO A'!$C$3:$C$184,"Imp_Vda",'MVTO A'!$J$3:$J$184)</f>
        <v>248869.95</v>
      </c>
      <c r="Z14" s="209">
        <f>Y14/$Y$10</f>
        <v>7.8836299952417879E-2</v>
      </c>
      <c r="AA14" s="190">
        <f t="shared" si="36"/>
        <v>2452136.8000000003</v>
      </c>
      <c r="AB14" s="209">
        <f>AA14/$AA$10</f>
        <v>9.6709148557148308E-2</v>
      </c>
      <c r="AC14" s="245">
        <f t="shared" si="37"/>
        <v>-63476.819999999832</v>
      </c>
      <c r="AD14" s="190">
        <f>SUMIF('MVTO E'!$C$3:$C$240,"Imp_Vda",'MVTO E'!$K$3:$K$240)</f>
        <v>0</v>
      </c>
      <c r="AE14" s="209" t="e">
        <f>AD14/$AD$10</f>
        <v>#DIV/0!</v>
      </c>
      <c r="AF14" s="190">
        <f>SUMIF('MVTO A'!$C$3:$C$184,"Imp_Vda",'MVTO A'!$K$3:$K$184)</f>
        <v>0</v>
      </c>
      <c r="AG14" s="209" t="e">
        <f>AF14/$AF$10</f>
        <v>#DIV/0!</v>
      </c>
      <c r="AH14" s="190">
        <f t="shared" si="83"/>
        <v>0</v>
      </c>
      <c r="AI14" s="209" t="e">
        <f>AH14/$AH$10</f>
        <v>#DIV/0!</v>
      </c>
      <c r="AJ14" s="245">
        <f t="shared" si="84"/>
        <v>-2452136.8000000003</v>
      </c>
      <c r="AK14" s="190">
        <f>SUMIF('MVTO E'!$C$3:$C$240,"Imp_Vda",'MVTO E'!$L$3:$L$240)</f>
        <v>0</v>
      </c>
      <c r="AL14" s="209" t="e">
        <f>AK14/$AK$10</f>
        <v>#DIV/0!</v>
      </c>
      <c r="AM14" s="190">
        <f>SUMIF('MVTO A'!$C$3:$C$184,"Imp_Vda",'MVTO A'!$L$3:$L$184)</f>
        <v>0</v>
      </c>
      <c r="AN14" s="209" t="e">
        <f>AM14/$AM$10</f>
        <v>#DIV/0!</v>
      </c>
      <c r="AO14" s="190">
        <f t="shared" si="87"/>
        <v>0</v>
      </c>
      <c r="AP14" s="209" t="e">
        <f>AO14/$AO$10</f>
        <v>#DIV/0!</v>
      </c>
      <c r="AQ14" s="245">
        <f t="shared" si="88"/>
        <v>0</v>
      </c>
      <c r="AR14" s="190">
        <f>SUMIF('MVTO E'!$C$3:$C$240,"Imp_Vda",'MVTO E'!$M$3:$M$240)</f>
        <v>0</v>
      </c>
      <c r="AS14" s="209" t="e">
        <f>AR14/$AR$10</f>
        <v>#DIV/0!</v>
      </c>
      <c r="AT14" s="190">
        <f>SUMIF('MVTO A'!$C$3:$C$184,"Imp_Vda",'MVTO A'!$M$3:$M$189)</f>
        <v>0</v>
      </c>
      <c r="AU14" s="209" t="e">
        <f>AT14/$AT$10</f>
        <v>#DIV/0!</v>
      </c>
      <c r="AV14" s="190">
        <f t="shared" si="91"/>
        <v>0</v>
      </c>
      <c r="AW14" s="209" t="e">
        <f>AV14/$AV$10</f>
        <v>#DIV/0!</v>
      </c>
      <c r="AX14" s="245">
        <f t="shared" si="92"/>
        <v>0</v>
      </c>
      <c r="AY14" s="190">
        <f>SUMIF('MVTO E'!$C$3:$C$240,"Imp_Vda",'MVTO E'!$N$3:$N$240)</f>
        <v>0</v>
      </c>
      <c r="AZ14" s="209" t="e">
        <f>AY14/$AY$10</f>
        <v>#DIV/0!</v>
      </c>
      <c r="BA14" s="190">
        <f>SUMIF('MVTO A'!$C$3:$C$184,"Imp_Vda",'MVTO A'!$N$3:$N$189)</f>
        <v>0</v>
      </c>
      <c r="BB14" s="209" t="e">
        <f>BA14/$BA$10</f>
        <v>#DIV/0!</v>
      </c>
      <c r="BC14" s="190">
        <f t="shared" si="95"/>
        <v>0</v>
      </c>
      <c r="BD14" s="209" t="e">
        <f>BC14/$BC$10</f>
        <v>#DIV/0!</v>
      </c>
      <c r="BE14" s="245">
        <f t="shared" si="96"/>
        <v>0</v>
      </c>
      <c r="BF14" s="190">
        <f>SUMIF('MVTO E'!$C$3:$C$240,"Imp_Vda",'MVTO E'!$O$3:$O$240)</f>
        <v>0</v>
      </c>
      <c r="BG14" s="209" t="e">
        <f>BF14/$BF$10</f>
        <v>#DIV/0!</v>
      </c>
      <c r="BH14" s="190">
        <f>SUMIF('MVTO A'!$C$3:$C$195,"Imp_Vda",'MVTO A'!$O$3:$O$195)</f>
        <v>0</v>
      </c>
      <c r="BI14" s="209" t="e">
        <f>BH14/$BH$10</f>
        <v>#DIV/0!</v>
      </c>
      <c r="BJ14" s="190">
        <f t="shared" si="99"/>
        <v>0</v>
      </c>
      <c r="BK14" s="209" t="e">
        <f>BJ14/$BJ$10</f>
        <v>#DIV/0!</v>
      </c>
      <c r="BL14" s="245">
        <f t="shared" si="100"/>
        <v>0</v>
      </c>
      <c r="BM14" s="190">
        <f>SUMIF('MVTO E'!$C$3:$C$240,"Imp_Vda",'MVTO E'!$P$3:$P$240)</f>
        <v>0</v>
      </c>
      <c r="BN14" s="209" t="e">
        <f>BM14/$BF$10</f>
        <v>#DIV/0!</v>
      </c>
      <c r="BO14" s="190">
        <f>SUMIF('MVTO A'!$C$3:$C$184,"Imp_Vda",'MVTO A'!$P$3:$P$189)</f>
        <v>0</v>
      </c>
      <c r="BP14" s="209" t="e">
        <f>BO14/$BH$10</f>
        <v>#DIV/0!</v>
      </c>
      <c r="BQ14" s="190">
        <f t="shared" si="103"/>
        <v>0</v>
      </c>
      <c r="BR14" s="209" t="e">
        <f>BQ14/$BJ$10</f>
        <v>#DIV/0!</v>
      </c>
      <c r="BS14" s="245">
        <f t="shared" si="104"/>
        <v>0</v>
      </c>
      <c r="BT14" s="190">
        <f>SUMIF('MVTO E'!$C$3:$C$240,"Imp_Vda",'MVTO E'!$Q$3:$Q$240)</f>
        <v>0</v>
      </c>
      <c r="BU14" s="209" t="e">
        <f>BT14/$BF$10</f>
        <v>#DIV/0!</v>
      </c>
      <c r="BV14" s="190">
        <f>SUMIF('MVTO A'!$C$3:$C$184,"Imp_Vda",'MVTO A'!$Q$3:$Q$189)</f>
        <v>0</v>
      </c>
      <c r="BW14" s="209" t="e">
        <f>BV14/$BH$10</f>
        <v>#DIV/0!</v>
      </c>
      <c r="BX14" s="190">
        <f t="shared" si="107"/>
        <v>0</v>
      </c>
      <c r="BY14" s="209" t="e">
        <f>BX14/$BJ$10</f>
        <v>#DIV/0!</v>
      </c>
      <c r="BZ14" s="245">
        <f t="shared" si="108"/>
        <v>0</v>
      </c>
      <c r="CA14" s="190">
        <f>SUMIF('MVTO E'!$C$3:$C$240,"Imp_Vda",'MVTO E'!$R$3:$R$240)</f>
        <v>0</v>
      </c>
      <c r="CB14" s="209" t="e">
        <f>CA14/$BF$10</f>
        <v>#DIV/0!</v>
      </c>
      <c r="CC14" s="190">
        <f>SUMIF('MVTO A'!$C$3:$C$184,"Imp_Vda",'MVTO A'!$R$3:$R$189)</f>
        <v>0</v>
      </c>
      <c r="CD14" s="209" t="e">
        <f>CC14/$BH$10</f>
        <v>#DIV/0!</v>
      </c>
      <c r="CE14" s="190">
        <f t="shared" si="111"/>
        <v>0</v>
      </c>
      <c r="CF14" s="209" t="e">
        <f>CE14/$BJ$10</f>
        <v>#DIV/0!</v>
      </c>
      <c r="CG14" s="245">
        <f t="shared" si="112"/>
        <v>0</v>
      </c>
      <c r="CH14" s="242">
        <f t="shared" ref="CH14:CL17" si="117">SUM(C14,I14,P14,W14,AD14,AK14,AR14,AY14,BF14,BM14,BT14,CA14)</f>
        <v>11299261.02</v>
      </c>
      <c r="CI14" s="246">
        <f t="shared" si="24"/>
        <v>0.11283763251861881</v>
      </c>
      <c r="CJ14" s="242">
        <f t="shared" si="117"/>
        <v>971784.04</v>
      </c>
      <c r="CK14" s="246">
        <f t="shared" si="25"/>
        <v>6.8540040235893149E-2</v>
      </c>
      <c r="CL14" s="242">
        <f t="shared" si="117"/>
        <v>12271045.060000001</v>
      </c>
      <c r="CM14" s="247">
        <f t="shared" si="26"/>
        <v>0.10734349279056216</v>
      </c>
    </row>
    <row r="15" spans="2:91" s="238" customFormat="1" ht="10.35" customHeight="1" thickBot="1">
      <c r="B15" s="240" t="s">
        <v>354</v>
      </c>
      <c r="C15" s="190">
        <f>SUMIF('MVTO E'!$C$3:$C$240,"Outros_Creditos",'MVTO E'!$G$3:$G$240)</f>
        <v>73614.990000000005</v>
      </c>
      <c r="D15" s="209">
        <f>C15/$C$10</f>
        <v>2.2374691608457566E-3</v>
      </c>
      <c r="E15" s="190">
        <f>SUMIF('MVTO A'!$C$3:$C$184,"Outros_Creditos",'MVTO A'!$G$3:$G$184)</f>
        <v>4773.84</v>
      </c>
      <c r="F15" s="209">
        <f>E15/$E$10</f>
        <v>1.2080386894265142E-3</v>
      </c>
      <c r="G15" s="190">
        <f t="shared" si="115"/>
        <v>78388.83</v>
      </c>
      <c r="H15" s="209">
        <f>G15/$G$10</f>
        <v>2.1270830821421196E-3</v>
      </c>
      <c r="I15" s="190">
        <f>SUMIF('MVTO E'!$C$3:$C$240,"Outros_Creditos",'MVTO E'!$H$3:$H$240)</f>
        <v>112375.92</v>
      </c>
      <c r="J15" s="209">
        <f>I15/$I$10</f>
        <v>5.2932547683246936E-3</v>
      </c>
      <c r="K15" s="190">
        <f>SUMIF('MVTO A'!$C$3:$C$184,"Outros_Creditos",'MVTO A'!$H$3:$H$184)</f>
        <v>12404.57</v>
      </c>
      <c r="L15" s="209">
        <f>K15/$K$10</f>
        <v>3.6278792811665888E-3</v>
      </c>
      <c r="M15" s="190">
        <f t="shared" si="1"/>
        <v>124780.48999999999</v>
      </c>
      <c r="N15" s="209">
        <f>M15/$M$10</f>
        <v>5.0622413456308654E-3</v>
      </c>
      <c r="O15" s="245">
        <f t="shared" si="32"/>
        <v>46391.659999999989</v>
      </c>
      <c r="P15" s="190">
        <f>SUMIF('MVTO E'!$C$3:$C$240,"Outros_Creditos",'MVTO E'!$I$3:$I$240)</f>
        <v>70164.12</v>
      </c>
      <c r="Q15" s="209">
        <f>P15/$P$10</f>
        <v>2.9471658668069208E-3</v>
      </c>
      <c r="R15" s="190">
        <f>SUMIF('MVTO A'!$C$3:$C$184,"Outros_Creditos",'MVTO A'!$I$3:$I$184)</f>
        <v>21701.73</v>
      </c>
      <c r="S15" s="209">
        <f>R15/$R$10</f>
        <v>5.9447274161742881E-3</v>
      </c>
      <c r="T15" s="190">
        <f t="shared" si="4"/>
        <v>91865.849999999991</v>
      </c>
      <c r="U15" s="209">
        <f>T15/$T$10</f>
        <v>3.3456978069787303E-3</v>
      </c>
      <c r="V15" s="245">
        <f>T15-M15</f>
        <v>-32914.639999999999</v>
      </c>
      <c r="W15" s="190">
        <f>SUMIF('MVTO E'!$C$3:$C$240,"Outros_Creditos",'MVTO E'!$J$3:$J$240)</f>
        <v>39439.29</v>
      </c>
      <c r="X15" s="209">
        <f>W15/$W$10</f>
        <v>1.7766249852746155E-3</v>
      </c>
      <c r="Y15" s="190">
        <f>SUMIF('MVTO A'!$C$3:$C$184,"Outros_Creditos",'MVTO A'!$J$3:$J$184)</f>
        <v>16268.44</v>
      </c>
      <c r="Z15" s="209">
        <f>Y15/$Y$10</f>
        <v>5.1534691737508409E-3</v>
      </c>
      <c r="AA15" s="190">
        <f t="shared" si="36"/>
        <v>55707.73</v>
      </c>
      <c r="AB15" s="209">
        <f>AA15/$AA$10</f>
        <v>2.1970418356559501E-3</v>
      </c>
      <c r="AC15" s="245">
        <f t="shared" si="37"/>
        <v>-36158.119999999988</v>
      </c>
      <c r="AD15" s="190">
        <f>SUMIF('MVTO E'!$C$3:$C$240,"Outros_Creditos",'MVTO E'!$K$3:$K$240)</f>
        <v>0</v>
      </c>
      <c r="AE15" s="209" t="e">
        <f>AD15/$AD$10</f>
        <v>#DIV/0!</v>
      </c>
      <c r="AF15" s="190">
        <f>SUMIF('MVTO A'!$C$3:$C$184,"Outros_Creditos",'MVTO A'!$K$3:$K$184)</f>
        <v>0</v>
      </c>
      <c r="AG15" s="209" t="e">
        <f>AF15/$AF$10</f>
        <v>#DIV/0!</v>
      </c>
      <c r="AH15" s="190">
        <f t="shared" si="83"/>
        <v>0</v>
      </c>
      <c r="AI15" s="209" t="e">
        <f>AH15/$AH$10</f>
        <v>#DIV/0!</v>
      </c>
      <c r="AJ15" s="245">
        <f t="shared" si="84"/>
        <v>-55707.73</v>
      </c>
      <c r="AK15" s="190">
        <f>SUMIF('MVTO E'!$C$3:$C$240,"Outros_Creditos",'MVTO E'!$L$3:$L$240)</f>
        <v>0</v>
      </c>
      <c r="AL15" s="209" t="e">
        <f>AK15/$AK$10</f>
        <v>#DIV/0!</v>
      </c>
      <c r="AM15" s="190">
        <f>SUMIF('MVTO A'!$C$3:$C$184,"Outros_Creditos",'MVTO A'!$L$3:$L$184)</f>
        <v>0</v>
      </c>
      <c r="AN15" s="209" t="e">
        <f>AM15/$AM$10</f>
        <v>#DIV/0!</v>
      </c>
      <c r="AO15" s="190">
        <f t="shared" si="87"/>
        <v>0</v>
      </c>
      <c r="AP15" s="209" t="e">
        <f>AO15/$AO$10</f>
        <v>#DIV/0!</v>
      </c>
      <c r="AQ15" s="245">
        <f t="shared" si="88"/>
        <v>0</v>
      </c>
      <c r="AR15" s="190">
        <f>SUMIF('MVTO E'!$C$3:$C$240,"Outros_Creditos",'MVTO E'!$M$3:$M$240)</f>
        <v>0</v>
      </c>
      <c r="AS15" s="209" t="e">
        <f>AR15/$AR$10</f>
        <v>#DIV/0!</v>
      </c>
      <c r="AT15" s="190">
        <f>SUMIF('MVTO A'!$C$3:$C$184,"Outros_Creditos",'MVTO A'!$M$3:$M$189)</f>
        <v>0</v>
      </c>
      <c r="AU15" s="209" t="e">
        <f>AT15/$AT$10</f>
        <v>#DIV/0!</v>
      </c>
      <c r="AV15" s="190">
        <f t="shared" si="91"/>
        <v>0</v>
      </c>
      <c r="AW15" s="209" t="e">
        <f>AV15/$AV$10</f>
        <v>#DIV/0!</v>
      </c>
      <c r="AX15" s="245">
        <f t="shared" si="92"/>
        <v>0</v>
      </c>
      <c r="AY15" s="190">
        <f>SUMIF('MVTO E'!$C$3:$C$240,"Outros_Creditos",'MVTO E'!$N$3:$N$240)</f>
        <v>0</v>
      </c>
      <c r="AZ15" s="209" t="e">
        <f>AY15/$AY$10</f>
        <v>#DIV/0!</v>
      </c>
      <c r="BA15" s="190">
        <f>SUMIF('MVTO A'!$C$3:$C$184,"Outros_Creditos",'MVTO A'!$N$3:$N$189)</f>
        <v>0</v>
      </c>
      <c r="BB15" s="209" t="e">
        <f>BA15/$BA$10</f>
        <v>#DIV/0!</v>
      </c>
      <c r="BC15" s="190">
        <f t="shared" si="95"/>
        <v>0</v>
      </c>
      <c r="BD15" s="209" t="e">
        <f>BC15/$BC$10</f>
        <v>#DIV/0!</v>
      </c>
      <c r="BE15" s="245">
        <f t="shared" si="96"/>
        <v>0</v>
      </c>
      <c r="BF15" s="190">
        <f>SUMIF('MVTO E'!$C$3:$C$240,"Outros_Creditos",'MVTO E'!$O$3:$O$240)</f>
        <v>0</v>
      </c>
      <c r="BG15" s="209" t="e">
        <f>BF15/$BF$10</f>
        <v>#DIV/0!</v>
      </c>
      <c r="BH15" s="190">
        <f>SUMIF('MVTO A'!$C$3:$C$195,"Outros_Creditos",'MVTO A'!$O$3:$O$195)</f>
        <v>0</v>
      </c>
      <c r="BI15" s="209" t="e">
        <f>BH15/$BH$10</f>
        <v>#DIV/0!</v>
      </c>
      <c r="BJ15" s="190">
        <f t="shared" si="99"/>
        <v>0</v>
      </c>
      <c r="BK15" s="209" t="e">
        <f>BJ15/$BJ$10</f>
        <v>#DIV/0!</v>
      </c>
      <c r="BL15" s="245">
        <f t="shared" si="100"/>
        <v>0</v>
      </c>
      <c r="BM15" s="190">
        <f>SUMIF('MVTO E'!$C$3:$C$240,"Outros_Creditos",'MVTO E'!$P$3:$P$240)</f>
        <v>0</v>
      </c>
      <c r="BN15" s="209" t="e">
        <f>BM15/$BF$10</f>
        <v>#DIV/0!</v>
      </c>
      <c r="BO15" s="190">
        <f>SUMIF('MVTO A'!$C$3:$C$184,"Outros_Creditos",'MVTO A'!$P$3:$P$189)</f>
        <v>0</v>
      </c>
      <c r="BP15" s="209" t="e">
        <f>BO15/$BH$10</f>
        <v>#DIV/0!</v>
      </c>
      <c r="BQ15" s="190">
        <f t="shared" si="103"/>
        <v>0</v>
      </c>
      <c r="BR15" s="209" t="e">
        <f>BQ15/$BJ$10</f>
        <v>#DIV/0!</v>
      </c>
      <c r="BS15" s="245">
        <f t="shared" si="104"/>
        <v>0</v>
      </c>
      <c r="BT15" s="190">
        <f>SUMIF('MVTO E'!$C$3:$C$240,"Outros_Creditos",'MVTO E'!$Q$3:$Q$240)</f>
        <v>0</v>
      </c>
      <c r="BU15" s="209" t="e">
        <f>BT15/$BF$10</f>
        <v>#DIV/0!</v>
      </c>
      <c r="BV15" s="190">
        <f>SUMIF('MVTO A'!$C$3:$C$184,"Outros_Creditos",'MVTO A'!$Q$3:$Q$189)</f>
        <v>0</v>
      </c>
      <c r="BW15" s="209" t="e">
        <f>BV15/$BH$10</f>
        <v>#DIV/0!</v>
      </c>
      <c r="BX15" s="190">
        <f t="shared" si="107"/>
        <v>0</v>
      </c>
      <c r="BY15" s="209" t="e">
        <f>BX15/$BJ$10</f>
        <v>#DIV/0!</v>
      </c>
      <c r="BZ15" s="245">
        <f t="shared" si="108"/>
        <v>0</v>
      </c>
      <c r="CA15" s="190">
        <f>SUMIF('MVTO E'!$C$3:$C$240,"Outros_Creditos",'MVTO E'!$R$3:$R$240)</f>
        <v>0</v>
      </c>
      <c r="CB15" s="209" t="e">
        <f>CA15/$BF$10</f>
        <v>#DIV/0!</v>
      </c>
      <c r="CC15" s="190">
        <f>SUMIF('MVTO A'!$C$3:$C$184,"Outros_Creditos",'MVTO A'!$R$3:$R$189)</f>
        <v>0</v>
      </c>
      <c r="CD15" s="209" t="e">
        <f>CC15/$BH$10</f>
        <v>#DIV/0!</v>
      </c>
      <c r="CE15" s="190">
        <f t="shared" ref="CE15:CE17" si="118">CA15+CC15</f>
        <v>0</v>
      </c>
      <c r="CF15" s="209" t="e">
        <f>CE15/$BJ$10</f>
        <v>#DIV/0!</v>
      </c>
      <c r="CG15" s="245">
        <f t="shared" si="112"/>
        <v>0</v>
      </c>
      <c r="CH15" s="242">
        <f t="shared" si="117"/>
        <v>295594.32</v>
      </c>
      <c r="CI15" s="246">
        <f t="shared" si="24"/>
        <v>2.9518889063376123E-3</v>
      </c>
      <c r="CJ15" s="242">
        <f t="shared" si="117"/>
        <v>55148.58</v>
      </c>
      <c r="CK15" s="246">
        <f t="shared" si="25"/>
        <v>3.8896356974049214E-3</v>
      </c>
      <c r="CL15" s="242">
        <f t="shared" si="117"/>
        <v>350742.89999999997</v>
      </c>
      <c r="CM15" s="247">
        <f t="shared" si="26"/>
        <v>3.0681957219942648E-3</v>
      </c>
    </row>
    <row r="16" spans="2:91" s="238" customFormat="1" ht="10.35" customHeight="1" thickBot="1">
      <c r="B16" s="240" t="s">
        <v>229</v>
      </c>
      <c r="C16" s="190">
        <f>SUMIF('MVTO E'!$C$3:$C$240,"Outros_Debitos",'MVTO E'!$G$3:$G$240)+SUMIF('DESP E'!$D$3:$D$146,"S_Fornec",'DESP E'!$G$3:$G$146)</f>
        <v>1280.29</v>
      </c>
      <c r="D16" s="209">
        <f t="shared" si="116"/>
        <v>3.8913397827524163E-5</v>
      </c>
      <c r="E16" s="190">
        <f>SUMIF('MVTO A'!$C$3:$C$184,"Outros_Debitos",'MVTO A'!$G$3:$G$184)+SUMIF('DESP A'!$D$3:$D$129,"S_Fornec",'DESP A'!$G$3:$G$129)</f>
        <v>0</v>
      </c>
      <c r="F16" s="209">
        <f>E16/$E$10</f>
        <v>0</v>
      </c>
      <c r="G16" s="190">
        <f t="shared" si="115"/>
        <v>1280.29</v>
      </c>
      <c r="H16" s="209">
        <f>G16/$G$10</f>
        <v>3.4740704756477863E-5</v>
      </c>
      <c r="I16" s="190">
        <f>SUMIF('MVTO E'!$C$3:$C$240,"Outros_Debitos",'MVTO E'!$H$3:$H$240)+SUMIF('DESP E'!$D$3:$D$146,"S_Fornec",'DESP E'!$H$3:$H$146)</f>
        <v>688.64</v>
      </c>
      <c r="J16" s="209">
        <f>I16/$I$10</f>
        <v>3.2437082282922508E-5</v>
      </c>
      <c r="K16" s="190">
        <f>SUMIF('MVTO A'!$C$3:$C$184,"Outros_Debitos",'MVTO A'!$H$3:$H$184)+SUMIF('DESP A'!$D$3:$D$129,"S_Fornec",'DESP A'!$H$3:$H$129)</f>
        <v>0</v>
      </c>
      <c r="L16" s="209">
        <f>K16/$K$10</f>
        <v>0</v>
      </c>
      <c r="M16" s="190">
        <f t="shared" si="1"/>
        <v>688.64</v>
      </c>
      <c r="N16" s="209">
        <f>M16/$M$10</f>
        <v>2.7937555624723382E-5</v>
      </c>
      <c r="O16" s="245">
        <f t="shared" si="32"/>
        <v>-591.65</v>
      </c>
      <c r="P16" s="190">
        <f>SUMIF('MVTO E'!$C$3:$C$240,"Outros_Debitos",'MVTO E'!$I$3:$I$240)+SUMIF('DESP E'!$D$3:$D$146,"S_Fornec",'DESP E'!$I$3:$I$146)</f>
        <v>234.92</v>
      </c>
      <c r="Q16" s="209">
        <f>P16/$P$10</f>
        <v>9.8675534650798992E-6</v>
      </c>
      <c r="R16" s="190">
        <f>SUMIF('MVTO A'!$C$3:$C$184,"Outros_Debitos",'MVTO A'!$I$3:$I$184)+SUMIF('DESP A'!$D$3:$D$129,"S_Fornec",'DESP A'!$I$3:$I$129)</f>
        <v>166.98</v>
      </c>
      <c r="S16" s="209">
        <f>R16/$R$10</f>
        <v>4.5740619939183768E-5</v>
      </c>
      <c r="T16" s="190">
        <f t="shared" si="4"/>
        <v>401.9</v>
      </c>
      <c r="U16" s="209">
        <f>T16/$T$10</f>
        <v>1.4636951039202836E-5</v>
      </c>
      <c r="V16" s="245">
        <f t="shared" si="34"/>
        <v>-286.74</v>
      </c>
      <c r="W16" s="190">
        <f>SUMIF('MVTO E'!$C$3:$C$240,"Outros_Debitos",'MVTO E'!$J$3:$J$240)+SUMIF('DESP E'!$D$3:$D$146,"S_Fornec",'DESP E'!$J$3:$J$146)</f>
        <v>216.79</v>
      </c>
      <c r="X16" s="209">
        <f>W16/$W$10</f>
        <v>9.765757207030954E-6</v>
      </c>
      <c r="Y16" s="190">
        <f>SUMIF('MVTO A'!$C$3:$C$184,"Outros_Debitos",'MVTO A'!$J$3:$J$184)+SUMIF('DESP A'!$D$3:$D$129,"S_Fornec",'DESP A'!$J$3:$J$129)</f>
        <v>0</v>
      </c>
      <c r="Z16" s="209">
        <f>Y16/$Y$10</f>
        <v>0</v>
      </c>
      <c r="AA16" s="190">
        <f t="shared" si="36"/>
        <v>216.79</v>
      </c>
      <c r="AB16" s="209">
        <f>AA16/$AA$10</f>
        <v>8.549921160884735E-6</v>
      </c>
      <c r="AC16" s="245">
        <f t="shared" si="37"/>
        <v>-185.10999999999999</v>
      </c>
      <c r="AD16" s="190">
        <f>SUMIF('MVTO E'!$C$3:$C$240,"Outros_Debitos",'MVTO E'!$K$3:$K$240)+SUMIF('DESP E'!$D$3:$D$146,"S_Fornec",'DESP E'!$K$3:$K$146)</f>
        <v>0</v>
      </c>
      <c r="AE16" s="209" t="e">
        <f>AD16/$AD$10</f>
        <v>#DIV/0!</v>
      </c>
      <c r="AF16" s="190">
        <f>SUMIF('MVTO A'!$C$3:$C$184,"Outros_Debitos",'MVTO A'!$K$3:$K$184)+SUMIF('DESP A'!$D$3:$D$129,"S_Fornec",'DESP A'!$K$3:$K$129)</f>
        <v>0</v>
      </c>
      <c r="AG16" s="209" t="e">
        <f>AF16/$AF$10</f>
        <v>#DIV/0!</v>
      </c>
      <c r="AH16" s="190">
        <f t="shared" si="83"/>
        <v>0</v>
      </c>
      <c r="AI16" s="209" t="e">
        <f>AH16/$AH$10</f>
        <v>#DIV/0!</v>
      </c>
      <c r="AJ16" s="245">
        <f t="shared" si="84"/>
        <v>-216.79</v>
      </c>
      <c r="AK16" s="190">
        <f>SUMIF('MVTO E'!$C$3:$C$240,"Outros_Debitos",'MVTO E'!$L$3:$L$240)+SUMIF('DESP E'!$D$3:$D$146,"S_Fornec",'DESP E'!$L$3:$L$146)</f>
        <v>0</v>
      </c>
      <c r="AL16" s="209" t="e">
        <f>AK16/$AK$10</f>
        <v>#DIV/0!</v>
      </c>
      <c r="AM16" s="190">
        <f>SUMIF('MVTO A'!$C$3:$C$184,"Outros_Debitos",'MVTO A'!$L$3:$L$184)+SUMIF('DESP A'!$D$3:$D$129,"S_Fornec",'DESP A'!$L$3:$L$129)</f>
        <v>0</v>
      </c>
      <c r="AN16" s="209" t="e">
        <f>AM16/$AM$10</f>
        <v>#DIV/0!</v>
      </c>
      <c r="AO16" s="190">
        <f t="shared" si="87"/>
        <v>0</v>
      </c>
      <c r="AP16" s="209" t="e">
        <f>AO16/$AO$10</f>
        <v>#DIV/0!</v>
      </c>
      <c r="AQ16" s="245">
        <f t="shared" si="88"/>
        <v>0</v>
      </c>
      <c r="AR16" s="190">
        <f>SUMIF('MVTO E'!$C$3:$C$240,"Outros_Debitos",'MVTO E'!$M$3:$M$240)+SUMIF('DESP E'!$D$3:$D$146,"S_Fornec",'DESP E'!$M$3:$M$146)</f>
        <v>0</v>
      </c>
      <c r="AS16" s="209" t="e">
        <f>AR16/$AR$10</f>
        <v>#DIV/0!</v>
      </c>
      <c r="AT16" s="190">
        <f>SUMIF('MVTO A'!$C$3:$C$184,"Outros_Debitos",'MVTO A'!$M$3:$M$189)+SUMIF('DESP A'!$D$3:$D$129,"S_Fornec",'DESP A'!$M$3:$M$129)</f>
        <v>0</v>
      </c>
      <c r="AU16" s="209" t="e">
        <f>AT16/$AT$10</f>
        <v>#DIV/0!</v>
      </c>
      <c r="AV16" s="190">
        <f t="shared" si="91"/>
        <v>0</v>
      </c>
      <c r="AW16" s="209" t="e">
        <f>AV16/$AV$10</f>
        <v>#DIV/0!</v>
      </c>
      <c r="AX16" s="245">
        <f t="shared" si="92"/>
        <v>0</v>
      </c>
      <c r="AY16" s="190">
        <f>SUMIF('MVTO E'!$C$3:$C$240,"Outros_Debitos",'MVTO E'!$N$3:$N$240)+SUMIF('DESP E'!$D$3:$D$146,"S_Fornec",'DESP E'!$N$3:$N$146)</f>
        <v>0</v>
      </c>
      <c r="AZ16" s="209" t="e">
        <f>AY16/$AY$10</f>
        <v>#DIV/0!</v>
      </c>
      <c r="BA16" s="190">
        <f>SUMIF('MVTO A'!$C$3:$C$184,"Outros_Debitos",'MVTO A'!$N$3:$N$189)+SUMIF('DESP A'!$D$3:$D$129,"S_Fornec",'DESP A'!$N$3:$N$129)</f>
        <v>0</v>
      </c>
      <c r="BB16" s="209" t="e">
        <f>BA16/$BA$10</f>
        <v>#DIV/0!</v>
      </c>
      <c r="BC16" s="190">
        <f t="shared" si="95"/>
        <v>0</v>
      </c>
      <c r="BD16" s="209" t="e">
        <f>BC16/$BC$10</f>
        <v>#DIV/0!</v>
      </c>
      <c r="BE16" s="245">
        <f t="shared" si="96"/>
        <v>0</v>
      </c>
      <c r="BF16" s="190">
        <f>SUMIF('MVTO E'!$C$3:$C$240,"Outros_Debitos",'MVTO E'!$O$3:$O$240)+SUMIF('DESP E'!$D$3:$D$146,"S_Fornec",'DESP E'!$O$3:$O$146)</f>
        <v>0</v>
      </c>
      <c r="BG16" s="209" t="e">
        <f>BF16/$BF$10</f>
        <v>#DIV/0!</v>
      </c>
      <c r="BH16" s="190">
        <f>SUMIF('MVTO A'!$C$3:$C$195,"Outros_Debitos",'MVTO A'!$O$3:$O$195)+SUMIF('DESP A'!$D$3:$D$144,"S_Fornec",'DESP A'!$O$3:$O$144)</f>
        <v>0</v>
      </c>
      <c r="BI16" s="209" t="e">
        <f>BH16/$BH$10</f>
        <v>#DIV/0!</v>
      </c>
      <c r="BJ16" s="190">
        <f t="shared" si="99"/>
        <v>0</v>
      </c>
      <c r="BK16" s="209" t="e">
        <f>BJ16/$BJ$10</f>
        <v>#DIV/0!</v>
      </c>
      <c r="BL16" s="245">
        <f t="shared" si="100"/>
        <v>0</v>
      </c>
      <c r="BM16" s="190">
        <f>SUMIF('MVTO E'!$C$3:$C$240,"Outros_Debitos",'MVTO E'!$P$3:$P$240)+SUMIF('DESP E'!$D$3:$D$146,"S_Fornec",'DESP E'!$P$3:$P$146)</f>
        <v>0</v>
      </c>
      <c r="BN16" s="209" t="e">
        <f>BM16/$BF$10</f>
        <v>#DIV/0!</v>
      </c>
      <c r="BO16" s="190">
        <f>SUMIF('MVTO A'!$C$3:$C$184,"Outros_Debitos",'MVTO A'!$P$3:$P$189)+SUMIF('DESP A'!$D$3:$D$129,"S_Fornec",'DESP A'!$P$3:$P$129)</f>
        <v>0</v>
      </c>
      <c r="BP16" s="209" t="e">
        <f>BO16/$BH$10</f>
        <v>#DIV/0!</v>
      </c>
      <c r="BQ16" s="190">
        <f t="shared" si="103"/>
        <v>0</v>
      </c>
      <c r="BR16" s="209" t="e">
        <f>BQ16/$BJ$10</f>
        <v>#DIV/0!</v>
      </c>
      <c r="BS16" s="245">
        <f t="shared" si="104"/>
        <v>0</v>
      </c>
      <c r="BT16" s="190">
        <f>SUMIF('MVTO E'!$C$3:$C$240,"Outros_Debitos",'MVTO E'!$Q$3:$Q$240)+SUMIF('DESP E'!$D$3:$D$146,"S_Fornec",'DESP E'!$Q$3:$Q$146)</f>
        <v>0</v>
      </c>
      <c r="BU16" s="209" t="e">
        <f>BT16/$BF$10</f>
        <v>#DIV/0!</v>
      </c>
      <c r="BV16" s="190">
        <f>SUMIF('MVTO A'!$C$3:$C$184,"Outros_Debitos",'MVTO A'!$Q$3:$Q$189)+SUMIF('DESP A'!$D$3:$D$129,"S_Fornec",'DESP A'!$Q$3:$Q$129)</f>
        <v>0</v>
      </c>
      <c r="BW16" s="209" t="e">
        <f>BV16/$BH$10</f>
        <v>#DIV/0!</v>
      </c>
      <c r="BX16" s="190">
        <f t="shared" si="107"/>
        <v>0</v>
      </c>
      <c r="BY16" s="209" t="e">
        <f>BX16/$BJ$10</f>
        <v>#DIV/0!</v>
      </c>
      <c r="BZ16" s="245">
        <f t="shared" si="108"/>
        <v>0</v>
      </c>
      <c r="CA16" s="190">
        <f>SUMIF('MVTO E'!$C$3:$C$240,"Outros_Debitos",'MVTO E'!$R$3:$R$240)+SUMIF('DESP E'!$D$3:$D$146,"S_Fornec",'DESP E'!$R$3:$R$146)</f>
        <v>0</v>
      </c>
      <c r="CB16" s="209" t="e">
        <f>CA16/$BF$10</f>
        <v>#DIV/0!</v>
      </c>
      <c r="CC16" s="190">
        <f>SUMIF('MVTO A'!$C$3:$C$184,"Outros_Debitos",'MVTO A'!$R$3:$R$189)+SUMIF('DESP A'!$D$3:$D$129,"S_Fornec",'DESP A'!$R$3:$R$129)</f>
        <v>0</v>
      </c>
      <c r="CD16" s="209" t="e">
        <f>CC16/$BH$10</f>
        <v>#DIV/0!</v>
      </c>
      <c r="CE16" s="190">
        <f t="shared" si="118"/>
        <v>0</v>
      </c>
      <c r="CF16" s="209" t="e">
        <f>CE16/$BJ$10</f>
        <v>#DIV/0!</v>
      </c>
      <c r="CG16" s="245">
        <f t="shared" si="112"/>
        <v>0</v>
      </c>
      <c r="CH16" s="242">
        <f t="shared" si="117"/>
        <v>2420.64</v>
      </c>
      <c r="CI16" s="246">
        <f t="shared" si="24"/>
        <v>2.4173199140758449E-5</v>
      </c>
      <c r="CJ16" s="242">
        <f t="shared" si="117"/>
        <v>166.98</v>
      </c>
      <c r="CK16" s="246">
        <f t="shared" si="25"/>
        <v>1.1777118626674951E-5</v>
      </c>
      <c r="CL16" s="242">
        <f t="shared" si="117"/>
        <v>2587.62</v>
      </c>
      <c r="CM16" s="247">
        <f t="shared" si="26"/>
        <v>2.2635738639746663E-5</v>
      </c>
    </row>
    <row r="17" spans="2:91" s="238" customFormat="1" ht="10.35" customHeight="1">
      <c r="B17" s="240" t="s">
        <v>15</v>
      </c>
      <c r="C17" s="190">
        <f>SUMIF('MVTO E'!$C$3:$C$240,"E_Fornec",'MVTO E'!$G$3:$G$240)</f>
        <v>796075.4</v>
      </c>
      <c r="D17" s="209">
        <f>C17/$C$10</f>
        <v>2.4196079592049797E-2</v>
      </c>
      <c r="E17" s="190">
        <f>SUMIF('MVTO A'!$C$3:$C$177,"E_Fornec",'MVTO A'!$G$3:$G$177)</f>
        <v>0</v>
      </c>
      <c r="F17" s="209">
        <f>E17/$E$10</f>
        <v>0</v>
      </c>
      <c r="G17" s="190">
        <f t="shared" si="115"/>
        <v>796075.4</v>
      </c>
      <c r="H17" s="209">
        <f>G17/$G$10</f>
        <v>2.1601528118859802E-2</v>
      </c>
      <c r="I17" s="190">
        <f>SUMIF('MVTO E'!$C$3:$C$240,"E_Fornec",'MVTO E'!$H$3:$H$240)</f>
        <v>1178828.32</v>
      </c>
      <c r="J17" s="209">
        <f>I17/$I$10</f>
        <v>5.5526474229320562E-2</v>
      </c>
      <c r="K17" s="190">
        <f>SUMIF('MVTO A'!$C$3:$C$177,"E_Fornec",'MVTO A'!$H$3:$H$177)</f>
        <v>0</v>
      </c>
      <c r="L17" s="209">
        <f>K17/$K$10</f>
        <v>0</v>
      </c>
      <c r="M17" s="190">
        <f t="shared" si="1"/>
        <v>1178828.32</v>
      </c>
      <c r="N17" s="209">
        <f>M17/$M$10</f>
        <v>4.7824090616286036E-2</v>
      </c>
      <c r="O17" s="245">
        <f t="shared" si="32"/>
        <v>382752.92000000004</v>
      </c>
      <c r="P17" s="190">
        <f>SUMIF('MVTO E'!$C$3:$C$240,"E_Fornec",'MVTO E'!$I$3:$I$240)</f>
        <v>660281.49000000011</v>
      </c>
      <c r="Q17" s="209">
        <f>P17/$P$10</f>
        <v>2.7734390024593991E-2</v>
      </c>
      <c r="R17" s="190">
        <f>SUMIF('MVTO A'!$C$3:$C$177,"E_Fornec",'MVTO A'!$I$3:$I$177)</f>
        <v>0</v>
      </c>
      <c r="S17" s="209">
        <f>R17/$R$10</f>
        <v>0</v>
      </c>
      <c r="T17" s="190">
        <f t="shared" si="4"/>
        <v>660281.49000000011</v>
      </c>
      <c r="U17" s="209">
        <f>T17/$T$10</f>
        <v>2.4047046133918632E-2</v>
      </c>
      <c r="V17" s="245">
        <f>T17-M17</f>
        <v>-518546.82999999996</v>
      </c>
      <c r="W17" s="190">
        <f>SUMIF('MVTO E'!$C$3:$C$240,"E_Fornec",'MVTO E'!$J$3:$J$240)</f>
        <v>554889.82000000007</v>
      </c>
      <c r="X17" s="209">
        <f>W17/$W$10</f>
        <v>2.4996167991019464E-2</v>
      </c>
      <c r="Y17" s="190">
        <f>SUMIF('MVTO A'!$C$3:$C$177,"E_Fornec",'MVTO A'!$J$3:$J$184)</f>
        <v>0</v>
      </c>
      <c r="Z17" s="209">
        <f>Y17/$Y$10</f>
        <v>0</v>
      </c>
      <c r="AA17" s="190">
        <f t="shared" si="36"/>
        <v>554889.82000000007</v>
      </c>
      <c r="AB17" s="209">
        <f>AA17/$AA$10</f>
        <v>2.1884146934718032E-2</v>
      </c>
      <c r="AC17" s="245">
        <f>AA17-T17</f>
        <v>-105391.67000000004</v>
      </c>
      <c r="AD17" s="190">
        <f>SUMIF('MVTO E'!$C$3:$C$240,"E_Fornec",'MVTO E'!$K$3:$K$240)</f>
        <v>0</v>
      </c>
      <c r="AE17" s="209" t="e">
        <f>AD17/$AD$10</f>
        <v>#DIV/0!</v>
      </c>
      <c r="AF17" s="190">
        <f>SUMIF('MVTO A'!$C$3:$C$177,"E_Fornec",'MVTO A'!$K$3:$K$177)</f>
        <v>0</v>
      </c>
      <c r="AG17" s="209" t="e">
        <f>AF17/$AF$10</f>
        <v>#DIV/0!</v>
      </c>
      <c r="AH17" s="190">
        <f t="shared" si="83"/>
        <v>0</v>
      </c>
      <c r="AI17" s="209" t="e">
        <f>AH17/$AH$10</f>
        <v>#DIV/0!</v>
      </c>
      <c r="AJ17" s="245">
        <f t="shared" si="84"/>
        <v>-554889.82000000007</v>
      </c>
      <c r="AK17" s="190">
        <f>SUMIF('MVTO E'!$C$3:$C$240,"E_Fornec",'MVTO E'!$L$3:$L$240)</f>
        <v>0</v>
      </c>
      <c r="AL17" s="209" t="e">
        <f>AK17/$AK$10</f>
        <v>#DIV/0!</v>
      </c>
      <c r="AM17" s="190">
        <f>SUMIF('MVTO A'!$C$3:$C$177,"E_Fornec",'MVTO A'!$I$3:$I$177)</f>
        <v>0</v>
      </c>
      <c r="AN17" s="209" t="e">
        <f>AM17/$AM$10</f>
        <v>#DIV/0!</v>
      </c>
      <c r="AO17" s="190">
        <f t="shared" si="87"/>
        <v>0</v>
      </c>
      <c r="AP17" s="209" t="e">
        <f>AO17/$AO$10</f>
        <v>#DIV/0!</v>
      </c>
      <c r="AQ17" s="245">
        <f t="shared" si="88"/>
        <v>0</v>
      </c>
      <c r="AR17" s="190">
        <f>SUMIF('MVTO E'!$C$3:$C$240,"E_Fornec",'MVTO E'!$M$3:$M$240)</f>
        <v>0</v>
      </c>
      <c r="AS17" s="209" t="e">
        <f>AR17/$AR$10</f>
        <v>#DIV/0!</v>
      </c>
      <c r="AT17" s="190">
        <f>SUMIF('MVTO A'!$C$3:$C$177,"E_Fornec",'MVTO A'!$M$3:$M$189)</f>
        <v>0</v>
      </c>
      <c r="AU17" s="209" t="e">
        <f>AT17/$AT$10</f>
        <v>#DIV/0!</v>
      </c>
      <c r="AV17" s="190">
        <f t="shared" si="91"/>
        <v>0</v>
      </c>
      <c r="AW17" s="209" t="e">
        <f>AV17/$AV$10</f>
        <v>#DIV/0!</v>
      </c>
      <c r="AX17" s="245">
        <f t="shared" si="92"/>
        <v>0</v>
      </c>
      <c r="AY17" s="190">
        <f>SUMIF('MVTO E'!$C$3:$C$240,"E_Fornec",'MVTO E'!$N$3:$N$240)</f>
        <v>0</v>
      </c>
      <c r="AZ17" s="209" t="e">
        <f>AY17/$AY$10</f>
        <v>#DIV/0!</v>
      </c>
      <c r="BA17" s="190">
        <f>SUMIF('MVTO A'!$C$3:$C$177,"E_Fornec",'MVTO A'!$I$3:$I$177)</f>
        <v>0</v>
      </c>
      <c r="BB17" s="209" t="e">
        <f>BA17/$BA$10</f>
        <v>#DIV/0!</v>
      </c>
      <c r="BC17" s="190">
        <f t="shared" si="95"/>
        <v>0</v>
      </c>
      <c r="BD17" s="209" t="e">
        <f>BC17/$BC$10</f>
        <v>#DIV/0!</v>
      </c>
      <c r="BE17" s="245">
        <f t="shared" si="96"/>
        <v>0</v>
      </c>
      <c r="BF17" s="190">
        <f>SUMIF('MVTO E'!$C$3:$C$240,"E_Fornec",'MVTO E'!$O$3:$O$240)</f>
        <v>0</v>
      </c>
      <c r="BG17" s="209" t="e">
        <f>BF17/$BF$10</f>
        <v>#DIV/0!</v>
      </c>
      <c r="BH17" s="190">
        <f>SUMIF('MVTO A'!$C$3:$C$177,"E_Fornec",'MVTO A'!$I$3:$I$195)</f>
        <v>0</v>
      </c>
      <c r="BI17" s="209" t="e">
        <f>BH17/$BH$10</f>
        <v>#DIV/0!</v>
      </c>
      <c r="BJ17" s="190">
        <f t="shared" si="99"/>
        <v>0</v>
      </c>
      <c r="BK17" s="209" t="e">
        <f>BJ17/$BJ$10</f>
        <v>#DIV/0!</v>
      </c>
      <c r="BL17" s="245">
        <f t="shared" si="100"/>
        <v>0</v>
      </c>
      <c r="BM17" s="190">
        <f>SUMIF('MVTO E'!$C$3:$C$240,"E_Fornec",'MVTO E'!$P$3:$P$240)</f>
        <v>0</v>
      </c>
      <c r="BN17" s="209" t="e">
        <f>BM17/$BF$10</f>
        <v>#DIV/0!</v>
      </c>
      <c r="BO17" s="190">
        <f>SUMIF('MVTO A'!$C$3:$C$177,"E_Fornec",'MVTO A'!$I$3:$I$177)</f>
        <v>0</v>
      </c>
      <c r="BP17" s="209" t="e">
        <f>BO17/$BH$10</f>
        <v>#DIV/0!</v>
      </c>
      <c r="BQ17" s="190">
        <f t="shared" si="103"/>
        <v>0</v>
      </c>
      <c r="BR17" s="209" t="e">
        <f>BQ17/$BJ$10</f>
        <v>#DIV/0!</v>
      </c>
      <c r="BS17" s="245">
        <f t="shared" si="104"/>
        <v>0</v>
      </c>
      <c r="BT17" s="190">
        <f>SUMIF('MVTO E'!$C$3:$C$240,"E_Fornec",'MVTO E'!$Q$3:$Q$240)</f>
        <v>0</v>
      </c>
      <c r="BU17" s="209" t="e">
        <f>BT17/$BF$10</f>
        <v>#DIV/0!</v>
      </c>
      <c r="BV17" s="190">
        <f>SUMIF('MVTO A'!$C$3:$C$177,"E_Fornec",'MVTO A'!$I$3:$I$177)</f>
        <v>0</v>
      </c>
      <c r="BW17" s="209" t="e">
        <f>BV17/$BH$10</f>
        <v>#DIV/0!</v>
      </c>
      <c r="BX17" s="190">
        <f t="shared" si="107"/>
        <v>0</v>
      </c>
      <c r="BY17" s="209" t="e">
        <f>BX17/$BJ$10</f>
        <v>#DIV/0!</v>
      </c>
      <c r="BZ17" s="245">
        <f t="shared" si="108"/>
        <v>0</v>
      </c>
      <c r="CA17" s="190">
        <f>SUMIF('MVTO E'!$C$3:$C$240,"E_Fornec",'MVTO E'!$R$3:$R$240)</f>
        <v>0</v>
      </c>
      <c r="CB17" s="209" t="e">
        <f>CA17/$BF$10</f>
        <v>#DIV/0!</v>
      </c>
      <c r="CC17" s="190">
        <f>SUMIF('MVTO A'!$C$3:$C$177,"E_Fornec",'MVTO A'!$I$3:$I$177)</f>
        <v>0</v>
      </c>
      <c r="CD17" s="209" t="e">
        <f>CC17/$BH$10</f>
        <v>#DIV/0!</v>
      </c>
      <c r="CE17" s="190">
        <f t="shared" si="118"/>
        <v>0</v>
      </c>
      <c r="CF17" s="209" t="e">
        <f>CE17/$BJ$10</f>
        <v>#DIV/0!</v>
      </c>
      <c r="CG17" s="245">
        <f t="shared" si="112"/>
        <v>0</v>
      </c>
      <c r="CH17" s="242">
        <f t="shared" si="117"/>
        <v>3190075.0300000003</v>
      </c>
      <c r="CI17" s="246">
        <f t="shared" si="24"/>
        <v>3.1856996073001763E-2</v>
      </c>
      <c r="CJ17" s="242">
        <f t="shared" si="117"/>
        <v>0</v>
      </c>
      <c r="CK17" s="246">
        <f t="shared" si="25"/>
        <v>0</v>
      </c>
      <c r="CL17" s="242">
        <f t="shared" si="117"/>
        <v>3190075.0300000003</v>
      </c>
      <c r="CM17" s="247">
        <f t="shared" si="26"/>
        <v>2.7905838036598112E-2</v>
      </c>
    </row>
    <row r="18" spans="2:91" s="238" customFormat="1" ht="10.35" customHeight="1" thickBot="1">
      <c r="B18" s="240"/>
      <c r="C18" s="190"/>
      <c r="D18" s="209"/>
      <c r="E18" s="190"/>
      <c r="F18" s="209"/>
      <c r="G18" s="190"/>
      <c r="H18" s="209"/>
      <c r="I18" s="190"/>
      <c r="J18" s="209"/>
      <c r="K18" s="190"/>
      <c r="L18" s="209"/>
      <c r="M18" s="190"/>
      <c r="N18" s="209"/>
      <c r="O18" s="248"/>
      <c r="P18" s="190"/>
      <c r="Q18" s="209"/>
      <c r="R18" s="190"/>
      <c r="S18" s="209"/>
      <c r="T18" s="190"/>
      <c r="U18" s="209"/>
      <c r="V18" s="248"/>
      <c r="W18" s="190"/>
      <c r="X18" s="209"/>
      <c r="Y18" s="190"/>
      <c r="Z18" s="209"/>
      <c r="AA18" s="190"/>
      <c r="AB18" s="209"/>
      <c r="AC18" s="248"/>
      <c r="AD18" s="190"/>
      <c r="AE18" s="209"/>
      <c r="AF18" s="190"/>
      <c r="AG18" s="209"/>
      <c r="AH18" s="190"/>
      <c r="AI18" s="209"/>
      <c r="AJ18" s="248"/>
      <c r="AK18" s="190"/>
      <c r="AL18" s="209"/>
      <c r="AM18" s="190"/>
      <c r="AN18" s="209"/>
      <c r="AO18" s="190"/>
      <c r="AP18" s="209"/>
      <c r="AQ18" s="248"/>
      <c r="AR18" s="190"/>
      <c r="AS18" s="209"/>
      <c r="AT18" s="190"/>
      <c r="AU18" s="209"/>
      <c r="AV18" s="190"/>
      <c r="AW18" s="209"/>
      <c r="AX18" s="248"/>
      <c r="AY18" s="190"/>
      <c r="AZ18" s="209"/>
      <c r="BA18" s="190"/>
      <c r="BB18" s="209"/>
      <c r="BC18" s="190"/>
      <c r="BD18" s="209"/>
      <c r="BE18" s="248"/>
      <c r="BF18" s="190"/>
      <c r="BG18" s="209"/>
      <c r="BH18" s="190"/>
      <c r="BI18" s="209"/>
      <c r="BJ18" s="190"/>
      <c r="BK18" s="209"/>
      <c r="BL18" s="248"/>
      <c r="BM18" s="190"/>
      <c r="BN18" s="209"/>
      <c r="BO18" s="190"/>
      <c r="BP18" s="209"/>
      <c r="BQ18" s="190"/>
      <c r="BR18" s="209"/>
      <c r="BS18" s="248"/>
      <c r="BT18" s="190"/>
      <c r="BU18" s="209"/>
      <c r="BV18" s="190"/>
      <c r="BW18" s="209"/>
      <c r="BX18" s="190"/>
      <c r="BY18" s="209"/>
      <c r="BZ18" s="248"/>
      <c r="CA18" s="190"/>
      <c r="CB18" s="209"/>
      <c r="CC18" s="190"/>
      <c r="CD18" s="209"/>
      <c r="CE18" s="190"/>
      <c r="CF18" s="209"/>
      <c r="CG18" s="248"/>
      <c r="CH18" s="242"/>
      <c r="CI18" s="246"/>
      <c r="CJ18" s="242"/>
      <c r="CK18" s="246"/>
      <c r="CL18" s="252"/>
      <c r="CM18" s="247"/>
    </row>
    <row r="19" spans="2:91" s="238" customFormat="1" ht="10.35" customHeight="1" thickBot="1">
      <c r="B19" s="253" t="s">
        <v>16</v>
      </c>
      <c r="C19" s="192">
        <f>C13-C14+C15-C16+C17</f>
        <v>6635424.6200000029</v>
      </c>
      <c r="D19" s="211">
        <f t="shared" si="116"/>
        <v>0.20167846190519997</v>
      </c>
      <c r="E19" s="192">
        <f>E13-E14+E15-E16+E17</f>
        <v>3478388.8699999996</v>
      </c>
      <c r="F19" s="211">
        <f t="shared" si="116"/>
        <v>0.10572286739499819</v>
      </c>
      <c r="G19" s="192">
        <f>C19+E19</f>
        <v>10113813.490000002</v>
      </c>
      <c r="H19" s="211">
        <f t="shared" si="116"/>
        <v>0.30740132930019815</v>
      </c>
      <c r="I19" s="192">
        <f>I13-I14+I15-I16+I17</f>
        <v>7459558.0899999999</v>
      </c>
      <c r="J19" s="211">
        <f t="shared" ref="J19:J41" si="119">I19/$I$10</f>
        <v>0.35136834857047261</v>
      </c>
      <c r="K19" s="192">
        <f>K13-K14+K15-K16+K17</f>
        <v>3027627.8499999992</v>
      </c>
      <c r="L19" s="211">
        <f t="shared" ref="L19:L41" si="120">K19/$K$10</f>
        <v>0.88546949616939097</v>
      </c>
      <c r="M19" s="192">
        <f t="shared" ref="M19:M46" si="121">I19+K19</f>
        <v>10487185.939999999</v>
      </c>
      <c r="N19" s="211">
        <f t="shared" ref="N19:N41" si="122">M19/$M$10</f>
        <v>0.42545646570859513</v>
      </c>
      <c r="O19" s="245">
        <f t="shared" si="32"/>
        <v>373372.44999999739</v>
      </c>
      <c r="P19" s="192">
        <f>P13-P14+P15-P16+P17</f>
        <v>6597980.1000000024</v>
      </c>
      <c r="Q19" s="211">
        <f t="shared" ref="Q19:Q41" si="123">P19/$P$10</f>
        <v>0.27714081984625938</v>
      </c>
      <c r="R19" s="192">
        <f>R13-R14+R15-R16+R17</f>
        <v>3385780.4799999995</v>
      </c>
      <c r="S19" s="211">
        <f t="shared" ref="S19:U19" si="124">R19/$C$10</f>
        <v>0.10290810892446689</v>
      </c>
      <c r="T19" s="192">
        <f t="shared" ref="T19:T46" si="125">P19+R19</f>
        <v>9983760.5800000019</v>
      </c>
      <c r="U19" s="211">
        <f t="shared" si="124"/>
        <v>0.30344847438025252</v>
      </c>
      <c r="V19" s="245">
        <f>T19-M19</f>
        <v>-503425.35999999754</v>
      </c>
      <c r="W19" s="192">
        <f>W13-W14+W15-W16+W17</f>
        <v>5755939.7899999972</v>
      </c>
      <c r="X19" s="209">
        <f t="shared" ref="X19:X41" si="126">W19/$W$10</f>
        <v>0.2592882996790844</v>
      </c>
      <c r="Y19" s="192">
        <f>Y13-Y14+Y15-Y16+Y17</f>
        <v>2811735.1299999994</v>
      </c>
      <c r="Z19" s="209">
        <f t="shared" ref="Z19" si="127">Y19/$C$10</f>
        <v>8.5460456380441432E-2</v>
      </c>
      <c r="AA19" s="192">
        <f t="shared" ref="AA19:AA46" si="128">W19+Y19</f>
        <v>8567674.9199999962</v>
      </c>
      <c r="AB19" s="209">
        <f t="shared" ref="AB19" si="129">AA19/$C$10</f>
        <v>0.2604076753070485</v>
      </c>
      <c r="AC19" s="245">
        <f>AA19-T19</f>
        <v>-1416085.6600000057</v>
      </c>
      <c r="AD19" s="192">
        <f>AD13-AD14+AD15-AD16+AD17</f>
        <v>0</v>
      </c>
      <c r="AE19" s="209" t="e">
        <f t="shared" ref="AE19:AE41" si="130">AD19/$AD$10</f>
        <v>#DIV/0!</v>
      </c>
      <c r="AF19" s="192">
        <f>AF13-AF14+AF15-AF16+AF17</f>
        <v>0</v>
      </c>
      <c r="AG19" s="209">
        <f t="shared" ref="AG19" si="131">AF19/$C$10</f>
        <v>0</v>
      </c>
      <c r="AH19" s="192">
        <f t="shared" ref="AH19:AH46" si="132">AD19+AF19</f>
        <v>0</v>
      </c>
      <c r="AI19" s="209">
        <f t="shared" ref="AI19" si="133">AH19/$C$10</f>
        <v>0</v>
      </c>
      <c r="AJ19" s="245">
        <f t="shared" si="84"/>
        <v>-8567674.9199999962</v>
      </c>
      <c r="AK19" s="192">
        <f>AK13-AK14+AK15-AK16+AK17</f>
        <v>0</v>
      </c>
      <c r="AL19" s="209" t="e">
        <f t="shared" ref="AL19:AL41" si="134">AK19/$AK$10</f>
        <v>#DIV/0!</v>
      </c>
      <c r="AM19" s="192">
        <f>AM13-AM14+AM15-AM16+AM17</f>
        <v>0</v>
      </c>
      <c r="AN19" s="209">
        <f t="shared" ref="AN19" si="135">AM19/$C$10</f>
        <v>0</v>
      </c>
      <c r="AO19" s="192">
        <f t="shared" ref="AO19:AO46" si="136">AK19+AM19</f>
        <v>0</v>
      </c>
      <c r="AP19" s="209">
        <f t="shared" ref="AP19" si="137">AO19/$C$10</f>
        <v>0</v>
      </c>
      <c r="AQ19" s="245">
        <f>AO19-AH19</f>
        <v>0</v>
      </c>
      <c r="AR19" s="192">
        <f>AR13-AR14+AR15-AR16+AR17</f>
        <v>0</v>
      </c>
      <c r="AS19" s="209" t="e">
        <f t="shared" ref="AS19:AS41" si="138">AR19/$AR$10</f>
        <v>#DIV/0!</v>
      </c>
      <c r="AT19" s="192">
        <f>AT13-AT14+AT15-AT16+AT17</f>
        <v>0</v>
      </c>
      <c r="AU19" s="209">
        <f t="shared" ref="AU19" si="139">AT19/$C$10</f>
        <v>0</v>
      </c>
      <c r="AV19" s="192">
        <f t="shared" ref="AV19:AV46" si="140">AR19+AT19</f>
        <v>0</v>
      </c>
      <c r="AW19" s="209">
        <f t="shared" ref="AW19" si="141">AV19/$C$10</f>
        <v>0</v>
      </c>
      <c r="AX19" s="245">
        <f>AV19-AO19</f>
        <v>0</v>
      </c>
      <c r="AY19" s="192">
        <f>AY13-AY14+AY15-AY16+AY17</f>
        <v>0</v>
      </c>
      <c r="AZ19" s="209" t="e">
        <f t="shared" ref="AZ19:AZ41" si="142">AY19/$AY$10</f>
        <v>#DIV/0!</v>
      </c>
      <c r="BA19" s="192">
        <f>BA13-BA14+BA15-BA16+BA17</f>
        <v>0</v>
      </c>
      <c r="BB19" s="209">
        <f t="shared" ref="BB19" si="143">BA19/$C$10</f>
        <v>0</v>
      </c>
      <c r="BC19" s="192">
        <f t="shared" ref="BC19:BC46" si="144">AY19+BA19</f>
        <v>0</v>
      </c>
      <c r="BD19" s="209">
        <f t="shared" ref="BD19" si="145">BC19/$C$10</f>
        <v>0</v>
      </c>
      <c r="BE19" s="245">
        <f>BC19-AV19</f>
        <v>0</v>
      </c>
      <c r="BF19" s="192">
        <f>BF13-BF14+BF15-BF16+BF17</f>
        <v>0</v>
      </c>
      <c r="BG19" s="209" t="e">
        <f t="shared" ref="BG19:BG41" si="146">BF19/$BF$10</f>
        <v>#DIV/0!</v>
      </c>
      <c r="BH19" s="192">
        <f>BH13-BH14+BH15-BH16+BH17</f>
        <v>0</v>
      </c>
      <c r="BI19" s="209">
        <f t="shared" ref="BI19" si="147">BH19/$C$10</f>
        <v>0</v>
      </c>
      <c r="BJ19" s="192">
        <f t="shared" ref="BJ19:BJ46" si="148">BF19+BH19</f>
        <v>0</v>
      </c>
      <c r="BK19" s="209">
        <f t="shared" ref="BK19" si="149">BJ19/$C$10</f>
        <v>0</v>
      </c>
      <c r="BL19" s="245">
        <f>BJ19-BC19</f>
        <v>0</v>
      </c>
      <c r="BM19" s="192">
        <f>BM13-BM14+BM15-BM16+BM17</f>
        <v>0</v>
      </c>
      <c r="BN19" s="209" t="e">
        <f t="shared" ref="BN19:BN41" si="150">BM19/$BF$10</f>
        <v>#DIV/0!</v>
      </c>
      <c r="BO19" s="192">
        <f>BO13-BO14+BO15-BO16+BO17</f>
        <v>0</v>
      </c>
      <c r="BP19" s="209">
        <f t="shared" ref="BP19" si="151">BO19/$C$10</f>
        <v>0</v>
      </c>
      <c r="BQ19" s="192">
        <f t="shared" ref="BQ19:BQ46" si="152">BM19+BO19</f>
        <v>0</v>
      </c>
      <c r="BR19" s="209">
        <f t="shared" ref="BR19" si="153">BQ19/$C$10</f>
        <v>0</v>
      </c>
      <c r="BS19" s="245">
        <f>BQ19-BJ19</f>
        <v>0</v>
      </c>
      <c r="BT19" s="192">
        <f>BT13-BT14+BT15-BT16+BT17</f>
        <v>0</v>
      </c>
      <c r="BU19" s="209" t="e">
        <f t="shared" ref="BU19:BU41" si="154">BT19/$BF$10</f>
        <v>#DIV/0!</v>
      </c>
      <c r="BV19" s="192">
        <f>BV13-BV14+BV15-BV16+BV17</f>
        <v>0</v>
      </c>
      <c r="BW19" s="209">
        <f t="shared" ref="BW19" si="155">BV19/$C$10</f>
        <v>0</v>
      </c>
      <c r="BX19" s="192">
        <f t="shared" ref="BX19:BX46" si="156">BT19+BV19</f>
        <v>0</v>
      </c>
      <c r="BY19" s="209">
        <f t="shared" ref="BY19" si="157">BX19/$C$10</f>
        <v>0</v>
      </c>
      <c r="BZ19" s="245">
        <f>BX19-BQ19</f>
        <v>0</v>
      </c>
      <c r="CA19" s="192">
        <f>CA13-CA14+CA15-CA16+CA17</f>
        <v>0</v>
      </c>
      <c r="CB19" s="209" t="e">
        <f t="shared" ref="CB19:CB41" si="158">CA19/$BF$10</f>
        <v>#DIV/0!</v>
      </c>
      <c r="CC19" s="192">
        <f>CC13-CC14+CC15-CC16+CC17</f>
        <v>0</v>
      </c>
      <c r="CD19" s="209">
        <f t="shared" ref="CD19" si="159">CC19/$C$10</f>
        <v>0</v>
      </c>
      <c r="CE19" s="192">
        <f t="shared" ref="CE19:CE46" si="160">CA19+CC19</f>
        <v>0</v>
      </c>
      <c r="CF19" s="209">
        <f t="shared" ref="CF19" si="161">CE19/$C$10</f>
        <v>0</v>
      </c>
      <c r="CG19" s="245">
        <f>CE19-BX19</f>
        <v>0</v>
      </c>
      <c r="CH19" s="255">
        <f>CH13-CH14+CH15-CH16+CH17</f>
        <v>26448902.60000002</v>
      </c>
      <c r="CI19" s="254">
        <f>CH19/$CH$10</f>
        <v>0.26412625983389698</v>
      </c>
      <c r="CJ19" s="255">
        <f>CJ13-CJ14+CJ15-CJ16+CJ17</f>
        <v>12703532.329999996</v>
      </c>
      <c r="CK19" s="254">
        <f t="shared" ref="CK19:CK42" si="162">CJ19/$CJ$10</f>
        <v>0.89598159796508814</v>
      </c>
      <c r="CL19" s="255">
        <f>CL13-CL14+CL15-CL16+CL17</f>
        <v>39152434.930000022</v>
      </c>
      <c r="CM19" s="256">
        <f t="shared" ref="CM19:CM42" si="163">CL19/$CL$10</f>
        <v>0.34249398450513158</v>
      </c>
    </row>
    <row r="20" spans="2:91" s="238" customFormat="1" ht="10.35" customHeight="1" thickBot="1">
      <c r="B20" s="257" t="s">
        <v>18</v>
      </c>
      <c r="C20" s="193">
        <f>SUM(C21:C41)</f>
        <v>5596371.0200000005</v>
      </c>
      <c r="D20" s="209">
        <f t="shared" si="116"/>
        <v>0.17009725288152466</v>
      </c>
      <c r="E20" s="193">
        <f>SUM(E21:E41)</f>
        <v>1195319.4900000002</v>
      </c>
      <c r="F20" s="209">
        <f t="shared" ref="F20:F41" si="164">E20/$E$10</f>
        <v>0.30248022349839321</v>
      </c>
      <c r="G20" s="193">
        <f t="shared" ref="G20:G46" si="165">C20+E20</f>
        <v>6791690.5100000007</v>
      </c>
      <c r="H20" s="209">
        <f t="shared" ref="H20:H41" si="166">G20/$G$10</f>
        <v>0.18429271087431956</v>
      </c>
      <c r="I20" s="193">
        <f>SUM(I21:I41)</f>
        <v>4644621.5499999989</v>
      </c>
      <c r="J20" s="209">
        <f t="shared" si="119"/>
        <v>0.21877609693074038</v>
      </c>
      <c r="K20" s="193">
        <f>SUM(K21:K41)</f>
        <v>1207389.8299999998</v>
      </c>
      <c r="L20" s="209">
        <f t="shared" si="120"/>
        <v>0.35311700031103455</v>
      </c>
      <c r="M20" s="193">
        <f t="shared" si="121"/>
        <v>5852011.379999999</v>
      </c>
      <c r="N20" s="209">
        <f t="shared" si="122"/>
        <v>0.23741126487753283</v>
      </c>
      <c r="O20" s="245">
        <f t="shared" si="32"/>
        <v>-939679.13000000175</v>
      </c>
      <c r="P20" s="193">
        <f>SUM(P21:P41)</f>
        <v>4747249.9400000004</v>
      </c>
      <c r="Q20" s="209">
        <f t="shared" si="123"/>
        <v>0.19940295673015218</v>
      </c>
      <c r="R20" s="193">
        <f>SUM(R21:R41)</f>
        <v>1143000.83</v>
      </c>
      <c r="S20" s="209">
        <f t="shared" ref="S20:S41" si="167">R20/$R$10</f>
        <v>0.31310076988382801</v>
      </c>
      <c r="T20" s="193">
        <f t="shared" si="125"/>
        <v>5890250.7700000005</v>
      </c>
      <c r="U20" s="209">
        <f t="shared" ref="U20:U41" si="168">T20/$T$10</f>
        <v>0.2145193135832715</v>
      </c>
      <c r="V20" s="245">
        <f t="shared" ref="V20:V73" si="169">T20-M20</f>
        <v>38239.390000001527</v>
      </c>
      <c r="W20" s="193">
        <f>SUM(W21:W41)</f>
        <v>4767282.22</v>
      </c>
      <c r="X20" s="209">
        <f t="shared" si="126"/>
        <v>0.21475215968409764</v>
      </c>
      <c r="Y20" s="193">
        <f>SUM(Y21:Y41)</f>
        <v>981211.61999999988</v>
      </c>
      <c r="Z20" s="209">
        <f t="shared" ref="Z20:Z41" si="170">Y20/$Y$10</f>
        <v>0.3108253671892402</v>
      </c>
      <c r="AA20" s="193">
        <f t="shared" si="128"/>
        <v>5748493.8399999999</v>
      </c>
      <c r="AB20" s="209">
        <f t="shared" ref="AB20:AB41" si="171">AA20/$AA$10</f>
        <v>0.22671326687500137</v>
      </c>
      <c r="AC20" s="245">
        <f t="shared" ref="AC20:AC73" si="172">AA20-T20</f>
        <v>-141756.93000000063</v>
      </c>
      <c r="AD20" s="193">
        <f>SUM(AD21:AD41)</f>
        <v>0</v>
      </c>
      <c r="AE20" s="209" t="e">
        <f t="shared" si="130"/>
        <v>#DIV/0!</v>
      </c>
      <c r="AF20" s="193">
        <f>SUM(AF21:AF41)</f>
        <v>0</v>
      </c>
      <c r="AG20" s="209" t="e">
        <f t="shared" ref="AG20:AG41" si="173">AF20/$AF$10</f>
        <v>#DIV/0!</v>
      </c>
      <c r="AH20" s="193">
        <f t="shared" si="132"/>
        <v>0</v>
      </c>
      <c r="AI20" s="209" t="e">
        <f t="shared" ref="AI20:AI41" si="174">AH20/$AH$10</f>
        <v>#DIV/0!</v>
      </c>
      <c r="AJ20" s="245">
        <f t="shared" si="84"/>
        <v>-5748493.8399999999</v>
      </c>
      <c r="AK20" s="193">
        <f>SUM(AK21:AK41)</f>
        <v>0</v>
      </c>
      <c r="AL20" s="209" t="e">
        <f t="shared" si="134"/>
        <v>#DIV/0!</v>
      </c>
      <c r="AM20" s="193">
        <f>SUM(AM21:AM41)</f>
        <v>0</v>
      </c>
      <c r="AN20" s="209" t="e">
        <f t="shared" ref="AN20:AN41" si="175">AM20/$AM$10</f>
        <v>#DIV/0!</v>
      </c>
      <c r="AO20" s="193">
        <f t="shared" si="136"/>
        <v>0</v>
      </c>
      <c r="AP20" s="209" t="e">
        <f t="shared" ref="AP20:AP41" si="176">AO20/$AO$10</f>
        <v>#DIV/0!</v>
      </c>
      <c r="AQ20" s="245">
        <f t="shared" ref="AQ20:AQ73" si="177">AO20-AH20</f>
        <v>0</v>
      </c>
      <c r="AR20" s="193">
        <f>SUM(AR21:AR41)</f>
        <v>0</v>
      </c>
      <c r="AS20" s="209" t="e">
        <f t="shared" si="138"/>
        <v>#DIV/0!</v>
      </c>
      <c r="AT20" s="193">
        <f>SUM(AT21:AT41)</f>
        <v>0</v>
      </c>
      <c r="AU20" s="209" t="e">
        <f t="shared" ref="AU20:AU41" si="178">AT20/$AT$10</f>
        <v>#DIV/0!</v>
      </c>
      <c r="AV20" s="193">
        <f t="shared" si="140"/>
        <v>0</v>
      </c>
      <c r="AW20" s="209" t="e">
        <f t="shared" ref="AW20:AW41" si="179">AV20/$AV$10</f>
        <v>#DIV/0!</v>
      </c>
      <c r="AX20" s="245">
        <f t="shared" ref="AX20:AX73" si="180">AV20-AO20</f>
        <v>0</v>
      </c>
      <c r="AY20" s="193">
        <f>SUM(AY21:AY41)</f>
        <v>0</v>
      </c>
      <c r="AZ20" s="209" t="e">
        <f t="shared" si="142"/>
        <v>#DIV/0!</v>
      </c>
      <c r="BA20" s="193">
        <f>SUM(BA21:BA41)</f>
        <v>0</v>
      </c>
      <c r="BB20" s="209" t="e">
        <f t="shared" ref="BB20:BB41" si="181">BA20/$BA$10</f>
        <v>#DIV/0!</v>
      </c>
      <c r="BC20" s="193">
        <f t="shared" si="144"/>
        <v>0</v>
      </c>
      <c r="BD20" s="209" t="e">
        <f t="shared" ref="BD20:BD41" si="182">BC20/$BC$10</f>
        <v>#DIV/0!</v>
      </c>
      <c r="BE20" s="245">
        <f t="shared" ref="BE20:BE73" si="183">BC20-AV20</f>
        <v>0</v>
      </c>
      <c r="BF20" s="193">
        <f>SUM(BF21:BF41)</f>
        <v>0</v>
      </c>
      <c r="BG20" s="209" t="e">
        <f t="shared" si="146"/>
        <v>#DIV/0!</v>
      </c>
      <c r="BH20" s="193">
        <f>SUM(BH21:BH41)</f>
        <v>0</v>
      </c>
      <c r="BI20" s="209" t="e">
        <f t="shared" ref="BI20:BI41" si="184">BH20/$BH$10</f>
        <v>#DIV/0!</v>
      </c>
      <c r="BJ20" s="193">
        <f t="shared" si="148"/>
        <v>0</v>
      </c>
      <c r="BK20" s="209" t="e">
        <f t="shared" ref="BK20:BK41" si="185">BJ20/$BJ$10</f>
        <v>#DIV/0!</v>
      </c>
      <c r="BL20" s="245">
        <f t="shared" ref="BL20:BL73" si="186">BJ20-BC20</f>
        <v>0</v>
      </c>
      <c r="BM20" s="193">
        <f>SUM(BM21:BM41)</f>
        <v>0</v>
      </c>
      <c r="BN20" s="209" t="e">
        <f t="shared" si="150"/>
        <v>#DIV/0!</v>
      </c>
      <c r="BO20" s="193">
        <f>SUM(BO21:BO41)</f>
        <v>0</v>
      </c>
      <c r="BP20" s="209" t="e">
        <f t="shared" ref="BP20:BP41" si="187">BO20/$BH$10</f>
        <v>#DIV/0!</v>
      </c>
      <c r="BQ20" s="193">
        <f t="shared" si="152"/>
        <v>0</v>
      </c>
      <c r="BR20" s="209" t="e">
        <f t="shared" ref="BR20:BR41" si="188">BQ20/$BJ$10</f>
        <v>#DIV/0!</v>
      </c>
      <c r="BS20" s="245">
        <f t="shared" ref="BS20:BS73" si="189">BQ20-BJ20</f>
        <v>0</v>
      </c>
      <c r="BT20" s="193">
        <f>SUM(BT21:BT41)</f>
        <v>0</v>
      </c>
      <c r="BU20" s="209" t="e">
        <f t="shared" si="154"/>
        <v>#DIV/0!</v>
      </c>
      <c r="BV20" s="193">
        <f>SUM(BV21:BV41)</f>
        <v>0</v>
      </c>
      <c r="BW20" s="209" t="e">
        <f t="shared" ref="BW20:BW41" si="190">BV20/$BH$10</f>
        <v>#DIV/0!</v>
      </c>
      <c r="BX20" s="193">
        <f t="shared" si="156"/>
        <v>0</v>
      </c>
      <c r="BY20" s="209" t="e">
        <f t="shared" ref="BY20:BY41" si="191">BX20/$BJ$10</f>
        <v>#DIV/0!</v>
      </c>
      <c r="BZ20" s="245">
        <f t="shared" ref="BZ20:BZ73" si="192">BX20-BQ20</f>
        <v>0</v>
      </c>
      <c r="CA20" s="193">
        <f>SUM(CA21:CA41)</f>
        <v>0</v>
      </c>
      <c r="CB20" s="209" t="e">
        <f t="shared" si="158"/>
        <v>#DIV/0!</v>
      </c>
      <c r="CC20" s="193">
        <f>SUM(CC21:CC41)</f>
        <v>0</v>
      </c>
      <c r="CD20" s="209" t="e">
        <f t="shared" ref="CD20:CD41" si="193">CC20/$BH$10</f>
        <v>#DIV/0!</v>
      </c>
      <c r="CE20" s="193">
        <f t="shared" si="160"/>
        <v>0</v>
      </c>
      <c r="CF20" s="209" t="e">
        <f t="shared" ref="CF20:CF41" si="194">CE20/$BJ$10</f>
        <v>#DIV/0!</v>
      </c>
      <c r="CG20" s="245">
        <f t="shared" ref="CG20:CG73" si="195">CE20-BX20</f>
        <v>0</v>
      </c>
      <c r="CH20" s="258">
        <f>IF(SUM(CH21:CH41)=0,"",SUM(CH21:CH41))</f>
        <v>19755524.73</v>
      </c>
      <c r="CI20" s="246">
        <f>CH20/$CH$10</f>
        <v>0.19728428573784962</v>
      </c>
      <c r="CJ20" s="258">
        <f>IF(SUM(CJ21:CJ41)=0,"",SUM(CJ21:CJ41))</f>
        <v>4526921.7700000005</v>
      </c>
      <c r="CK20" s="246">
        <f t="shared" si="162"/>
        <v>0.31928431368407806</v>
      </c>
      <c r="CL20" s="258">
        <f>IF(SUM(CL21:CL41)=0,"",SUM(CL21:CL41))</f>
        <v>24282446.5</v>
      </c>
      <c r="CM20" s="247">
        <f t="shared" si="163"/>
        <v>0.21241569956470857</v>
      </c>
    </row>
    <row r="21" spans="2:91" s="238" customFormat="1" ht="10.35" customHeight="1" thickBot="1">
      <c r="B21" s="240" t="s">
        <v>338</v>
      </c>
      <c r="C21" s="190">
        <f>SUMIF('MVTO E'!$C$3:$C$240,"Tributárias",'MVTO E'!$G$3:$G$240)+SUMIF('DESP E'!$D$3:$D$146,"Tributárias",'DESP E'!$G$3:$G$146)</f>
        <v>482658.05</v>
      </c>
      <c r="D21" s="209">
        <f>C21/$C$10</f>
        <v>1.4670008134334448E-2</v>
      </c>
      <c r="E21" s="190">
        <f>SUMIF('MVTO A'!$C$3:$C$184,"Tributárias",'MVTO A'!$G$3:$G$184)+SUMIF('DESP A'!$D$3:$D$129,"Tributárias",'DESP A'!$G$3:$G$129)</f>
        <v>128279.22</v>
      </c>
      <c r="F21" s="209">
        <f t="shared" si="164"/>
        <v>3.2461553133212563E-2</v>
      </c>
      <c r="G21" s="190">
        <f t="shared" si="165"/>
        <v>610937.27</v>
      </c>
      <c r="H21" s="209">
        <f t="shared" si="166"/>
        <v>1.6577799812385163E-2</v>
      </c>
      <c r="I21" s="190">
        <f>SUMIF('MVTO E'!$C$3:$C$240,"Tributárias",'MVTO E'!$H$3:$H$240)+SUMIF('DESP E'!$D$3:$D$146,"Tributárias",'DESP E'!$H$3:$H$146)</f>
        <v>189509.72</v>
      </c>
      <c r="J21" s="209">
        <f t="shared" si="119"/>
        <v>8.9264962550151105E-3</v>
      </c>
      <c r="K21" s="190">
        <f>SUMIF('MVTO A'!$C$3:$C$184,"Tributárias",'MVTO A'!$H$3:$H$184)+SUMIF('DESP A'!$D$3:$D$129,"Tributárias",'DESP A'!$H$3:$H$129)</f>
        <v>131214.43</v>
      </c>
      <c r="L21" s="209">
        <f t="shared" si="120"/>
        <v>3.8375381975117535E-2</v>
      </c>
      <c r="M21" s="190">
        <f t="shared" si="121"/>
        <v>320724.15000000002</v>
      </c>
      <c r="N21" s="209">
        <f t="shared" si="122"/>
        <v>1.3011513680322268E-2</v>
      </c>
      <c r="O21" s="245">
        <f t="shared" si="32"/>
        <v>-290213.12</v>
      </c>
      <c r="P21" s="190">
        <f>SUMIF('MVTO E'!$C$3:$C$240,"Tributárias",'MVTO E'!$I$3:$I$240)+SUMIF('DESP E'!$D$3:$D$146,"Tributárias",'DESP E'!$I$3:$I$146)</f>
        <v>234705.18999999997</v>
      </c>
      <c r="Q21" s="209">
        <f t="shared" si="123"/>
        <v>9.858530609810727E-3</v>
      </c>
      <c r="R21" s="190">
        <f>SUMIF('MVTO A'!$C$3:$C$184,"Tributárias",'MVTO A'!$I$3:$I$184)+SUMIF('DESP A'!$D$3:$D$129,"Tributárias",'DESP A'!$I$3:$I$129)</f>
        <v>113935.58</v>
      </c>
      <c r="S21" s="209">
        <f t="shared" si="167"/>
        <v>3.1210229143193602E-2</v>
      </c>
      <c r="T21" s="190">
        <f t="shared" si="125"/>
        <v>348640.76999999996</v>
      </c>
      <c r="U21" s="209">
        <f t="shared" si="168"/>
        <v>1.2697282609504793E-2</v>
      </c>
      <c r="V21" s="245">
        <f t="shared" si="169"/>
        <v>27916.619999999937</v>
      </c>
      <c r="W21" s="190">
        <f>SUMIF('MVTO E'!$C$3:$C$240,"Tributárias",'MVTO E'!$J$3:$J$240)+SUMIF('DESP E'!$D$3:$D$146,"Tributárias",'DESP E'!$J$3:$J$146)</f>
        <v>129263.85</v>
      </c>
      <c r="X21" s="211">
        <f t="shared" si="126"/>
        <v>5.822959429614227E-3</v>
      </c>
      <c r="Y21" s="190">
        <f>SUMIF('MVTO A'!$C$3:$C$184,"Tributárias",'MVTO A'!$J$3:$J$184)+SUMIF('DESP A'!$D$3:$D$129,"Tributárias",'DESP A'!$J$3:$J$129)</f>
        <v>115962.81000000001</v>
      </c>
      <c r="Z21" s="211">
        <f t="shared" si="170"/>
        <v>3.6734362153748347E-2</v>
      </c>
      <c r="AA21" s="190">
        <f t="shared" si="128"/>
        <v>245226.66000000003</v>
      </c>
      <c r="AB21" s="211">
        <f t="shared" si="171"/>
        <v>9.6714267703634227E-3</v>
      </c>
      <c r="AC21" s="245">
        <f t="shared" si="172"/>
        <v>-103414.10999999993</v>
      </c>
      <c r="AD21" s="190">
        <f>SUMIF('MVTO E'!$C$3:$C$240,"Tributárias",'MVTO E'!$K$3:$K$240)+SUMIF('DESP E'!$D$3:$D$146,"Tributárias",'DESP E'!$K$3:$K$146)</f>
        <v>0</v>
      </c>
      <c r="AE21" s="211" t="e">
        <f t="shared" si="130"/>
        <v>#DIV/0!</v>
      </c>
      <c r="AF21" s="190">
        <f>SUMIF('MVTO A'!$C$3:$C$184,"Tributárias",'MVTO A'!$K$3:$K$184)+SUMIF('DESP A'!$D$3:$D$129,"Tributárias",'DESP A'!$K$3:$K$129)</f>
        <v>0</v>
      </c>
      <c r="AG21" s="211" t="e">
        <f t="shared" si="173"/>
        <v>#DIV/0!</v>
      </c>
      <c r="AH21" s="190">
        <f t="shared" si="132"/>
        <v>0</v>
      </c>
      <c r="AI21" s="211" t="e">
        <f t="shared" si="174"/>
        <v>#DIV/0!</v>
      </c>
      <c r="AJ21" s="245">
        <f t="shared" si="84"/>
        <v>-245226.66000000003</v>
      </c>
      <c r="AK21" s="190">
        <f>SUMIF('MVTO E'!$C$3:$C$240,"Tributárias",'MVTO E'!$L$3:$L$240)+SUMIF('DESP E'!$D$3:$D$146,"Tributárias",'DESP E'!$L$3:$L$146)</f>
        <v>0</v>
      </c>
      <c r="AL21" s="211" t="e">
        <f t="shared" si="134"/>
        <v>#DIV/0!</v>
      </c>
      <c r="AM21" s="190">
        <f>SUMIF('MVTO A'!$C$3:$C$184,"Tributárias",'MVTO A'!$L$3:$L$184)+SUMIF('DESP A'!$D$3:$D$129,"Tributárias",'DESP A'!$L$3:$L$129)</f>
        <v>0</v>
      </c>
      <c r="AN21" s="211" t="e">
        <f t="shared" si="175"/>
        <v>#DIV/0!</v>
      </c>
      <c r="AO21" s="190">
        <f t="shared" si="136"/>
        <v>0</v>
      </c>
      <c r="AP21" s="211" t="e">
        <f t="shared" si="176"/>
        <v>#DIV/0!</v>
      </c>
      <c r="AQ21" s="245">
        <f t="shared" si="177"/>
        <v>0</v>
      </c>
      <c r="AR21" s="190">
        <f>SUMIF('MVTO E'!$C$3:$C$240,"Tributárias",'MVTO E'!$M$3:$M$240)+SUMIF('DESP E'!$D$3:$D$146,"Tributárias",'DESP E'!$M$3:$M$146)</f>
        <v>0</v>
      </c>
      <c r="AS21" s="211" t="e">
        <f t="shared" si="138"/>
        <v>#DIV/0!</v>
      </c>
      <c r="AT21" s="190">
        <f>SUMIF('MVTO A'!$C$3:$C$184,"Tributárias",'MVTO A'!$M$3:$M$189)+SUMIF('DESP A'!$D$3:$D$129,"Tributárias",'DESP A'!$M$3:$M$129)</f>
        <v>0</v>
      </c>
      <c r="AU21" s="211" t="e">
        <f t="shared" si="178"/>
        <v>#DIV/0!</v>
      </c>
      <c r="AV21" s="190">
        <f t="shared" si="140"/>
        <v>0</v>
      </c>
      <c r="AW21" s="211" t="e">
        <f t="shared" si="179"/>
        <v>#DIV/0!</v>
      </c>
      <c r="AX21" s="245">
        <f t="shared" si="180"/>
        <v>0</v>
      </c>
      <c r="AY21" s="190">
        <f>SUMIF('MVTO E'!$C$3:$C$240,"Tributárias",'MVTO E'!$N$3:$N$240)+SUMIF('DESP E'!$D$3:$D$146,"Tributárias",'DESP E'!$N$3:$N$146)</f>
        <v>0</v>
      </c>
      <c r="AZ21" s="211" t="e">
        <f t="shared" si="142"/>
        <v>#DIV/0!</v>
      </c>
      <c r="BA21" s="190">
        <f>SUMIF('MVTO A'!$C$3:$C$184,"Tributárias",'MVTO A'!$N$3:$N$189)+SUMIF('DESP A'!$D$3:$D$129,"Tributárias",'DESP A'!$N$3:$N$129)</f>
        <v>0</v>
      </c>
      <c r="BB21" s="211" t="e">
        <f t="shared" si="181"/>
        <v>#DIV/0!</v>
      </c>
      <c r="BC21" s="190">
        <f t="shared" si="144"/>
        <v>0</v>
      </c>
      <c r="BD21" s="211" t="e">
        <f t="shared" si="182"/>
        <v>#DIV/0!</v>
      </c>
      <c r="BE21" s="245">
        <f t="shared" si="183"/>
        <v>0</v>
      </c>
      <c r="BF21" s="190">
        <f>SUMIF('MVTO E'!$C$3:$C$240,"Tributárias",'MVTO E'!$O$3:$O$240)+SUMIF('DESP E'!$D$3:$D$146,"Tributárias",'DESP E'!$O$3:$O$146)</f>
        <v>0</v>
      </c>
      <c r="BG21" s="211" t="e">
        <f t="shared" si="146"/>
        <v>#DIV/0!</v>
      </c>
      <c r="BH21" s="190">
        <f>SUMIF('MVTO A'!$C$3:$C$195,"Tributárias",'MVTO A'!$O$3:$O$195)+SUMIF('DESP A'!$D$3:$D$144,"Tributárias",'DESP A'!$O$3:$O$144)</f>
        <v>0</v>
      </c>
      <c r="BI21" s="211" t="e">
        <f t="shared" si="184"/>
        <v>#DIV/0!</v>
      </c>
      <c r="BJ21" s="190">
        <f t="shared" si="148"/>
        <v>0</v>
      </c>
      <c r="BK21" s="211" t="e">
        <f t="shared" si="185"/>
        <v>#DIV/0!</v>
      </c>
      <c r="BL21" s="245">
        <f t="shared" si="186"/>
        <v>0</v>
      </c>
      <c r="BM21" s="190">
        <f>SUMIF('MVTO E'!$C$3:$C$240,"Tributárias",'MVTO E'!$P$3:$P$240)+SUMIF('DESP E'!$D$3:$D$146,"Tributárias",'DESP E'!$P$3:$P$146)</f>
        <v>0</v>
      </c>
      <c r="BN21" s="211" t="e">
        <f t="shared" si="150"/>
        <v>#DIV/0!</v>
      </c>
      <c r="BO21" s="190">
        <f>SUMIF('MVTO A'!$C$3:$C$184,"Tributárias",'MVTO A'!$P$3:$P$189)+SUMIF('DESP A'!$D$3:$D$129,"Tributárias",'DESP A'!$P$3:$P$129)</f>
        <v>0</v>
      </c>
      <c r="BP21" s="211" t="e">
        <f t="shared" si="187"/>
        <v>#DIV/0!</v>
      </c>
      <c r="BQ21" s="190">
        <f t="shared" si="152"/>
        <v>0</v>
      </c>
      <c r="BR21" s="211" t="e">
        <f t="shared" si="188"/>
        <v>#DIV/0!</v>
      </c>
      <c r="BS21" s="245">
        <f t="shared" si="189"/>
        <v>0</v>
      </c>
      <c r="BT21" s="190">
        <f>SUMIF('MVTO E'!$C$3:$C$240,"Tributárias",'MVTO E'!$Q$3:$Q$240)+SUMIF('DESP E'!$D$3:$D$146,"Tributárias",'DESP E'!$Q$3:$Q$146)</f>
        <v>0</v>
      </c>
      <c r="BU21" s="211" t="e">
        <f t="shared" si="154"/>
        <v>#DIV/0!</v>
      </c>
      <c r="BV21" s="190">
        <f>SUMIF('MVTO A'!$C$3:$C$184,"Tributárias",'MVTO A'!$Q$3:$Q$189)+SUMIF('DESP A'!$D$3:$D$129,"Tributárias",'DESP A'!$Q$3:$Q$129)</f>
        <v>0</v>
      </c>
      <c r="BW21" s="211" t="e">
        <f t="shared" si="190"/>
        <v>#DIV/0!</v>
      </c>
      <c r="BX21" s="190">
        <f t="shared" si="156"/>
        <v>0</v>
      </c>
      <c r="BY21" s="211" t="e">
        <f t="shared" si="191"/>
        <v>#DIV/0!</v>
      </c>
      <c r="BZ21" s="245">
        <f t="shared" si="192"/>
        <v>0</v>
      </c>
      <c r="CA21" s="190">
        <f>SUMIF('MVTO E'!$C$3:$C$240,"Tributárias",'MVTO E'!$R$3:$R$240)+SUMIF('DESP E'!$D$3:$D$146,"Tributárias",'DESP E'!$R$3:$R$146)</f>
        <v>0</v>
      </c>
      <c r="CB21" s="211" t="e">
        <f t="shared" si="158"/>
        <v>#DIV/0!</v>
      </c>
      <c r="CC21" s="190">
        <f>SUMIF('MVTO A'!$C$3:$C$184,"Tributárias",'MVTO A'!$R$3:$R$189)+SUMIF('DESP A'!$D$3:$D$129,"Tributárias",'DESP A'!$R$3:$R$129)</f>
        <v>0</v>
      </c>
      <c r="CD21" s="211" t="e">
        <f t="shared" si="193"/>
        <v>#DIV/0!</v>
      </c>
      <c r="CE21" s="190">
        <f t="shared" si="160"/>
        <v>0</v>
      </c>
      <c r="CF21" s="211" t="e">
        <f t="shared" si="194"/>
        <v>#DIV/0!</v>
      </c>
      <c r="CG21" s="245">
        <f t="shared" si="195"/>
        <v>0</v>
      </c>
      <c r="CH21" s="242">
        <f t="shared" ref="CH21:CL41" si="196">SUM(C21,I21,P21,W21,AD21,AK21,AR21,AY21,BF21,BM21,BT21,CA21)</f>
        <v>1036136.8099999999</v>
      </c>
      <c r="CI21" s="246">
        <f>CH21/$CH$10</f>
        <v>1.0347156721032537E-2</v>
      </c>
      <c r="CJ21" s="242">
        <f t="shared" si="196"/>
        <v>489392.04</v>
      </c>
      <c r="CK21" s="246">
        <f t="shared" si="162"/>
        <v>3.45168769315514E-2</v>
      </c>
      <c r="CL21" s="242">
        <f t="shared" si="196"/>
        <v>1525528.85</v>
      </c>
      <c r="CM21" s="247">
        <f t="shared" si="163"/>
        <v>1.3344877662096173E-2</v>
      </c>
    </row>
    <row r="22" spans="2:91" s="238" customFormat="1" ht="10.35" customHeight="1" thickBot="1">
      <c r="B22" s="240" t="s">
        <v>266</v>
      </c>
      <c r="C22" s="190">
        <f>SUMIF('DESP E'!$D$3:$D$146,"Almoxarifado",'DESP E'!$G$3:$G$146)</f>
        <v>214871.96</v>
      </c>
      <c r="D22" s="209">
        <f>C22/$C$10</f>
        <v>6.5308625869606573E-3</v>
      </c>
      <c r="E22" s="190">
        <f>SUMIF('DESP A'!$D$3:$D$129,"Almoxarifado",'DESP A'!$G$3:$G$129)</f>
        <v>0</v>
      </c>
      <c r="F22" s="209">
        <f t="shared" si="164"/>
        <v>0</v>
      </c>
      <c r="G22" s="190">
        <f t="shared" si="165"/>
        <v>214871.96</v>
      </c>
      <c r="H22" s="209">
        <f t="shared" si="166"/>
        <v>5.8305566104599115E-3</v>
      </c>
      <c r="I22" s="190">
        <f>SUMIF('DESP E'!$D$3:$D$146,"Almoxarifado",'DESP E'!$H$3:$H$146)</f>
        <v>159181.85</v>
      </c>
      <c r="J22" s="209">
        <f t="shared" si="119"/>
        <v>7.4979594075247277E-3</v>
      </c>
      <c r="K22" s="190">
        <f>SUMIF('DESP A'!$D$3:$D$129,"Almoxarifado",'DESP A'!$H$3:$H$129)</f>
        <v>0</v>
      </c>
      <c r="L22" s="209">
        <f t="shared" si="120"/>
        <v>0</v>
      </c>
      <c r="M22" s="190">
        <f t="shared" si="121"/>
        <v>159181.85</v>
      </c>
      <c r="N22" s="209">
        <f t="shared" si="122"/>
        <v>6.4578760873916325E-3</v>
      </c>
      <c r="O22" s="245">
        <f t="shared" si="32"/>
        <v>-55690.109999999986</v>
      </c>
      <c r="P22" s="190">
        <f>SUMIF('DESP E'!$D$3:$D$146,"Almoxarifado",'DESP E'!$I$3:$I$146)</f>
        <v>183249.46</v>
      </c>
      <c r="Q22" s="209">
        <f t="shared" si="123"/>
        <v>7.6971898688788544E-3</v>
      </c>
      <c r="R22" s="190">
        <f>SUMIF('DESP A'!$D$3:$D$129,"Almoxarifado",'DESP A'!$I$3:$I$129)</f>
        <v>0</v>
      </c>
      <c r="S22" s="209">
        <f t="shared" si="167"/>
        <v>0</v>
      </c>
      <c r="T22" s="190">
        <f t="shared" si="125"/>
        <v>183249.46</v>
      </c>
      <c r="U22" s="209">
        <f t="shared" si="168"/>
        <v>6.6738327294858383E-3</v>
      </c>
      <c r="V22" s="245">
        <f t="shared" si="169"/>
        <v>24067.609999999986</v>
      </c>
      <c r="W22" s="190">
        <f>SUMIF('DESP E'!$D$3:$D$146,"Almoxarifado",'DESP E'!$J$3:$J$146)</f>
        <v>151331.75</v>
      </c>
      <c r="X22" s="209">
        <f t="shared" si="126"/>
        <v>6.817053961045743E-3</v>
      </c>
      <c r="Y22" s="190">
        <f>SUMIF('DESP A'!$D$3:$D$129,"Almoxarifado",'DESP A'!$J$3:$J$129)</f>
        <v>0</v>
      </c>
      <c r="Z22" s="209">
        <f t="shared" si="170"/>
        <v>0</v>
      </c>
      <c r="AA22" s="190">
        <f t="shared" si="128"/>
        <v>151331.75</v>
      </c>
      <c r="AB22" s="209">
        <f t="shared" si="171"/>
        <v>5.9683312497749823E-3</v>
      </c>
      <c r="AC22" s="245">
        <f t="shared" si="172"/>
        <v>-31917.709999999992</v>
      </c>
      <c r="AD22" s="190">
        <f>SUMIF('DESP E'!$D$3:$D$146,"Almoxarifado",'DESP E'!$K$3:$K$146)</f>
        <v>0</v>
      </c>
      <c r="AE22" s="209" t="e">
        <f t="shared" si="130"/>
        <v>#DIV/0!</v>
      </c>
      <c r="AF22" s="190">
        <f>SUMIF('DESP A'!$D$3:$D$129,"Almoxarifado",'DESP A'!$K$3:$K$129)</f>
        <v>0</v>
      </c>
      <c r="AG22" s="209" t="e">
        <f t="shared" si="173"/>
        <v>#DIV/0!</v>
      </c>
      <c r="AH22" s="190">
        <f t="shared" si="132"/>
        <v>0</v>
      </c>
      <c r="AI22" s="209" t="e">
        <f t="shared" si="174"/>
        <v>#DIV/0!</v>
      </c>
      <c r="AJ22" s="245">
        <f t="shared" si="84"/>
        <v>-151331.75</v>
      </c>
      <c r="AK22" s="190">
        <f>SUMIF('DESP E'!$D$3:$D$146,"Almoxarifado",'DESP E'!$L$3:$L$146)</f>
        <v>0</v>
      </c>
      <c r="AL22" s="209" t="e">
        <f t="shared" si="134"/>
        <v>#DIV/0!</v>
      </c>
      <c r="AM22" s="190">
        <f>SUMIF('DESP A'!$D$3:$D$129,"Almoxarifado",'DESP A'!$L$3:$L$129)</f>
        <v>0</v>
      </c>
      <c r="AN22" s="209" t="e">
        <f t="shared" si="175"/>
        <v>#DIV/0!</v>
      </c>
      <c r="AO22" s="190">
        <f t="shared" si="136"/>
        <v>0</v>
      </c>
      <c r="AP22" s="209" t="e">
        <f t="shared" si="176"/>
        <v>#DIV/0!</v>
      </c>
      <c r="AQ22" s="245">
        <f t="shared" si="177"/>
        <v>0</v>
      </c>
      <c r="AR22" s="190">
        <f>SUMIF('DESP E'!$D$3:$D$146,"Almoxarifado",'DESP E'!$M$3:$M$146)</f>
        <v>0</v>
      </c>
      <c r="AS22" s="209" t="e">
        <f t="shared" si="138"/>
        <v>#DIV/0!</v>
      </c>
      <c r="AT22" s="190">
        <f>SUMIF('DESP A'!$D$3:$D$129,"Almoxarifado",'DESP A'!$M$3:$M$129)</f>
        <v>0</v>
      </c>
      <c r="AU22" s="209" t="e">
        <f t="shared" si="178"/>
        <v>#DIV/0!</v>
      </c>
      <c r="AV22" s="190">
        <f t="shared" si="140"/>
        <v>0</v>
      </c>
      <c r="AW22" s="209" t="e">
        <f t="shared" si="179"/>
        <v>#DIV/0!</v>
      </c>
      <c r="AX22" s="245">
        <f t="shared" si="180"/>
        <v>0</v>
      </c>
      <c r="AY22" s="190">
        <f>SUMIF('DESP E'!$D$3:$D$146,"Almoxarifado",'DESP E'!$N$3:$N$146)</f>
        <v>0</v>
      </c>
      <c r="AZ22" s="209" t="e">
        <f t="shared" si="142"/>
        <v>#DIV/0!</v>
      </c>
      <c r="BA22" s="190">
        <f>SUMIF('DESP A'!$D$3:$D$129,"Almoxarifado",'DESP A'!$N$3:$N$129)</f>
        <v>0</v>
      </c>
      <c r="BB22" s="209" t="e">
        <f t="shared" si="181"/>
        <v>#DIV/0!</v>
      </c>
      <c r="BC22" s="190">
        <f t="shared" si="144"/>
        <v>0</v>
      </c>
      <c r="BD22" s="209" t="e">
        <f t="shared" si="182"/>
        <v>#DIV/0!</v>
      </c>
      <c r="BE22" s="245">
        <f t="shared" si="183"/>
        <v>0</v>
      </c>
      <c r="BF22" s="190">
        <f>SUMIF('DESP E'!$D$3:$D$146,"Almoxarifado",'DESP E'!$O$3:$O$146)</f>
        <v>0</v>
      </c>
      <c r="BG22" s="209" t="e">
        <f t="shared" si="146"/>
        <v>#DIV/0!</v>
      </c>
      <c r="BH22" s="190">
        <f>SUMIF('DESP A'!$D$3:$D$144,"Almoxarifado",'DESP A'!$O$3:$O$144)</f>
        <v>0</v>
      </c>
      <c r="BI22" s="209" t="e">
        <f t="shared" si="184"/>
        <v>#DIV/0!</v>
      </c>
      <c r="BJ22" s="190">
        <f t="shared" si="148"/>
        <v>0</v>
      </c>
      <c r="BK22" s="209" t="e">
        <f t="shared" si="185"/>
        <v>#DIV/0!</v>
      </c>
      <c r="BL22" s="245">
        <f t="shared" si="186"/>
        <v>0</v>
      </c>
      <c r="BM22" s="190">
        <f>SUMIF('DESP E'!$D$3:$D$146,"Almoxarifado",'DESP E'!$P$3:$P$146)</f>
        <v>0</v>
      </c>
      <c r="BN22" s="209" t="e">
        <f t="shared" si="150"/>
        <v>#DIV/0!</v>
      </c>
      <c r="BO22" s="190">
        <f>SUMIF('DESP A'!$D$3:$D$129,"Almoxarifado",'DESP A'!$P$3:$P$129)</f>
        <v>0</v>
      </c>
      <c r="BP22" s="209" t="e">
        <f t="shared" si="187"/>
        <v>#DIV/0!</v>
      </c>
      <c r="BQ22" s="190">
        <f t="shared" si="152"/>
        <v>0</v>
      </c>
      <c r="BR22" s="209" t="e">
        <f t="shared" si="188"/>
        <v>#DIV/0!</v>
      </c>
      <c r="BS22" s="245">
        <f t="shared" si="189"/>
        <v>0</v>
      </c>
      <c r="BT22" s="190">
        <f>SUMIF('DESP E'!$D$3:$D$146,"Almoxarifado",'DESP E'!$Q$3:$Q$146)</f>
        <v>0</v>
      </c>
      <c r="BU22" s="209" t="e">
        <f t="shared" si="154"/>
        <v>#DIV/0!</v>
      </c>
      <c r="BV22" s="190">
        <f>SUMIF('DESP A'!$D$3:$D$129,"Almoxarifado",'DESP A'!$Q$3:$Q$129)</f>
        <v>0</v>
      </c>
      <c r="BW22" s="209" t="e">
        <f t="shared" si="190"/>
        <v>#DIV/0!</v>
      </c>
      <c r="BX22" s="190">
        <f t="shared" si="156"/>
        <v>0</v>
      </c>
      <c r="BY22" s="209" t="e">
        <f t="shared" si="191"/>
        <v>#DIV/0!</v>
      </c>
      <c r="BZ22" s="245">
        <f t="shared" si="192"/>
        <v>0</v>
      </c>
      <c r="CA22" s="190">
        <f>SUMIF('DESP E'!$D$3:$D$146,"Almoxarifado",'DESP E'!$R$3:$R$146)</f>
        <v>0</v>
      </c>
      <c r="CB22" s="209" t="e">
        <f t="shared" si="158"/>
        <v>#DIV/0!</v>
      </c>
      <c r="CC22" s="190">
        <f>SUMIF('DESP A'!$D$3:$D$129,"Almoxarifado",'DESP A'!$R$3:$R$129)</f>
        <v>0</v>
      </c>
      <c r="CD22" s="209" t="e">
        <f t="shared" si="193"/>
        <v>#DIV/0!</v>
      </c>
      <c r="CE22" s="190">
        <f>CA22+CC22</f>
        <v>0</v>
      </c>
      <c r="CF22" s="209" t="e">
        <f t="shared" si="194"/>
        <v>#DIV/0!</v>
      </c>
      <c r="CG22" s="245">
        <f t="shared" si="195"/>
        <v>0</v>
      </c>
      <c r="CH22" s="242">
        <f t="shared" si="196"/>
        <v>708635.02</v>
      </c>
      <c r="CI22" s="246">
        <f t="shared" ref="CI22:CI41" si="197">CH22/$CH$10</f>
        <v>7.0766307491305384E-3</v>
      </c>
      <c r="CJ22" s="242">
        <f t="shared" si="196"/>
        <v>0</v>
      </c>
      <c r="CK22" s="246">
        <f t="shared" si="162"/>
        <v>0</v>
      </c>
      <c r="CL22" s="242">
        <f t="shared" si="196"/>
        <v>708635.02</v>
      </c>
      <c r="CM22" s="247">
        <f t="shared" si="163"/>
        <v>6.1989307176832965E-3</v>
      </c>
    </row>
    <row r="23" spans="2:91" s="238" customFormat="1" ht="10.35" customHeight="1" thickBot="1">
      <c r="B23" s="240" t="s">
        <v>353</v>
      </c>
      <c r="C23" s="190">
        <f>SUMIF('MVTO E'!$C$3:$C$240,"Outras",'MVTO E'!$G$3:$G$240)+SUMIF('DESP E'!$D$3:$D$146,"Outras",'DESP E'!$G$3:$G$146)</f>
        <v>302265</v>
      </c>
      <c r="D23" s="209">
        <f t="shared" si="116"/>
        <v>9.1871046359313854E-3</v>
      </c>
      <c r="E23" s="190">
        <f>SUMIF('MVTO A'!$C$3:$C$184,"Outras",'MVTO A'!$G$3:$G$184)+SUMIF('DESP A'!$D$3:$D$129,"Outras",'DESP A'!$G$3:$G$129)</f>
        <v>65091.75</v>
      </c>
      <c r="F23" s="209">
        <f t="shared" si="164"/>
        <v>1.6471719278919758E-2</v>
      </c>
      <c r="G23" s="190">
        <f t="shared" si="165"/>
        <v>367356.75</v>
      </c>
      <c r="H23" s="209">
        <f t="shared" si="166"/>
        <v>9.968235627904028E-3</v>
      </c>
      <c r="I23" s="190">
        <f>SUMIF('MVTO E'!$C$3:$C$240,"Outras",'MVTO E'!$H$3:$H$240)+SUMIF('DESP E'!$D$3:$D$146,"Outras",'DESP E'!$H$3:$H$146)</f>
        <v>259031.43</v>
      </c>
      <c r="J23" s="209">
        <f t="shared" si="119"/>
        <v>1.2201184666550131E-2</v>
      </c>
      <c r="K23" s="190">
        <f>SUMIF('MVTO A'!$C$3:$C$184,"Outras",'MVTO A'!$H$3:$H$184)+SUMIF('DESP A'!$D$3:$D$129,"Outras",'DESP A'!$H$3:$H$129)</f>
        <v>87615.2</v>
      </c>
      <c r="L23" s="209">
        <f t="shared" si="120"/>
        <v>2.5624215010699034E-2</v>
      </c>
      <c r="M23" s="190">
        <f t="shared" si="121"/>
        <v>346646.63</v>
      </c>
      <c r="N23" s="209">
        <f t="shared" si="122"/>
        <v>1.4063167268453625E-2</v>
      </c>
      <c r="O23" s="245">
        <f t="shared" si="32"/>
        <v>-20710.119999999995</v>
      </c>
      <c r="P23" s="190">
        <f>SUMIF('MVTO E'!$C$3:$C$240,"Outras",'MVTO E'!$I$3:$I$240)+SUMIF('DESP E'!$D$3:$D$146,"Outras",'DESP E'!$I$3:$I$146)</f>
        <v>258353.58999999997</v>
      </c>
      <c r="Q23" s="209">
        <f t="shared" si="123"/>
        <v>1.0851855364465909E-2</v>
      </c>
      <c r="R23" s="190">
        <f>SUMIF('MVTO A'!$C$3:$C$184,"Outras",'MVTO A'!$I$3:$I$184)+SUMIF('DESP A'!$D$3:$D$129,"Outras",'DESP A'!$I$3:$I$129)</f>
        <v>100073.98</v>
      </c>
      <c r="S23" s="209">
        <f t="shared" si="167"/>
        <v>2.7413138609303375E-2</v>
      </c>
      <c r="T23" s="190">
        <f t="shared" si="125"/>
        <v>358427.56999999995</v>
      </c>
      <c r="U23" s="209">
        <f t="shared" si="168"/>
        <v>1.3053711851680633E-2</v>
      </c>
      <c r="V23" s="245">
        <f t="shared" si="169"/>
        <v>11780.939999999944</v>
      </c>
      <c r="W23" s="190">
        <f>SUMIF('MVTO E'!$C$3:$C$240,"Outras",'MVTO E'!$J$3:$J$240)+SUMIF('DESP E'!$D$3:$D$146,"Outras",'DESP E'!$J$3:$J$146)</f>
        <v>390780.4</v>
      </c>
      <c r="X23" s="209">
        <f t="shared" si="126"/>
        <v>1.7603517264017893E-2</v>
      </c>
      <c r="Y23" s="190">
        <f>SUMIF('MVTO A'!$C$3:$C$184,"Outras",'MVTO A'!$J$3:$J$184)+SUMIF('DESP A'!$D$3:$D$129,"Outras",'DESP A'!$J$3:$J$129)</f>
        <v>120705.18</v>
      </c>
      <c r="Z23" s="209">
        <f t="shared" si="170"/>
        <v>3.8236636348786143E-2</v>
      </c>
      <c r="AA23" s="190">
        <f t="shared" si="128"/>
        <v>511485.58</v>
      </c>
      <c r="AB23" s="209">
        <f t="shared" si="171"/>
        <v>2.017233905590388E-2</v>
      </c>
      <c r="AC23" s="245">
        <f t="shared" si="172"/>
        <v>153058.01000000007</v>
      </c>
      <c r="AD23" s="190">
        <f>SUMIF('MVTO E'!$C$3:$C$240,"Outras",'MVTO E'!$K$3:$K$240)+SUMIF('DESP E'!$D$3:$D$146,"Outras",'DESP E'!$K$3:$K$146)</f>
        <v>0</v>
      </c>
      <c r="AE23" s="209" t="e">
        <f t="shared" si="130"/>
        <v>#DIV/0!</v>
      </c>
      <c r="AF23" s="190">
        <f>SUMIF('MVTO A'!$C$3:$C$184,"Outras",'MVTO A'!$K$3:$K$184)+SUMIF('DESP A'!$D$3:$D$129,"Outras",'DESP A'!$K$3:$K$129)</f>
        <v>0</v>
      </c>
      <c r="AG23" s="209" t="e">
        <f t="shared" si="173"/>
        <v>#DIV/0!</v>
      </c>
      <c r="AH23" s="190">
        <f t="shared" si="132"/>
        <v>0</v>
      </c>
      <c r="AI23" s="209" t="e">
        <f t="shared" si="174"/>
        <v>#DIV/0!</v>
      </c>
      <c r="AJ23" s="245">
        <f t="shared" si="84"/>
        <v>-511485.58</v>
      </c>
      <c r="AK23" s="190">
        <f>SUMIF('MVTO E'!$C$3:$C$240,"Outras",'MVTO E'!$L$3:$L$240)+SUMIF('DESP E'!$D$3:$D$146,"Outras",'DESP E'!$L$3:$L$146)</f>
        <v>0</v>
      </c>
      <c r="AL23" s="209" t="e">
        <f t="shared" si="134"/>
        <v>#DIV/0!</v>
      </c>
      <c r="AM23" s="190">
        <f>SUMIF('MVTO A'!$C$3:$C$184,"Outras",'MVTO A'!$L$3:$L$184)+SUMIF('DESP A'!$D$3:$D$129,"Outras",'DESP A'!$L$3:$L$129)</f>
        <v>0</v>
      </c>
      <c r="AN23" s="209" t="e">
        <f t="shared" si="175"/>
        <v>#DIV/0!</v>
      </c>
      <c r="AO23" s="190">
        <f t="shared" si="136"/>
        <v>0</v>
      </c>
      <c r="AP23" s="209" t="e">
        <f t="shared" si="176"/>
        <v>#DIV/0!</v>
      </c>
      <c r="AQ23" s="245">
        <f t="shared" si="177"/>
        <v>0</v>
      </c>
      <c r="AR23" s="190">
        <f>SUMIF('MVTO E'!$C$3:$C$240,"Outras",'MVTO E'!$M$3:$M$240)+SUMIF('DESP E'!$D$3:$D$146,"Outras",'DESP E'!$M$3:$M$146)</f>
        <v>0</v>
      </c>
      <c r="AS23" s="209" t="e">
        <f t="shared" si="138"/>
        <v>#DIV/0!</v>
      </c>
      <c r="AT23" s="190">
        <f>SUMIF('MVTO A'!$C$3:$C$184,"Outras",'MVTO A'!$M$3:$M$189)+SUMIF('DESP A'!$D$3:$D$129,"Outras",'DESP A'!$M$3:$M$129)</f>
        <v>0</v>
      </c>
      <c r="AU23" s="209" t="e">
        <f t="shared" si="178"/>
        <v>#DIV/0!</v>
      </c>
      <c r="AV23" s="190">
        <f t="shared" si="140"/>
        <v>0</v>
      </c>
      <c r="AW23" s="209" t="e">
        <f t="shared" si="179"/>
        <v>#DIV/0!</v>
      </c>
      <c r="AX23" s="245">
        <f t="shared" si="180"/>
        <v>0</v>
      </c>
      <c r="AY23" s="190">
        <f>SUMIF('MVTO E'!$C$3:$C$240,"Outras",'MVTO E'!$N$3:$N$240)+SUMIF('DESP E'!$D$3:$D$146,"Outras",'DESP E'!$N$3:$N$146)</f>
        <v>0</v>
      </c>
      <c r="AZ23" s="209" t="e">
        <f t="shared" si="142"/>
        <v>#DIV/0!</v>
      </c>
      <c r="BA23" s="190">
        <f>SUMIF('MVTO A'!$C$3:$C$184,"Outras",'MVTO A'!$N$3:$N$189)+SUMIF('DESP A'!$D$3:$D$129,"Outras",'DESP A'!$N$3:$N$129)</f>
        <v>0</v>
      </c>
      <c r="BB23" s="209" t="e">
        <f t="shared" si="181"/>
        <v>#DIV/0!</v>
      </c>
      <c r="BC23" s="190">
        <f t="shared" si="144"/>
        <v>0</v>
      </c>
      <c r="BD23" s="209" t="e">
        <f t="shared" si="182"/>
        <v>#DIV/0!</v>
      </c>
      <c r="BE23" s="245">
        <f t="shared" si="183"/>
        <v>0</v>
      </c>
      <c r="BF23" s="190">
        <f>SUMIF('MVTO E'!$C$3:$C$240,"Outras",'MVTO E'!$O$3:$O$240)+SUMIF('DESP E'!$D$3:$D$146,"Outras",'DESP E'!$O$3:$O$146)</f>
        <v>0</v>
      </c>
      <c r="BG23" s="209" t="e">
        <f t="shared" si="146"/>
        <v>#DIV/0!</v>
      </c>
      <c r="BH23" s="190">
        <f>SUMIF('MVTO A'!$C$3:$C$195,"Outras",'MVTO A'!$O$3:$O$195)+SUMIF('DESP A'!$D$3:$D$144,"Outras",'DESP A'!$O$3:$O$144)</f>
        <v>0</v>
      </c>
      <c r="BI23" s="209" t="e">
        <f t="shared" si="184"/>
        <v>#DIV/0!</v>
      </c>
      <c r="BJ23" s="190">
        <f t="shared" si="148"/>
        <v>0</v>
      </c>
      <c r="BK23" s="209" t="e">
        <f t="shared" si="185"/>
        <v>#DIV/0!</v>
      </c>
      <c r="BL23" s="245">
        <f t="shared" si="186"/>
        <v>0</v>
      </c>
      <c r="BM23" s="190">
        <f>SUMIF('MVTO E'!$C$3:$C$240,"Outras",'MVTO E'!$P$3:$P$240)+SUMIF('DESP E'!$D$3:$D$146,"Outras",'DESP E'!$P$3:$P$146)</f>
        <v>0</v>
      </c>
      <c r="BN23" s="209" t="e">
        <f t="shared" si="150"/>
        <v>#DIV/0!</v>
      </c>
      <c r="BO23" s="190">
        <f>SUMIF('MVTO A'!$C$3:$C$184,"Outras",'MVTO A'!$P$3:$P$189)+SUMIF('DESP A'!$D$3:$D$129,"Outras",'DESP A'!$P$3:$P$129)</f>
        <v>0</v>
      </c>
      <c r="BP23" s="209" t="e">
        <f t="shared" si="187"/>
        <v>#DIV/0!</v>
      </c>
      <c r="BQ23" s="190">
        <f t="shared" si="152"/>
        <v>0</v>
      </c>
      <c r="BR23" s="209" t="e">
        <f t="shared" si="188"/>
        <v>#DIV/0!</v>
      </c>
      <c r="BS23" s="245">
        <f t="shared" si="189"/>
        <v>0</v>
      </c>
      <c r="BT23" s="190">
        <f>SUMIF('MVTO E'!$C$3:$C$240,"Outras",'MVTO E'!$Q$3:$Q$240)+SUMIF('DESP E'!$D$3:$D$146,"Outras",'DESP E'!$Q$3:$Q$146)</f>
        <v>0</v>
      </c>
      <c r="BU23" s="209" t="e">
        <f t="shared" si="154"/>
        <v>#DIV/0!</v>
      </c>
      <c r="BV23" s="190">
        <f>SUMIF('MVTO A'!$C$3:$C$184,"Outras",'MVTO A'!$Q$3:$Q$189)+SUMIF('DESP A'!$D$3:$D$129,"Outras",'DESP A'!$Q$3:$Q$129)</f>
        <v>0</v>
      </c>
      <c r="BW23" s="209" t="e">
        <f t="shared" si="190"/>
        <v>#DIV/0!</v>
      </c>
      <c r="BX23" s="190">
        <f t="shared" si="156"/>
        <v>0</v>
      </c>
      <c r="BY23" s="209" t="e">
        <f t="shared" si="191"/>
        <v>#DIV/0!</v>
      </c>
      <c r="BZ23" s="245">
        <f t="shared" si="192"/>
        <v>0</v>
      </c>
      <c r="CA23" s="190">
        <f>SUMIF('MVTO E'!$C$3:$C$240,"Outras",'MVTO E'!$R$3:$R$240)+SUMIF('DESP E'!$D$3:$D$146,"Outras",'DESP E'!$R$3:$R$146)</f>
        <v>0</v>
      </c>
      <c r="CB23" s="209" t="e">
        <f t="shared" si="158"/>
        <v>#DIV/0!</v>
      </c>
      <c r="CC23" s="190">
        <f>SUMIF('MVTO A'!$C$3:$C$184,"Outras",'MVTO A'!$R$3:$R$189)+SUMIF('DESP A'!$D$3:$D$129,"Outras",'DESP A'!$R$3:$R$129)</f>
        <v>0</v>
      </c>
      <c r="CD23" s="209" t="e">
        <f t="shared" si="193"/>
        <v>#DIV/0!</v>
      </c>
      <c r="CE23" s="190">
        <f t="shared" si="160"/>
        <v>0</v>
      </c>
      <c r="CF23" s="209" t="e">
        <f t="shared" si="194"/>
        <v>#DIV/0!</v>
      </c>
      <c r="CG23" s="245">
        <f t="shared" si="195"/>
        <v>0</v>
      </c>
      <c r="CH23" s="242">
        <f t="shared" si="196"/>
        <v>1210430.42</v>
      </c>
      <c r="CI23" s="246">
        <f t="shared" si="197"/>
        <v>1.2087702255887652E-2</v>
      </c>
      <c r="CJ23" s="242">
        <f t="shared" si="196"/>
        <v>373486.11</v>
      </c>
      <c r="CK23" s="246">
        <f t="shared" si="162"/>
        <v>2.6342018342827705E-2</v>
      </c>
      <c r="CL23" s="242">
        <f t="shared" si="196"/>
        <v>1583916.53</v>
      </c>
      <c r="CM23" s="247">
        <f t="shared" si="163"/>
        <v>1.3855635912635727E-2</v>
      </c>
    </row>
    <row r="24" spans="2:91" s="238" customFormat="1" ht="10.35" customHeight="1" thickBot="1">
      <c r="B24" s="240" t="s">
        <v>340</v>
      </c>
      <c r="C24" s="190">
        <f>SUMIF('MVTO E'!$C$3:$C$240,"Pessoal",'MVTO E'!$G$3:$G$240)-SUMIF('MVTO E'!$C$3:$C$240,"Pessoal_E",'MVTO E'!$G$3:$G$240)+SUMIF('DESP E'!$D$3:$D$146,"Pessoal",'DESP E'!$G$3:$G$146)</f>
        <v>2271896.1300000004</v>
      </c>
      <c r="D24" s="209">
        <f>C24/$C$10</f>
        <v>6.9052478680222906E-2</v>
      </c>
      <c r="E24" s="190">
        <f>SUMIF('MVTO A'!$C$3:$C$184,"Pessoal",'MVTO A'!$G$3:$G$184)-SUMIF('MVTO A'!$C$3:$C$184,"Pessoal_e",'MVTO A'!$G$3:$G$184)+SUMIF('DESP A'!$D$3:$D$129,"Pessoal",'DESP A'!$G$3:$G$129)</f>
        <v>944623.16</v>
      </c>
      <c r="F24" s="209">
        <f>E24/$E$10</f>
        <v>0.23904054685710713</v>
      </c>
      <c r="G24" s="190">
        <f t="shared" si="165"/>
        <v>3216519.2900000005</v>
      </c>
      <c r="H24" s="209">
        <f t="shared" si="166"/>
        <v>8.7280340389603764E-2</v>
      </c>
      <c r="I24" s="190">
        <f>SUMIF('MVTO E'!$C$3:$C$240,"Pessoal",'MVTO E'!$H$3:$H$240)-SUMIF('MVTO E'!$C$3:$C$240,"Pessoal_E",'MVTO E'!$H$3:$H$240)+SUMIF('DESP E'!$D$3:$D$146,"Pessoal",'DESP E'!$H$3:$H$146)</f>
        <v>2155740.1</v>
      </c>
      <c r="J24" s="209">
        <f t="shared" si="119"/>
        <v>0.10154205245744599</v>
      </c>
      <c r="K24" s="190">
        <f>SUMIF('MVTO A'!$C$3:$C$184,"Pessoal",'MVTO A'!$H$3:$H$184)-SUMIF('MVTO A'!$C$3:$C$184,"Pessoal_E",'MVTO A'!$H$3:$H$184)+SUMIF('DESP A'!$D$3:$D$129,"Pessoal",'DESP A'!$H$3:$H$129)</f>
        <v>937575.5</v>
      </c>
      <c r="L24" s="209">
        <f t="shared" si="120"/>
        <v>0.2742062587400777</v>
      </c>
      <c r="M24" s="190">
        <f t="shared" si="121"/>
        <v>3093315.6</v>
      </c>
      <c r="N24" s="209">
        <f t="shared" si="122"/>
        <v>0.1254932572023475</v>
      </c>
      <c r="O24" s="245">
        <f t="shared" si="32"/>
        <v>-123203.69000000041</v>
      </c>
      <c r="P24" s="190">
        <f>SUMIF('MVTO E'!$C$3:$C$240,"Pessoal",'MVTO E'!$I$3:$I$240)-SUMIF('MVTO E'!$C$3:$C$240,"Pessoal_E",'MVTO E'!$I$3:$I$240)+SUMIF('DESP E'!$D$3:$D$146,"Pessoal",'DESP E'!$I$3:$I$146)</f>
        <v>1832505.33</v>
      </c>
      <c r="Q24" s="209">
        <f t="shared" si="123"/>
        <v>7.6972349390511188E-2</v>
      </c>
      <c r="R24" s="190">
        <f>SUMIF('MVTO A'!$C$3:$C$184,"Pessoal",'MVTO A'!$I$3:$I$184)-SUMIF('MVTO A'!$C$3:$C$184,"Pessoal_E",'MVTO A'!$I$3:$I$184)+SUMIF('DESP A'!$D$3:$D$129,"Pessoal",'DESP A'!$I$3:$I$129)</f>
        <v>875086.23</v>
      </c>
      <c r="S24" s="209">
        <f t="shared" si="167"/>
        <v>0.23971126278861635</v>
      </c>
      <c r="T24" s="190">
        <f t="shared" si="125"/>
        <v>2707591.56</v>
      </c>
      <c r="U24" s="209">
        <f t="shared" si="168"/>
        <v>9.8608820845680095E-2</v>
      </c>
      <c r="V24" s="245">
        <f t="shared" si="169"/>
        <v>-385724.04000000004</v>
      </c>
      <c r="W24" s="190">
        <f>SUMIF('MVTO E'!$C$3:$C$240,"Pessoal",'MVTO E'!$J$3:$J$240)-SUMIF('MVTO E'!$C$3:$C$240,"Pessoal_E",'MVTO E'!$J$3:$J$240)+SUMIF('DESP E'!$D$3:$D$146,"Pessoal",'DESP E'!$J$3:$J$146)</f>
        <v>2059975.31</v>
      </c>
      <c r="X24" s="209">
        <f t="shared" si="126"/>
        <v>9.2795879560580857E-2</v>
      </c>
      <c r="Y24" s="190">
        <f>SUMIF('MVTO A'!$C$3:$C$184,"Pessoal",'MVTO A'!$J$3:$J$184)-SUMIF('MVTO A'!$C$3:$C$184,"Pessoal_e",'MVTO A'!$J$3:$J$184)+SUMIF('DESP A'!$D$3:$D$129,"Pessoal",'DESP A'!$J$3:$J$129)</f>
        <v>696399.58999999985</v>
      </c>
      <c r="Z24" s="209">
        <f t="shared" si="170"/>
        <v>0.22060343952325628</v>
      </c>
      <c r="AA24" s="190">
        <f t="shared" si="128"/>
        <v>2756374.9</v>
      </c>
      <c r="AB24" s="209">
        <f t="shared" si="171"/>
        <v>0.10870791127285181</v>
      </c>
      <c r="AC24" s="245">
        <f t="shared" si="172"/>
        <v>48783.339999999851</v>
      </c>
      <c r="AD24" s="190">
        <f>SUMIF('MVTO E'!$C$3:$C$240,"Pessoal",'MVTO E'!$K$3:$K$240)-SUMIF('MVTO E'!$C$3:$C$240,"Pessoal_E",'MVTO E'!$K$3:$K$240)+SUMIF('DESP E'!$D$3:$D$146,"Pessoal",'DESP E'!$K$3:$K$146)</f>
        <v>0</v>
      </c>
      <c r="AE24" s="209" t="e">
        <f t="shared" si="130"/>
        <v>#DIV/0!</v>
      </c>
      <c r="AF24" s="190">
        <f>SUMIF('MVTO A'!$C$3:$C$184,"Pessoal",'MVTO A'!$K$3:$K$184)-SUMIF('MVTO A'!$C$3:$C$184,"Pessoal_E",'MVTO A'!$K$3:$K$184)+SUMIF('DESP A'!$D$3:$D$129,"Pessoal",'DESP A'!$K$3:$K$129)</f>
        <v>0</v>
      </c>
      <c r="AG24" s="209" t="e">
        <f t="shared" si="173"/>
        <v>#DIV/0!</v>
      </c>
      <c r="AH24" s="190">
        <f t="shared" si="132"/>
        <v>0</v>
      </c>
      <c r="AI24" s="209" t="e">
        <f t="shared" si="174"/>
        <v>#DIV/0!</v>
      </c>
      <c r="AJ24" s="245">
        <f t="shared" si="84"/>
        <v>-2756374.9</v>
      </c>
      <c r="AK24" s="190">
        <f>SUMIF('MVTO E'!$C$3:$C$240,"Pessoal",'MVTO E'!$L$3:$L$240)-SUMIF('MVTO E'!$C$3:$C$240,"Pessoal_E",'MVTO E'!$L$3:$L$240)+SUMIF('DESP E'!$D$3:$D$146,"Pessoal",'DESP E'!$L$3:$L$146)</f>
        <v>0</v>
      </c>
      <c r="AL24" s="209" t="e">
        <f t="shared" si="134"/>
        <v>#DIV/0!</v>
      </c>
      <c r="AM24" s="190">
        <f>SUMIF('MVTO A'!$C$3:$C$184,"Pessoal",'MVTO A'!$L$3:$L$184)-SUMIF('MVTO A'!$C$3:$C$184,"Pessoal_E",'MVTO A'!$L$3:$L$184)+SUMIF('DESP A'!$D$3:$D$129,"Pessoal",'DESP A'!$L$3:$L$129)</f>
        <v>0</v>
      </c>
      <c r="AN24" s="209" t="e">
        <f t="shared" si="175"/>
        <v>#DIV/0!</v>
      </c>
      <c r="AO24" s="190">
        <f t="shared" si="136"/>
        <v>0</v>
      </c>
      <c r="AP24" s="209" t="e">
        <f t="shared" si="176"/>
        <v>#DIV/0!</v>
      </c>
      <c r="AQ24" s="245">
        <f t="shared" si="177"/>
        <v>0</v>
      </c>
      <c r="AR24" s="190">
        <f>SUMIF('MVTO E'!$C$3:$C$240,"Pessoal",'MVTO E'!$M$3:$M$240)-SUMIF('MVTO E'!$C$3:$C$240,"Pessoal_E",'MVTO E'!$M$3:$M$240)+SUMIF('DESP E'!$D$3:$D$146,"Pessoal",'DESP E'!$M$3:$M$146)</f>
        <v>0</v>
      </c>
      <c r="AS24" s="209" t="e">
        <f t="shared" si="138"/>
        <v>#DIV/0!</v>
      </c>
      <c r="AT24" s="190">
        <f>SUMIF('MVTO A'!$C$3:$C$184,"Pessoal",'MVTO A'!$M$3:$M$189)-SUMIF('MVTO A'!$C$3:$C$184,"Pessoal_e",'MVTO A'!$M$3:$M$189)+SUMIF('DESP A'!$D$3:$D$129,"Pessoal",'DESP A'!$M$3:$M$129)</f>
        <v>0</v>
      </c>
      <c r="AU24" s="209" t="e">
        <f t="shared" si="178"/>
        <v>#DIV/0!</v>
      </c>
      <c r="AV24" s="190">
        <f t="shared" si="140"/>
        <v>0</v>
      </c>
      <c r="AW24" s="209" t="e">
        <f t="shared" si="179"/>
        <v>#DIV/0!</v>
      </c>
      <c r="AX24" s="245">
        <f t="shared" si="180"/>
        <v>0</v>
      </c>
      <c r="AY24" s="190">
        <f>SUMIF('MVTO E'!$C$3:$C$240,"Pessoal",'MVTO E'!$N$3:$N$240)-SUMIF('MVTO E'!$C$3:$C$240,"Pessoal_E",'MVTO E'!$N$3:$N$240)+SUMIF('DESP E'!$D$3:$D$146,"Pessoal",'DESP E'!$N$3:$N$146)</f>
        <v>0</v>
      </c>
      <c r="AZ24" s="209" t="e">
        <f t="shared" si="142"/>
        <v>#DIV/0!</v>
      </c>
      <c r="BA24" s="190">
        <f>SUMIF('MVTO A'!$C$3:$C$184,"Pessoal",'MVTO A'!$N$3:$N$189)-SUMIF('MVTO A'!$C$3:$C$184,"Pessoal_E",'MVTO A'!$N$3:$N$189)+SUMIF('DESP A'!$D$3:$D$129,"Pessoal",'DESP A'!$N$3:$N$129)</f>
        <v>0</v>
      </c>
      <c r="BB24" s="209" t="e">
        <f t="shared" si="181"/>
        <v>#DIV/0!</v>
      </c>
      <c r="BC24" s="190">
        <f t="shared" si="144"/>
        <v>0</v>
      </c>
      <c r="BD24" s="209" t="e">
        <f t="shared" si="182"/>
        <v>#DIV/0!</v>
      </c>
      <c r="BE24" s="245">
        <f t="shared" si="183"/>
        <v>0</v>
      </c>
      <c r="BF24" s="190">
        <f>SUMIF('MVTO E'!$C$3:$C$240,"Pessoal",'MVTO E'!$O$3:$O$240)-SUMIF('MVTO E'!$C$3:$C$240,"Pessoal_E",'MVTO E'!$O$3:$O$240)+SUMIF('DESP E'!$D$3:$D$146,"Pessoal",'DESP E'!$O$3:$O$146)</f>
        <v>0</v>
      </c>
      <c r="BG24" s="209" t="e">
        <f t="shared" si="146"/>
        <v>#DIV/0!</v>
      </c>
      <c r="BH24" s="190">
        <f>SUMIF('MVTO A'!$C$3:$C$195,"Pessoal",'MVTO A'!$O$3:$O$195)-SUMIF('MVTO A'!$C$3:$C$195,"Pessoal_E",'MVTO A'!$O$3:$O$195)+SUMIF('DESP A'!$D$3:$D$144,"Pessoal",'DESP A'!$O$3:$O$144)</f>
        <v>0</v>
      </c>
      <c r="BI24" s="209" t="e">
        <f t="shared" si="184"/>
        <v>#DIV/0!</v>
      </c>
      <c r="BJ24" s="190">
        <f t="shared" si="148"/>
        <v>0</v>
      </c>
      <c r="BK24" s="209" t="e">
        <f t="shared" si="185"/>
        <v>#DIV/0!</v>
      </c>
      <c r="BL24" s="245">
        <f t="shared" si="186"/>
        <v>0</v>
      </c>
      <c r="BM24" s="190">
        <f>SUMIF('MVTO E'!$C$3:$C$240,"Pessoal",'MVTO E'!$P$3:$P$240)-SUMIF('MVTO E'!$C$3:$C$240,"Pessoal_E",'MVTO E'!$P$3:$P$240)+SUMIF('DESP E'!$D$3:$D$146,"Pessoal",'DESP E'!$P$3:$P$146)</f>
        <v>0</v>
      </c>
      <c r="BN24" s="209" t="e">
        <f t="shared" si="150"/>
        <v>#DIV/0!</v>
      </c>
      <c r="BO24" s="190">
        <f>SUMIF('MVTO A'!$C$3:$C$184,"Pessoal",'MVTO A'!$P$3:$P$189)-SUMIF('MVTO A'!$C$3:$C$184,"Pessoal_E",'MVTO A'!$P$3:$P$189)+SUMIF('DESP A'!$D$3:$D$129,"Pessoal",'DESP A'!$P$3:$P$129)</f>
        <v>0</v>
      </c>
      <c r="BP24" s="209" t="e">
        <f t="shared" si="187"/>
        <v>#DIV/0!</v>
      </c>
      <c r="BQ24" s="190">
        <f t="shared" si="152"/>
        <v>0</v>
      </c>
      <c r="BR24" s="209" t="e">
        <f t="shared" si="188"/>
        <v>#DIV/0!</v>
      </c>
      <c r="BS24" s="245">
        <f t="shared" si="189"/>
        <v>0</v>
      </c>
      <c r="BT24" s="190">
        <f>SUMIF('MVTO E'!$C$3:$C$240,"Pessoal",'MVTO E'!$Q$3:$Q$240)-SUMIF('MVTO E'!$C$3:$C$240,"Pessoal_E",'MVTO E'!$Q$3:$Q$240)+SUMIF('DESP E'!$D$3:$D$146,"Pessoal",'DESP E'!$Q$3:$Q$146)</f>
        <v>0</v>
      </c>
      <c r="BU24" s="209" t="e">
        <f t="shared" si="154"/>
        <v>#DIV/0!</v>
      </c>
      <c r="BV24" s="190">
        <f>SUMIF('MVTO A'!$C$3:$C$184,"Pessoal",'MVTO A'!$Q$3:$Q$189)-SUMIF('MVTO A'!$C$3:$C$184,"Pessoal_E",'MVTO A'!$Q$3:$Q$189)+SUMIF('DESP A'!$D$3:$D$129,"Pessoal",'DESP A'!$Q$3:$Q$129)</f>
        <v>0</v>
      </c>
      <c r="BW24" s="209" t="e">
        <f t="shared" si="190"/>
        <v>#DIV/0!</v>
      </c>
      <c r="BX24" s="190">
        <f t="shared" si="156"/>
        <v>0</v>
      </c>
      <c r="BY24" s="209" t="e">
        <f t="shared" si="191"/>
        <v>#DIV/0!</v>
      </c>
      <c r="BZ24" s="245">
        <f t="shared" si="192"/>
        <v>0</v>
      </c>
      <c r="CA24" s="190">
        <f>SUMIF('MVTO E'!$C$3:$C$240,"Pessoal",'MVTO E'!$R$3:$R$240)-SUMIF('MVTO E'!$C$3:$C$240,"Pessoal_E",'MVTO E'!$R$3:$R$240)+SUMIF('DESP E'!$D$3:$D$146,"Pessoal",'DESP E'!$R$3:$R$146)</f>
        <v>0</v>
      </c>
      <c r="CB24" s="209" t="e">
        <f t="shared" si="158"/>
        <v>#DIV/0!</v>
      </c>
      <c r="CC24" s="190">
        <f>SUMIF('MVTO A'!$C$3:$C$184,"Pessoal",'MVTO A'!$R$3:$R$189)-SUMIF('MVTO A'!$C$3:$C$184,"Pessoal_E",'MVTO A'!$R$3:$R$189)+SUMIF('DESP A'!$D$3:$D$129,"Pessoal",'DESP A'!$R$3:$R$129)</f>
        <v>0</v>
      </c>
      <c r="CD24" s="209" t="e">
        <f t="shared" si="193"/>
        <v>#DIV/0!</v>
      </c>
      <c r="CE24" s="190">
        <f t="shared" si="160"/>
        <v>0</v>
      </c>
      <c r="CF24" s="209" t="e">
        <f t="shared" si="194"/>
        <v>#DIV/0!</v>
      </c>
      <c r="CG24" s="245">
        <f t="shared" si="195"/>
        <v>0</v>
      </c>
      <c r="CH24" s="242">
        <f t="shared" si="196"/>
        <v>8320116.870000001</v>
      </c>
      <c r="CI24" s="246">
        <f t="shared" si="197"/>
        <v>8.308705217334833E-2</v>
      </c>
      <c r="CJ24" s="242">
        <f t="shared" si="196"/>
        <v>3453684.48</v>
      </c>
      <c r="CK24" s="259">
        <f t="shared" si="162"/>
        <v>0.24358876404399446</v>
      </c>
      <c r="CL24" s="242">
        <f t="shared" si="196"/>
        <v>11773801.350000001</v>
      </c>
      <c r="CM24" s="247">
        <f t="shared" si="163"/>
        <v>0.10299375107430631</v>
      </c>
    </row>
    <row r="25" spans="2:91" s="238" customFormat="1" ht="10.35" customHeight="1" thickBot="1">
      <c r="B25" s="240" t="s">
        <v>331</v>
      </c>
      <c r="C25" s="190">
        <f>SUMIF('DESP E'!$D$3:$D$146,"Energia Elétrica",'DESP E'!$G$3:$G$146)</f>
        <v>523866.45</v>
      </c>
      <c r="D25" s="209">
        <f t="shared" si="116"/>
        <v>1.5922504727321776E-2</v>
      </c>
      <c r="E25" s="190">
        <f>SUMIF('DESP A'!$D$3:$D$129,"Energia Elétrica",'DESP A'!$G$3:$G$129)</f>
        <v>0</v>
      </c>
      <c r="F25" s="209">
        <f t="shared" si="164"/>
        <v>0</v>
      </c>
      <c r="G25" s="190">
        <f t="shared" si="165"/>
        <v>523866.45</v>
      </c>
      <c r="H25" s="209">
        <f t="shared" si="166"/>
        <v>1.4215130690135963E-2</v>
      </c>
      <c r="I25" s="190">
        <f>SUMIF('DESP E'!$D$3:$D$146,"Energia Elétrica",'DESP E'!$H$3:$H$146)</f>
        <v>514813.91</v>
      </c>
      <c r="J25" s="209">
        <f t="shared" si="119"/>
        <v>2.4249333699847615E-2</v>
      </c>
      <c r="K25" s="190">
        <f>SUMIF('DESP A'!$D$3:$D$129,"Energia Elétrica",'DESP A'!$H$3:$H$129)</f>
        <v>0</v>
      </c>
      <c r="L25" s="209">
        <f t="shared" si="120"/>
        <v>0</v>
      </c>
      <c r="M25" s="190">
        <f t="shared" si="121"/>
        <v>514813.91</v>
      </c>
      <c r="N25" s="209">
        <f t="shared" si="122"/>
        <v>2.0885574824300559E-2</v>
      </c>
      <c r="O25" s="245">
        <f t="shared" si="32"/>
        <v>-9052.5400000000373</v>
      </c>
      <c r="P25" s="190">
        <f>SUMIF('DESP E'!$D$3:$D$146,"Energia Elétrica",'DESP E'!$I$3:$I$146)</f>
        <v>454624.44</v>
      </c>
      <c r="Q25" s="209">
        <f t="shared" si="123"/>
        <v>1.9095994245836918E-2</v>
      </c>
      <c r="R25" s="190">
        <f>SUMIF('DESP A'!$D$3:$D$129,"Energia Elétrica",'DESP A'!$I$3:$I$129)</f>
        <v>0</v>
      </c>
      <c r="S25" s="209">
        <f t="shared" si="167"/>
        <v>0</v>
      </c>
      <c r="T25" s="190">
        <f t="shared" si="125"/>
        <v>454624.44</v>
      </c>
      <c r="U25" s="209">
        <f t="shared" si="168"/>
        <v>1.6557142745720347E-2</v>
      </c>
      <c r="V25" s="245">
        <f t="shared" si="169"/>
        <v>-60189.469999999972</v>
      </c>
      <c r="W25" s="190">
        <f>SUMIF('DESP E'!$D$3:$D$146,"Energia Elétrica",'DESP E'!$J$3:$J$146)</f>
        <v>551490.38</v>
      </c>
      <c r="X25" s="209">
        <f t="shared" si="126"/>
        <v>2.4843033133877208E-2</v>
      </c>
      <c r="Y25" s="190">
        <f>SUMIF('DESP A'!$D$3:$D$129,"Energia Elétrica",'DESP A'!$J$3:$J$129)</f>
        <v>0</v>
      </c>
      <c r="Z25" s="209">
        <f t="shared" si="170"/>
        <v>0</v>
      </c>
      <c r="AA25" s="190">
        <f t="shared" si="128"/>
        <v>551490.38</v>
      </c>
      <c r="AB25" s="209">
        <f t="shared" si="171"/>
        <v>2.1750077355903702E-2</v>
      </c>
      <c r="AC25" s="245">
        <f t="shared" si="172"/>
        <v>96865.94</v>
      </c>
      <c r="AD25" s="190">
        <f>SUMIF('DESP E'!$D$3:$D$146,"Energia Elétrica",'DESP E'!$K$3:$K$146)</f>
        <v>0</v>
      </c>
      <c r="AE25" s="209" t="e">
        <f t="shared" si="130"/>
        <v>#DIV/0!</v>
      </c>
      <c r="AF25" s="190">
        <f>SUMIF('DESP A'!$D$3:$D$129,"Energia Elétrica",'DESP A'!$K$3:$K$129)</f>
        <v>0</v>
      </c>
      <c r="AG25" s="209" t="e">
        <f t="shared" si="173"/>
        <v>#DIV/0!</v>
      </c>
      <c r="AH25" s="190">
        <f t="shared" si="132"/>
        <v>0</v>
      </c>
      <c r="AI25" s="209" t="e">
        <f t="shared" si="174"/>
        <v>#DIV/0!</v>
      </c>
      <c r="AJ25" s="245">
        <f t="shared" si="84"/>
        <v>-551490.38</v>
      </c>
      <c r="AK25" s="190">
        <f>SUMIF('DESP E'!$D$3:$D$146,"Energia Elétrica",'DESP E'!$L$3:$L$146)</f>
        <v>0</v>
      </c>
      <c r="AL25" s="209" t="e">
        <f t="shared" si="134"/>
        <v>#DIV/0!</v>
      </c>
      <c r="AM25" s="190">
        <f>SUMIF('DESP A'!$D$3:$D$129,"Energia Elétrica",'DESP A'!$L$3:$L$129)</f>
        <v>0</v>
      </c>
      <c r="AN25" s="209" t="e">
        <f t="shared" si="175"/>
        <v>#DIV/0!</v>
      </c>
      <c r="AO25" s="190">
        <f t="shared" si="136"/>
        <v>0</v>
      </c>
      <c r="AP25" s="209" t="e">
        <f t="shared" si="176"/>
        <v>#DIV/0!</v>
      </c>
      <c r="AQ25" s="245">
        <f t="shared" si="177"/>
        <v>0</v>
      </c>
      <c r="AR25" s="190">
        <f>SUMIF('DESP E'!$D$3:$D$146,"Energia Elétrica",'DESP E'!$M$3:$M$146)</f>
        <v>0</v>
      </c>
      <c r="AS25" s="209" t="e">
        <f t="shared" si="138"/>
        <v>#DIV/0!</v>
      </c>
      <c r="AT25" s="190">
        <f>SUMIF('DESP A'!$D$3:$D$129,"Energia Elétrica",'DESP A'!$M$3:$M$129)</f>
        <v>0</v>
      </c>
      <c r="AU25" s="209" t="e">
        <f t="shared" si="178"/>
        <v>#DIV/0!</v>
      </c>
      <c r="AV25" s="190">
        <f t="shared" si="140"/>
        <v>0</v>
      </c>
      <c r="AW25" s="209" t="e">
        <f t="shared" si="179"/>
        <v>#DIV/0!</v>
      </c>
      <c r="AX25" s="245">
        <f t="shared" si="180"/>
        <v>0</v>
      </c>
      <c r="AY25" s="190">
        <f>SUMIF('DESP E'!$D$3:$D$146,"Energia Elétrica",'DESP E'!$N$3:$N$146)</f>
        <v>0</v>
      </c>
      <c r="AZ25" s="209" t="e">
        <f t="shared" si="142"/>
        <v>#DIV/0!</v>
      </c>
      <c r="BA25" s="190">
        <f>SUMIF('DESP A'!$D$3:$D$129,"Energia Elétrica",'DESP A'!$N$3:$N$129)</f>
        <v>0</v>
      </c>
      <c r="BB25" s="209" t="e">
        <f t="shared" si="181"/>
        <v>#DIV/0!</v>
      </c>
      <c r="BC25" s="190">
        <f t="shared" si="144"/>
        <v>0</v>
      </c>
      <c r="BD25" s="209" t="e">
        <f t="shared" si="182"/>
        <v>#DIV/0!</v>
      </c>
      <c r="BE25" s="245">
        <f t="shared" si="183"/>
        <v>0</v>
      </c>
      <c r="BF25" s="190">
        <f>SUMIF('DESP E'!$D$3:$D$146,"Energia Elétrica",'DESP E'!$O$3:$O$146)</f>
        <v>0</v>
      </c>
      <c r="BG25" s="209" t="e">
        <f t="shared" si="146"/>
        <v>#DIV/0!</v>
      </c>
      <c r="BH25" s="190">
        <f>SUMIF('DESP A'!$D$3:$D$129,"Energia Elétrica",'DESP A'!$O$3:$O$129)</f>
        <v>0</v>
      </c>
      <c r="BI25" s="209" t="e">
        <f t="shared" si="184"/>
        <v>#DIV/0!</v>
      </c>
      <c r="BJ25" s="190">
        <f t="shared" si="148"/>
        <v>0</v>
      </c>
      <c r="BK25" s="209" t="e">
        <f t="shared" si="185"/>
        <v>#DIV/0!</v>
      </c>
      <c r="BL25" s="245">
        <f t="shared" si="186"/>
        <v>0</v>
      </c>
      <c r="BM25" s="190">
        <f>SUMIF('DESP E'!$D$3:$D$146,"Energia Elétrica",'DESP E'!$P$3:$P$146)</f>
        <v>0</v>
      </c>
      <c r="BN25" s="209" t="e">
        <f t="shared" si="150"/>
        <v>#DIV/0!</v>
      </c>
      <c r="BO25" s="190">
        <f>SUMIF('DESP A'!$D$3:$D$129,"Energia Elétrica",'DESP A'!$P$3:$P$129)</f>
        <v>0</v>
      </c>
      <c r="BP25" s="209" t="e">
        <f t="shared" si="187"/>
        <v>#DIV/0!</v>
      </c>
      <c r="BQ25" s="190">
        <f t="shared" si="152"/>
        <v>0</v>
      </c>
      <c r="BR25" s="209" t="e">
        <f t="shared" si="188"/>
        <v>#DIV/0!</v>
      </c>
      <c r="BS25" s="245">
        <f t="shared" si="189"/>
        <v>0</v>
      </c>
      <c r="BT25" s="190">
        <f>SUMIF('DESP E'!$D$3:$D$146,"Energia Elétrica",'DESP E'!$Q$3:$Q$146)</f>
        <v>0</v>
      </c>
      <c r="BU25" s="209" t="e">
        <f t="shared" si="154"/>
        <v>#DIV/0!</v>
      </c>
      <c r="BV25" s="190">
        <f>SUMIF('DESP A'!$D$3:$D$129,"Energia Elétrica",'DESP A'!$Q$3:$Q$129)</f>
        <v>0</v>
      </c>
      <c r="BW25" s="209" t="e">
        <f t="shared" si="190"/>
        <v>#DIV/0!</v>
      </c>
      <c r="BX25" s="190">
        <f t="shared" si="156"/>
        <v>0</v>
      </c>
      <c r="BY25" s="209" t="e">
        <f t="shared" si="191"/>
        <v>#DIV/0!</v>
      </c>
      <c r="BZ25" s="245">
        <f t="shared" si="192"/>
        <v>0</v>
      </c>
      <c r="CA25" s="190">
        <f>SUMIF('DESP E'!$D$3:$D$146,"Energia Elétrica",'DESP E'!$R$3:$R$146)</f>
        <v>0</v>
      </c>
      <c r="CB25" s="209" t="e">
        <f t="shared" si="158"/>
        <v>#DIV/0!</v>
      </c>
      <c r="CC25" s="190">
        <f>SUMIF('DESP A'!$D$3:$D$129,"Energia Elétrica",'DESP A'!$R$3:$R$129)</f>
        <v>0</v>
      </c>
      <c r="CD25" s="209" t="e">
        <f t="shared" si="193"/>
        <v>#DIV/0!</v>
      </c>
      <c r="CE25" s="190">
        <f t="shared" si="160"/>
        <v>0</v>
      </c>
      <c r="CF25" s="209" t="e">
        <f t="shared" si="194"/>
        <v>#DIV/0!</v>
      </c>
      <c r="CG25" s="245">
        <f t="shared" si="195"/>
        <v>0</v>
      </c>
      <c r="CH25" s="242">
        <f t="shared" si="196"/>
        <v>2044795.1800000002</v>
      </c>
      <c r="CI25" s="246">
        <f t="shared" si="197"/>
        <v>2.041990592909438E-2</v>
      </c>
      <c r="CJ25" s="242">
        <f t="shared" si="196"/>
        <v>0</v>
      </c>
      <c r="CK25" s="259">
        <f t="shared" si="162"/>
        <v>0</v>
      </c>
      <c r="CL25" s="242">
        <f t="shared" si="196"/>
        <v>2044795.1800000002</v>
      </c>
      <c r="CM25" s="247">
        <f t="shared" si="163"/>
        <v>1.7887266780398103E-2</v>
      </c>
    </row>
    <row r="26" spans="2:91" s="238" customFormat="1" ht="10.35" customHeight="1" thickBot="1">
      <c r="B26" s="240" t="s">
        <v>333</v>
      </c>
      <c r="C26" s="190">
        <f>SUMIF('DESP E'!$D$3:$D$146,"Utilidades",'DESP E'!$G$3:$G$146)</f>
        <v>296970.5</v>
      </c>
      <c r="D26" s="209">
        <f>C26/$C$10</f>
        <v>9.0261825129765647E-3</v>
      </c>
      <c r="E26" s="190">
        <f>SUMIF('DESP A'!$D$3:$D$129,"Utilidades",'DESP A'!$G$3:$G$129)</f>
        <v>2684.07</v>
      </c>
      <c r="F26" s="209">
        <f t="shared" si="164"/>
        <v>6.7921430234968579E-4</v>
      </c>
      <c r="G26" s="190">
        <f t="shared" si="165"/>
        <v>299654.57</v>
      </c>
      <c r="H26" s="209">
        <f t="shared" si="166"/>
        <v>8.1311350907211088E-3</v>
      </c>
      <c r="I26" s="190">
        <f>SUMIF('DESP E'!$D$3:$D$146,"Utilidades",'DESP E'!$H$3:$H$146)</f>
        <v>171246.62</v>
      </c>
      <c r="J26" s="209">
        <f t="shared" si="119"/>
        <v>8.0662475366118196E-3</v>
      </c>
      <c r="K26" s="190">
        <f>SUMIF('DESP A'!$D$3:$D$129,"Utilidades",'DESP A'!$H$3:$H$129)</f>
        <v>1076.4000000000001</v>
      </c>
      <c r="L26" s="209">
        <f t="shared" si="120"/>
        <v>3.1480730555333373E-4</v>
      </c>
      <c r="M26" s="190">
        <f t="shared" si="121"/>
        <v>172323.02</v>
      </c>
      <c r="N26" s="209">
        <f t="shared" si="122"/>
        <v>6.9910024928414262E-3</v>
      </c>
      <c r="O26" s="245">
        <f t="shared" si="32"/>
        <v>-127331.55000000002</v>
      </c>
      <c r="P26" s="190">
        <f>SUMIF('DESP E'!$D$3:$D$146,"Utilidades",'DESP E'!$I$3:$I$146)</f>
        <v>415071.37</v>
      </c>
      <c r="Q26" s="209">
        <f t="shared" si="123"/>
        <v>1.7434611507317219E-2</v>
      </c>
      <c r="R26" s="190">
        <f>SUMIF('DESP A'!$D$3:$D$129,"Utilidades",'DESP A'!$I$3:$I$129)</f>
        <v>1076.4000000000001</v>
      </c>
      <c r="S26" s="209">
        <f t="shared" si="167"/>
        <v>2.9485688886415987E-4</v>
      </c>
      <c r="T26" s="190">
        <f t="shared" si="125"/>
        <v>416147.77</v>
      </c>
      <c r="U26" s="209">
        <f t="shared" si="168"/>
        <v>1.5155846067587566E-2</v>
      </c>
      <c r="V26" s="245">
        <f t="shared" si="169"/>
        <v>243824.75000000003</v>
      </c>
      <c r="W26" s="190">
        <f>SUMIF('DESP E'!$D$3:$D$146,"Utilidades",'DESP E'!$J$3:$J$146)</f>
        <v>276058.51</v>
      </c>
      <c r="X26" s="209">
        <f t="shared" si="126"/>
        <v>1.2435630719104787E-2</v>
      </c>
      <c r="Y26" s="190">
        <f>SUMIF('DESP A'!$D$3:$D$129,"Utilidades",'DESP A'!$J$3:$J$129)</f>
        <v>1076.4000000000001</v>
      </c>
      <c r="Z26" s="209">
        <f t="shared" si="170"/>
        <v>3.4097886574406674E-4</v>
      </c>
      <c r="AA26" s="190">
        <f t="shared" si="128"/>
        <v>277134.91000000003</v>
      </c>
      <c r="AB26" s="209">
        <f t="shared" si="171"/>
        <v>1.0929847462654583E-2</v>
      </c>
      <c r="AC26" s="245">
        <f t="shared" si="172"/>
        <v>-139012.85999999999</v>
      </c>
      <c r="AD26" s="190">
        <f>SUMIF('DESP E'!$D$3:$D$146,"Utilidades",'DESP E'!$K$3:$K$146)</f>
        <v>0</v>
      </c>
      <c r="AE26" s="209" t="e">
        <f t="shared" si="130"/>
        <v>#DIV/0!</v>
      </c>
      <c r="AF26" s="190">
        <f>SUMIF('DESP A'!$D$3:$D$129,"Utilidades",'DESP A'!$K$3:$K$129)</f>
        <v>0</v>
      </c>
      <c r="AG26" s="209" t="e">
        <f t="shared" si="173"/>
        <v>#DIV/0!</v>
      </c>
      <c r="AH26" s="190">
        <f t="shared" si="132"/>
        <v>0</v>
      </c>
      <c r="AI26" s="209" t="e">
        <f t="shared" si="174"/>
        <v>#DIV/0!</v>
      </c>
      <c r="AJ26" s="245">
        <f t="shared" si="84"/>
        <v>-277134.91000000003</v>
      </c>
      <c r="AK26" s="190">
        <f>SUMIF('DESP E'!$D$3:$D$146,"Utilidades",'DESP E'!$L$3:$L$146)</f>
        <v>0</v>
      </c>
      <c r="AL26" s="209" t="e">
        <f t="shared" si="134"/>
        <v>#DIV/0!</v>
      </c>
      <c r="AM26" s="190">
        <f>SUMIF('DESP A'!$D$3:$D$129,"Utilidades",'DESP A'!$L$3:$L$129)</f>
        <v>0</v>
      </c>
      <c r="AN26" s="209" t="e">
        <f t="shared" si="175"/>
        <v>#DIV/0!</v>
      </c>
      <c r="AO26" s="190">
        <f t="shared" si="136"/>
        <v>0</v>
      </c>
      <c r="AP26" s="209" t="e">
        <f t="shared" si="176"/>
        <v>#DIV/0!</v>
      </c>
      <c r="AQ26" s="245">
        <f t="shared" si="177"/>
        <v>0</v>
      </c>
      <c r="AR26" s="190">
        <f>SUMIF('DESP E'!$D$3:$D$146,"Utilidades",'DESP E'!$M$3:$M$146)</f>
        <v>0</v>
      </c>
      <c r="AS26" s="209" t="e">
        <f t="shared" si="138"/>
        <v>#DIV/0!</v>
      </c>
      <c r="AT26" s="190">
        <f>SUMIF('DESP A'!$D$3:$D$129,"Utilidades",'DESP A'!$M$3:$M$129)</f>
        <v>0</v>
      </c>
      <c r="AU26" s="209" t="e">
        <f t="shared" si="178"/>
        <v>#DIV/0!</v>
      </c>
      <c r="AV26" s="190">
        <f t="shared" si="140"/>
        <v>0</v>
      </c>
      <c r="AW26" s="209" t="e">
        <f t="shared" si="179"/>
        <v>#DIV/0!</v>
      </c>
      <c r="AX26" s="245">
        <f t="shared" si="180"/>
        <v>0</v>
      </c>
      <c r="AY26" s="190">
        <f>SUMIF('DESP E'!$D$3:$D$146,"Utilidades",'DESP E'!$N$3:$N$146)</f>
        <v>0</v>
      </c>
      <c r="AZ26" s="209" t="e">
        <f t="shared" si="142"/>
        <v>#DIV/0!</v>
      </c>
      <c r="BA26" s="190">
        <f>SUMIF('DESP A'!$D$3:$D$129,"Utilidades",'DESP A'!$N$3:$N$129)</f>
        <v>0</v>
      </c>
      <c r="BB26" s="209" t="e">
        <f t="shared" si="181"/>
        <v>#DIV/0!</v>
      </c>
      <c r="BC26" s="190">
        <f t="shared" si="144"/>
        <v>0</v>
      </c>
      <c r="BD26" s="209" t="e">
        <f t="shared" si="182"/>
        <v>#DIV/0!</v>
      </c>
      <c r="BE26" s="245">
        <f t="shared" si="183"/>
        <v>0</v>
      </c>
      <c r="BF26" s="190">
        <f>SUMIF('DESP E'!$D$3:$D$146,"Utilidades",'DESP E'!$O$3:$O$146)</f>
        <v>0</v>
      </c>
      <c r="BG26" s="209" t="e">
        <f t="shared" si="146"/>
        <v>#DIV/0!</v>
      </c>
      <c r="BH26" s="190">
        <f>SUMIF('DESP A'!$D$3:$D$129,"Utilidades",'DESP A'!$O$3:$O$129)</f>
        <v>0</v>
      </c>
      <c r="BI26" s="209" t="e">
        <f t="shared" si="184"/>
        <v>#DIV/0!</v>
      </c>
      <c r="BJ26" s="190">
        <f t="shared" si="148"/>
        <v>0</v>
      </c>
      <c r="BK26" s="209" t="e">
        <f t="shared" si="185"/>
        <v>#DIV/0!</v>
      </c>
      <c r="BL26" s="245">
        <f t="shared" si="186"/>
        <v>0</v>
      </c>
      <c r="BM26" s="190">
        <f>SUMIF('DESP E'!$D$3:$D$146,"Utilidades",'DESP E'!$P$3:$P$146)</f>
        <v>0</v>
      </c>
      <c r="BN26" s="209" t="e">
        <f t="shared" si="150"/>
        <v>#DIV/0!</v>
      </c>
      <c r="BO26" s="190">
        <f>SUMIF('DESP A'!$D$3:$D$129,"Utilidades",'DESP A'!$P$3:$P$129)</f>
        <v>0</v>
      </c>
      <c r="BP26" s="209" t="e">
        <f t="shared" si="187"/>
        <v>#DIV/0!</v>
      </c>
      <c r="BQ26" s="190">
        <f t="shared" si="152"/>
        <v>0</v>
      </c>
      <c r="BR26" s="209" t="e">
        <f t="shared" si="188"/>
        <v>#DIV/0!</v>
      </c>
      <c r="BS26" s="245">
        <f t="shared" si="189"/>
        <v>0</v>
      </c>
      <c r="BT26" s="190">
        <f>SUMIF('DESP E'!$D$3:$D$146,"Utilidades",'DESP E'!$Q$3:$Q$146)</f>
        <v>0</v>
      </c>
      <c r="BU26" s="209" t="e">
        <f t="shared" si="154"/>
        <v>#DIV/0!</v>
      </c>
      <c r="BV26" s="190">
        <f>SUMIF('DESP A'!$D$3:$D$129,"Utilidades",'DESP A'!$Q$3:$Q$129)</f>
        <v>0</v>
      </c>
      <c r="BW26" s="209" t="e">
        <f t="shared" si="190"/>
        <v>#DIV/0!</v>
      </c>
      <c r="BX26" s="190">
        <f t="shared" si="156"/>
        <v>0</v>
      </c>
      <c r="BY26" s="209" t="e">
        <f t="shared" si="191"/>
        <v>#DIV/0!</v>
      </c>
      <c r="BZ26" s="245">
        <f t="shared" si="192"/>
        <v>0</v>
      </c>
      <c r="CA26" s="190">
        <f>SUMIF('DESP E'!$D$3:$D$146,"Utilidades",'DESP E'!$R$3:$R$146)</f>
        <v>0</v>
      </c>
      <c r="CB26" s="209" t="e">
        <f t="shared" si="158"/>
        <v>#DIV/0!</v>
      </c>
      <c r="CC26" s="190">
        <f>SUMIF('DESP A'!$D$3:$D$129,"Utilidades",'DESP A'!$R$3:$R$129)</f>
        <v>0</v>
      </c>
      <c r="CD26" s="209" t="e">
        <f t="shared" si="193"/>
        <v>#DIV/0!</v>
      </c>
      <c r="CE26" s="190">
        <f t="shared" si="160"/>
        <v>0</v>
      </c>
      <c r="CF26" s="209" t="e">
        <f t="shared" si="194"/>
        <v>#DIV/0!</v>
      </c>
      <c r="CG26" s="245">
        <f t="shared" si="195"/>
        <v>0</v>
      </c>
      <c r="CH26" s="242">
        <f t="shared" si="196"/>
        <v>1159347</v>
      </c>
      <c r="CI26" s="246">
        <f t="shared" si="197"/>
        <v>1.1577568702591415E-2</v>
      </c>
      <c r="CJ26" s="242">
        <f t="shared" si="196"/>
        <v>5913.27</v>
      </c>
      <c r="CK26" s="259">
        <f t="shared" si="162"/>
        <v>4.1706361397507604E-4</v>
      </c>
      <c r="CL26" s="242">
        <f t="shared" si="196"/>
        <v>1165260.27</v>
      </c>
      <c r="CM26" s="247">
        <f t="shared" si="163"/>
        <v>1.0193354093336979E-2</v>
      </c>
    </row>
    <row r="27" spans="2:91" s="238" customFormat="1" ht="10.35" customHeight="1" thickBot="1">
      <c r="B27" s="240" t="s">
        <v>330</v>
      </c>
      <c r="C27" s="190">
        <f>SUMIF('DESP E'!$D$3:$D$146,"Manutenção",'DESP E'!$G$3:$G$146)</f>
        <v>75584.77</v>
      </c>
      <c r="D27" s="209">
        <f t="shared" si="116"/>
        <v>2.2973390596754753E-3</v>
      </c>
      <c r="E27" s="190">
        <f>SUMIF('DESP A'!$D$3:$D$129,"Manutenção",'DESP A'!$G$3:$G$129)</f>
        <v>251.28</v>
      </c>
      <c r="F27" s="209">
        <f t="shared" si="164"/>
        <v>6.3587376593914852E-5</v>
      </c>
      <c r="G27" s="190">
        <f t="shared" si="165"/>
        <v>75836.05</v>
      </c>
      <c r="H27" s="209">
        <f t="shared" si="166"/>
        <v>2.0578133258460918E-3</v>
      </c>
      <c r="I27" s="190">
        <f>SUMIF('DESP E'!$D$3:$D$146,"Manutenção",'DESP E'!$H$3:$H$146)</f>
        <v>87860</v>
      </c>
      <c r="J27" s="209">
        <f t="shared" si="119"/>
        <v>4.1384788124093456E-3</v>
      </c>
      <c r="K27" s="190">
        <f>SUMIF('DESP A'!$D$3:$D$129,"Manutenção",'DESP A'!$H$3:$H$129)</f>
        <v>0</v>
      </c>
      <c r="L27" s="209">
        <f t="shared" si="120"/>
        <v>0</v>
      </c>
      <c r="M27" s="190">
        <f t="shared" si="121"/>
        <v>87860</v>
      </c>
      <c r="N27" s="209">
        <f t="shared" si="122"/>
        <v>3.5644075818834172E-3</v>
      </c>
      <c r="O27" s="245">
        <f t="shared" si="32"/>
        <v>12023.949999999997</v>
      </c>
      <c r="P27" s="190">
        <f>SUMIF('DESP E'!$D$3:$D$146,"Manutenção",'DESP E'!$I$3:$I$146)</f>
        <v>79616.109999999986</v>
      </c>
      <c r="Q27" s="209">
        <f t="shared" si="123"/>
        <v>3.3441862000114183E-3</v>
      </c>
      <c r="R27" s="190">
        <f>SUMIF('DESP A'!$D$3:$D$129,"Manutenção",'DESP A'!$I$3:$I$129)</f>
        <v>0</v>
      </c>
      <c r="S27" s="209">
        <f t="shared" si="167"/>
        <v>0</v>
      </c>
      <c r="T27" s="190">
        <f t="shared" si="125"/>
        <v>79616.109999999986</v>
      </c>
      <c r="U27" s="209">
        <f t="shared" si="168"/>
        <v>2.8995698034381366E-3</v>
      </c>
      <c r="V27" s="245">
        <f t="shared" si="169"/>
        <v>-8243.890000000014</v>
      </c>
      <c r="W27" s="190">
        <f>SUMIF('DESP E'!$D$3:$D$146,"Manutenção",'DESP E'!$J$3:$J$146)</f>
        <v>68367.86</v>
      </c>
      <c r="X27" s="209">
        <f t="shared" si="126"/>
        <v>3.0797726902729982E-3</v>
      </c>
      <c r="Y27" s="190">
        <f>SUMIF('DESP A'!$D$3:$D$129,"Manutenção",'DESP A'!$J$3:$J$129)</f>
        <v>0</v>
      </c>
      <c r="Z27" s="209">
        <f t="shared" si="170"/>
        <v>0</v>
      </c>
      <c r="AA27" s="190">
        <f t="shared" si="128"/>
        <v>68367.86</v>
      </c>
      <c r="AB27" s="209">
        <f t="shared" si="171"/>
        <v>2.6963412193293282E-3</v>
      </c>
      <c r="AC27" s="245">
        <f t="shared" si="172"/>
        <v>-11248.249999999985</v>
      </c>
      <c r="AD27" s="190">
        <f>SUMIF('DESP E'!$D$3:$D$146,"Manutenção",'DESP E'!$K$3:$K$146)</f>
        <v>0</v>
      </c>
      <c r="AE27" s="209" t="e">
        <f t="shared" si="130"/>
        <v>#DIV/0!</v>
      </c>
      <c r="AF27" s="190">
        <f>SUMIF('DESP A'!$D$3:$D$129,"Manutenção",'DESP A'!$K$3:$K$129)</f>
        <v>0</v>
      </c>
      <c r="AG27" s="209" t="e">
        <f t="shared" si="173"/>
        <v>#DIV/0!</v>
      </c>
      <c r="AH27" s="190">
        <f t="shared" si="132"/>
        <v>0</v>
      </c>
      <c r="AI27" s="209" t="e">
        <f t="shared" si="174"/>
        <v>#DIV/0!</v>
      </c>
      <c r="AJ27" s="245">
        <f t="shared" si="84"/>
        <v>-68367.86</v>
      </c>
      <c r="AK27" s="190">
        <f>SUMIF('DESP E'!$D$3:$D$146,"Manutenção",'DESP E'!$L$3:$L$146)</f>
        <v>0</v>
      </c>
      <c r="AL27" s="209" t="e">
        <f t="shared" si="134"/>
        <v>#DIV/0!</v>
      </c>
      <c r="AM27" s="190">
        <f>SUMIF('DESP A'!$D$3:$D$129,"Manutenção",'DESP A'!$L$3:$L$129)</f>
        <v>0</v>
      </c>
      <c r="AN27" s="209" t="e">
        <f t="shared" si="175"/>
        <v>#DIV/0!</v>
      </c>
      <c r="AO27" s="190">
        <f t="shared" si="136"/>
        <v>0</v>
      </c>
      <c r="AP27" s="209" t="e">
        <f t="shared" si="176"/>
        <v>#DIV/0!</v>
      </c>
      <c r="AQ27" s="245">
        <f t="shared" si="177"/>
        <v>0</v>
      </c>
      <c r="AR27" s="190">
        <f>SUMIF('DESP E'!$D$3:$D$146,"Manutenção",'DESP E'!$M$3:$M$146)</f>
        <v>0</v>
      </c>
      <c r="AS27" s="209" t="e">
        <f t="shared" si="138"/>
        <v>#DIV/0!</v>
      </c>
      <c r="AT27" s="190">
        <f>SUMIF('DESP A'!$D$3:$D$129,"Manutenção",'DESP A'!$M$3:$M$129)</f>
        <v>0</v>
      </c>
      <c r="AU27" s="209" t="e">
        <f t="shared" si="178"/>
        <v>#DIV/0!</v>
      </c>
      <c r="AV27" s="190">
        <f t="shared" si="140"/>
        <v>0</v>
      </c>
      <c r="AW27" s="209" t="e">
        <f t="shared" si="179"/>
        <v>#DIV/0!</v>
      </c>
      <c r="AX27" s="245">
        <f t="shared" si="180"/>
        <v>0</v>
      </c>
      <c r="AY27" s="190">
        <f>SUMIF('DESP E'!$D$3:$D$146,"Manutenção",'DESP E'!$N$3:$N$146)</f>
        <v>0</v>
      </c>
      <c r="AZ27" s="209" t="e">
        <f t="shared" si="142"/>
        <v>#DIV/0!</v>
      </c>
      <c r="BA27" s="190">
        <f>SUMIF('DESP A'!$D$3:$D$129,"Manutenção",'DESP A'!$N$3:$N$129)</f>
        <v>0</v>
      </c>
      <c r="BB27" s="209" t="e">
        <f t="shared" si="181"/>
        <v>#DIV/0!</v>
      </c>
      <c r="BC27" s="190">
        <f t="shared" si="144"/>
        <v>0</v>
      </c>
      <c r="BD27" s="209" t="e">
        <f t="shared" si="182"/>
        <v>#DIV/0!</v>
      </c>
      <c r="BE27" s="245">
        <f t="shared" si="183"/>
        <v>0</v>
      </c>
      <c r="BF27" s="190">
        <f>SUMIF('DESP E'!$D$3:$D$146,"Manutenção",'DESP E'!$O$3:$O$146)</f>
        <v>0</v>
      </c>
      <c r="BG27" s="209" t="e">
        <f t="shared" si="146"/>
        <v>#DIV/0!</v>
      </c>
      <c r="BH27" s="190">
        <f>SUMIF('DESP A'!$D$3:$D$129,"Manutenção",'DESP A'!$O$3:$O$129)</f>
        <v>0</v>
      </c>
      <c r="BI27" s="209" t="e">
        <f t="shared" si="184"/>
        <v>#DIV/0!</v>
      </c>
      <c r="BJ27" s="190">
        <f t="shared" si="148"/>
        <v>0</v>
      </c>
      <c r="BK27" s="209" t="e">
        <f t="shared" si="185"/>
        <v>#DIV/0!</v>
      </c>
      <c r="BL27" s="245">
        <f t="shared" si="186"/>
        <v>0</v>
      </c>
      <c r="BM27" s="190">
        <f>SUMIF('DESP E'!$D$3:$D$146,"Manutenção",'DESP E'!$P$3:$P$146)</f>
        <v>0</v>
      </c>
      <c r="BN27" s="209" t="e">
        <f t="shared" si="150"/>
        <v>#DIV/0!</v>
      </c>
      <c r="BO27" s="190">
        <f>SUMIF('DESP A'!$D$3:$D$129,"Manutenção",'DESP A'!$P$3:$P$129)</f>
        <v>0</v>
      </c>
      <c r="BP27" s="209" t="e">
        <f t="shared" si="187"/>
        <v>#DIV/0!</v>
      </c>
      <c r="BQ27" s="190">
        <f t="shared" si="152"/>
        <v>0</v>
      </c>
      <c r="BR27" s="209" t="e">
        <f t="shared" si="188"/>
        <v>#DIV/0!</v>
      </c>
      <c r="BS27" s="245">
        <f t="shared" si="189"/>
        <v>0</v>
      </c>
      <c r="BT27" s="190">
        <f>SUMIF('DESP E'!$D$3:$D$146,"Manutenção",'DESP E'!$Q$3:$Q$146)</f>
        <v>0</v>
      </c>
      <c r="BU27" s="209" t="e">
        <f t="shared" si="154"/>
        <v>#DIV/0!</v>
      </c>
      <c r="BV27" s="190">
        <f>SUMIF('DESP A'!$D$3:$D$129,"Manutenção",'DESP A'!$Q$3:$Q$129)</f>
        <v>0</v>
      </c>
      <c r="BW27" s="209" t="e">
        <f t="shared" si="190"/>
        <v>#DIV/0!</v>
      </c>
      <c r="BX27" s="190">
        <f t="shared" si="156"/>
        <v>0</v>
      </c>
      <c r="BY27" s="209" t="e">
        <f t="shared" si="191"/>
        <v>#DIV/0!</v>
      </c>
      <c r="BZ27" s="245">
        <f t="shared" si="192"/>
        <v>0</v>
      </c>
      <c r="CA27" s="190">
        <f>SUMIF('DESP E'!$D$3:$D$146,"Manutenção",'DESP E'!$R$3:$R$146)</f>
        <v>0</v>
      </c>
      <c r="CB27" s="209" t="e">
        <f t="shared" si="158"/>
        <v>#DIV/0!</v>
      </c>
      <c r="CC27" s="190">
        <f>SUMIF('DESP A'!$D$3:$D$129,"Manutenção",'DESP A'!$R$3:$R$129)</f>
        <v>0</v>
      </c>
      <c r="CD27" s="209" t="e">
        <f t="shared" si="193"/>
        <v>#DIV/0!</v>
      </c>
      <c r="CE27" s="190">
        <f t="shared" si="160"/>
        <v>0</v>
      </c>
      <c r="CF27" s="209" t="e">
        <f t="shared" si="194"/>
        <v>#DIV/0!</v>
      </c>
      <c r="CG27" s="245">
        <f t="shared" si="195"/>
        <v>0</v>
      </c>
      <c r="CH27" s="242">
        <f t="shared" si="196"/>
        <v>311428.74</v>
      </c>
      <c r="CI27" s="246">
        <f t="shared" si="197"/>
        <v>3.1100159256128488E-3</v>
      </c>
      <c r="CJ27" s="242">
        <f t="shared" si="196"/>
        <v>251.28</v>
      </c>
      <c r="CK27" s="259">
        <f t="shared" si="162"/>
        <v>1.7722807333278728E-5</v>
      </c>
      <c r="CL27" s="242">
        <f t="shared" si="196"/>
        <v>311680.01999999996</v>
      </c>
      <c r="CM27" s="247">
        <f t="shared" si="163"/>
        <v>2.7264851376751658E-3</v>
      </c>
    </row>
    <row r="28" spans="2:91" s="238" customFormat="1" ht="10.35" customHeight="1" thickBot="1">
      <c r="B28" s="240" t="s">
        <v>339</v>
      </c>
      <c r="C28" s="190">
        <f>SUMIF('DESP E'!$D$3:$D$146,"Uso e Consumo",'DESP E'!$G$3:$G$146)</f>
        <v>6736.13</v>
      </c>
      <c r="D28" s="209">
        <f t="shared" si="116"/>
        <v>2.0473932195668197E-4</v>
      </c>
      <c r="E28" s="190">
        <f>SUMIF('DESP A'!$D$3:$D$129,"Uso e Consumo",'DESP A'!$G$3:$G$129)</f>
        <v>7860</v>
      </c>
      <c r="F28" s="209">
        <f t="shared" si="164"/>
        <v>1.9890034225890272E-3</v>
      </c>
      <c r="G28" s="190">
        <f t="shared" si="165"/>
        <v>14596.130000000001</v>
      </c>
      <c r="H28" s="209">
        <f t="shared" si="166"/>
        <v>3.960663934867641E-4</v>
      </c>
      <c r="I28" s="190">
        <f>SUMIF('DESP E'!$D$3:$D$146,"Uso e Consumo",'DESP E'!$H$3:$H$146)</f>
        <v>2842.13</v>
      </c>
      <c r="J28" s="209">
        <f t="shared" si="119"/>
        <v>1.3387314804362593E-4</v>
      </c>
      <c r="K28" s="190">
        <f>SUMIF('DESP A'!$D$3:$D$129,"Uso e Consumo",'DESP A'!$H$3:$H$129)</f>
        <v>7084.5</v>
      </c>
      <c r="L28" s="209">
        <f t="shared" si="120"/>
        <v>2.071954994604787E-3</v>
      </c>
      <c r="M28" s="190">
        <f t="shared" si="121"/>
        <v>9926.630000000001</v>
      </c>
      <c r="N28" s="209">
        <f t="shared" si="122"/>
        <v>4.0271517453393342E-4</v>
      </c>
      <c r="O28" s="245">
        <f t="shared" si="32"/>
        <v>-4669.5</v>
      </c>
      <c r="P28" s="190">
        <f>SUMIF('DESP E'!$D$3:$D$146,"Uso e Consumo",'DESP E'!$I$3:$I$146)</f>
        <v>4014.74</v>
      </c>
      <c r="Q28" s="209">
        <f t="shared" si="123"/>
        <v>1.6863469095179158E-4</v>
      </c>
      <c r="R28" s="190">
        <f>SUMIF('DESP A'!$D$3:$D$129,"Uso e Consumo",'DESP A'!$I$3:$I$129)</f>
        <v>6053.6</v>
      </c>
      <c r="S28" s="209">
        <f t="shared" si="167"/>
        <v>1.6582549818172411E-3</v>
      </c>
      <c r="T28" s="190">
        <f t="shared" si="125"/>
        <v>10068.34</v>
      </c>
      <c r="U28" s="209">
        <f t="shared" si="168"/>
        <v>3.6668275597424106E-4</v>
      </c>
      <c r="V28" s="245">
        <f t="shared" si="169"/>
        <v>141.70999999999913</v>
      </c>
      <c r="W28" s="190">
        <f>SUMIF('DESP E'!$D$3:$D$146,"Uso e Consumo",'DESP E'!$J$3:$J$146)</f>
        <v>8589.2800000000007</v>
      </c>
      <c r="X28" s="209">
        <f t="shared" si="126"/>
        <v>3.869220123769862E-4</v>
      </c>
      <c r="Y28" s="190">
        <f>SUMIF('DESP A'!$D$3:$D$129,"Uso e Consumo",'DESP A'!$J$3:$J$129)</f>
        <v>7434.2999999999993</v>
      </c>
      <c r="Z28" s="209">
        <f t="shared" si="170"/>
        <v>2.3550159620969111E-3</v>
      </c>
      <c r="AA28" s="190">
        <f t="shared" si="128"/>
        <v>16023.58</v>
      </c>
      <c r="AB28" s="209">
        <f t="shared" si="171"/>
        <v>6.319495627802455E-4</v>
      </c>
      <c r="AC28" s="245">
        <f t="shared" si="172"/>
        <v>5955.24</v>
      </c>
      <c r="AD28" s="190">
        <f>SUMIF('DESP E'!$D$3:$D$146,"Uso e Consumo",'DESP E'!$K$3:$K$146)</f>
        <v>0</v>
      </c>
      <c r="AE28" s="209" t="e">
        <f t="shared" si="130"/>
        <v>#DIV/0!</v>
      </c>
      <c r="AF28" s="190">
        <f>SUMIF('DESP A'!$D$3:$D$129,"Uso e Consumo",'DESP A'!$K$3:$K$129)</f>
        <v>0</v>
      </c>
      <c r="AG28" s="209" t="e">
        <f t="shared" si="173"/>
        <v>#DIV/0!</v>
      </c>
      <c r="AH28" s="190">
        <f t="shared" si="132"/>
        <v>0</v>
      </c>
      <c r="AI28" s="209" t="e">
        <f t="shared" si="174"/>
        <v>#DIV/0!</v>
      </c>
      <c r="AJ28" s="245">
        <f t="shared" si="84"/>
        <v>-16023.58</v>
      </c>
      <c r="AK28" s="190">
        <f>SUMIF('DESP E'!$D$3:$D$146,"Uso e Consumo",'DESP E'!$L$3:$L$146)</f>
        <v>0</v>
      </c>
      <c r="AL28" s="209" t="e">
        <f t="shared" si="134"/>
        <v>#DIV/0!</v>
      </c>
      <c r="AM28" s="190">
        <f>SUMIF('DESP A'!$D$3:$D$129,"Uso e Consumo",'DESP A'!$L$3:$L$129)</f>
        <v>0</v>
      </c>
      <c r="AN28" s="209" t="e">
        <f t="shared" si="175"/>
        <v>#DIV/0!</v>
      </c>
      <c r="AO28" s="190">
        <f t="shared" si="136"/>
        <v>0</v>
      </c>
      <c r="AP28" s="209" t="e">
        <f t="shared" si="176"/>
        <v>#DIV/0!</v>
      </c>
      <c r="AQ28" s="245">
        <f t="shared" si="177"/>
        <v>0</v>
      </c>
      <c r="AR28" s="190">
        <f>SUMIF('DESP E'!$D$3:$D$146,"Uso e Consumo",'DESP E'!$M$3:$M$146)</f>
        <v>0</v>
      </c>
      <c r="AS28" s="209" t="e">
        <f t="shared" si="138"/>
        <v>#DIV/0!</v>
      </c>
      <c r="AT28" s="190">
        <f>SUMIF('DESP A'!$D$3:$D$129,"Uso e Consumo",'DESP A'!$M$3:$M$129)</f>
        <v>0</v>
      </c>
      <c r="AU28" s="209" t="e">
        <f t="shared" si="178"/>
        <v>#DIV/0!</v>
      </c>
      <c r="AV28" s="190">
        <f t="shared" si="140"/>
        <v>0</v>
      </c>
      <c r="AW28" s="209" t="e">
        <f t="shared" si="179"/>
        <v>#DIV/0!</v>
      </c>
      <c r="AX28" s="245">
        <f t="shared" si="180"/>
        <v>0</v>
      </c>
      <c r="AY28" s="190">
        <f>SUMIF('DESP E'!$D$3:$D$146,"Uso e Consumo",'DESP E'!$N$3:$N$146)</f>
        <v>0</v>
      </c>
      <c r="AZ28" s="209" t="e">
        <f t="shared" si="142"/>
        <v>#DIV/0!</v>
      </c>
      <c r="BA28" s="190">
        <f>SUMIF('DESP A'!$D$3:$D$129,"Uso e Consumo",'DESP A'!$N$3:$N$129)</f>
        <v>0</v>
      </c>
      <c r="BB28" s="209" t="e">
        <f t="shared" si="181"/>
        <v>#DIV/0!</v>
      </c>
      <c r="BC28" s="190">
        <f t="shared" si="144"/>
        <v>0</v>
      </c>
      <c r="BD28" s="209" t="e">
        <f t="shared" si="182"/>
        <v>#DIV/0!</v>
      </c>
      <c r="BE28" s="245">
        <f t="shared" si="183"/>
        <v>0</v>
      </c>
      <c r="BF28" s="190">
        <f>SUMIF('DESP E'!$D$3:$D$146,"Uso e Consumo",'DESP E'!$O$3:$O$146)</f>
        <v>0</v>
      </c>
      <c r="BG28" s="209" t="e">
        <f t="shared" si="146"/>
        <v>#DIV/0!</v>
      </c>
      <c r="BH28" s="190">
        <f>SUMIF('DESP A'!$D$3:$D$129,"Uso e Consumo",'DESP A'!$O$3:$O$129)</f>
        <v>0</v>
      </c>
      <c r="BI28" s="209" t="e">
        <f t="shared" si="184"/>
        <v>#DIV/0!</v>
      </c>
      <c r="BJ28" s="190">
        <f t="shared" si="148"/>
        <v>0</v>
      </c>
      <c r="BK28" s="209" t="e">
        <f t="shared" si="185"/>
        <v>#DIV/0!</v>
      </c>
      <c r="BL28" s="245">
        <f t="shared" si="186"/>
        <v>0</v>
      </c>
      <c r="BM28" s="190">
        <f>SUMIF('DESP E'!$D$3:$D$146,"Uso e Consumo",'DESP E'!$P$3:$P$146)</f>
        <v>0</v>
      </c>
      <c r="BN28" s="209" t="e">
        <f t="shared" si="150"/>
        <v>#DIV/0!</v>
      </c>
      <c r="BO28" s="190">
        <f>SUMIF('DESP A'!$D$3:$D$129,"Uso e Consumo",'DESP A'!$P$3:$P$129)</f>
        <v>0</v>
      </c>
      <c r="BP28" s="209" t="e">
        <f t="shared" si="187"/>
        <v>#DIV/0!</v>
      </c>
      <c r="BQ28" s="190">
        <f t="shared" si="152"/>
        <v>0</v>
      </c>
      <c r="BR28" s="209" t="e">
        <f t="shared" si="188"/>
        <v>#DIV/0!</v>
      </c>
      <c r="BS28" s="245">
        <f t="shared" si="189"/>
        <v>0</v>
      </c>
      <c r="BT28" s="190">
        <f>SUMIF('DESP E'!$D$3:$D$146,"Uso e Consumo",'DESP E'!$Q$3:$Q$146)</f>
        <v>0</v>
      </c>
      <c r="BU28" s="209" t="e">
        <f t="shared" si="154"/>
        <v>#DIV/0!</v>
      </c>
      <c r="BV28" s="190">
        <f>SUMIF('DESP A'!$D$3:$D$129,"Uso e Consumo",'DESP A'!$Q$3:$Q$129)</f>
        <v>0</v>
      </c>
      <c r="BW28" s="209" t="e">
        <f t="shared" si="190"/>
        <v>#DIV/0!</v>
      </c>
      <c r="BX28" s="190">
        <f t="shared" si="156"/>
        <v>0</v>
      </c>
      <c r="BY28" s="209" t="e">
        <f t="shared" si="191"/>
        <v>#DIV/0!</v>
      </c>
      <c r="BZ28" s="245">
        <f t="shared" si="192"/>
        <v>0</v>
      </c>
      <c r="CA28" s="190">
        <f>SUMIF('DESP E'!$D$3:$D$146,"Uso e Consumo",'DESP E'!$R$3:$R$146)</f>
        <v>0</v>
      </c>
      <c r="CB28" s="209" t="e">
        <f t="shared" si="158"/>
        <v>#DIV/0!</v>
      </c>
      <c r="CC28" s="190">
        <f>SUMIF('DESP A'!$D$3:$D$129,"Uso e Consumo",'DESP A'!$R$3:$R$129)</f>
        <v>0</v>
      </c>
      <c r="CD28" s="209" t="e">
        <f t="shared" si="193"/>
        <v>#DIV/0!</v>
      </c>
      <c r="CE28" s="190">
        <f t="shared" si="160"/>
        <v>0</v>
      </c>
      <c r="CF28" s="209" t="e">
        <f t="shared" si="194"/>
        <v>#DIV/0!</v>
      </c>
      <c r="CG28" s="245">
        <f t="shared" si="195"/>
        <v>0</v>
      </c>
      <c r="CH28" s="242">
        <f t="shared" si="196"/>
        <v>22182.28</v>
      </c>
      <c r="CI28" s="246">
        <f t="shared" si="197"/>
        <v>2.2151855370317904E-4</v>
      </c>
      <c r="CJ28" s="242">
        <f t="shared" si="196"/>
        <v>28432.399999999998</v>
      </c>
      <c r="CK28" s="259">
        <f t="shared" si="162"/>
        <v>2.0053404458083178E-3</v>
      </c>
      <c r="CL28" s="242">
        <f t="shared" si="196"/>
        <v>50614.680000000008</v>
      </c>
      <c r="CM28" s="247">
        <f t="shared" si="163"/>
        <v>4.4276233288288578E-4</v>
      </c>
    </row>
    <row r="29" spans="2:91" s="238" customFormat="1" ht="10.35" customHeight="1" thickBot="1">
      <c r="B29" s="240" t="s">
        <v>341</v>
      </c>
      <c r="C29" s="190">
        <f>SUMIF('DESP E'!$D$3:$D$146,"Informática",'DESP E'!$G$3:$G$146)</f>
        <v>118369.4</v>
      </c>
      <c r="D29" s="209">
        <f t="shared" si="116"/>
        <v>3.5977439117741597E-3</v>
      </c>
      <c r="E29" s="190">
        <f>SUMIF('DESP A'!$D$3:$D$129,"Informática",'DESP A'!$G$3:$G$129)</f>
        <v>7400.84</v>
      </c>
      <c r="F29" s="209">
        <f t="shared" si="164"/>
        <v>1.8728112073834319E-3</v>
      </c>
      <c r="G29" s="190">
        <f t="shared" si="165"/>
        <v>125770.23999999999</v>
      </c>
      <c r="H29" s="209">
        <f t="shared" si="166"/>
        <v>3.4127789602288244E-3</v>
      </c>
      <c r="I29" s="190">
        <f>SUMIF('DESP E'!$D$3:$D$146,"Informática",'DESP E'!$H$3:$H$146)</f>
        <v>119742</v>
      </c>
      <c r="J29" s="209">
        <f t="shared" si="119"/>
        <v>5.6402200085991332E-3</v>
      </c>
      <c r="K29" s="190">
        <f>SUMIF('DESP A'!$D$3:$D$129,"Informática",'DESP A'!$H$3:$H$129)</f>
        <v>7716.1</v>
      </c>
      <c r="L29" s="209">
        <f t="shared" si="120"/>
        <v>2.2566747030658475E-3</v>
      </c>
      <c r="M29" s="190">
        <f t="shared" si="121"/>
        <v>127458.1</v>
      </c>
      <c r="N29" s="209">
        <f t="shared" si="122"/>
        <v>5.1708697702305345E-3</v>
      </c>
      <c r="O29" s="245">
        <f t="shared" si="32"/>
        <v>1687.8600000000151</v>
      </c>
      <c r="P29" s="190">
        <f>SUMIF('DESP E'!$D$3:$D$146,"Informática",'DESP E'!$I$3:$I$146)</f>
        <v>113101.91</v>
      </c>
      <c r="Q29" s="209">
        <f t="shared" si="123"/>
        <v>4.7507200065028737E-3</v>
      </c>
      <c r="R29" s="190">
        <f>SUMIF('DESP A'!$D$3:$D$129,"Informática",'DESP A'!$I$3:$I$129)</f>
        <v>7716.1</v>
      </c>
      <c r="S29" s="209">
        <f t="shared" si="167"/>
        <v>2.1136615014536826E-3</v>
      </c>
      <c r="T29" s="190">
        <f t="shared" si="125"/>
        <v>120818.01000000001</v>
      </c>
      <c r="U29" s="209">
        <f t="shared" si="168"/>
        <v>4.4001176835628732E-3</v>
      </c>
      <c r="V29" s="245">
        <f t="shared" si="169"/>
        <v>-6640.0899999999965</v>
      </c>
      <c r="W29" s="190">
        <f>SUMIF('DESP E'!$D$3:$D$146,"Informática",'DESP E'!$J$3:$J$146)</f>
        <v>109747.1</v>
      </c>
      <c r="X29" s="209">
        <f t="shared" si="126"/>
        <v>4.9437867649603159E-3</v>
      </c>
      <c r="Y29" s="190">
        <f>SUMIF('DESP A'!$D$3:$D$129,"Informática",'DESP A'!$J$3:$J$129)</f>
        <v>7716.1</v>
      </c>
      <c r="Z29" s="209">
        <f t="shared" si="170"/>
        <v>2.4442837476475227E-3</v>
      </c>
      <c r="AA29" s="190">
        <f t="shared" si="128"/>
        <v>117463.20000000001</v>
      </c>
      <c r="AB29" s="209">
        <f t="shared" si="171"/>
        <v>4.632598825154462E-3</v>
      </c>
      <c r="AC29" s="245">
        <f t="shared" si="172"/>
        <v>-3354.8099999999977</v>
      </c>
      <c r="AD29" s="190">
        <f>SUMIF('DESP E'!$D$3:$D$146,"Informática",'DESP E'!$K$3:$K$146)</f>
        <v>0</v>
      </c>
      <c r="AE29" s="209" t="e">
        <f t="shared" si="130"/>
        <v>#DIV/0!</v>
      </c>
      <c r="AF29" s="190">
        <f>SUMIF('DESP A'!$D$3:$D$129,"Informática",'DESP A'!$K$3:$K$129)</f>
        <v>0</v>
      </c>
      <c r="AG29" s="209" t="e">
        <f t="shared" si="173"/>
        <v>#DIV/0!</v>
      </c>
      <c r="AH29" s="190">
        <f t="shared" si="132"/>
        <v>0</v>
      </c>
      <c r="AI29" s="209" t="e">
        <f t="shared" si="174"/>
        <v>#DIV/0!</v>
      </c>
      <c r="AJ29" s="245">
        <f t="shared" si="84"/>
        <v>-117463.20000000001</v>
      </c>
      <c r="AK29" s="190">
        <f>SUMIF('DESP E'!$D$3:$D$146,"Informática",'DESP E'!$L$3:$L$146)</f>
        <v>0</v>
      </c>
      <c r="AL29" s="209" t="e">
        <f t="shared" si="134"/>
        <v>#DIV/0!</v>
      </c>
      <c r="AM29" s="190">
        <f>SUMIF('DESP A'!$D$3:$D$129,"Informática",'DESP A'!$L$3:$L$129)</f>
        <v>0</v>
      </c>
      <c r="AN29" s="209" t="e">
        <f t="shared" si="175"/>
        <v>#DIV/0!</v>
      </c>
      <c r="AO29" s="190">
        <f t="shared" si="136"/>
        <v>0</v>
      </c>
      <c r="AP29" s="209" t="e">
        <f t="shared" si="176"/>
        <v>#DIV/0!</v>
      </c>
      <c r="AQ29" s="245">
        <f t="shared" si="177"/>
        <v>0</v>
      </c>
      <c r="AR29" s="190">
        <f>SUMIF('DESP E'!$D$3:$D$146,"Informática",'DESP E'!$M$3:$M$146)</f>
        <v>0</v>
      </c>
      <c r="AS29" s="209" t="e">
        <f t="shared" si="138"/>
        <v>#DIV/0!</v>
      </c>
      <c r="AT29" s="190">
        <f>SUMIF('DESP A'!$D$3:$D$129,"Informática",'DESP A'!$M$3:$M$129)</f>
        <v>0</v>
      </c>
      <c r="AU29" s="209" t="e">
        <f t="shared" si="178"/>
        <v>#DIV/0!</v>
      </c>
      <c r="AV29" s="190">
        <f t="shared" si="140"/>
        <v>0</v>
      </c>
      <c r="AW29" s="209" t="e">
        <f t="shared" si="179"/>
        <v>#DIV/0!</v>
      </c>
      <c r="AX29" s="245">
        <f t="shared" si="180"/>
        <v>0</v>
      </c>
      <c r="AY29" s="190">
        <f>SUMIF('DESP E'!$D$3:$D$146,"Informática",'DESP E'!$N$3:$N$146)</f>
        <v>0</v>
      </c>
      <c r="AZ29" s="209" t="e">
        <f t="shared" si="142"/>
        <v>#DIV/0!</v>
      </c>
      <c r="BA29" s="190">
        <f>SUMIF('DESP A'!$D$3:$D$129,"Informática",'DESP A'!$N$3:$N$129)</f>
        <v>0</v>
      </c>
      <c r="BB29" s="209" t="e">
        <f t="shared" si="181"/>
        <v>#DIV/0!</v>
      </c>
      <c r="BC29" s="190">
        <f t="shared" si="144"/>
        <v>0</v>
      </c>
      <c r="BD29" s="209" t="e">
        <f t="shared" si="182"/>
        <v>#DIV/0!</v>
      </c>
      <c r="BE29" s="245">
        <f t="shared" si="183"/>
        <v>0</v>
      </c>
      <c r="BF29" s="190">
        <f>SUMIF('DESP E'!$D$3:$D$146,"Informática",'DESP E'!$O$3:$O$146)</f>
        <v>0</v>
      </c>
      <c r="BG29" s="209" t="e">
        <f t="shared" si="146"/>
        <v>#DIV/0!</v>
      </c>
      <c r="BH29" s="190">
        <f>SUMIF('DESP A'!$D$3:$D$129,"Informática",'DESP A'!$O$3:$O$129)</f>
        <v>0</v>
      </c>
      <c r="BI29" s="209" t="e">
        <f t="shared" si="184"/>
        <v>#DIV/0!</v>
      </c>
      <c r="BJ29" s="190">
        <f t="shared" si="148"/>
        <v>0</v>
      </c>
      <c r="BK29" s="209" t="e">
        <f t="shared" si="185"/>
        <v>#DIV/0!</v>
      </c>
      <c r="BL29" s="245">
        <f t="shared" si="186"/>
        <v>0</v>
      </c>
      <c r="BM29" s="190">
        <f>SUMIF('DESP E'!$D$3:$D$146,"Informática",'DESP E'!$P$3:$P$146)</f>
        <v>0</v>
      </c>
      <c r="BN29" s="209" t="e">
        <f t="shared" si="150"/>
        <v>#DIV/0!</v>
      </c>
      <c r="BO29" s="190">
        <f>SUMIF('DESP A'!$D$3:$D$129,"Informática",'DESP A'!$P$3:$P$129)</f>
        <v>0</v>
      </c>
      <c r="BP29" s="209" t="e">
        <f t="shared" si="187"/>
        <v>#DIV/0!</v>
      </c>
      <c r="BQ29" s="190">
        <f t="shared" si="152"/>
        <v>0</v>
      </c>
      <c r="BR29" s="209" t="e">
        <f t="shared" si="188"/>
        <v>#DIV/0!</v>
      </c>
      <c r="BS29" s="245">
        <f t="shared" si="189"/>
        <v>0</v>
      </c>
      <c r="BT29" s="190">
        <f>SUMIF('DESP E'!$D$3:$D$146,"Informática",'DESP E'!$Q$3:$Q$146)</f>
        <v>0</v>
      </c>
      <c r="BU29" s="209" t="e">
        <f t="shared" si="154"/>
        <v>#DIV/0!</v>
      </c>
      <c r="BV29" s="190">
        <f>SUMIF('DESP A'!$D$3:$D$129,"Informática",'DESP A'!$Q$3:$Q$129)</f>
        <v>0</v>
      </c>
      <c r="BW29" s="209" t="e">
        <f t="shared" si="190"/>
        <v>#DIV/0!</v>
      </c>
      <c r="BX29" s="190">
        <f t="shared" si="156"/>
        <v>0</v>
      </c>
      <c r="BY29" s="209" t="e">
        <f t="shared" si="191"/>
        <v>#DIV/0!</v>
      </c>
      <c r="BZ29" s="245">
        <f t="shared" si="192"/>
        <v>0</v>
      </c>
      <c r="CA29" s="190">
        <f>SUMIF('DESP E'!$D$3:$D$146,"Informática",'DESP E'!$R$3:$R$146)</f>
        <v>0</v>
      </c>
      <c r="CB29" s="209" t="e">
        <f t="shared" si="158"/>
        <v>#DIV/0!</v>
      </c>
      <c r="CC29" s="190">
        <f>SUMIF('DESP A'!$D$3:$D$129,"Informática",'DESP A'!$R$3:$R$129)</f>
        <v>0</v>
      </c>
      <c r="CD29" s="209" t="e">
        <f t="shared" si="193"/>
        <v>#DIV/0!</v>
      </c>
      <c r="CE29" s="190">
        <f t="shared" si="160"/>
        <v>0</v>
      </c>
      <c r="CF29" s="209" t="e">
        <f t="shared" si="194"/>
        <v>#DIV/0!</v>
      </c>
      <c r="CG29" s="245">
        <f t="shared" si="195"/>
        <v>0</v>
      </c>
      <c r="CH29" s="242">
        <f t="shared" si="196"/>
        <v>460960.41000000003</v>
      </c>
      <c r="CI29" s="246">
        <f t="shared" si="197"/>
        <v>4.60328168870037E-3</v>
      </c>
      <c r="CJ29" s="242">
        <f t="shared" si="196"/>
        <v>30549.14</v>
      </c>
      <c r="CK29" s="259">
        <f t="shared" si="162"/>
        <v>2.1546343617373388E-3</v>
      </c>
      <c r="CL29" s="242">
        <f t="shared" si="196"/>
        <v>491509.55</v>
      </c>
      <c r="CM29" s="247">
        <f t="shared" si="163"/>
        <v>4.2995809712165984E-3</v>
      </c>
    </row>
    <row r="30" spans="2:91" s="238" customFormat="1" ht="10.35" customHeight="1" thickBot="1">
      <c r="B30" s="240" t="s">
        <v>342</v>
      </c>
      <c r="C30" s="190">
        <f>SUMIF('DESP E'!$D$3:$D$146,"Gerais",'DESP E'!$G$3:$G$146)</f>
        <v>31496.09</v>
      </c>
      <c r="D30" s="209">
        <f t="shared" ref="D30:D71" si="198">C30/$C$10</f>
        <v>9.5729864341790195E-4</v>
      </c>
      <c r="E30" s="190">
        <f>SUMIF('DESP A'!$D$3:$D$129,"Gerais",'DESP A'!$G$3:$G$129)</f>
        <v>0</v>
      </c>
      <c r="F30" s="209">
        <f t="shared" si="164"/>
        <v>0</v>
      </c>
      <c r="G30" s="190">
        <f t="shared" si="165"/>
        <v>31496.09</v>
      </c>
      <c r="H30" s="209">
        <f t="shared" si="166"/>
        <v>8.5464727809594291E-4</v>
      </c>
      <c r="I30" s="190">
        <f>SUMIF('DESP E'!$D$3:$D$146,"Gerais",'DESP E'!$H$3:$H$146)</f>
        <v>25162.32</v>
      </c>
      <c r="J30" s="209">
        <f t="shared" si="119"/>
        <v>1.1852234030396531E-3</v>
      </c>
      <c r="K30" s="190">
        <f>SUMIF('DESP A'!$D$3:$D$129,"Gerais",'DESP A'!$H$3:$H$129)</f>
        <v>0</v>
      </c>
      <c r="L30" s="209">
        <f t="shared" si="120"/>
        <v>0</v>
      </c>
      <c r="M30" s="190">
        <f t="shared" si="121"/>
        <v>25162.32</v>
      </c>
      <c r="N30" s="209">
        <f t="shared" si="122"/>
        <v>1.020814525219403E-3</v>
      </c>
      <c r="O30" s="245">
        <f t="shared" si="32"/>
        <v>-6333.77</v>
      </c>
      <c r="P30" s="190">
        <f>SUMIF('DESP E'!$D$3:$D$146,"Gerais",'DESP E'!$I$3:$I$146)</f>
        <v>33309.449999999997</v>
      </c>
      <c r="Q30" s="209">
        <f t="shared" si="123"/>
        <v>1.3991264207704991E-3</v>
      </c>
      <c r="R30" s="190">
        <f>SUMIF('DESP A'!$D$3:$D$129,"Gerais",'DESP A'!$I$3:$I$129)</f>
        <v>0</v>
      </c>
      <c r="S30" s="209">
        <f t="shared" si="167"/>
        <v>0</v>
      </c>
      <c r="T30" s="190">
        <f t="shared" si="125"/>
        <v>33309.449999999997</v>
      </c>
      <c r="U30" s="209">
        <f t="shared" si="168"/>
        <v>1.2131097009026497E-3</v>
      </c>
      <c r="V30" s="245">
        <f t="shared" si="169"/>
        <v>8147.1299999999974</v>
      </c>
      <c r="W30" s="190">
        <f>SUMIF('DESP E'!$D$3:$D$146,"Gerais",'DESP E'!$J$3:$J$146)</f>
        <v>22362.32</v>
      </c>
      <c r="X30" s="209">
        <f t="shared" si="126"/>
        <v>1.0073572937217235E-3</v>
      </c>
      <c r="Y30" s="190">
        <f>SUMIF('DESP A'!$D$3:$D$129,"Gerais",'DESP A'!$J$3:$J$129)</f>
        <v>0</v>
      </c>
      <c r="Z30" s="209">
        <f t="shared" si="170"/>
        <v>0</v>
      </c>
      <c r="AA30" s="190">
        <f t="shared" si="128"/>
        <v>22362.32</v>
      </c>
      <c r="AB30" s="209">
        <f t="shared" si="171"/>
        <v>8.8194138555503442E-4</v>
      </c>
      <c r="AC30" s="245">
        <f t="shared" si="172"/>
        <v>-10947.129999999997</v>
      </c>
      <c r="AD30" s="190">
        <f>SUMIF('DESP E'!$D$3:$D$146,"Gerais",'DESP E'!$K$3:$K$146)</f>
        <v>0</v>
      </c>
      <c r="AE30" s="209" t="e">
        <f t="shared" si="130"/>
        <v>#DIV/0!</v>
      </c>
      <c r="AF30" s="190">
        <f>SUMIF('DESP A'!$D$3:$D$129,"Gerais",'DESP A'!$K$3:$K$129)</f>
        <v>0</v>
      </c>
      <c r="AG30" s="209" t="e">
        <f t="shared" si="173"/>
        <v>#DIV/0!</v>
      </c>
      <c r="AH30" s="190">
        <f t="shared" si="132"/>
        <v>0</v>
      </c>
      <c r="AI30" s="209" t="e">
        <f t="shared" si="174"/>
        <v>#DIV/0!</v>
      </c>
      <c r="AJ30" s="245">
        <f t="shared" si="84"/>
        <v>-22362.32</v>
      </c>
      <c r="AK30" s="190">
        <f>SUMIF('DESP E'!$D$3:$D$146,"Gerais",'DESP E'!$L$3:$L$146)</f>
        <v>0</v>
      </c>
      <c r="AL30" s="209" t="e">
        <f t="shared" si="134"/>
        <v>#DIV/0!</v>
      </c>
      <c r="AM30" s="190">
        <f>SUMIF('DESP A'!$D$3:$D$129,"Gerais",'DESP A'!$L$3:$L$129)</f>
        <v>0</v>
      </c>
      <c r="AN30" s="209" t="e">
        <f t="shared" si="175"/>
        <v>#DIV/0!</v>
      </c>
      <c r="AO30" s="190">
        <f t="shared" si="136"/>
        <v>0</v>
      </c>
      <c r="AP30" s="209" t="e">
        <f t="shared" si="176"/>
        <v>#DIV/0!</v>
      </c>
      <c r="AQ30" s="245">
        <f t="shared" si="177"/>
        <v>0</v>
      </c>
      <c r="AR30" s="190">
        <f>SUMIF('DESP E'!$D$3:$D$146,"Gerais",'DESP E'!$M$3:$M$146)</f>
        <v>0</v>
      </c>
      <c r="AS30" s="209" t="e">
        <f t="shared" si="138"/>
        <v>#DIV/0!</v>
      </c>
      <c r="AT30" s="190">
        <f>SUMIF('DESP A'!$D$3:$D$129,"Gerais",'DESP A'!$M$3:$M$129)</f>
        <v>0</v>
      </c>
      <c r="AU30" s="209" t="e">
        <f t="shared" si="178"/>
        <v>#DIV/0!</v>
      </c>
      <c r="AV30" s="190">
        <f t="shared" si="140"/>
        <v>0</v>
      </c>
      <c r="AW30" s="209" t="e">
        <f t="shared" si="179"/>
        <v>#DIV/0!</v>
      </c>
      <c r="AX30" s="245">
        <f t="shared" si="180"/>
        <v>0</v>
      </c>
      <c r="AY30" s="190">
        <f>SUMIF('DESP E'!$D$3:$D$146,"Gerais",'DESP E'!$N$3:$N$146)</f>
        <v>0</v>
      </c>
      <c r="AZ30" s="209" t="e">
        <f t="shared" si="142"/>
        <v>#DIV/0!</v>
      </c>
      <c r="BA30" s="190">
        <f>SUMIF('DESP A'!$D$3:$D$129,"Gerais",'DESP A'!$N$3:$N$129)</f>
        <v>0</v>
      </c>
      <c r="BB30" s="209" t="e">
        <f t="shared" si="181"/>
        <v>#DIV/0!</v>
      </c>
      <c r="BC30" s="190">
        <f t="shared" si="144"/>
        <v>0</v>
      </c>
      <c r="BD30" s="209" t="e">
        <f t="shared" si="182"/>
        <v>#DIV/0!</v>
      </c>
      <c r="BE30" s="245">
        <f t="shared" si="183"/>
        <v>0</v>
      </c>
      <c r="BF30" s="190">
        <f>SUMIF('DESP E'!$D$3:$D$146,"Gerais",'DESP E'!$O$3:$O$146)</f>
        <v>0</v>
      </c>
      <c r="BG30" s="209" t="e">
        <f t="shared" si="146"/>
        <v>#DIV/0!</v>
      </c>
      <c r="BH30" s="190">
        <f>SUMIF('DESP A'!$D$3:$D$129,"Gerais",'DESP A'!$O$3:$O$129)</f>
        <v>0</v>
      </c>
      <c r="BI30" s="209" t="e">
        <f t="shared" si="184"/>
        <v>#DIV/0!</v>
      </c>
      <c r="BJ30" s="190">
        <f t="shared" si="148"/>
        <v>0</v>
      </c>
      <c r="BK30" s="209" t="e">
        <f t="shared" si="185"/>
        <v>#DIV/0!</v>
      </c>
      <c r="BL30" s="245">
        <f t="shared" si="186"/>
        <v>0</v>
      </c>
      <c r="BM30" s="190">
        <f>SUMIF('DESP E'!$D$3:$D$146,"Gerais",'DESP E'!$P$3:$P$146)</f>
        <v>0</v>
      </c>
      <c r="BN30" s="209" t="e">
        <f t="shared" si="150"/>
        <v>#DIV/0!</v>
      </c>
      <c r="BO30" s="190">
        <f>SUMIF('DESP A'!$D$3:$D$129,"Gerais",'DESP A'!$P$3:$P$129)</f>
        <v>0</v>
      </c>
      <c r="BP30" s="209" t="e">
        <f t="shared" si="187"/>
        <v>#DIV/0!</v>
      </c>
      <c r="BQ30" s="190">
        <f t="shared" si="152"/>
        <v>0</v>
      </c>
      <c r="BR30" s="209" t="e">
        <f t="shared" si="188"/>
        <v>#DIV/0!</v>
      </c>
      <c r="BS30" s="245">
        <f t="shared" si="189"/>
        <v>0</v>
      </c>
      <c r="BT30" s="190">
        <f>SUMIF('DESP E'!$D$3:$D$146,"Gerais",'DESP E'!$Q$3:$Q$146)</f>
        <v>0</v>
      </c>
      <c r="BU30" s="209" t="e">
        <f t="shared" si="154"/>
        <v>#DIV/0!</v>
      </c>
      <c r="BV30" s="190">
        <f>SUMIF('DESP A'!$D$3:$D$129,"Gerais",'DESP A'!$Q$3:$Q$129)</f>
        <v>0</v>
      </c>
      <c r="BW30" s="209" t="e">
        <f t="shared" si="190"/>
        <v>#DIV/0!</v>
      </c>
      <c r="BX30" s="190">
        <f t="shared" si="156"/>
        <v>0</v>
      </c>
      <c r="BY30" s="209" t="e">
        <f t="shared" si="191"/>
        <v>#DIV/0!</v>
      </c>
      <c r="BZ30" s="245">
        <f t="shared" si="192"/>
        <v>0</v>
      </c>
      <c r="CA30" s="190">
        <f>SUMIF('DESP E'!$D$3:$D$146,"Gerais",'DESP E'!$R$3:$R$146)</f>
        <v>0</v>
      </c>
      <c r="CB30" s="209" t="e">
        <f t="shared" si="158"/>
        <v>#DIV/0!</v>
      </c>
      <c r="CC30" s="190">
        <f>SUMIF('DESP A'!$D$3:$D$129,"Gerais",'DESP A'!$R$3:$R$129)</f>
        <v>0</v>
      </c>
      <c r="CD30" s="209" t="e">
        <f t="shared" si="193"/>
        <v>#DIV/0!</v>
      </c>
      <c r="CE30" s="190">
        <f t="shared" si="160"/>
        <v>0</v>
      </c>
      <c r="CF30" s="209" t="e">
        <f t="shared" si="194"/>
        <v>#DIV/0!</v>
      </c>
      <c r="CG30" s="245">
        <f t="shared" si="195"/>
        <v>0</v>
      </c>
      <c r="CH30" s="242">
        <f t="shared" si="196"/>
        <v>112330.18</v>
      </c>
      <c r="CI30" s="246">
        <f t="shared" si="197"/>
        <v>1.1217611089039436E-3</v>
      </c>
      <c r="CJ30" s="242">
        <f t="shared" si="196"/>
        <v>0</v>
      </c>
      <c r="CK30" s="259">
        <f t="shared" si="162"/>
        <v>0</v>
      </c>
      <c r="CL30" s="242">
        <f t="shared" si="196"/>
        <v>112330.18</v>
      </c>
      <c r="CM30" s="247">
        <f t="shared" si="163"/>
        <v>9.8263137394041539E-4</v>
      </c>
    </row>
    <row r="31" spans="2:91" s="238" customFormat="1" ht="10.35" customHeight="1" thickBot="1">
      <c r="B31" s="240" t="s">
        <v>351</v>
      </c>
      <c r="C31" s="190">
        <f>SUMIF('DESP E'!$D$3:$D$146,"Vendas",'DESP E'!$G$3:$G$146)</f>
        <v>86972.37000000001</v>
      </c>
      <c r="D31" s="209">
        <f t="shared" si="198"/>
        <v>2.6434561183892934E-3</v>
      </c>
      <c r="E31" s="190">
        <f>SUMIF('DESP A'!$D$3:$D$129,"Vendas",'DESP A'!$G$3:$G$129)</f>
        <v>0</v>
      </c>
      <c r="F31" s="209">
        <f t="shared" si="164"/>
        <v>0</v>
      </c>
      <c r="G31" s="190">
        <f t="shared" si="165"/>
        <v>86972.37000000001</v>
      </c>
      <c r="H31" s="209">
        <f t="shared" si="166"/>
        <v>2.3599976787611813E-3</v>
      </c>
      <c r="I31" s="190">
        <f>SUMIF('DESP E'!$D$3:$D$146,"Vendas",'DESP E'!$H$3:$H$146)</f>
        <v>52192.03</v>
      </c>
      <c r="J31" s="209">
        <f t="shared" si="119"/>
        <v>2.4584066734763595E-3</v>
      </c>
      <c r="K31" s="190">
        <f>SUMIF('DESP A'!$D$3:$D$129,"Vendas",'DESP A'!$H$3:$H$129)</f>
        <v>1300</v>
      </c>
      <c r="L31" s="209">
        <f t="shared" si="120"/>
        <v>3.8020205984702138E-4</v>
      </c>
      <c r="M31" s="190">
        <f t="shared" si="121"/>
        <v>53492.03</v>
      </c>
      <c r="N31" s="209">
        <f t="shared" si="122"/>
        <v>2.1701274448251216E-3</v>
      </c>
      <c r="O31" s="245">
        <f t="shared" si="32"/>
        <v>-33480.340000000011</v>
      </c>
      <c r="P31" s="190">
        <f>SUMIF('DESP E'!$D$3:$D$146,"Vendas",'DESP E'!$I$3:$I$146)</f>
        <v>37850.97</v>
      </c>
      <c r="Q31" s="209">
        <f t="shared" si="123"/>
        <v>1.5898879200584683E-3</v>
      </c>
      <c r="R31" s="190">
        <f>SUMIF('DESP A'!$D$3:$D$129,"Vendas",'DESP A'!$I$3:$I$129)</f>
        <v>2989</v>
      </c>
      <c r="S31" s="209">
        <f t="shared" si="167"/>
        <v>8.1877298477793926E-4</v>
      </c>
      <c r="T31" s="190">
        <f t="shared" si="125"/>
        <v>40839.97</v>
      </c>
      <c r="U31" s="209">
        <f t="shared" si="168"/>
        <v>1.4873666119246396E-3</v>
      </c>
      <c r="V31" s="245">
        <f t="shared" si="169"/>
        <v>-12652.059999999998</v>
      </c>
      <c r="W31" s="190">
        <f>SUMIF('DESP E'!$D$3:$D$146,"Vendas",'DESP E'!$J$3:$J$146)</f>
        <v>42986.81</v>
      </c>
      <c r="X31" s="209">
        <f t="shared" si="126"/>
        <v>1.9364304145245181E-3</v>
      </c>
      <c r="Y31" s="190">
        <f>SUMIF('DESP A'!$D$3:$D$129,"Vendas",'DESP A'!$J$3:$J$129)</f>
        <v>0</v>
      </c>
      <c r="Z31" s="209">
        <f t="shared" si="170"/>
        <v>0</v>
      </c>
      <c r="AA31" s="190">
        <f t="shared" si="128"/>
        <v>42986.81</v>
      </c>
      <c r="AB31" s="209">
        <f t="shared" si="171"/>
        <v>1.6953449718987569E-3</v>
      </c>
      <c r="AC31" s="245">
        <f t="shared" si="172"/>
        <v>2146.8399999999965</v>
      </c>
      <c r="AD31" s="190">
        <f>SUMIF('DESP E'!$D$3:$D$146,"Vendas",'DESP E'!$K$3:$K$146)</f>
        <v>0</v>
      </c>
      <c r="AE31" s="209" t="e">
        <f t="shared" si="130"/>
        <v>#DIV/0!</v>
      </c>
      <c r="AF31" s="190">
        <f>SUMIF('DESP A'!$D$3:$D$129,"Vendas",'DESP A'!$K$3:$K$129)</f>
        <v>0</v>
      </c>
      <c r="AG31" s="209" t="e">
        <f t="shared" si="173"/>
        <v>#DIV/0!</v>
      </c>
      <c r="AH31" s="190">
        <f t="shared" si="132"/>
        <v>0</v>
      </c>
      <c r="AI31" s="209" t="e">
        <f t="shared" si="174"/>
        <v>#DIV/0!</v>
      </c>
      <c r="AJ31" s="245">
        <f t="shared" si="84"/>
        <v>-42986.81</v>
      </c>
      <c r="AK31" s="190">
        <f>SUMIF('DESP E'!$D$3:$D$146,"Vendas",'DESP E'!$L$3:$L$146)</f>
        <v>0</v>
      </c>
      <c r="AL31" s="209" t="e">
        <f t="shared" si="134"/>
        <v>#DIV/0!</v>
      </c>
      <c r="AM31" s="190">
        <f>SUMIF('DESP A'!$D$3:$D$129,"Vendas",'DESP A'!$L$3:$L$129)</f>
        <v>0</v>
      </c>
      <c r="AN31" s="209" t="e">
        <f t="shared" si="175"/>
        <v>#DIV/0!</v>
      </c>
      <c r="AO31" s="190">
        <f t="shared" si="136"/>
        <v>0</v>
      </c>
      <c r="AP31" s="209" t="e">
        <f t="shared" si="176"/>
        <v>#DIV/0!</v>
      </c>
      <c r="AQ31" s="245">
        <f t="shared" si="177"/>
        <v>0</v>
      </c>
      <c r="AR31" s="190">
        <f>SUMIF('DESP E'!$D$3:$D$146,"Vendas",'DESP E'!$M$3:$M$146)</f>
        <v>0</v>
      </c>
      <c r="AS31" s="209" t="e">
        <f t="shared" si="138"/>
        <v>#DIV/0!</v>
      </c>
      <c r="AT31" s="190">
        <f>SUMIF('DESP A'!$D$3:$D$129,"Vendas",'DESP A'!$M$3:$M$129)</f>
        <v>0</v>
      </c>
      <c r="AU31" s="209" t="e">
        <f t="shared" si="178"/>
        <v>#DIV/0!</v>
      </c>
      <c r="AV31" s="190">
        <f t="shared" si="140"/>
        <v>0</v>
      </c>
      <c r="AW31" s="209" t="e">
        <f t="shared" si="179"/>
        <v>#DIV/0!</v>
      </c>
      <c r="AX31" s="245">
        <f t="shared" si="180"/>
        <v>0</v>
      </c>
      <c r="AY31" s="190">
        <f>SUMIF('DESP E'!$D$3:$D$146,"Vendas",'DESP E'!$N$3:$N$146)</f>
        <v>0</v>
      </c>
      <c r="AZ31" s="209" t="e">
        <f t="shared" si="142"/>
        <v>#DIV/0!</v>
      </c>
      <c r="BA31" s="190">
        <f>SUMIF('DESP A'!$D$3:$D$129,"Vendas",'DESP A'!$N$3:$N$129)</f>
        <v>0</v>
      </c>
      <c r="BB31" s="209" t="e">
        <f t="shared" si="181"/>
        <v>#DIV/0!</v>
      </c>
      <c r="BC31" s="190">
        <f t="shared" si="144"/>
        <v>0</v>
      </c>
      <c r="BD31" s="209" t="e">
        <f t="shared" si="182"/>
        <v>#DIV/0!</v>
      </c>
      <c r="BE31" s="245">
        <f t="shared" si="183"/>
        <v>0</v>
      </c>
      <c r="BF31" s="190">
        <f>SUMIF('DESP E'!$D$3:$D$146,"Vendas",'DESP E'!$O$3:$O$146)</f>
        <v>0</v>
      </c>
      <c r="BG31" s="209" t="e">
        <f t="shared" si="146"/>
        <v>#DIV/0!</v>
      </c>
      <c r="BH31" s="190">
        <f>SUMIF('DESP A'!$D$3:$D$129,"Vendas",'DESP A'!$O$3:$O$129)</f>
        <v>0</v>
      </c>
      <c r="BI31" s="209" t="e">
        <f t="shared" si="184"/>
        <v>#DIV/0!</v>
      </c>
      <c r="BJ31" s="190">
        <f t="shared" si="148"/>
        <v>0</v>
      </c>
      <c r="BK31" s="209" t="e">
        <f t="shared" si="185"/>
        <v>#DIV/0!</v>
      </c>
      <c r="BL31" s="245">
        <f t="shared" si="186"/>
        <v>0</v>
      </c>
      <c r="BM31" s="190">
        <f>SUMIF('DESP E'!$D$3:$D$146,"Vendas",'DESP E'!$P$3:$P$146)</f>
        <v>0</v>
      </c>
      <c r="BN31" s="209" t="e">
        <f t="shared" si="150"/>
        <v>#DIV/0!</v>
      </c>
      <c r="BO31" s="190">
        <f>SUMIF('DESP A'!$D$3:$D$129,"Vendas",'DESP A'!$P$3:$P$129)</f>
        <v>0</v>
      </c>
      <c r="BP31" s="209" t="e">
        <f t="shared" si="187"/>
        <v>#DIV/0!</v>
      </c>
      <c r="BQ31" s="190">
        <f t="shared" si="152"/>
        <v>0</v>
      </c>
      <c r="BR31" s="209" t="e">
        <f t="shared" si="188"/>
        <v>#DIV/0!</v>
      </c>
      <c r="BS31" s="245">
        <f t="shared" si="189"/>
        <v>0</v>
      </c>
      <c r="BT31" s="190">
        <f>SUMIF('DESP E'!$D$3:$D$146,"Vendas",'DESP E'!$Q$3:$Q$146)</f>
        <v>0</v>
      </c>
      <c r="BU31" s="209" t="e">
        <f t="shared" si="154"/>
        <v>#DIV/0!</v>
      </c>
      <c r="BV31" s="190">
        <f>SUMIF('DESP A'!$D$3:$D$129,"Vendas",'DESP A'!$Q$3:$Q$129)</f>
        <v>0</v>
      </c>
      <c r="BW31" s="209" t="e">
        <f t="shared" si="190"/>
        <v>#DIV/0!</v>
      </c>
      <c r="BX31" s="190">
        <f t="shared" si="156"/>
        <v>0</v>
      </c>
      <c r="BY31" s="209" t="e">
        <f t="shared" si="191"/>
        <v>#DIV/0!</v>
      </c>
      <c r="BZ31" s="245">
        <f t="shared" si="192"/>
        <v>0</v>
      </c>
      <c r="CA31" s="190">
        <f>SUMIF('DESP E'!$D$3:$D$146,"Vendas",'DESP E'!$R$3:$R$146)</f>
        <v>0</v>
      </c>
      <c r="CB31" s="209" t="e">
        <f t="shared" si="158"/>
        <v>#DIV/0!</v>
      </c>
      <c r="CC31" s="190">
        <f>SUMIF('DESP A'!$D$3:$D$129,"Vendas",'DESP A'!$R$3:$R$129)</f>
        <v>0</v>
      </c>
      <c r="CD31" s="209" t="e">
        <f t="shared" si="193"/>
        <v>#DIV/0!</v>
      </c>
      <c r="CE31" s="190">
        <f t="shared" si="160"/>
        <v>0</v>
      </c>
      <c r="CF31" s="209" t="e">
        <f t="shared" si="194"/>
        <v>#DIV/0!</v>
      </c>
      <c r="CG31" s="245">
        <f t="shared" si="195"/>
        <v>0</v>
      </c>
      <c r="CH31" s="242">
        <f t="shared" si="196"/>
        <v>220002.18000000002</v>
      </c>
      <c r="CI31" s="246">
        <f t="shared" si="197"/>
        <v>2.197004308175105E-3</v>
      </c>
      <c r="CJ31" s="242">
        <f t="shared" si="196"/>
        <v>4289</v>
      </c>
      <c r="CK31" s="259">
        <f t="shared" si="162"/>
        <v>3.025036638508137E-4</v>
      </c>
      <c r="CL31" s="242">
        <f t="shared" si="196"/>
        <v>224291.18000000002</v>
      </c>
      <c r="CM31" s="247">
        <f t="shared" si="163"/>
        <v>1.9620332698311095E-3</v>
      </c>
    </row>
    <row r="32" spans="2:91" s="238" customFormat="1" ht="10.35" customHeight="1" thickBot="1">
      <c r="B32" s="240" t="s">
        <v>337</v>
      </c>
      <c r="C32" s="190">
        <f>SUMIF('MVTO E'!$C$3:$C$240,"Propaganda",'MVTO E'!$G$3:$G$240)+SUMIF('DESP E'!$D$3:$D$146,"Propaganda",'DESP E'!$G$3:$G$146)</f>
        <v>135091.56999999998</v>
      </c>
      <c r="D32" s="209">
        <f t="shared" si="198"/>
        <v>4.1060009892718279E-3</v>
      </c>
      <c r="E32" s="190">
        <f>SUMIF('MVTO A'!$C$3:$C$184,"Propaganda",'MVTO A'!$G$3:$G$184)+SUMIF('DESP A'!$D$3:$D$129,"Propaganda",'DESP A'!$G$3:$G$129)</f>
        <v>300</v>
      </c>
      <c r="F32" s="209">
        <f t="shared" si="164"/>
        <v>7.5916161167520108E-5</v>
      </c>
      <c r="G32" s="190">
        <f t="shared" si="165"/>
        <v>135391.56999999998</v>
      </c>
      <c r="H32" s="209">
        <f t="shared" si="166"/>
        <v>3.6738540173601327E-3</v>
      </c>
      <c r="I32" s="190">
        <f>SUMIF('MVTO E'!$C$3:$C$240,"Propaganda",'MVTO E'!$H$3:$H$240)+SUMIF('DESP E'!$D$3:$D$146,"Propaganda",'DESP E'!$H$3:$H$146)</f>
        <v>60316.479999999996</v>
      </c>
      <c r="J32" s="209">
        <f t="shared" si="119"/>
        <v>2.8410934955510132E-3</v>
      </c>
      <c r="K32" s="190">
        <f>SUMIF('MVTO A'!$C$3:$C$184,"Propaganda",'MVTO A'!$H$3:$H$184)+SUMIF('DESP A'!$D$3:$D$129,"Propaganda",'DESP A'!$H$3:$H$129)</f>
        <v>0</v>
      </c>
      <c r="L32" s="209">
        <f t="shared" si="120"/>
        <v>0</v>
      </c>
      <c r="M32" s="190">
        <f t="shared" si="121"/>
        <v>60316.479999999996</v>
      </c>
      <c r="N32" s="209">
        <f t="shared" si="122"/>
        <v>2.4469897407753184E-3</v>
      </c>
      <c r="O32" s="245">
        <f t="shared" si="32"/>
        <v>-75075.089999999982</v>
      </c>
      <c r="P32" s="190">
        <f>SUMIF('MVTO E'!$C$3:$C$240,"Propaganda",'MVTO E'!$I$3:$I$240)+SUMIF('DESP E'!$D$3:$D$146,"Propaganda",'DESP E'!$I$3:$I$146)</f>
        <v>187763.16999999998</v>
      </c>
      <c r="Q32" s="209">
        <f t="shared" si="123"/>
        <v>7.8867832400301638E-3</v>
      </c>
      <c r="R32" s="190">
        <f>SUMIF('MVTO A'!$C$3:$C$184,"Propaganda",'MVTO A'!$I$3:$I$184)+SUMIF('DESP A'!$D$3:$D$129,"Propaganda",'DESP A'!$I$3:$I$129)</f>
        <v>825</v>
      </c>
      <c r="S32" s="209">
        <f t="shared" si="167"/>
        <v>2.2599120523312142E-4</v>
      </c>
      <c r="T32" s="190">
        <f t="shared" si="125"/>
        <v>188588.16999999998</v>
      </c>
      <c r="U32" s="209">
        <f t="shared" si="168"/>
        <v>6.8682652671382457E-3</v>
      </c>
      <c r="V32" s="245">
        <f t="shared" si="169"/>
        <v>128271.68999999999</v>
      </c>
      <c r="W32" s="190">
        <f>SUMIF('MVTO E'!$C$3:$C$240,"Propaganda",'MVTO E'!$J$3:$J$240)+SUMIF('DESP E'!$D$3:$D$146,"Propaganda",'DESP E'!$J$3:$J$146)</f>
        <v>89648.6</v>
      </c>
      <c r="X32" s="209">
        <f t="shared" si="126"/>
        <v>4.0384079595471899E-3</v>
      </c>
      <c r="Y32" s="190">
        <f>SUMIF('MVTO A'!$C$3:$C$184,"Propaganda",'MVTO A'!$J$3:$J$184)+SUMIF('DESP A'!$D$3:$D$129,"Propaganda",'DESP A'!$J$3:$J$129)</f>
        <v>0</v>
      </c>
      <c r="Z32" s="209">
        <f t="shared" si="170"/>
        <v>0</v>
      </c>
      <c r="AA32" s="190">
        <f t="shared" si="128"/>
        <v>89648.6</v>
      </c>
      <c r="AB32" s="209">
        <f t="shared" si="171"/>
        <v>3.5356264688578406E-3</v>
      </c>
      <c r="AC32" s="245">
        <f t="shared" si="172"/>
        <v>-98939.569999999978</v>
      </c>
      <c r="AD32" s="190">
        <f>SUMIF('MVTO E'!$C$3:$C$240,"Propaganda",'MVTO E'!$K$3:$K$240)+SUMIF('DESP E'!$D$3:$D$146,"Propaganda",'DESP E'!$K$3:$K$146)</f>
        <v>0</v>
      </c>
      <c r="AE32" s="209" t="e">
        <f t="shared" si="130"/>
        <v>#DIV/0!</v>
      </c>
      <c r="AF32" s="190">
        <f>SUMIF('MVTO A'!$C$3:$C$184,"Propaganda",'MVTO A'!$K$3:$K$184)+SUMIF('DESP A'!$D$3:$D$129,"Propaganda",'DESP A'!$K$3:$K$129)</f>
        <v>0</v>
      </c>
      <c r="AG32" s="209" t="e">
        <f t="shared" si="173"/>
        <v>#DIV/0!</v>
      </c>
      <c r="AH32" s="190">
        <f t="shared" si="132"/>
        <v>0</v>
      </c>
      <c r="AI32" s="209" t="e">
        <f t="shared" si="174"/>
        <v>#DIV/0!</v>
      </c>
      <c r="AJ32" s="245">
        <f t="shared" si="84"/>
        <v>-89648.6</v>
      </c>
      <c r="AK32" s="190">
        <f>SUMIF('MVTO E'!$C$3:$C$240,"Propaganda",'MVTO E'!$L$3:$L$240)+SUMIF('DESP E'!$D$3:$D$146,"Propaganda",'DESP E'!$L$3:$L$146)</f>
        <v>0</v>
      </c>
      <c r="AL32" s="209" t="e">
        <f t="shared" si="134"/>
        <v>#DIV/0!</v>
      </c>
      <c r="AM32" s="190">
        <f>SUMIF('MVTO A'!$C$3:$C$184,"Propaganda",'MVTO A'!$L$3:$L$184)+SUMIF('DESP A'!$D$3:$D$129,"Propaganda",'DESP A'!$L$3:$L$129)</f>
        <v>0</v>
      </c>
      <c r="AN32" s="209" t="e">
        <f t="shared" si="175"/>
        <v>#DIV/0!</v>
      </c>
      <c r="AO32" s="190">
        <f t="shared" si="136"/>
        <v>0</v>
      </c>
      <c r="AP32" s="209" t="e">
        <f t="shared" si="176"/>
        <v>#DIV/0!</v>
      </c>
      <c r="AQ32" s="245">
        <f t="shared" si="177"/>
        <v>0</v>
      </c>
      <c r="AR32" s="190">
        <f>SUMIF('MVTO E'!$C$3:$C$240,"Propaganda",'MVTO E'!$M$3:$M$240)+SUMIF('DESP E'!$D$3:$D$146,"Propaganda",'DESP E'!$M$3:$M$146)</f>
        <v>0</v>
      </c>
      <c r="AS32" s="209" t="e">
        <f t="shared" si="138"/>
        <v>#DIV/0!</v>
      </c>
      <c r="AT32" s="190">
        <f>SUMIF('MVTO A'!$C$3:$C$184,"Propaganda",'MVTO A'!$M$3:$M$189)+SUMIF('DESP A'!$D$3:$D$129,"Propaganda",'DESP A'!$M$3:$M$129)</f>
        <v>0</v>
      </c>
      <c r="AU32" s="209" t="e">
        <f t="shared" si="178"/>
        <v>#DIV/0!</v>
      </c>
      <c r="AV32" s="190">
        <f t="shared" si="140"/>
        <v>0</v>
      </c>
      <c r="AW32" s="209" t="e">
        <f t="shared" si="179"/>
        <v>#DIV/0!</v>
      </c>
      <c r="AX32" s="245">
        <f t="shared" si="180"/>
        <v>0</v>
      </c>
      <c r="AY32" s="190">
        <f>SUMIF('MVTO E'!$C$3:$C$240,"Propaganda",'MVTO E'!$N$3:$N$240)+SUMIF('DESP E'!$D$3:$D$146,"Propaganda",'DESP E'!$N$3:$N$146)</f>
        <v>0</v>
      </c>
      <c r="AZ32" s="209" t="e">
        <f t="shared" si="142"/>
        <v>#DIV/0!</v>
      </c>
      <c r="BA32" s="190">
        <f>SUMIF('MVTO A'!$C$3:$C$184,"Propaganda",'MVTO A'!$N$3:$N$189)+SUMIF('DESP A'!$D$3:$D$129,"Propaganda",'DESP A'!$N$3:$N$129)</f>
        <v>0</v>
      </c>
      <c r="BB32" s="209" t="e">
        <f t="shared" si="181"/>
        <v>#DIV/0!</v>
      </c>
      <c r="BC32" s="190">
        <f t="shared" si="144"/>
        <v>0</v>
      </c>
      <c r="BD32" s="209" t="e">
        <f t="shared" si="182"/>
        <v>#DIV/0!</v>
      </c>
      <c r="BE32" s="245">
        <f t="shared" si="183"/>
        <v>0</v>
      </c>
      <c r="BF32" s="190">
        <f>SUMIF('MVTO E'!$C$3:$C$240,"Propaganda",'MVTO E'!$O$3:$O$240)+SUMIF('DESP E'!$D$3:$D$146,"Propaganda",'DESP E'!$O$3:$O$146)</f>
        <v>0</v>
      </c>
      <c r="BG32" s="209" t="e">
        <f t="shared" si="146"/>
        <v>#DIV/0!</v>
      </c>
      <c r="BH32" s="190">
        <f>SUMIF('MVTO A'!$C$3:$C$184,"Propaganda",'MVTO A'!$O$3:$O$189)+SUMIF('DESP A'!$D$3:$D$129,"Propaganda",'DESP A'!$O$3:$O$129)</f>
        <v>0</v>
      </c>
      <c r="BI32" s="209" t="e">
        <f t="shared" si="184"/>
        <v>#DIV/0!</v>
      </c>
      <c r="BJ32" s="190">
        <f t="shared" si="148"/>
        <v>0</v>
      </c>
      <c r="BK32" s="209" t="e">
        <f t="shared" si="185"/>
        <v>#DIV/0!</v>
      </c>
      <c r="BL32" s="245">
        <f t="shared" si="186"/>
        <v>0</v>
      </c>
      <c r="BM32" s="190">
        <f>SUMIF('MVTO E'!$C$3:$C$240,"Propaganda",'MVTO E'!$P$3:$P$240)+SUMIF('DESP E'!$D$3:$D$146,"Propaganda",'DESP E'!$P$3:$P$146)</f>
        <v>0</v>
      </c>
      <c r="BN32" s="209" t="e">
        <f t="shared" si="150"/>
        <v>#DIV/0!</v>
      </c>
      <c r="BO32" s="190">
        <f>SUMIF('MVTO A'!$C$3:$C$184,"Propaganda",'MVTO A'!$P$3:$P$189)+SUMIF('DESP A'!$D$3:$D$129,"Propaganda",'DESP A'!$P$3:$P$129)</f>
        <v>0</v>
      </c>
      <c r="BP32" s="209" t="e">
        <f t="shared" si="187"/>
        <v>#DIV/0!</v>
      </c>
      <c r="BQ32" s="190">
        <f t="shared" si="152"/>
        <v>0</v>
      </c>
      <c r="BR32" s="209" t="e">
        <f t="shared" si="188"/>
        <v>#DIV/0!</v>
      </c>
      <c r="BS32" s="245">
        <f t="shared" si="189"/>
        <v>0</v>
      </c>
      <c r="BT32" s="190">
        <f>SUMIF('MVTO E'!$C$3:$C$240,"Propaganda",'MVTO E'!$Q$3:$Q$240)+SUMIF('DESP E'!$D$3:$D$146,"Propaganda",'DESP E'!$Q$3:$Q$146)</f>
        <v>0</v>
      </c>
      <c r="BU32" s="209" t="e">
        <f t="shared" si="154"/>
        <v>#DIV/0!</v>
      </c>
      <c r="BV32" s="190">
        <f>SUMIF('MVTO A'!$C$3:$C$184,"Propaganda",'MVTO A'!$Q$3:$Q$189)+SUMIF('DESP A'!$D$3:$D$129,"Propaganda",'DESP A'!$Q$3:$Q$129)</f>
        <v>0</v>
      </c>
      <c r="BW32" s="209" t="e">
        <f t="shared" si="190"/>
        <v>#DIV/0!</v>
      </c>
      <c r="BX32" s="190">
        <f t="shared" si="156"/>
        <v>0</v>
      </c>
      <c r="BY32" s="209" t="e">
        <f t="shared" si="191"/>
        <v>#DIV/0!</v>
      </c>
      <c r="BZ32" s="245">
        <f t="shared" si="192"/>
        <v>0</v>
      </c>
      <c r="CA32" s="190">
        <f>SUMIF('MVTO E'!$C$3:$C$240,"Propaganda",'MVTO E'!$R$3:$R$240)+SUMIF('DESP E'!$D$3:$D$146,"Propaganda",'DESP E'!$R$3:$R$146)</f>
        <v>0</v>
      </c>
      <c r="CB32" s="209" t="e">
        <f t="shared" si="158"/>
        <v>#DIV/0!</v>
      </c>
      <c r="CC32" s="190">
        <f>SUMIF('MVTO A'!$C$3:$C$184,"Propaganda",'MVTO A'!$R$3:$R$189)+SUMIF('DESP A'!$D$3:$D$129,"Propaganda",'DESP A'!$R$3:$R$129)</f>
        <v>0</v>
      </c>
      <c r="CD32" s="209" t="e">
        <f t="shared" si="193"/>
        <v>#DIV/0!</v>
      </c>
      <c r="CE32" s="190">
        <f t="shared" si="160"/>
        <v>0</v>
      </c>
      <c r="CF32" s="209" t="e">
        <f t="shared" si="194"/>
        <v>#DIV/0!</v>
      </c>
      <c r="CG32" s="245">
        <f t="shared" si="195"/>
        <v>0</v>
      </c>
      <c r="CH32" s="242">
        <f t="shared" si="196"/>
        <v>472819.81999999995</v>
      </c>
      <c r="CI32" s="246">
        <f t="shared" si="197"/>
        <v>4.7217131281634458E-3</v>
      </c>
      <c r="CJ32" s="242">
        <f t="shared" si="196"/>
        <v>1125</v>
      </c>
      <c r="CK32" s="259">
        <f t="shared" si="162"/>
        <v>7.9346379536527256E-5</v>
      </c>
      <c r="CL32" s="242">
        <f t="shared" si="196"/>
        <v>473944.81999999995</v>
      </c>
      <c r="CM32" s="247">
        <f t="shared" si="163"/>
        <v>4.145929879650713E-3</v>
      </c>
    </row>
    <row r="33" spans="2:91" s="238" customFormat="1" ht="10.35" customHeight="1" thickBot="1">
      <c r="B33" s="240" t="s">
        <v>335</v>
      </c>
      <c r="C33" s="190">
        <f>SUMIF('DESP E'!$D$3:$D$146,"Logística",'DESP E'!$G$3:$G$146)</f>
        <v>93430.43</v>
      </c>
      <c r="D33" s="209">
        <f t="shared" si="198"/>
        <v>2.8397437235209589E-3</v>
      </c>
      <c r="E33" s="190">
        <f>SUMIF('DESP A'!$D$3:$D$129,"Logística",'DESP A'!$G$3:$G$129)</f>
        <v>0</v>
      </c>
      <c r="F33" s="209">
        <f>E33/$E$10</f>
        <v>0</v>
      </c>
      <c r="G33" s="190">
        <f t="shared" si="165"/>
        <v>93430.43</v>
      </c>
      <c r="H33" s="209">
        <f t="shared" si="166"/>
        <v>2.5352373164679656E-3</v>
      </c>
      <c r="I33" s="190">
        <f>SUMIF('DESP E'!$D$3:$D$146,"Logística",'DESP E'!$H$3:$H$146)</f>
        <v>45835.320000000007</v>
      </c>
      <c r="J33" s="209">
        <f t="shared" si="119"/>
        <v>2.1589858943774454E-3</v>
      </c>
      <c r="K33" s="190">
        <f>SUMIF('DESP A'!$D$3:$D$129,"Logística",'DESP A'!$H$3:$H$129)</f>
        <v>0</v>
      </c>
      <c r="L33" s="209">
        <f t="shared" si="120"/>
        <v>0</v>
      </c>
      <c r="M33" s="190">
        <f t="shared" si="121"/>
        <v>45835.320000000007</v>
      </c>
      <c r="N33" s="209">
        <f t="shared" si="122"/>
        <v>1.8595010485551178E-3</v>
      </c>
      <c r="O33" s="245">
        <f t="shared" si="32"/>
        <v>-47595.109999999986</v>
      </c>
      <c r="P33" s="190">
        <f>SUMIF('DESP E'!$D$3:$D$146,"Logística",'DESP E'!$I$3:$I$146)</f>
        <v>78304.06</v>
      </c>
      <c r="Q33" s="209">
        <f t="shared" si="123"/>
        <v>3.2890749982241803E-3</v>
      </c>
      <c r="R33" s="190">
        <f>SUMIF('DESP A'!$D$3:$D$129,"Logística",'DESP A'!$I$3:$I$129)</f>
        <v>0</v>
      </c>
      <c r="S33" s="209">
        <f t="shared" si="167"/>
        <v>0</v>
      </c>
      <c r="T33" s="190">
        <f t="shared" si="125"/>
        <v>78304.06</v>
      </c>
      <c r="U33" s="209">
        <f t="shared" si="168"/>
        <v>2.8517857486708167E-3</v>
      </c>
      <c r="V33" s="245">
        <f t="shared" si="169"/>
        <v>32468.739999999991</v>
      </c>
      <c r="W33" s="190">
        <f>SUMIF('DESP E'!$D$3:$D$146,"Logística",'DESP E'!$J$3:$J$146)</f>
        <v>72558.070000000007</v>
      </c>
      <c r="X33" s="209">
        <f t="shared" si="126"/>
        <v>3.2685294295435978E-3</v>
      </c>
      <c r="Y33" s="190">
        <f>SUMIF('DESP A'!$D$3:$D$129,"Logística",'DESP A'!$J$3:$J$129)</f>
        <v>0</v>
      </c>
      <c r="Z33" s="209">
        <f t="shared" si="170"/>
        <v>0</v>
      </c>
      <c r="AA33" s="190">
        <f t="shared" si="128"/>
        <v>72558.070000000007</v>
      </c>
      <c r="AB33" s="209">
        <f t="shared" si="171"/>
        <v>2.8615977585956728E-3</v>
      </c>
      <c r="AC33" s="245">
        <f t="shared" si="172"/>
        <v>-5745.9899999999907</v>
      </c>
      <c r="AD33" s="190">
        <f>SUMIF('DESP E'!$D$3:$D$146,"Logística",'DESP E'!$K$3:$K$146)</f>
        <v>0</v>
      </c>
      <c r="AE33" s="209" t="e">
        <f t="shared" si="130"/>
        <v>#DIV/0!</v>
      </c>
      <c r="AF33" s="190">
        <f>SUMIF('DESP A'!$D$3:$D$129,"Logística",'DESP A'!$K$3:$K$129)</f>
        <v>0</v>
      </c>
      <c r="AG33" s="209" t="e">
        <f t="shared" si="173"/>
        <v>#DIV/0!</v>
      </c>
      <c r="AH33" s="190">
        <f t="shared" si="132"/>
        <v>0</v>
      </c>
      <c r="AI33" s="209" t="e">
        <f t="shared" si="174"/>
        <v>#DIV/0!</v>
      </c>
      <c r="AJ33" s="245">
        <f t="shared" si="84"/>
        <v>-72558.070000000007</v>
      </c>
      <c r="AK33" s="190">
        <f>SUMIF('DESP E'!$D$3:$D$146,"Logística",'DESP E'!$L$3:$L$146)</f>
        <v>0</v>
      </c>
      <c r="AL33" s="209" t="e">
        <f t="shared" si="134"/>
        <v>#DIV/0!</v>
      </c>
      <c r="AM33" s="190">
        <f>SUMIF('DESP A'!$D$3:$D$129,"Logística",'DESP A'!$L$3:$L$129)</f>
        <v>0</v>
      </c>
      <c r="AN33" s="209" t="e">
        <f t="shared" si="175"/>
        <v>#DIV/0!</v>
      </c>
      <c r="AO33" s="190">
        <f t="shared" si="136"/>
        <v>0</v>
      </c>
      <c r="AP33" s="209" t="e">
        <f t="shared" si="176"/>
        <v>#DIV/0!</v>
      </c>
      <c r="AQ33" s="245">
        <f t="shared" si="177"/>
        <v>0</v>
      </c>
      <c r="AR33" s="190">
        <f>SUMIF('DESP E'!$D$3:$D$146,"Logística",'DESP E'!$M$3:$M$146)</f>
        <v>0</v>
      </c>
      <c r="AS33" s="209" t="e">
        <f t="shared" si="138"/>
        <v>#DIV/0!</v>
      </c>
      <c r="AT33" s="190">
        <f>SUMIF('DESP A'!$D$3:$D$129,"Logística",'DESP A'!$M$3:$M$129)</f>
        <v>0</v>
      </c>
      <c r="AU33" s="209" t="e">
        <f t="shared" si="178"/>
        <v>#DIV/0!</v>
      </c>
      <c r="AV33" s="190">
        <f t="shared" si="140"/>
        <v>0</v>
      </c>
      <c r="AW33" s="209" t="e">
        <f t="shared" si="179"/>
        <v>#DIV/0!</v>
      </c>
      <c r="AX33" s="245">
        <f t="shared" si="180"/>
        <v>0</v>
      </c>
      <c r="AY33" s="190">
        <f>SUMIF('DESP E'!$D$3:$D$146,"Logística",'DESP E'!$N$3:$N$146)</f>
        <v>0</v>
      </c>
      <c r="AZ33" s="209" t="e">
        <f t="shared" si="142"/>
        <v>#DIV/0!</v>
      </c>
      <c r="BA33" s="190">
        <f>SUMIF('DESP A'!$D$3:$D$129,"Logística",'DESP A'!$N$3:$N$129)</f>
        <v>0</v>
      </c>
      <c r="BB33" s="209" t="e">
        <f t="shared" si="181"/>
        <v>#DIV/0!</v>
      </c>
      <c r="BC33" s="190">
        <f t="shared" si="144"/>
        <v>0</v>
      </c>
      <c r="BD33" s="209" t="e">
        <f t="shared" si="182"/>
        <v>#DIV/0!</v>
      </c>
      <c r="BE33" s="245">
        <f t="shared" si="183"/>
        <v>0</v>
      </c>
      <c r="BF33" s="190">
        <f>SUMIF('DESP E'!$D$3:$D$146,"Logística",'DESP E'!$O$3:$O$146)</f>
        <v>0</v>
      </c>
      <c r="BG33" s="209" t="e">
        <f t="shared" si="146"/>
        <v>#DIV/0!</v>
      </c>
      <c r="BH33" s="190">
        <f>SUMIF('DESP A'!$D$3:$D$129,"Logística",'DESP A'!$O$3:$O$129)</f>
        <v>0</v>
      </c>
      <c r="BI33" s="209" t="e">
        <f t="shared" si="184"/>
        <v>#DIV/0!</v>
      </c>
      <c r="BJ33" s="190">
        <f t="shared" si="148"/>
        <v>0</v>
      </c>
      <c r="BK33" s="209" t="e">
        <f t="shared" si="185"/>
        <v>#DIV/0!</v>
      </c>
      <c r="BL33" s="245">
        <f t="shared" si="186"/>
        <v>0</v>
      </c>
      <c r="BM33" s="190">
        <f>SUMIF('DESP E'!$D$3:$D$146,"Logística",'DESP E'!$P$3:$P$146)</f>
        <v>0</v>
      </c>
      <c r="BN33" s="209" t="e">
        <f t="shared" si="150"/>
        <v>#DIV/0!</v>
      </c>
      <c r="BO33" s="190">
        <f>SUMIF('DESP A'!$D$3:$D$129,"Logística",'DESP A'!$P$3:$P$129)</f>
        <v>0</v>
      </c>
      <c r="BP33" s="209" t="e">
        <f t="shared" si="187"/>
        <v>#DIV/0!</v>
      </c>
      <c r="BQ33" s="190">
        <f t="shared" si="152"/>
        <v>0</v>
      </c>
      <c r="BR33" s="209" t="e">
        <f t="shared" si="188"/>
        <v>#DIV/0!</v>
      </c>
      <c r="BS33" s="245">
        <f t="shared" si="189"/>
        <v>0</v>
      </c>
      <c r="BT33" s="190">
        <f>SUMIF('DESP E'!$D$3:$D$146,"Logística",'DESP E'!$Q$3:$Q$146)</f>
        <v>0</v>
      </c>
      <c r="BU33" s="209" t="e">
        <f t="shared" si="154"/>
        <v>#DIV/0!</v>
      </c>
      <c r="BV33" s="190">
        <f>SUMIF('DESP A'!$D$3:$D$129,"Logística",'DESP A'!$Q$3:$Q$129)</f>
        <v>0</v>
      </c>
      <c r="BW33" s="209" t="e">
        <f t="shared" si="190"/>
        <v>#DIV/0!</v>
      </c>
      <c r="BX33" s="190">
        <f t="shared" si="156"/>
        <v>0</v>
      </c>
      <c r="BY33" s="209" t="e">
        <f t="shared" si="191"/>
        <v>#DIV/0!</v>
      </c>
      <c r="BZ33" s="245">
        <f t="shared" si="192"/>
        <v>0</v>
      </c>
      <c r="CA33" s="190">
        <f>SUMIF('DESP E'!$D$3:$D$146,"Logística",'DESP E'!$R$3:$R$146)</f>
        <v>0</v>
      </c>
      <c r="CB33" s="209" t="e">
        <f t="shared" si="158"/>
        <v>#DIV/0!</v>
      </c>
      <c r="CC33" s="190">
        <f>SUMIF('DESP A'!$D$3:$D$129,"Logística",'DESP A'!$R$3:$R$129)</f>
        <v>0</v>
      </c>
      <c r="CD33" s="209" t="e">
        <f t="shared" si="193"/>
        <v>#DIV/0!</v>
      </c>
      <c r="CE33" s="190">
        <f t="shared" si="160"/>
        <v>0</v>
      </c>
      <c r="CF33" s="209" t="e">
        <f t="shared" si="194"/>
        <v>#DIV/0!</v>
      </c>
      <c r="CG33" s="245">
        <f t="shared" si="195"/>
        <v>0</v>
      </c>
      <c r="CH33" s="242">
        <f t="shared" si="196"/>
        <v>290127.88</v>
      </c>
      <c r="CI33" s="246">
        <f t="shared" si="197"/>
        <v>2.8972994825856263E-3</v>
      </c>
      <c r="CJ33" s="242">
        <f t="shared" si="196"/>
        <v>0</v>
      </c>
      <c r="CK33" s="259">
        <f t="shared" si="162"/>
        <v>0</v>
      </c>
      <c r="CL33" s="242">
        <f t="shared" si="196"/>
        <v>290127.88</v>
      </c>
      <c r="CM33" s="247">
        <f t="shared" si="163"/>
        <v>2.5379533562825238E-3</v>
      </c>
    </row>
    <row r="34" spans="2:91" s="238" customFormat="1" ht="10.35" customHeight="1" thickBot="1">
      <c r="B34" s="240" t="s">
        <v>336</v>
      </c>
      <c r="C34" s="190">
        <f>SUMIF('DESP E'!$D$3:$D$146,"Viagens",'DESP E'!$G$3:$G$146)</f>
        <v>340</v>
      </c>
      <c r="D34" s="209">
        <f t="shared" si="198"/>
        <v>1.0334029994265531E-5</v>
      </c>
      <c r="E34" s="190">
        <f>SUMIF('DESP A'!$D$3:$D$129,"Viagens",'DESP A'!$G$3:$G$129)</f>
        <v>0</v>
      </c>
      <c r="F34" s="209">
        <f t="shared" si="164"/>
        <v>0</v>
      </c>
      <c r="G34" s="190">
        <f t="shared" si="165"/>
        <v>340</v>
      </c>
      <c r="H34" s="209">
        <f t="shared" si="166"/>
        <v>9.225909455828345E-6</v>
      </c>
      <c r="I34" s="190">
        <f>SUMIF('DESP E'!$D$3:$D$146,"Viagens",'DESP E'!$H$3:$H$146)</f>
        <v>1729.6</v>
      </c>
      <c r="J34" s="209">
        <f t="shared" si="119"/>
        <v>8.1469530547953608E-5</v>
      </c>
      <c r="K34" s="190">
        <f>SUMIF('DESP A'!$D$3:$D$129,"Viagens",'DESP A'!$H$3:$H$129)</f>
        <v>0</v>
      </c>
      <c r="L34" s="209">
        <f t="shared" si="120"/>
        <v>0</v>
      </c>
      <c r="M34" s="190">
        <f t="shared" si="121"/>
        <v>1729.6</v>
      </c>
      <c r="N34" s="209">
        <f t="shared" si="122"/>
        <v>7.0168442449642133E-5</v>
      </c>
      <c r="O34" s="245">
        <f t="shared" si="32"/>
        <v>1389.6</v>
      </c>
      <c r="P34" s="190">
        <f>SUMIF('DESP E'!$D$3:$D$146,"Viagens",'DESP E'!$I$3:$I$146)</f>
        <v>11158.62</v>
      </c>
      <c r="Q34" s="209">
        <f t="shared" si="123"/>
        <v>4.6870542928022257E-4</v>
      </c>
      <c r="R34" s="190">
        <f>SUMIF('DESP A'!$D$3:$D$129,"Viagens",'DESP A'!$I$3:$I$129)</f>
        <v>0</v>
      </c>
      <c r="S34" s="209">
        <f t="shared" si="167"/>
        <v>0</v>
      </c>
      <c r="T34" s="190">
        <f t="shared" si="125"/>
        <v>11158.62</v>
      </c>
      <c r="U34" s="209">
        <f t="shared" si="168"/>
        <v>4.0639008361550028E-4</v>
      </c>
      <c r="V34" s="245">
        <f t="shared" si="169"/>
        <v>9429.02</v>
      </c>
      <c r="W34" s="190">
        <f>SUMIF('DESP E'!$D$3:$D$146,"Viagens",'DESP E'!$J$3:$J$146)</f>
        <v>5932.07</v>
      </c>
      <c r="X34" s="209">
        <f t="shared" si="126"/>
        <v>2.6722245193556949E-4</v>
      </c>
      <c r="Y34" s="190">
        <f>SUMIF('DESP A'!$D$3:$D$129,"Viagens",'DESP A'!$J$3:$J$129)</f>
        <v>0</v>
      </c>
      <c r="Z34" s="209">
        <f t="shared" si="170"/>
        <v>0</v>
      </c>
      <c r="AA34" s="190">
        <f t="shared" si="128"/>
        <v>5932.07</v>
      </c>
      <c r="AB34" s="209">
        <f t="shared" si="171"/>
        <v>2.3395327653881408E-4</v>
      </c>
      <c r="AC34" s="245">
        <f t="shared" si="172"/>
        <v>-5226.5500000000011</v>
      </c>
      <c r="AD34" s="190">
        <f>SUMIF('DESP E'!$D$3:$D$146,"Viagens",'DESP E'!$K$3:$K$146)</f>
        <v>0</v>
      </c>
      <c r="AE34" s="209" t="e">
        <f t="shared" si="130"/>
        <v>#DIV/0!</v>
      </c>
      <c r="AF34" s="190">
        <f>SUMIF('DESP A'!$D$3:$D$129,"Viagens",'DESP A'!$K$3:$K$129)</f>
        <v>0</v>
      </c>
      <c r="AG34" s="209" t="e">
        <f t="shared" si="173"/>
        <v>#DIV/0!</v>
      </c>
      <c r="AH34" s="190">
        <f t="shared" si="132"/>
        <v>0</v>
      </c>
      <c r="AI34" s="209" t="e">
        <f t="shared" si="174"/>
        <v>#DIV/0!</v>
      </c>
      <c r="AJ34" s="245">
        <f t="shared" si="84"/>
        <v>-5932.07</v>
      </c>
      <c r="AK34" s="190">
        <f>SUMIF('DESP E'!$D$3:$D$146,"Viagens",'DESP E'!$L$3:$L$146)</f>
        <v>0</v>
      </c>
      <c r="AL34" s="209" t="e">
        <f t="shared" si="134"/>
        <v>#DIV/0!</v>
      </c>
      <c r="AM34" s="190">
        <f>SUMIF('DESP A'!$D$3:$D$129,"Viagens",'DESP A'!$L$3:$L$129)</f>
        <v>0</v>
      </c>
      <c r="AN34" s="209" t="e">
        <f t="shared" si="175"/>
        <v>#DIV/0!</v>
      </c>
      <c r="AO34" s="190">
        <f t="shared" si="136"/>
        <v>0</v>
      </c>
      <c r="AP34" s="209" t="e">
        <f t="shared" si="176"/>
        <v>#DIV/0!</v>
      </c>
      <c r="AQ34" s="245">
        <f t="shared" si="177"/>
        <v>0</v>
      </c>
      <c r="AR34" s="190">
        <f>SUMIF('DESP E'!$D$3:$D$146,"Viagens",'DESP E'!$M$3:$M$146)</f>
        <v>0</v>
      </c>
      <c r="AS34" s="209" t="e">
        <f t="shared" si="138"/>
        <v>#DIV/0!</v>
      </c>
      <c r="AT34" s="190">
        <f>SUMIF('DESP A'!$D$3:$D$129,"Viagens",'DESP A'!$M$3:$M$129)</f>
        <v>0</v>
      </c>
      <c r="AU34" s="209" t="e">
        <f t="shared" si="178"/>
        <v>#DIV/0!</v>
      </c>
      <c r="AV34" s="190">
        <f t="shared" si="140"/>
        <v>0</v>
      </c>
      <c r="AW34" s="209" t="e">
        <f t="shared" si="179"/>
        <v>#DIV/0!</v>
      </c>
      <c r="AX34" s="245">
        <f t="shared" si="180"/>
        <v>0</v>
      </c>
      <c r="AY34" s="190">
        <f>SUMIF('DESP E'!$D$3:$D$146,"Viagens",'DESP E'!$N$3:$N$146)</f>
        <v>0</v>
      </c>
      <c r="AZ34" s="209" t="e">
        <f t="shared" si="142"/>
        <v>#DIV/0!</v>
      </c>
      <c r="BA34" s="190">
        <f>SUMIF('DESP A'!$D$3:$D$129,"Viagens",'DESP A'!$N$3:$N$129)</f>
        <v>0</v>
      </c>
      <c r="BB34" s="209" t="e">
        <f t="shared" si="181"/>
        <v>#DIV/0!</v>
      </c>
      <c r="BC34" s="190">
        <f t="shared" si="144"/>
        <v>0</v>
      </c>
      <c r="BD34" s="209" t="e">
        <f t="shared" si="182"/>
        <v>#DIV/0!</v>
      </c>
      <c r="BE34" s="245">
        <f t="shared" si="183"/>
        <v>0</v>
      </c>
      <c r="BF34" s="190">
        <f>SUMIF('DESP E'!$D$3:$D$146,"Viagens",'DESP E'!$O$3:$O$146)</f>
        <v>0</v>
      </c>
      <c r="BG34" s="209" t="e">
        <f t="shared" si="146"/>
        <v>#DIV/0!</v>
      </c>
      <c r="BH34" s="190">
        <f>SUMIF('DESP A'!$D$3:$D$129,"Viagens",'DESP A'!$O$3:$O$129)</f>
        <v>0</v>
      </c>
      <c r="BI34" s="209" t="e">
        <f t="shared" si="184"/>
        <v>#DIV/0!</v>
      </c>
      <c r="BJ34" s="190">
        <f t="shared" si="148"/>
        <v>0</v>
      </c>
      <c r="BK34" s="209" t="e">
        <f t="shared" si="185"/>
        <v>#DIV/0!</v>
      </c>
      <c r="BL34" s="245">
        <f t="shared" si="186"/>
        <v>0</v>
      </c>
      <c r="BM34" s="190">
        <f>SUMIF('DESP E'!$D$3:$D$146,"Viagens",'DESP E'!$P$3:$P$146)</f>
        <v>0</v>
      </c>
      <c r="BN34" s="209" t="e">
        <f t="shared" si="150"/>
        <v>#DIV/0!</v>
      </c>
      <c r="BO34" s="190">
        <f>SUMIF('DESP A'!$D$3:$D$129,"Viagens",'DESP A'!$P$3:$P$129)</f>
        <v>0</v>
      </c>
      <c r="BP34" s="209" t="e">
        <f t="shared" si="187"/>
        <v>#DIV/0!</v>
      </c>
      <c r="BQ34" s="190">
        <f t="shared" si="152"/>
        <v>0</v>
      </c>
      <c r="BR34" s="209" t="e">
        <f t="shared" si="188"/>
        <v>#DIV/0!</v>
      </c>
      <c r="BS34" s="245">
        <f t="shared" si="189"/>
        <v>0</v>
      </c>
      <c r="BT34" s="190">
        <f>SUMIF('DESP E'!$D$3:$D$146,"Viagens",'DESP E'!$Q$3:$Q$146)</f>
        <v>0</v>
      </c>
      <c r="BU34" s="209" t="e">
        <f t="shared" si="154"/>
        <v>#DIV/0!</v>
      </c>
      <c r="BV34" s="190">
        <f>SUMIF('DESP A'!$D$3:$D$129,"Viagens",'DESP A'!$Q$3:$Q$129)</f>
        <v>0</v>
      </c>
      <c r="BW34" s="209" t="e">
        <f t="shared" si="190"/>
        <v>#DIV/0!</v>
      </c>
      <c r="BX34" s="190">
        <f t="shared" si="156"/>
        <v>0</v>
      </c>
      <c r="BY34" s="209" t="e">
        <f t="shared" si="191"/>
        <v>#DIV/0!</v>
      </c>
      <c r="BZ34" s="245">
        <f t="shared" si="192"/>
        <v>0</v>
      </c>
      <c r="CA34" s="190">
        <f>SUMIF('DESP E'!$D$3:$D$146,"Viagens",'DESP E'!$R$3:$R$146)</f>
        <v>0</v>
      </c>
      <c r="CB34" s="209" t="e">
        <f t="shared" si="158"/>
        <v>#DIV/0!</v>
      </c>
      <c r="CC34" s="190">
        <f>SUMIF('DESP A'!$D$3:$D$129,"Viagens",'DESP A'!$R$3:$R$129)</f>
        <v>0</v>
      </c>
      <c r="CD34" s="209" t="e">
        <f t="shared" si="193"/>
        <v>#DIV/0!</v>
      </c>
      <c r="CE34" s="190">
        <f t="shared" si="160"/>
        <v>0</v>
      </c>
      <c r="CF34" s="209" t="e">
        <f t="shared" si="194"/>
        <v>#DIV/0!</v>
      </c>
      <c r="CG34" s="245">
        <f t="shared" si="195"/>
        <v>0</v>
      </c>
      <c r="CH34" s="242">
        <f t="shared" si="196"/>
        <v>19160.29</v>
      </c>
      <c r="CI34" s="246">
        <f t="shared" si="197"/>
        <v>1.9134010252027677E-4</v>
      </c>
      <c r="CJ34" s="242">
        <f t="shared" si="196"/>
        <v>0</v>
      </c>
      <c r="CK34" s="259">
        <f t="shared" si="162"/>
        <v>0</v>
      </c>
      <c r="CL34" s="242">
        <f t="shared" si="196"/>
        <v>19160.29</v>
      </c>
      <c r="CM34" s="247">
        <f t="shared" si="163"/>
        <v>1.676085811292816E-4</v>
      </c>
    </row>
    <row r="35" spans="2:91" s="238" customFormat="1" ht="10.35" customHeight="1" thickBot="1">
      <c r="B35" s="240" t="s">
        <v>38</v>
      </c>
      <c r="C35" s="190">
        <f>SUMIF('DESP E'!$D$3:$D$146,"Comerciais",'DESP E'!$G$3:$G$146)</f>
        <v>28582.04</v>
      </c>
      <c r="D35" s="209">
        <f t="shared" si="198"/>
        <v>8.6872840781557995E-4</v>
      </c>
      <c r="E35" s="190">
        <f>SUMIF('DESP A'!$D$3:$D$129,"Comerciais",'DESP A'!$G$3:$G$129)</f>
        <v>0</v>
      </c>
      <c r="F35" s="209">
        <f t="shared" si="164"/>
        <v>0</v>
      </c>
      <c r="G35" s="190">
        <f t="shared" si="165"/>
        <v>28582.04</v>
      </c>
      <c r="H35" s="209">
        <f t="shared" si="166"/>
        <v>7.7557445030254125E-4</v>
      </c>
      <c r="I35" s="190">
        <f>SUMIF('DESP E'!$D$3:$D$146,"Comerciais",'DESP E'!$H$3:$H$146)</f>
        <v>3259.57</v>
      </c>
      <c r="J35" s="209">
        <f t="shared" si="119"/>
        <v>1.5353586822860381E-4</v>
      </c>
      <c r="K35" s="190">
        <f>SUMIF('DESP A'!$D$3:$D$129,"Comerciais",'DESP A'!$H$3:$H$129)</f>
        <v>0</v>
      </c>
      <c r="L35" s="209">
        <f t="shared" si="120"/>
        <v>0</v>
      </c>
      <c r="M35" s="190">
        <f t="shared" si="121"/>
        <v>3259.57</v>
      </c>
      <c r="N35" s="209">
        <f t="shared" si="122"/>
        <v>1.3223806079762953E-4</v>
      </c>
      <c r="O35" s="245">
        <f t="shared" si="32"/>
        <v>-25322.47</v>
      </c>
      <c r="P35" s="190">
        <f>SUMIF('DESP E'!$D$3:$D$146,"Comerciais",'DESP E'!$I$3:$I$146)</f>
        <v>26042.79</v>
      </c>
      <c r="Q35" s="209">
        <f t="shared" si="123"/>
        <v>1.0938984450231917E-3</v>
      </c>
      <c r="R35" s="190">
        <f>SUMIF('DESP A'!$D$3:$D$129,"Comerciais",'DESP A'!$I$3:$I$129)</f>
        <v>0</v>
      </c>
      <c r="S35" s="209">
        <f t="shared" si="167"/>
        <v>0</v>
      </c>
      <c r="T35" s="190">
        <f t="shared" si="125"/>
        <v>26042.79</v>
      </c>
      <c r="U35" s="209">
        <f t="shared" si="168"/>
        <v>9.4846240894312325E-4</v>
      </c>
      <c r="V35" s="245">
        <f t="shared" si="169"/>
        <v>22783.22</v>
      </c>
      <c r="W35" s="190">
        <f>SUMIF('DESP E'!$D$3:$D$146,"Comerciais",'DESP E'!$J$3:$J$146)</f>
        <v>16319.84</v>
      </c>
      <c r="X35" s="209">
        <f t="shared" si="126"/>
        <v>7.351611933096179E-4</v>
      </c>
      <c r="Y35" s="190">
        <f>SUMIF('DESP A'!$D$3:$D$129,"Comerciais",'DESP A'!$J$3:$J$129)</f>
        <v>0</v>
      </c>
      <c r="Z35" s="209">
        <f t="shared" si="170"/>
        <v>0</v>
      </c>
      <c r="AA35" s="190">
        <f t="shared" si="128"/>
        <v>16319.84</v>
      </c>
      <c r="AB35" s="209">
        <f t="shared" si="171"/>
        <v>6.4363367940519921E-4</v>
      </c>
      <c r="AC35" s="245">
        <f t="shared" si="172"/>
        <v>-9722.9500000000007</v>
      </c>
      <c r="AD35" s="190">
        <f>SUMIF('DESP E'!$D$3:$D$146,"Comerciais",'DESP E'!$K$3:$K$146)</f>
        <v>0</v>
      </c>
      <c r="AE35" s="209" t="e">
        <f t="shared" si="130"/>
        <v>#DIV/0!</v>
      </c>
      <c r="AF35" s="190">
        <f>SUMIF('DESP A'!$D$3:$D$129,"Comerciais",'DESP A'!$K$3:$K$129)</f>
        <v>0</v>
      </c>
      <c r="AG35" s="209" t="e">
        <f t="shared" si="173"/>
        <v>#DIV/0!</v>
      </c>
      <c r="AH35" s="190">
        <f t="shared" si="132"/>
        <v>0</v>
      </c>
      <c r="AI35" s="209" t="e">
        <f t="shared" si="174"/>
        <v>#DIV/0!</v>
      </c>
      <c r="AJ35" s="245">
        <f t="shared" si="84"/>
        <v>-16319.84</v>
      </c>
      <c r="AK35" s="190">
        <f>SUMIF('DESP E'!$D$3:$D$146,"Comerciais",'DESP E'!$L$3:$L$146)</f>
        <v>0</v>
      </c>
      <c r="AL35" s="209" t="e">
        <f t="shared" si="134"/>
        <v>#DIV/0!</v>
      </c>
      <c r="AM35" s="190">
        <f>SUMIF('DESP A'!$D$3:$D$129,"Comerciais",'DESP A'!$L$3:$L$129)</f>
        <v>0</v>
      </c>
      <c r="AN35" s="209" t="e">
        <f t="shared" si="175"/>
        <v>#DIV/0!</v>
      </c>
      <c r="AO35" s="190">
        <f t="shared" si="136"/>
        <v>0</v>
      </c>
      <c r="AP35" s="209" t="e">
        <f t="shared" si="176"/>
        <v>#DIV/0!</v>
      </c>
      <c r="AQ35" s="245">
        <f t="shared" si="177"/>
        <v>0</v>
      </c>
      <c r="AR35" s="190">
        <f>SUMIF('DESP E'!$D$3:$D$146,"Comerciais",'DESP E'!$M$3:$M$146)</f>
        <v>0</v>
      </c>
      <c r="AS35" s="209" t="e">
        <f t="shared" si="138"/>
        <v>#DIV/0!</v>
      </c>
      <c r="AT35" s="190">
        <f>SUMIF('DESP A'!$D$3:$D$129,"Comerciais",'DESP A'!$M$3:$M$129)</f>
        <v>0</v>
      </c>
      <c r="AU35" s="209" t="e">
        <f t="shared" si="178"/>
        <v>#DIV/0!</v>
      </c>
      <c r="AV35" s="190">
        <f t="shared" si="140"/>
        <v>0</v>
      </c>
      <c r="AW35" s="209" t="e">
        <f t="shared" si="179"/>
        <v>#DIV/0!</v>
      </c>
      <c r="AX35" s="245">
        <f t="shared" si="180"/>
        <v>0</v>
      </c>
      <c r="AY35" s="190">
        <f>SUMIF('DESP E'!$D$3:$D$146,"Comerciais",'DESP E'!$N$3:$N$146)</f>
        <v>0</v>
      </c>
      <c r="AZ35" s="209" t="e">
        <f t="shared" si="142"/>
        <v>#DIV/0!</v>
      </c>
      <c r="BA35" s="190">
        <f>SUMIF('DESP A'!$D$3:$D$129,"Comerciais",'DESP A'!$N$3:$N$129)</f>
        <v>0</v>
      </c>
      <c r="BB35" s="209" t="e">
        <f t="shared" si="181"/>
        <v>#DIV/0!</v>
      </c>
      <c r="BC35" s="190">
        <f t="shared" si="144"/>
        <v>0</v>
      </c>
      <c r="BD35" s="209" t="e">
        <f t="shared" si="182"/>
        <v>#DIV/0!</v>
      </c>
      <c r="BE35" s="245">
        <f t="shared" si="183"/>
        <v>0</v>
      </c>
      <c r="BF35" s="190">
        <f>SUMIF('DESP E'!$D$3:$D$146,"Comerciais",'DESP E'!$O$3:$O$146)</f>
        <v>0</v>
      </c>
      <c r="BG35" s="209" t="e">
        <f t="shared" si="146"/>
        <v>#DIV/0!</v>
      </c>
      <c r="BH35" s="190">
        <f>SUMIF('DESP A'!$D$3:$D$129,"Comerciais",'DESP A'!$O$3:$O$129)</f>
        <v>0</v>
      </c>
      <c r="BI35" s="209" t="e">
        <f t="shared" si="184"/>
        <v>#DIV/0!</v>
      </c>
      <c r="BJ35" s="190">
        <f t="shared" si="148"/>
        <v>0</v>
      </c>
      <c r="BK35" s="209" t="e">
        <f t="shared" si="185"/>
        <v>#DIV/0!</v>
      </c>
      <c r="BL35" s="245">
        <f t="shared" si="186"/>
        <v>0</v>
      </c>
      <c r="BM35" s="190">
        <f>SUMIF('DESP E'!$D$3:$D$146,"Comerciais",'DESP E'!$P$3:$P$146)</f>
        <v>0</v>
      </c>
      <c r="BN35" s="209" t="e">
        <f t="shared" si="150"/>
        <v>#DIV/0!</v>
      </c>
      <c r="BO35" s="190">
        <f>SUMIF('DESP A'!$D$3:$D$129,"Comerciais",'DESP A'!$P$3:$P$129)</f>
        <v>0</v>
      </c>
      <c r="BP35" s="209" t="e">
        <f t="shared" si="187"/>
        <v>#DIV/0!</v>
      </c>
      <c r="BQ35" s="190">
        <f t="shared" si="152"/>
        <v>0</v>
      </c>
      <c r="BR35" s="209" t="e">
        <f t="shared" si="188"/>
        <v>#DIV/0!</v>
      </c>
      <c r="BS35" s="245">
        <f t="shared" si="189"/>
        <v>0</v>
      </c>
      <c r="BT35" s="190">
        <f>SUMIF('DESP E'!$D$3:$D$146,"Comerciais",'DESP E'!$Q$3:$Q$146)</f>
        <v>0</v>
      </c>
      <c r="BU35" s="209" t="e">
        <f t="shared" si="154"/>
        <v>#DIV/0!</v>
      </c>
      <c r="BV35" s="190">
        <f>SUMIF('DESP A'!$D$3:$D$129,"Comerciais",'DESP A'!$Q$3:$Q$129)</f>
        <v>0</v>
      </c>
      <c r="BW35" s="209" t="e">
        <f t="shared" si="190"/>
        <v>#DIV/0!</v>
      </c>
      <c r="BX35" s="190">
        <f t="shared" si="156"/>
        <v>0</v>
      </c>
      <c r="BY35" s="209" t="e">
        <f t="shared" si="191"/>
        <v>#DIV/0!</v>
      </c>
      <c r="BZ35" s="245">
        <f t="shared" si="192"/>
        <v>0</v>
      </c>
      <c r="CA35" s="190">
        <f>SUMIF('DESP E'!$D$3:$D$146,"Comerciais",'DESP E'!$R$3:$R$146)</f>
        <v>0</v>
      </c>
      <c r="CB35" s="209" t="e">
        <f t="shared" si="158"/>
        <v>#DIV/0!</v>
      </c>
      <c r="CC35" s="190">
        <f>SUMIF('DESP A'!$D$3:$D$129,"Comerciais",'DESP A'!$R$3:$R$129)</f>
        <v>0</v>
      </c>
      <c r="CD35" s="209" t="e">
        <f t="shared" si="193"/>
        <v>#DIV/0!</v>
      </c>
      <c r="CE35" s="190">
        <f t="shared" si="160"/>
        <v>0</v>
      </c>
      <c r="CF35" s="209" t="e">
        <f t="shared" si="194"/>
        <v>#DIV/0!</v>
      </c>
      <c r="CG35" s="245">
        <f t="shared" si="195"/>
        <v>0</v>
      </c>
      <c r="CH35" s="242">
        <f t="shared" si="196"/>
        <v>74204.240000000005</v>
      </c>
      <c r="CI35" s="246">
        <f t="shared" si="197"/>
        <v>7.4102463423253103E-4</v>
      </c>
      <c r="CJ35" s="242">
        <f t="shared" si="196"/>
        <v>0</v>
      </c>
      <c r="CK35" s="259">
        <f t="shared" si="162"/>
        <v>0</v>
      </c>
      <c r="CL35" s="242">
        <f t="shared" si="196"/>
        <v>74204.240000000005</v>
      </c>
      <c r="CM35" s="247">
        <f t="shared" si="163"/>
        <v>6.4911686515061536E-4</v>
      </c>
    </row>
    <row r="36" spans="2:91" s="238" customFormat="1" ht="10.35" customHeight="1" thickBot="1">
      <c r="B36" s="240" t="s">
        <v>345</v>
      </c>
      <c r="C36" s="190">
        <f>SUMIF('DESP E'!$D$3:$D$146,"Administrativas",'DESP E'!$G$3:$G$146)</f>
        <v>0</v>
      </c>
      <c r="D36" s="209">
        <f t="shared" si="198"/>
        <v>0</v>
      </c>
      <c r="E36" s="190">
        <f>SUMIF('DESP A'!$D$3:$D$129,"Administrativas",'DESP A'!$G$3:$G$129)</f>
        <v>0</v>
      </c>
      <c r="F36" s="209">
        <f t="shared" si="164"/>
        <v>0</v>
      </c>
      <c r="G36" s="190">
        <f t="shared" si="165"/>
        <v>0</v>
      </c>
      <c r="H36" s="209">
        <f t="shared" si="166"/>
        <v>0</v>
      </c>
      <c r="I36" s="190">
        <f>SUMIF('DESP E'!$D$3:$D$146,"Administrativas",'DESP E'!$H$3:$H$146)</f>
        <v>0</v>
      </c>
      <c r="J36" s="209">
        <f t="shared" si="119"/>
        <v>0</v>
      </c>
      <c r="K36" s="190">
        <f>SUMIF('DESP A'!$D$3:$D$129,"Administrativas",'DESP A'!$H$3:$H$129)</f>
        <v>0</v>
      </c>
      <c r="L36" s="209">
        <f t="shared" si="120"/>
        <v>0</v>
      </c>
      <c r="M36" s="190">
        <f t="shared" si="121"/>
        <v>0</v>
      </c>
      <c r="N36" s="209">
        <f t="shared" si="122"/>
        <v>0</v>
      </c>
      <c r="O36" s="245">
        <f t="shared" si="32"/>
        <v>0</v>
      </c>
      <c r="P36" s="190">
        <f>SUMIF('DESP E'!$D$3:$D$146,"Administrativas",'DESP E'!$I$3:$I$146)</f>
        <v>0</v>
      </c>
      <c r="Q36" s="209">
        <f t="shared" si="123"/>
        <v>0</v>
      </c>
      <c r="R36" s="190">
        <f>SUMIF('DESP A'!$D$3:$D$129,"Administrativas",'DESP A'!$I$3:$I$129)</f>
        <v>0</v>
      </c>
      <c r="S36" s="209">
        <f t="shared" si="167"/>
        <v>0</v>
      </c>
      <c r="T36" s="190">
        <f t="shared" si="125"/>
        <v>0</v>
      </c>
      <c r="U36" s="209">
        <f t="shared" si="168"/>
        <v>0</v>
      </c>
      <c r="V36" s="245">
        <f t="shared" si="169"/>
        <v>0</v>
      </c>
      <c r="W36" s="190">
        <f>SUMIF('DESP E'!$D$3:$D$146,"Administrativas",'DESP E'!$J$3:$J$146)</f>
        <v>0</v>
      </c>
      <c r="X36" s="209">
        <f t="shared" si="126"/>
        <v>0</v>
      </c>
      <c r="Y36" s="190">
        <f>SUMIF('DESP A'!$D$3:$D$129,"Administrativas",'DESP A'!$J$3:$J$129)</f>
        <v>0</v>
      </c>
      <c r="Z36" s="209">
        <f t="shared" si="170"/>
        <v>0</v>
      </c>
      <c r="AA36" s="190">
        <f t="shared" si="128"/>
        <v>0</v>
      </c>
      <c r="AB36" s="209">
        <f t="shared" si="171"/>
        <v>0</v>
      </c>
      <c r="AC36" s="245">
        <f t="shared" si="172"/>
        <v>0</v>
      </c>
      <c r="AD36" s="190">
        <f>SUMIF('DESP E'!$D$3:$D$146,"Administrativas",'DESP E'!$K$3:$K$146)</f>
        <v>0</v>
      </c>
      <c r="AE36" s="209" t="e">
        <f t="shared" si="130"/>
        <v>#DIV/0!</v>
      </c>
      <c r="AF36" s="190">
        <f>SUMIF('DESP A'!$D$3:$D$129,"Administrativas",'DESP A'!$K$3:$K$129)</f>
        <v>0</v>
      </c>
      <c r="AG36" s="209" t="e">
        <f t="shared" si="173"/>
        <v>#DIV/0!</v>
      </c>
      <c r="AH36" s="190">
        <f t="shared" si="132"/>
        <v>0</v>
      </c>
      <c r="AI36" s="209" t="e">
        <f t="shared" si="174"/>
        <v>#DIV/0!</v>
      </c>
      <c r="AJ36" s="245">
        <f t="shared" si="84"/>
        <v>0</v>
      </c>
      <c r="AK36" s="190">
        <f>SUMIF('DESP E'!$D$3:$D$146,"Administrativas",'DESP E'!$L$3:$L$146)</f>
        <v>0</v>
      </c>
      <c r="AL36" s="209" t="e">
        <f t="shared" si="134"/>
        <v>#DIV/0!</v>
      </c>
      <c r="AM36" s="190">
        <f>SUMIF('DESP A'!$D$3:$D$129,"Administrativas",'DESP A'!$L$3:$L$129)</f>
        <v>0</v>
      </c>
      <c r="AN36" s="209" t="e">
        <f t="shared" si="175"/>
        <v>#DIV/0!</v>
      </c>
      <c r="AO36" s="190">
        <f t="shared" si="136"/>
        <v>0</v>
      </c>
      <c r="AP36" s="209" t="e">
        <f t="shared" si="176"/>
        <v>#DIV/0!</v>
      </c>
      <c r="AQ36" s="245">
        <f t="shared" si="177"/>
        <v>0</v>
      </c>
      <c r="AR36" s="190">
        <f>SUMIF('DESP E'!$D$3:$D$146,"Administrativas",'DESP E'!$M$3:$M$146)</f>
        <v>0</v>
      </c>
      <c r="AS36" s="209" t="e">
        <f t="shared" si="138"/>
        <v>#DIV/0!</v>
      </c>
      <c r="AT36" s="190">
        <f>SUMIF('DESP A'!$D$3:$D$129,"Administrativas",'DESP A'!$M$3:$M$129)</f>
        <v>0</v>
      </c>
      <c r="AU36" s="209" t="e">
        <f t="shared" si="178"/>
        <v>#DIV/0!</v>
      </c>
      <c r="AV36" s="190">
        <f t="shared" si="140"/>
        <v>0</v>
      </c>
      <c r="AW36" s="209" t="e">
        <f t="shared" si="179"/>
        <v>#DIV/0!</v>
      </c>
      <c r="AX36" s="245">
        <f t="shared" si="180"/>
        <v>0</v>
      </c>
      <c r="AY36" s="190">
        <f>SUMIF('DESP E'!$D$3:$D$146,"Administrativas",'DESP E'!$N$3:$N$146)</f>
        <v>0</v>
      </c>
      <c r="AZ36" s="209" t="e">
        <f t="shared" si="142"/>
        <v>#DIV/0!</v>
      </c>
      <c r="BA36" s="190">
        <f>SUMIF('DESP A'!$D$3:$D$129,"Administrativas",'DESP A'!$N$3:$N$129)</f>
        <v>0</v>
      </c>
      <c r="BB36" s="209" t="e">
        <f t="shared" si="181"/>
        <v>#DIV/0!</v>
      </c>
      <c r="BC36" s="190">
        <f t="shared" si="144"/>
        <v>0</v>
      </c>
      <c r="BD36" s="209" t="e">
        <f t="shared" si="182"/>
        <v>#DIV/0!</v>
      </c>
      <c r="BE36" s="245">
        <f t="shared" si="183"/>
        <v>0</v>
      </c>
      <c r="BF36" s="190">
        <f>SUMIF('DESP E'!$D$3:$D$146,"Administrativas",'DESP E'!$O$3:$O$146)</f>
        <v>0</v>
      </c>
      <c r="BG36" s="209" t="e">
        <f t="shared" si="146"/>
        <v>#DIV/0!</v>
      </c>
      <c r="BH36" s="190">
        <f>SUMIF('DESP A'!$D$3:$D$129,"Administrativas",'DESP A'!$O$3:$O$129)</f>
        <v>0</v>
      </c>
      <c r="BI36" s="209" t="e">
        <f t="shared" si="184"/>
        <v>#DIV/0!</v>
      </c>
      <c r="BJ36" s="190">
        <f t="shared" si="148"/>
        <v>0</v>
      </c>
      <c r="BK36" s="209" t="e">
        <f t="shared" si="185"/>
        <v>#DIV/0!</v>
      </c>
      <c r="BL36" s="245">
        <f t="shared" si="186"/>
        <v>0</v>
      </c>
      <c r="BM36" s="190">
        <f>SUMIF('DESP E'!$D$3:$D$146,"Administrativas",'DESP E'!$P$3:$P$146)</f>
        <v>0</v>
      </c>
      <c r="BN36" s="209" t="e">
        <f t="shared" si="150"/>
        <v>#DIV/0!</v>
      </c>
      <c r="BO36" s="190">
        <f>SUMIF('DESP A'!$D$3:$D$129,"Administrativas",'DESP A'!$P$3:$P$129)</f>
        <v>0</v>
      </c>
      <c r="BP36" s="209" t="e">
        <f t="shared" si="187"/>
        <v>#DIV/0!</v>
      </c>
      <c r="BQ36" s="190">
        <f t="shared" si="152"/>
        <v>0</v>
      </c>
      <c r="BR36" s="209" t="e">
        <f t="shared" si="188"/>
        <v>#DIV/0!</v>
      </c>
      <c r="BS36" s="245">
        <f t="shared" si="189"/>
        <v>0</v>
      </c>
      <c r="BT36" s="190">
        <f>SUMIF('DESP E'!$D$3:$D$146,"Administrativas",'DESP E'!$Q$3:$Q$146)</f>
        <v>0</v>
      </c>
      <c r="BU36" s="209" t="e">
        <f t="shared" si="154"/>
        <v>#DIV/0!</v>
      </c>
      <c r="BV36" s="190">
        <f>SUMIF('DESP A'!$D$3:$D$129,"Administrativas",'DESP A'!$Q$3:$Q$129)</f>
        <v>0</v>
      </c>
      <c r="BW36" s="209" t="e">
        <f t="shared" si="190"/>
        <v>#DIV/0!</v>
      </c>
      <c r="BX36" s="190">
        <f t="shared" si="156"/>
        <v>0</v>
      </c>
      <c r="BY36" s="209" t="e">
        <f t="shared" si="191"/>
        <v>#DIV/0!</v>
      </c>
      <c r="BZ36" s="245">
        <f t="shared" si="192"/>
        <v>0</v>
      </c>
      <c r="CA36" s="190">
        <f>SUMIF('DESP E'!$D$3:$D$146,"Administrativas",'DESP E'!$R$3:$R$146)</f>
        <v>0</v>
      </c>
      <c r="CB36" s="209" t="e">
        <f t="shared" si="158"/>
        <v>#DIV/0!</v>
      </c>
      <c r="CC36" s="190">
        <f>SUMIF('DESP A'!$D$3:$D$129,"Administrativas",'DESP A'!$R$3:$R$129)</f>
        <v>0</v>
      </c>
      <c r="CD36" s="209" t="e">
        <f t="shared" si="193"/>
        <v>#DIV/0!</v>
      </c>
      <c r="CE36" s="190">
        <f t="shared" si="160"/>
        <v>0</v>
      </c>
      <c r="CF36" s="209" t="e">
        <f t="shared" si="194"/>
        <v>#DIV/0!</v>
      </c>
      <c r="CG36" s="245">
        <f t="shared" si="195"/>
        <v>0</v>
      </c>
      <c r="CH36" s="242">
        <f t="shared" si="196"/>
        <v>0</v>
      </c>
      <c r="CI36" s="246">
        <f t="shared" si="197"/>
        <v>0</v>
      </c>
      <c r="CJ36" s="242">
        <f t="shared" si="196"/>
        <v>0</v>
      </c>
      <c r="CK36" s="259">
        <f t="shared" si="162"/>
        <v>0</v>
      </c>
      <c r="CL36" s="242">
        <f t="shared" si="196"/>
        <v>0</v>
      </c>
      <c r="CM36" s="247">
        <f t="shared" si="163"/>
        <v>0</v>
      </c>
    </row>
    <row r="37" spans="2:91" s="238" customFormat="1" ht="10.35" customHeight="1" thickBot="1">
      <c r="B37" s="240" t="s">
        <v>377</v>
      </c>
      <c r="C37" s="190">
        <f>SUMIF('DESP E'!$D$3:$D$146,"Indedutíveis",'DESP E'!$G$3:$G$146)</f>
        <v>0</v>
      </c>
      <c r="D37" s="209">
        <f t="shared" si="198"/>
        <v>0</v>
      </c>
      <c r="E37" s="190">
        <f>SUMIF('DESP A'!$D$3:$D$129,"Indedutíveis",'DESP A'!$G$3:$G$129)</f>
        <v>0</v>
      </c>
      <c r="F37" s="209">
        <f t="shared" si="164"/>
        <v>0</v>
      </c>
      <c r="G37" s="190">
        <f t="shared" si="165"/>
        <v>0</v>
      </c>
      <c r="H37" s="209">
        <f t="shared" si="166"/>
        <v>0</v>
      </c>
      <c r="I37" s="190">
        <f>SUMIF('DESP E'!$D$3:$D$146,"Indedutíveis",'DESP E'!$H$3:$H$146)</f>
        <v>157.38999999999999</v>
      </c>
      <c r="J37" s="209">
        <f t="shared" si="119"/>
        <v>7.4135577086854868E-6</v>
      </c>
      <c r="K37" s="190">
        <f>SUMIF('DESP A'!$D$3:$D$129,"Indedutíveis",'DESP A'!$H$3:$H$129)</f>
        <v>0</v>
      </c>
      <c r="L37" s="209">
        <f t="shared" si="120"/>
        <v>0</v>
      </c>
      <c r="M37" s="190">
        <f t="shared" si="121"/>
        <v>157.38999999999999</v>
      </c>
      <c r="N37" s="209">
        <f t="shared" si="122"/>
        <v>6.3851822138929091E-6</v>
      </c>
      <c r="O37" s="245">
        <f t="shared" si="32"/>
        <v>157.38999999999999</v>
      </c>
      <c r="P37" s="190">
        <f>SUMIF('DESP E'!$D$3:$D$146,"Indedutíveis",'DESP E'!$I$3:$I$146)</f>
        <v>0</v>
      </c>
      <c r="Q37" s="209">
        <f t="shared" si="123"/>
        <v>0</v>
      </c>
      <c r="R37" s="190">
        <f>SUMIF('DESP A'!$D$3:$D$129,"Indedutíveis",'DESP A'!$I$3:$I$129)</f>
        <v>0</v>
      </c>
      <c r="S37" s="209">
        <f t="shared" si="167"/>
        <v>0</v>
      </c>
      <c r="T37" s="190">
        <f t="shared" si="125"/>
        <v>0</v>
      </c>
      <c r="U37" s="209">
        <f t="shared" si="168"/>
        <v>0</v>
      </c>
      <c r="V37" s="245">
        <f t="shared" si="169"/>
        <v>-157.38999999999999</v>
      </c>
      <c r="W37" s="190">
        <f>SUMIF('DESP E'!$D$3:$D$146,"Indedutíveis",'DESP E'!$J$3:$J$146)</f>
        <v>0</v>
      </c>
      <c r="X37" s="209">
        <f t="shared" si="126"/>
        <v>0</v>
      </c>
      <c r="Y37" s="190">
        <f>SUMIF('DESP A'!$D$3:$D$129,"Indedutíveis",'DESP A'!$J$3:$J$129)</f>
        <v>0</v>
      </c>
      <c r="Z37" s="209">
        <f t="shared" si="170"/>
        <v>0</v>
      </c>
      <c r="AA37" s="190">
        <f t="shared" si="128"/>
        <v>0</v>
      </c>
      <c r="AB37" s="209">
        <f t="shared" si="171"/>
        <v>0</v>
      </c>
      <c r="AC37" s="245">
        <f t="shared" si="172"/>
        <v>0</v>
      </c>
      <c r="AD37" s="190">
        <f>SUMIF('DESP E'!$D$3:$D$146,"Indedutíveis",'DESP E'!$K$3:$K$146)</f>
        <v>0</v>
      </c>
      <c r="AE37" s="209" t="e">
        <f t="shared" si="130"/>
        <v>#DIV/0!</v>
      </c>
      <c r="AF37" s="190">
        <f>SUMIF('DESP A'!$D$3:$D$129,"Indedutíveis",'DESP A'!$K$3:$K$129)</f>
        <v>0</v>
      </c>
      <c r="AG37" s="209" t="e">
        <f t="shared" si="173"/>
        <v>#DIV/0!</v>
      </c>
      <c r="AH37" s="190">
        <f t="shared" si="132"/>
        <v>0</v>
      </c>
      <c r="AI37" s="209" t="e">
        <f t="shared" si="174"/>
        <v>#DIV/0!</v>
      </c>
      <c r="AJ37" s="245">
        <f t="shared" si="84"/>
        <v>0</v>
      </c>
      <c r="AK37" s="190">
        <f>SUMIF('DESP E'!$D$3:$D$146,"Indedutíveis",'DESP E'!$L$3:$L$146)</f>
        <v>0</v>
      </c>
      <c r="AL37" s="209" t="e">
        <f t="shared" si="134"/>
        <v>#DIV/0!</v>
      </c>
      <c r="AM37" s="190">
        <f>SUMIF('DESP A'!$D$3:$D$129,"Indedutíveis",'DESP A'!$L$3:$L$129)</f>
        <v>0</v>
      </c>
      <c r="AN37" s="209" t="e">
        <f t="shared" si="175"/>
        <v>#DIV/0!</v>
      </c>
      <c r="AO37" s="190">
        <f t="shared" si="136"/>
        <v>0</v>
      </c>
      <c r="AP37" s="209" t="e">
        <f t="shared" si="176"/>
        <v>#DIV/0!</v>
      </c>
      <c r="AQ37" s="245">
        <f t="shared" si="177"/>
        <v>0</v>
      </c>
      <c r="AR37" s="190">
        <f>SUMIF('DESP E'!$D$3:$D$146,"Indedutíveis",'DESP E'!$M$3:$M$146)</f>
        <v>0</v>
      </c>
      <c r="AS37" s="209" t="e">
        <f t="shared" si="138"/>
        <v>#DIV/0!</v>
      </c>
      <c r="AT37" s="190">
        <f>SUMIF('DESP A'!$D$3:$D$129,"Indedutíveis",'DESP A'!$M$3:$M$129)</f>
        <v>0</v>
      </c>
      <c r="AU37" s="209" t="e">
        <f t="shared" si="178"/>
        <v>#DIV/0!</v>
      </c>
      <c r="AV37" s="190">
        <f t="shared" si="140"/>
        <v>0</v>
      </c>
      <c r="AW37" s="209" t="e">
        <f t="shared" si="179"/>
        <v>#DIV/0!</v>
      </c>
      <c r="AX37" s="245">
        <f t="shared" si="180"/>
        <v>0</v>
      </c>
      <c r="AY37" s="190">
        <f>SUMIF('DESP E'!$D$3:$D$146,"Indedutíveis",'DESP E'!$N$3:$N$146)</f>
        <v>0</v>
      </c>
      <c r="AZ37" s="209" t="e">
        <f t="shared" si="142"/>
        <v>#DIV/0!</v>
      </c>
      <c r="BA37" s="190">
        <f>SUMIF('DESP A'!$D$3:$D$129,"Indedutíveis",'DESP A'!$N$3:$N$129)</f>
        <v>0</v>
      </c>
      <c r="BB37" s="209" t="e">
        <f t="shared" si="181"/>
        <v>#DIV/0!</v>
      </c>
      <c r="BC37" s="190">
        <f t="shared" si="144"/>
        <v>0</v>
      </c>
      <c r="BD37" s="209" t="e">
        <f t="shared" si="182"/>
        <v>#DIV/0!</v>
      </c>
      <c r="BE37" s="245">
        <f t="shared" si="183"/>
        <v>0</v>
      </c>
      <c r="BF37" s="190">
        <f>SUMIF('DESP E'!$D$3:$D$146,"Indedutíveis",'DESP E'!$O$3:$O$146)</f>
        <v>0</v>
      </c>
      <c r="BG37" s="209" t="e">
        <f t="shared" si="146"/>
        <v>#DIV/0!</v>
      </c>
      <c r="BH37" s="190">
        <f>SUMIF('DESP A'!$D$3:$D$129,"Indedutíveis",'DESP A'!$O$3:$O$129)</f>
        <v>0</v>
      </c>
      <c r="BI37" s="209" t="e">
        <f t="shared" si="184"/>
        <v>#DIV/0!</v>
      </c>
      <c r="BJ37" s="190">
        <f t="shared" si="148"/>
        <v>0</v>
      </c>
      <c r="BK37" s="209" t="e">
        <f t="shared" si="185"/>
        <v>#DIV/0!</v>
      </c>
      <c r="BL37" s="245">
        <f t="shared" si="186"/>
        <v>0</v>
      </c>
      <c r="BM37" s="190">
        <f>SUMIF('DESP E'!$D$3:$D$146,"Indedutíveis",'DESP E'!$P$3:$P$146)</f>
        <v>0</v>
      </c>
      <c r="BN37" s="209" t="e">
        <f t="shared" si="150"/>
        <v>#DIV/0!</v>
      </c>
      <c r="BO37" s="190">
        <f>SUMIF('DESP A'!$D$3:$D$129,"Indedutíveis",'DESP A'!$P$3:$P$129)</f>
        <v>0</v>
      </c>
      <c r="BP37" s="209" t="e">
        <f t="shared" si="187"/>
        <v>#DIV/0!</v>
      </c>
      <c r="BQ37" s="190">
        <f t="shared" si="152"/>
        <v>0</v>
      </c>
      <c r="BR37" s="209" t="e">
        <f t="shared" si="188"/>
        <v>#DIV/0!</v>
      </c>
      <c r="BS37" s="245">
        <f t="shared" si="189"/>
        <v>0</v>
      </c>
      <c r="BT37" s="190">
        <f>SUMIF('DESP E'!$D$3:$D$146,"Indedutíveis",'DESP E'!$Q$3:$Q$146)</f>
        <v>0</v>
      </c>
      <c r="BU37" s="209" t="e">
        <f t="shared" si="154"/>
        <v>#DIV/0!</v>
      </c>
      <c r="BV37" s="190">
        <f>SUMIF('DESP A'!$D$3:$D$129,"Indedutíveis",'DESP A'!$Q$3:$Q$129)</f>
        <v>0</v>
      </c>
      <c r="BW37" s="209" t="e">
        <f t="shared" si="190"/>
        <v>#DIV/0!</v>
      </c>
      <c r="BX37" s="190">
        <f t="shared" si="156"/>
        <v>0</v>
      </c>
      <c r="BY37" s="209" t="e">
        <f t="shared" si="191"/>
        <v>#DIV/0!</v>
      </c>
      <c r="BZ37" s="245">
        <f t="shared" si="192"/>
        <v>0</v>
      </c>
      <c r="CA37" s="190">
        <f>SUMIF('DESP E'!$D$3:$D$146,"Indedutíveis",'DESP E'!$R$3:$R$146)</f>
        <v>0</v>
      </c>
      <c r="CB37" s="209" t="e">
        <f t="shared" si="158"/>
        <v>#DIV/0!</v>
      </c>
      <c r="CC37" s="190">
        <f>SUMIF('DESP A'!$D$3:$D$129,"Indedutíveis",'DESP A'!$R$3:$R$129)</f>
        <v>0</v>
      </c>
      <c r="CD37" s="209" t="e">
        <f t="shared" si="193"/>
        <v>#DIV/0!</v>
      </c>
      <c r="CE37" s="190">
        <f t="shared" si="160"/>
        <v>0</v>
      </c>
      <c r="CF37" s="209" t="e">
        <f t="shared" si="194"/>
        <v>#DIV/0!</v>
      </c>
      <c r="CG37" s="245">
        <f t="shared" si="195"/>
        <v>0</v>
      </c>
      <c r="CH37" s="242">
        <f t="shared" si="196"/>
        <v>157.38999999999999</v>
      </c>
      <c r="CI37" s="246">
        <f t="shared" si="197"/>
        <v>1.5717412803076756E-6</v>
      </c>
      <c r="CJ37" s="242">
        <f t="shared" si="196"/>
        <v>0</v>
      </c>
      <c r="CK37" s="259">
        <f t="shared" si="162"/>
        <v>0</v>
      </c>
      <c r="CL37" s="242">
        <f t="shared" si="196"/>
        <v>157.38999999999999</v>
      </c>
      <c r="CM37" s="247">
        <f t="shared" si="163"/>
        <v>1.3768014254448982E-6</v>
      </c>
    </row>
    <row r="38" spans="2:91" s="238" customFormat="1" ht="10.35" customHeight="1" thickBot="1">
      <c r="B38" s="240" t="s">
        <v>334</v>
      </c>
      <c r="C38" s="190">
        <f>SUMIF('MVTO E'!$C$3:$C$240,"Desp_Aluguel",'MVTO E'!$G$3:$G$240)</f>
        <v>529678.4</v>
      </c>
      <c r="D38" s="209">
        <f t="shared" si="198"/>
        <v>1.6099154332101694E-2</v>
      </c>
      <c r="E38" s="190">
        <f>SUMIF('MVTO A'!$C$3:$C$184,"Desp_Aluguel",'MVTO A'!$G$3:$G$184)</f>
        <v>0</v>
      </c>
      <c r="F38" s="209">
        <f t="shared" si="164"/>
        <v>0</v>
      </c>
      <c r="G38" s="190">
        <f t="shared" si="165"/>
        <v>529678.4</v>
      </c>
      <c r="H38" s="209">
        <f t="shared" si="166"/>
        <v>1.4372838115023615E-2</v>
      </c>
      <c r="I38" s="190">
        <f>SUMIF('MVTO E'!$C$3:$C$240,"Desp_Aluguel",'MVTO E'!$H$3:$H$240)</f>
        <v>565211.64</v>
      </c>
      <c r="J38" s="209">
        <f t="shared" si="119"/>
        <v>2.6623223271877289E-2</v>
      </c>
      <c r="K38" s="190">
        <f>SUMIF('MVTO A'!$C$3:$C$184,"Desp_Aluguel",'MVTO A'!$H$3:$H$184)</f>
        <v>0</v>
      </c>
      <c r="L38" s="209">
        <f t="shared" si="120"/>
        <v>0</v>
      </c>
      <c r="M38" s="190">
        <f t="shared" si="121"/>
        <v>565211.64</v>
      </c>
      <c r="N38" s="209">
        <f t="shared" si="122"/>
        <v>2.2930169075628962E-2</v>
      </c>
      <c r="O38" s="245">
        <f t="shared" si="32"/>
        <v>35533.239999999991</v>
      </c>
      <c r="P38" s="190">
        <f>SUMIF('MVTO E'!$C$3:$C$240,"Desp_Aluguel",'MVTO E'!$I$3:$I$240)</f>
        <v>520594.89</v>
      </c>
      <c r="Q38" s="209">
        <f t="shared" si="123"/>
        <v>2.1867009665938998E-2</v>
      </c>
      <c r="R38" s="190">
        <f>SUMIF('MVTO A'!$C$3:$C$184,"Desp_Aluguel",'MVTO A'!$I$3:$I$184)</f>
        <v>0</v>
      </c>
      <c r="S38" s="209">
        <f t="shared" si="167"/>
        <v>0</v>
      </c>
      <c r="T38" s="190">
        <f t="shared" si="125"/>
        <v>520594.89</v>
      </c>
      <c r="U38" s="209">
        <f t="shared" si="168"/>
        <v>1.8959745996987278E-2</v>
      </c>
      <c r="V38" s="245">
        <f t="shared" si="169"/>
        <v>-44616.75</v>
      </c>
      <c r="W38" s="190">
        <f>SUMIF('MVTO E'!$C$3:$C$240,"Desp_Aluguel",'MVTO E'!$J$3:$J$240)</f>
        <v>542205.63</v>
      </c>
      <c r="X38" s="209">
        <f t="shared" si="126"/>
        <v>2.4424782226418466E-2</v>
      </c>
      <c r="Y38" s="190">
        <f>SUMIF('MVTO A'!$C$3:$C$184,"Desp_Aluguel",'MVTO A'!$J$3:$J$184)</f>
        <v>0</v>
      </c>
      <c r="Z38" s="209">
        <f t="shared" si="170"/>
        <v>0</v>
      </c>
      <c r="AA38" s="190">
        <f t="shared" si="128"/>
        <v>542205.63</v>
      </c>
      <c r="AB38" s="209">
        <f t="shared" si="171"/>
        <v>2.1383898655324689E-2</v>
      </c>
      <c r="AC38" s="245">
        <f t="shared" si="172"/>
        <v>21610.739999999991</v>
      </c>
      <c r="AD38" s="190">
        <f>SUMIF('MVTO E'!$C$3:$C$240,"Desp_Aluguel",'MVTO E'!$K$3:$K$240)</f>
        <v>0</v>
      </c>
      <c r="AE38" s="209" t="e">
        <f t="shared" si="130"/>
        <v>#DIV/0!</v>
      </c>
      <c r="AF38" s="190">
        <f>SUMIF('MVTO A'!$C$3:$C$184,"Desp_Aluguel",'MVTO A'!$K$3:$K$184)</f>
        <v>0</v>
      </c>
      <c r="AG38" s="209" t="e">
        <f t="shared" si="173"/>
        <v>#DIV/0!</v>
      </c>
      <c r="AH38" s="190">
        <f t="shared" si="132"/>
        <v>0</v>
      </c>
      <c r="AI38" s="209" t="e">
        <f t="shared" si="174"/>
        <v>#DIV/0!</v>
      </c>
      <c r="AJ38" s="245">
        <f t="shared" si="84"/>
        <v>-542205.63</v>
      </c>
      <c r="AK38" s="190">
        <f>SUMIF('MVTO E'!$C$3:$C$240,"Desp_Aluguel",'MVTO E'!$L$3:$L$240)</f>
        <v>0</v>
      </c>
      <c r="AL38" s="209" t="e">
        <f t="shared" si="134"/>
        <v>#DIV/0!</v>
      </c>
      <c r="AM38" s="190">
        <f>SUMIF('MVTO A'!$C$3:$C$184,"Desp_Aluguel",'MVTO A'!$L$3:$L$184)</f>
        <v>0</v>
      </c>
      <c r="AN38" s="209" t="e">
        <f t="shared" si="175"/>
        <v>#DIV/0!</v>
      </c>
      <c r="AO38" s="190">
        <f t="shared" si="136"/>
        <v>0</v>
      </c>
      <c r="AP38" s="209" t="e">
        <f t="shared" si="176"/>
        <v>#DIV/0!</v>
      </c>
      <c r="AQ38" s="245">
        <f t="shared" si="177"/>
        <v>0</v>
      </c>
      <c r="AR38" s="190">
        <f>SUMIF('MVTO E'!$C$3:$C$240,"Desp_Aluguel",'MVTO E'!$M$3:$M$240)</f>
        <v>0</v>
      </c>
      <c r="AS38" s="209" t="e">
        <f t="shared" si="138"/>
        <v>#DIV/0!</v>
      </c>
      <c r="AT38" s="190">
        <f>SUMIF('MVTO A'!$C$3:$C$184,"Desp_Aluguel",'MVTO A'!$M$3:$M$189)</f>
        <v>0</v>
      </c>
      <c r="AU38" s="209" t="e">
        <f t="shared" si="178"/>
        <v>#DIV/0!</v>
      </c>
      <c r="AV38" s="190">
        <f t="shared" si="140"/>
        <v>0</v>
      </c>
      <c r="AW38" s="209" t="e">
        <f t="shared" si="179"/>
        <v>#DIV/0!</v>
      </c>
      <c r="AX38" s="245">
        <f t="shared" si="180"/>
        <v>0</v>
      </c>
      <c r="AY38" s="190">
        <f>SUMIF('MVTO E'!$C$3:$C$240,"Desp_Aluguel",'MVTO E'!$N$3:$N$240)</f>
        <v>0</v>
      </c>
      <c r="AZ38" s="209" t="e">
        <f t="shared" si="142"/>
        <v>#DIV/0!</v>
      </c>
      <c r="BA38" s="190">
        <f>SUMIF('MVTO A'!$C$3:$C$184,"Desp_Aluguel",'MVTO A'!$N$3:$N$189)</f>
        <v>0</v>
      </c>
      <c r="BB38" s="209" t="e">
        <f t="shared" si="181"/>
        <v>#DIV/0!</v>
      </c>
      <c r="BC38" s="190">
        <f t="shared" si="144"/>
        <v>0</v>
      </c>
      <c r="BD38" s="209" t="e">
        <f t="shared" si="182"/>
        <v>#DIV/0!</v>
      </c>
      <c r="BE38" s="245">
        <f t="shared" si="183"/>
        <v>0</v>
      </c>
      <c r="BF38" s="190">
        <f>SUMIF('MVTO E'!$C$3:$C$240,"Desp_Aluguel",'MVTO E'!$O$3:$O$240)</f>
        <v>0</v>
      </c>
      <c r="BG38" s="209" t="e">
        <f t="shared" si="146"/>
        <v>#DIV/0!</v>
      </c>
      <c r="BH38" s="190">
        <f>SUMIF('MVTO A'!$C$3:$C$184,"Desp_Aluguel",'MVTO A'!$O$3:$O$189)</f>
        <v>0</v>
      </c>
      <c r="BI38" s="209" t="e">
        <f t="shared" si="184"/>
        <v>#DIV/0!</v>
      </c>
      <c r="BJ38" s="190">
        <f t="shared" si="148"/>
        <v>0</v>
      </c>
      <c r="BK38" s="209" t="e">
        <f t="shared" si="185"/>
        <v>#DIV/0!</v>
      </c>
      <c r="BL38" s="245">
        <f t="shared" si="186"/>
        <v>0</v>
      </c>
      <c r="BM38" s="190">
        <f>SUMIF('MVTO E'!$C$3:$C$240,"Desp_Aluguel",'MVTO E'!$P$3:$P$240)</f>
        <v>0</v>
      </c>
      <c r="BN38" s="209" t="e">
        <f t="shared" si="150"/>
        <v>#DIV/0!</v>
      </c>
      <c r="BO38" s="190">
        <f>SUMIF('MVTO A'!$C$3:$C$184,"Desp_Aluguel",'MVTO A'!$P$3:$P$189)</f>
        <v>0</v>
      </c>
      <c r="BP38" s="209" t="e">
        <f t="shared" si="187"/>
        <v>#DIV/0!</v>
      </c>
      <c r="BQ38" s="190">
        <f t="shared" si="152"/>
        <v>0</v>
      </c>
      <c r="BR38" s="209" t="e">
        <f t="shared" si="188"/>
        <v>#DIV/0!</v>
      </c>
      <c r="BS38" s="245">
        <f t="shared" si="189"/>
        <v>0</v>
      </c>
      <c r="BT38" s="190">
        <f>SUMIF('MVTO E'!$C$3:$C$240,"Desp_Aluguel",'MVTO E'!$Q$3:$Q$240)</f>
        <v>0</v>
      </c>
      <c r="BU38" s="209" t="e">
        <f t="shared" si="154"/>
        <v>#DIV/0!</v>
      </c>
      <c r="BV38" s="190">
        <f>SUMIF('MVTO A'!$C$3:$C$184,"Desp_Aluguel",'MVTO A'!$Q$3:$Q$189)</f>
        <v>0</v>
      </c>
      <c r="BW38" s="209" t="e">
        <f t="shared" si="190"/>
        <v>#DIV/0!</v>
      </c>
      <c r="BX38" s="190">
        <f t="shared" si="156"/>
        <v>0</v>
      </c>
      <c r="BY38" s="209" t="e">
        <f t="shared" si="191"/>
        <v>#DIV/0!</v>
      </c>
      <c r="BZ38" s="245">
        <f t="shared" si="192"/>
        <v>0</v>
      </c>
      <c r="CA38" s="190">
        <f>SUMIF('MVTO E'!$C$3:$C$240,"Desp_Aluguel",'MVTO E'!$R$3:$R$240)</f>
        <v>0</v>
      </c>
      <c r="CB38" s="209" t="e">
        <f t="shared" si="158"/>
        <v>#DIV/0!</v>
      </c>
      <c r="CC38" s="190">
        <f>SUMIF('MVTO A'!$C$3:$C$184,"Desp_Aluguel",'MVTO A'!$R$3:$R$189)</f>
        <v>0</v>
      </c>
      <c r="CD38" s="209" t="e">
        <f t="shared" si="193"/>
        <v>#DIV/0!</v>
      </c>
      <c r="CE38" s="190">
        <f t="shared" si="160"/>
        <v>0</v>
      </c>
      <c r="CF38" s="209" t="e">
        <f t="shared" si="194"/>
        <v>#DIV/0!</v>
      </c>
      <c r="CG38" s="245">
        <f t="shared" si="195"/>
        <v>0</v>
      </c>
      <c r="CH38" s="242">
        <f t="shared" si="196"/>
        <v>2157690.56</v>
      </c>
      <c r="CI38" s="246">
        <f t="shared" si="197"/>
        <v>2.1547311285864325E-2</v>
      </c>
      <c r="CJ38" s="242">
        <f t="shared" si="196"/>
        <v>0</v>
      </c>
      <c r="CK38" s="259">
        <f t="shared" si="162"/>
        <v>0</v>
      </c>
      <c r="CL38" s="242">
        <f t="shared" si="196"/>
        <v>2157690.56</v>
      </c>
      <c r="CM38" s="247">
        <f t="shared" si="163"/>
        <v>1.8874842357691091E-2</v>
      </c>
    </row>
    <row r="39" spans="2:91" s="238" customFormat="1" ht="10.35" customHeight="1" thickBot="1">
      <c r="B39" s="240" t="s">
        <v>17</v>
      </c>
      <c r="C39" s="190">
        <f>SUMIF('MVTO E'!$C$3:$C$240,"Desp_Seguros",'MVTO E'!$G$3:$G$240)</f>
        <v>43169.59</v>
      </c>
      <c r="D39" s="209">
        <f t="shared" si="198"/>
        <v>1.3121054055886627E-3</v>
      </c>
      <c r="E39" s="190">
        <f>SUMIF('MVTO A'!$C$3:$C$184,"Desp_Seguros",'MVTO A'!$G$3:$G$184)</f>
        <v>0</v>
      </c>
      <c r="F39" s="209">
        <f t="shared" si="164"/>
        <v>0</v>
      </c>
      <c r="G39" s="190">
        <f t="shared" si="165"/>
        <v>43169.59</v>
      </c>
      <c r="H39" s="209">
        <f t="shared" si="166"/>
        <v>1.1714080252506847E-3</v>
      </c>
      <c r="I39" s="190">
        <f>SUMIF('MVTO E'!$C$3:$C$240,"Desp_Seguros",'MVTO E'!$H$3:$H$240)</f>
        <v>9843.09</v>
      </c>
      <c r="J39" s="209">
        <f t="shared" si="119"/>
        <v>4.6364010259092087E-4</v>
      </c>
      <c r="K39" s="190">
        <f>SUMIF('MVTO A'!$C$3:$C$184,"Desp_Seguros",'MVTO A'!$H$3:$H$184)</f>
        <v>0</v>
      </c>
      <c r="L39" s="209">
        <f t="shared" si="120"/>
        <v>0</v>
      </c>
      <c r="M39" s="190">
        <f t="shared" si="121"/>
        <v>9843.09</v>
      </c>
      <c r="N39" s="209">
        <f t="shared" si="122"/>
        <v>3.9932602578148012E-4</v>
      </c>
      <c r="O39" s="245">
        <f t="shared" si="32"/>
        <v>-33326.5</v>
      </c>
      <c r="P39" s="190">
        <f>SUMIF('MVTO E'!$C$3:$C$240,"Desp_Seguros",'MVTO E'!$I$3:$I$240)</f>
        <v>10158.49</v>
      </c>
      <c r="Q39" s="209">
        <f t="shared" si="123"/>
        <v>4.2669608036556919E-4</v>
      </c>
      <c r="R39" s="190">
        <f>SUMIF('MVTO A'!$C$3:$C$184,"Desp_Seguros",'MVTO A'!$I$3:$I$184)</f>
        <v>0</v>
      </c>
      <c r="S39" s="209">
        <f t="shared" si="167"/>
        <v>0</v>
      </c>
      <c r="T39" s="190">
        <f t="shared" si="125"/>
        <v>10158.49</v>
      </c>
      <c r="U39" s="209">
        <f t="shared" si="168"/>
        <v>3.6996596357858079E-4</v>
      </c>
      <c r="V39" s="245">
        <f t="shared" si="169"/>
        <v>315.39999999999964</v>
      </c>
      <c r="W39" s="190">
        <f>SUMIF('MVTO E'!$C$3:$C$240,"Desp_Seguros",'MVTO E'!$J$3:$J$240)</f>
        <v>10036.08</v>
      </c>
      <c r="X39" s="209">
        <f t="shared" si="126"/>
        <v>4.5209613261838289E-4</v>
      </c>
      <c r="Y39" s="190">
        <f>SUMIF('MVTO A'!$C$3:$C$184,"Desp_Seguros",'MVTO A'!$J$3:$J$184)</f>
        <v>0</v>
      </c>
      <c r="Z39" s="209">
        <f t="shared" si="170"/>
        <v>0</v>
      </c>
      <c r="AA39" s="190">
        <f t="shared" si="128"/>
        <v>10036.08</v>
      </c>
      <c r="AB39" s="209">
        <f t="shared" si="171"/>
        <v>3.9581019772282885E-4</v>
      </c>
      <c r="AC39" s="245">
        <f t="shared" si="172"/>
        <v>-122.40999999999985</v>
      </c>
      <c r="AD39" s="190">
        <f>SUMIF('MVTO E'!$C$3:$C$240,"Desp_Seguros",'MVTO E'!$K$3:$K$240)</f>
        <v>0</v>
      </c>
      <c r="AE39" s="209" t="e">
        <f t="shared" si="130"/>
        <v>#DIV/0!</v>
      </c>
      <c r="AF39" s="190">
        <f>SUMIF('MVTO A'!$C$3:$C$184,"Desp_Seguros",'MVTO A'!$K$3:$K$184)</f>
        <v>0</v>
      </c>
      <c r="AG39" s="209" t="e">
        <f t="shared" si="173"/>
        <v>#DIV/0!</v>
      </c>
      <c r="AH39" s="190">
        <f t="shared" si="132"/>
        <v>0</v>
      </c>
      <c r="AI39" s="209" t="e">
        <f t="shared" si="174"/>
        <v>#DIV/0!</v>
      </c>
      <c r="AJ39" s="245">
        <f t="shared" si="84"/>
        <v>-10036.08</v>
      </c>
      <c r="AK39" s="190">
        <f>SUMIF('MVTO E'!$C$3:$C$240,"Desp_Seguros",'MVTO E'!$L$3:$L$240)</f>
        <v>0</v>
      </c>
      <c r="AL39" s="209" t="e">
        <f t="shared" si="134"/>
        <v>#DIV/0!</v>
      </c>
      <c r="AM39" s="190">
        <f>SUMIF('MVTO A'!$C$3:$C$184,"Desp_Seguros",'MVTO A'!$L$3:$L$184)</f>
        <v>0</v>
      </c>
      <c r="AN39" s="209" t="e">
        <f t="shared" si="175"/>
        <v>#DIV/0!</v>
      </c>
      <c r="AO39" s="190">
        <f t="shared" si="136"/>
        <v>0</v>
      </c>
      <c r="AP39" s="209" t="e">
        <f t="shared" si="176"/>
        <v>#DIV/0!</v>
      </c>
      <c r="AQ39" s="245">
        <f t="shared" si="177"/>
        <v>0</v>
      </c>
      <c r="AR39" s="190">
        <f>SUMIF('MVTO E'!$C$3:$C$240,"Desp_Seguros",'MVTO E'!$M$3:$M$240)</f>
        <v>0</v>
      </c>
      <c r="AS39" s="209" t="e">
        <f t="shared" si="138"/>
        <v>#DIV/0!</v>
      </c>
      <c r="AT39" s="190">
        <f>SUMIF('MVTO A'!$C$3:$C$184,"Desp_Seguros",'MVTO A'!$M$3:$M$189)</f>
        <v>0</v>
      </c>
      <c r="AU39" s="209" t="e">
        <f t="shared" si="178"/>
        <v>#DIV/0!</v>
      </c>
      <c r="AV39" s="190">
        <f t="shared" si="140"/>
        <v>0</v>
      </c>
      <c r="AW39" s="209" t="e">
        <f t="shared" si="179"/>
        <v>#DIV/0!</v>
      </c>
      <c r="AX39" s="245">
        <f t="shared" si="180"/>
        <v>0</v>
      </c>
      <c r="AY39" s="190">
        <f>SUMIF('MVTO E'!$C$3:$C$240,"Desp_Seguros",'MVTO E'!$N$3:$N$240)</f>
        <v>0</v>
      </c>
      <c r="AZ39" s="209" t="e">
        <f t="shared" si="142"/>
        <v>#DIV/0!</v>
      </c>
      <c r="BA39" s="190">
        <f>SUMIF('MVTO A'!$C$3:$C$184,"Desp_Seguros",'MVTO A'!$N$3:$N$189)</f>
        <v>0</v>
      </c>
      <c r="BB39" s="209" t="e">
        <f t="shared" si="181"/>
        <v>#DIV/0!</v>
      </c>
      <c r="BC39" s="190">
        <f t="shared" si="144"/>
        <v>0</v>
      </c>
      <c r="BD39" s="209" t="e">
        <f t="shared" si="182"/>
        <v>#DIV/0!</v>
      </c>
      <c r="BE39" s="245">
        <f t="shared" si="183"/>
        <v>0</v>
      </c>
      <c r="BF39" s="190">
        <f>SUMIF('MVTO E'!$C$3:$C$240,"Desp_Seguros",'MVTO E'!$O$3:$O$240)</f>
        <v>0</v>
      </c>
      <c r="BG39" s="209" t="e">
        <f t="shared" si="146"/>
        <v>#DIV/0!</v>
      </c>
      <c r="BH39" s="190">
        <f>SUMIF('MVTO A'!$C$3:$C$184,"Desp_Seguros",'MVTO A'!$O$3:$O$189)</f>
        <v>0</v>
      </c>
      <c r="BI39" s="209" t="e">
        <f t="shared" si="184"/>
        <v>#DIV/0!</v>
      </c>
      <c r="BJ39" s="190">
        <f t="shared" si="148"/>
        <v>0</v>
      </c>
      <c r="BK39" s="209" t="e">
        <f t="shared" si="185"/>
        <v>#DIV/0!</v>
      </c>
      <c r="BL39" s="245">
        <f t="shared" si="186"/>
        <v>0</v>
      </c>
      <c r="BM39" s="190">
        <f>SUMIF('MVTO E'!$C$3:$C$240,"Desp_Seguros",'MVTO E'!$P$3:$P$240)</f>
        <v>0</v>
      </c>
      <c r="BN39" s="209" t="e">
        <f t="shared" si="150"/>
        <v>#DIV/0!</v>
      </c>
      <c r="BO39" s="190">
        <f>SUMIF('MVTO A'!$C$3:$C$184,"Desp_Seguros",'MVTO A'!$P$3:$P$189)</f>
        <v>0</v>
      </c>
      <c r="BP39" s="209" t="e">
        <f t="shared" si="187"/>
        <v>#DIV/0!</v>
      </c>
      <c r="BQ39" s="190">
        <f t="shared" si="152"/>
        <v>0</v>
      </c>
      <c r="BR39" s="209" t="e">
        <f t="shared" si="188"/>
        <v>#DIV/0!</v>
      </c>
      <c r="BS39" s="245">
        <f t="shared" si="189"/>
        <v>0</v>
      </c>
      <c r="BT39" s="190">
        <f>SUMIF('MVTO E'!$C$3:$C$240,"Desp_Seguros",'MVTO E'!$Q$3:$Q$240)</f>
        <v>0</v>
      </c>
      <c r="BU39" s="209" t="e">
        <f t="shared" si="154"/>
        <v>#DIV/0!</v>
      </c>
      <c r="BV39" s="190">
        <f>SUMIF('MVTO A'!$C$3:$C$184,"Desp_Seguros",'MVTO A'!$Q$3:$Q$189)</f>
        <v>0</v>
      </c>
      <c r="BW39" s="209" t="e">
        <f t="shared" si="190"/>
        <v>#DIV/0!</v>
      </c>
      <c r="BX39" s="190">
        <f t="shared" si="156"/>
        <v>0</v>
      </c>
      <c r="BY39" s="209" t="e">
        <f t="shared" si="191"/>
        <v>#DIV/0!</v>
      </c>
      <c r="BZ39" s="245">
        <f t="shared" si="192"/>
        <v>0</v>
      </c>
      <c r="CA39" s="190">
        <f>SUMIF('MVTO E'!$C$3:$C$240,"Desp_Seguros",'MVTO E'!$R$3:$R$240)</f>
        <v>0</v>
      </c>
      <c r="CB39" s="209" t="e">
        <f t="shared" si="158"/>
        <v>#DIV/0!</v>
      </c>
      <c r="CC39" s="190">
        <f>SUMIF('MVTO A'!$C$3:$C$184,"Desp_Seguros",'MVTO A'!$R$3:$R$189)</f>
        <v>0</v>
      </c>
      <c r="CD39" s="209" t="e">
        <f t="shared" si="193"/>
        <v>#DIV/0!</v>
      </c>
      <c r="CE39" s="190">
        <f t="shared" si="160"/>
        <v>0</v>
      </c>
      <c r="CF39" s="209" t="e">
        <f t="shared" si="194"/>
        <v>#DIV/0!</v>
      </c>
      <c r="CG39" s="245">
        <f t="shared" si="195"/>
        <v>0</v>
      </c>
      <c r="CH39" s="242">
        <f t="shared" si="196"/>
        <v>73207.249999999985</v>
      </c>
      <c r="CI39" s="246">
        <f t="shared" si="197"/>
        <v>7.3106840868418629E-4</v>
      </c>
      <c r="CJ39" s="242">
        <f t="shared" si="196"/>
        <v>0</v>
      </c>
      <c r="CK39" s="259">
        <f t="shared" si="162"/>
        <v>0</v>
      </c>
      <c r="CL39" s="242">
        <f t="shared" si="196"/>
        <v>73207.249999999985</v>
      </c>
      <c r="CM39" s="247">
        <f t="shared" si="163"/>
        <v>6.4039548988437014E-4</v>
      </c>
    </row>
    <row r="40" spans="2:91" s="238" customFormat="1" ht="10.35" customHeight="1" thickBot="1">
      <c r="B40" s="240" t="s">
        <v>41</v>
      </c>
      <c r="C40" s="190">
        <f>SUMIF('MVTO E'!$C$3:$C$240,"Desp_TAXA",'MVTO E'!$G$3:$G$240)</f>
        <v>376072.93999999994</v>
      </c>
      <c r="D40" s="209">
        <f t="shared" si="198"/>
        <v>1.1430438358798886E-2</v>
      </c>
      <c r="E40" s="190">
        <f>SUMIF('MVTO A'!$C$3:$C$184,"Desp_TAXA",'MVTO A'!$G$3:$G$184)</f>
        <v>38904.17</v>
      </c>
      <c r="F40" s="209">
        <f t="shared" si="164"/>
        <v>9.8448507993620024E-3</v>
      </c>
      <c r="G40" s="190">
        <f t="shared" si="165"/>
        <v>414977.10999999993</v>
      </c>
      <c r="H40" s="209">
        <f t="shared" si="166"/>
        <v>1.1260415420886231E-2</v>
      </c>
      <c r="I40" s="190">
        <f>SUMIF('MVTO E'!$C$3:$C$240,"Desp_TAXA",'MVTO E'!$H$3:$H$240)</f>
        <v>221272.42000000007</v>
      </c>
      <c r="J40" s="209">
        <f t="shared" si="119"/>
        <v>1.0422618050768748E-2</v>
      </c>
      <c r="K40" s="190">
        <f>SUMIF('MVTO A'!$C$3:$C$184,"Desp_TAXA",'MVTO A'!$H$3:$H$184)</f>
        <v>33807.700000000004</v>
      </c>
      <c r="L40" s="209">
        <f t="shared" si="120"/>
        <v>9.8875055220693422E-3</v>
      </c>
      <c r="M40" s="190">
        <f t="shared" si="121"/>
        <v>255080.12000000008</v>
      </c>
      <c r="N40" s="209">
        <f t="shared" si="122"/>
        <v>1.0348389639377785E-2</v>
      </c>
      <c r="O40" s="245">
        <f t="shared" si="32"/>
        <v>-159896.98999999985</v>
      </c>
      <c r="P40" s="190">
        <f>SUMIF('MVTO E'!$C$3:$C$240,"Desp_TAXA",'MVTO E'!$I$3:$I$240)</f>
        <v>270488.09999999992</v>
      </c>
      <c r="Q40" s="209">
        <f t="shared" si="123"/>
        <v>1.1361551968405745E-2</v>
      </c>
      <c r="R40" s="190">
        <f>SUMIF('MVTO A'!$C$3:$C$184,"Desp_TAXA",'MVTO A'!$I$3:$I$184)</f>
        <v>35244.94000000001</v>
      </c>
      <c r="S40" s="209">
        <f t="shared" si="167"/>
        <v>9.6546017805685478E-3</v>
      </c>
      <c r="T40" s="190">
        <f t="shared" si="125"/>
        <v>305733.03999999992</v>
      </c>
      <c r="U40" s="209">
        <f t="shared" si="168"/>
        <v>1.113460944898393E-2</v>
      </c>
      <c r="V40" s="245">
        <f t="shared" si="169"/>
        <v>50652.919999999838</v>
      </c>
      <c r="W40" s="190">
        <f>SUMIF('MVTO E'!$C$3:$C$240,"Desp_TAXA",'MVTO E'!$J$3:$J$240)</f>
        <v>220776.19999999995</v>
      </c>
      <c r="X40" s="209">
        <f t="shared" si="126"/>
        <v>9.9453238908201805E-3</v>
      </c>
      <c r="Y40" s="190">
        <f>SUMIF('MVTO A'!$C$3:$C$184,"Desp_TAXA",'MVTO A'!$J$3:$J$184)</f>
        <v>32385.260000000002</v>
      </c>
      <c r="Z40" s="209">
        <f t="shared" si="170"/>
        <v>1.0258908604261143E-2</v>
      </c>
      <c r="AA40" s="190">
        <f t="shared" si="128"/>
        <v>253161.45999999996</v>
      </c>
      <c r="AB40" s="209">
        <f t="shared" si="171"/>
        <v>9.9843651643271095E-3</v>
      </c>
      <c r="AC40" s="245">
        <f t="shared" si="172"/>
        <v>-52571.579999999958</v>
      </c>
      <c r="AD40" s="190">
        <f>SUMIF('MVTO E'!$C$3:$C$240,"Desp_TAXA",'MVTO E'!$K$3:$K$240)</f>
        <v>0</v>
      </c>
      <c r="AE40" s="209" t="e">
        <f t="shared" si="130"/>
        <v>#DIV/0!</v>
      </c>
      <c r="AF40" s="190">
        <f>SUMIF('MVTO A'!$C$3:$C$184,"Desp_TAXA",'MVTO A'!$K$3:$K$184)</f>
        <v>0</v>
      </c>
      <c r="AG40" s="209" t="e">
        <f t="shared" si="173"/>
        <v>#DIV/0!</v>
      </c>
      <c r="AH40" s="190">
        <f t="shared" si="132"/>
        <v>0</v>
      </c>
      <c r="AI40" s="209" t="e">
        <f t="shared" si="174"/>
        <v>#DIV/0!</v>
      </c>
      <c r="AJ40" s="245">
        <f t="shared" si="84"/>
        <v>-253161.45999999996</v>
      </c>
      <c r="AK40" s="190">
        <f>SUMIF('MVTO E'!$C$3:$C$240,"Desp_TAXA",'MVTO E'!$L$3:$L$240)</f>
        <v>0</v>
      </c>
      <c r="AL40" s="209" t="e">
        <f t="shared" si="134"/>
        <v>#DIV/0!</v>
      </c>
      <c r="AM40" s="190">
        <f>SUMIF('MVTO A'!$C$3:$C$184,"Desp_TAXA",'MVTO A'!$L$3:$L$184)</f>
        <v>0</v>
      </c>
      <c r="AN40" s="209" t="e">
        <f t="shared" si="175"/>
        <v>#DIV/0!</v>
      </c>
      <c r="AO40" s="190">
        <f t="shared" si="136"/>
        <v>0</v>
      </c>
      <c r="AP40" s="209" t="e">
        <f t="shared" si="176"/>
        <v>#DIV/0!</v>
      </c>
      <c r="AQ40" s="245">
        <f t="shared" si="177"/>
        <v>0</v>
      </c>
      <c r="AR40" s="190">
        <f>SUMIF('MVTO E'!$C$3:$C$240,"Desp_TAXA",'MVTO E'!$M$3:$M$240)</f>
        <v>0</v>
      </c>
      <c r="AS40" s="209" t="e">
        <f t="shared" si="138"/>
        <v>#DIV/0!</v>
      </c>
      <c r="AT40" s="379">
        <f>SUMIF('MVTO A'!$C$3:$C$184,"Desp_TAXA",'MVTO A'!$M$3:$M$189)</f>
        <v>0</v>
      </c>
      <c r="AU40" s="209" t="e">
        <f t="shared" si="178"/>
        <v>#DIV/0!</v>
      </c>
      <c r="AV40" s="190">
        <f t="shared" si="140"/>
        <v>0</v>
      </c>
      <c r="AW40" s="209" t="e">
        <f t="shared" si="179"/>
        <v>#DIV/0!</v>
      </c>
      <c r="AX40" s="245">
        <f t="shared" si="180"/>
        <v>0</v>
      </c>
      <c r="AY40" s="190">
        <f>SUMIF('MVTO E'!$C$3:$C$240,"Desp_TAXA",'MVTO E'!$N$3:$N$240)</f>
        <v>0</v>
      </c>
      <c r="AZ40" s="209" t="e">
        <f t="shared" si="142"/>
        <v>#DIV/0!</v>
      </c>
      <c r="BA40" s="190">
        <f>SUMIF('MVTO A'!$C$3:$C$184,"Desp_TAXA",'MVTO A'!$N$3:$N$189)</f>
        <v>0</v>
      </c>
      <c r="BB40" s="209" t="e">
        <f t="shared" si="181"/>
        <v>#DIV/0!</v>
      </c>
      <c r="BC40" s="190">
        <f t="shared" si="144"/>
        <v>0</v>
      </c>
      <c r="BD40" s="209" t="e">
        <f t="shared" si="182"/>
        <v>#DIV/0!</v>
      </c>
      <c r="BE40" s="245">
        <f t="shared" si="183"/>
        <v>0</v>
      </c>
      <c r="BF40" s="190">
        <f>SUMIF('MVTO E'!$C$3:$C$240,"Desp_TAXA",'MVTO E'!$O$3:$O$240)</f>
        <v>0</v>
      </c>
      <c r="BG40" s="209" t="e">
        <f t="shared" si="146"/>
        <v>#DIV/0!</v>
      </c>
      <c r="BH40" s="190">
        <f>SUMIF('MVTO A'!$C$3:$C$184,"Desp_TAXA",'MVTO A'!$O$3:$O$189)</f>
        <v>0</v>
      </c>
      <c r="BI40" s="209" t="e">
        <f t="shared" si="184"/>
        <v>#DIV/0!</v>
      </c>
      <c r="BJ40" s="190">
        <f t="shared" si="148"/>
        <v>0</v>
      </c>
      <c r="BK40" s="209" t="e">
        <f t="shared" si="185"/>
        <v>#DIV/0!</v>
      </c>
      <c r="BL40" s="245">
        <f t="shared" si="186"/>
        <v>0</v>
      </c>
      <c r="BM40" s="190">
        <f>SUMIF('MVTO E'!$C$3:$C$240,"Desp_TAXA",'MVTO E'!$P$3:$P$240)</f>
        <v>0</v>
      </c>
      <c r="BN40" s="209" t="e">
        <f t="shared" si="150"/>
        <v>#DIV/0!</v>
      </c>
      <c r="BO40" s="190">
        <f>SUMIF('MVTO A'!$C$3:$C$184,"Desp_TAXA",'MVTO A'!$P$3:$P$189)</f>
        <v>0</v>
      </c>
      <c r="BP40" s="209" t="e">
        <f t="shared" si="187"/>
        <v>#DIV/0!</v>
      </c>
      <c r="BQ40" s="190">
        <f t="shared" si="152"/>
        <v>0</v>
      </c>
      <c r="BR40" s="209" t="e">
        <f t="shared" si="188"/>
        <v>#DIV/0!</v>
      </c>
      <c r="BS40" s="245">
        <f t="shared" si="189"/>
        <v>0</v>
      </c>
      <c r="BT40" s="190">
        <f>SUMIF('MVTO E'!$C$3:$C$240,"Desp_TAXA",'MVTO E'!$Q$3:$Q$240)</f>
        <v>0</v>
      </c>
      <c r="BU40" s="209" t="e">
        <f t="shared" si="154"/>
        <v>#DIV/0!</v>
      </c>
      <c r="BV40" s="190">
        <f>SUMIF('MVTO A'!$C$3:$C$184,"Desp_TAXA",'MVTO A'!$Q$3:$Q$189)</f>
        <v>0</v>
      </c>
      <c r="BW40" s="209" t="e">
        <f t="shared" si="190"/>
        <v>#DIV/0!</v>
      </c>
      <c r="BX40" s="190">
        <f t="shared" si="156"/>
        <v>0</v>
      </c>
      <c r="BY40" s="209" t="e">
        <f t="shared" si="191"/>
        <v>#DIV/0!</v>
      </c>
      <c r="BZ40" s="245">
        <f t="shared" si="192"/>
        <v>0</v>
      </c>
      <c r="CA40" s="190">
        <f>SUMIF('MVTO E'!$C$3:$C$240,"Desp_TAXA",'MVTO E'!$R$3:$R$240)</f>
        <v>0</v>
      </c>
      <c r="CB40" s="209" t="e">
        <f t="shared" si="158"/>
        <v>#DIV/0!</v>
      </c>
      <c r="CC40" s="190">
        <f>SUMIF('MVTO A'!$C$3:$C$184,"Desp_TAXA",'MVTO A'!$R$3:$R$189)</f>
        <v>0</v>
      </c>
      <c r="CD40" s="209" t="e">
        <f t="shared" si="193"/>
        <v>#DIV/0!</v>
      </c>
      <c r="CE40" s="190">
        <f t="shared" si="160"/>
        <v>0</v>
      </c>
      <c r="CF40" s="209" t="e">
        <f t="shared" si="194"/>
        <v>#DIV/0!</v>
      </c>
      <c r="CG40" s="245">
        <f t="shared" si="195"/>
        <v>0</v>
      </c>
      <c r="CH40" s="242">
        <f t="shared" si="196"/>
        <v>1088609.6599999999</v>
      </c>
      <c r="CI40" s="246">
        <f t="shared" si="197"/>
        <v>1.0871165517273674E-2</v>
      </c>
      <c r="CJ40" s="242">
        <f t="shared" si="196"/>
        <v>140342.07</v>
      </c>
      <c r="CK40" s="259">
        <f t="shared" si="162"/>
        <v>9.8983423565883345E-3</v>
      </c>
      <c r="CL40" s="242">
        <f t="shared" si="196"/>
        <v>1228951.73</v>
      </c>
      <c r="CM40" s="247">
        <f t="shared" si="163"/>
        <v>1.0750508251267384E-2</v>
      </c>
    </row>
    <row r="41" spans="2:91" s="238" customFormat="1" ht="10.35" customHeight="1" thickBot="1">
      <c r="B41" s="240" t="s">
        <v>260</v>
      </c>
      <c r="C41" s="190">
        <f>SUMIF('MVTO E'!$C$3:$C$240,"Rec_Desp",'MVTO E'!$G$3:$G$240)*-1</f>
        <v>-21680.799999999999</v>
      </c>
      <c r="D41" s="209">
        <f t="shared" si="198"/>
        <v>-6.5897069852844737E-4</v>
      </c>
      <c r="E41" s="190">
        <f>SUMIF('MVTO A'!$C$3:$C$184,"Rec_Desp",'MVTO A'!$G$3:$G$184)*-1</f>
        <v>-75</v>
      </c>
      <c r="F41" s="209">
        <f t="shared" si="164"/>
        <v>-1.8979040291880027E-5</v>
      </c>
      <c r="G41" s="190">
        <f t="shared" si="165"/>
        <v>-21755.8</v>
      </c>
      <c r="H41" s="209">
        <f t="shared" si="166"/>
        <v>-5.9034423805620683E-4</v>
      </c>
      <c r="I41" s="190">
        <f>SUMIF('MVTO E'!$C$3:$C$240,"Rec_Desp",'MVTO E'!$H$3:$H$240)*-1</f>
        <v>-326.07000000000005</v>
      </c>
      <c r="J41" s="209">
        <f t="shared" si="119"/>
        <v>-1.5358909473734527E-5</v>
      </c>
      <c r="K41" s="190">
        <f>SUMIF('MVTO A'!$C$3:$C$184,"Rec_Desp",'MVTO A'!$H$3:$H$184)*-1</f>
        <v>0</v>
      </c>
      <c r="L41" s="209">
        <f t="shared" si="120"/>
        <v>0</v>
      </c>
      <c r="M41" s="190">
        <f t="shared" si="121"/>
        <v>-326.07000000000005</v>
      </c>
      <c r="N41" s="209">
        <f t="shared" si="122"/>
        <v>-1.3228390396366104E-5</v>
      </c>
      <c r="O41" s="245">
        <f t="shared" si="32"/>
        <v>21429.73</v>
      </c>
      <c r="P41" s="190">
        <f>SUMIF('MVTO E'!$C$3:$C$240,"Rec_Desp",'MVTO E'!$I$3:$I$240)*-1</f>
        <v>-3662.74</v>
      </c>
      <c r="Q41" s="209">
        <f t="shared" si="123"/>
        <v>-1.5384932223176721E-4</v>
      </c>
      <c r="R41" s="190">
        <f>SUMIF('MVTO A'!$C$3:$C$184,"Rec_Desp",'MVTO A'!$I$3:$I$184)*-1</f>
        <v>0</v>
      </c>
      <c r="S41" s="209">
        <f t="shared" si="167"/>
        <v>0</v>
      </c>
      <c r="T41" s="190">
        <f t="shared" si="125"/>
        <v>-3662.74</v>
      </c>
      <c r="U41" s="209">
        <f t="shared" si="168"/>
        <v>-1.3339474010781239E-4</v>
      </c>
      <c r="V41" s="245">
        <f t="shared" si="169"/>
        <v>-3336.6699999999996</v>
      </c>
      <c r="W41" s="190">
        <f>SUMIF('MVTO E'!$C$3:$C$240,"Rec_Desp",'MVTO E'!$J$3:$J$240)*-1</f>
        <v>-1147.8399999999999</v>
      </c>
      <c r="X41" s="209">
        <f t="shared" si="126"/>
        <v>-5.1706844192621477E-5</v>
      </c>
      <c r="Y41" s="190">
        <f>SUMIF('MVTO A'!$C$3:$C$184,"Rec_Desp",'MVTO A'!$J$3:$J$184)*-1</f>
        <v>-468.02000000000004</v>
      </c>
      <c r="Z41" s="209">
        <f t="shared" si="170"/>
        <v>-1.4825801630020263E-4</v>
      </c>
      <c r="AA41" s="190">
        <f t="shared" si="128"/>
        <v>-1615.86</v>
      </c>
      <c r="AB41" s="209">
        <f t="shared" si="171"/>
        <v>-6.3727457940989933E-5</v>
      </c>
      <c r="AC41" s="245">
        <f t="shared" si="172"/>
        <v>2046.8799999999999</v>
      </c>
      <c r="AD41" s="190">
        <f>SUMIF('MVTO E'!$C$3:$C$240,"Rec_Desp",'MVTO E'!$K$3:$K$240)*-1</f>
        <v>0</v>
      </c>
      <c r="AE41" s="209" t="e">
        <f t="shared" si="130"/>
        <v>#DIV/0!</v>
      </c>
      <c r="AF41" s="190">
        <f>SUMIF('MVTO A'!$C$3:$C$184,"Rec_Desp",'MVTO A'!$K$3:$K$184)*-1</f>
        <v>0</v>
      </c>
      <c r="AG41" s="209" t="e">
        <f t="shared" si="173"/>
        <v>#DIV/0!</v>
      </c>
      <c r="AH41" s="190">
        <f t="shared" si="132"/>
        <v>0</v>
      </c>
      <c r="AI41" s="209" t="e">
        <f t="shared" si="174"/>
        <v>#DIV/0!</v>
      </c>
      <c r="AJ41" s="245">
        <f t="shared" si="84"/>
        <v>1615.86</v>
      </c>
      <c r="AK41" s="190">
        <f>SUMIF('MVTO E'!$C$3:$C$240,"Rec_Desp",'MVTO E'!$L$3:$L$240)*-1</f>
        <v>0</v>
      </c>
      <c r="AL41" s="209" t="e">
        <f t="shared" si="134"/>
        <v>#DIV/0!</v>
      </c>
      <c r="AM41" s="190">
        <f>SUMIF('MVTO A'!$C$3:$C$184,"Rec_Desp",'MVTO A'!$L$3:$L$184)*-1</f>
        <v>0</v>
      </c>
      <c r="AN41" s="209" t="e">
        <f t="shared" si="175"/>
        <v>#DIV/0!</v>
      </c>
      <c r="AO41" s="190">
        <f t="shared" si="136"/>
        <v>0</v>
      </c>
      <c r="AP41" s="209" t="e">
        <f t="shared" si="176"/>
        <v>#DIV/0!</v>
      </c>
      <c r="AQ41" s="245">
        <f t="shared" si="177"/>
        <v>0</v>
      </c>
      <c r="AR41" s="190">
        <f>SUMIF('MVTO E'!$C$3:$C$240,"Rec_Desp",'MVTO E'!$M$3:$M$240)*-1</f>
        <v>0</v>
      </c>
      <c r="AS41" s="209" t="e">
        <f t="shared" si="138"/>
        <v>#DIV/0!</v>
      </c>
      <c r="AT41" s="190">
        <f>SUMIF('MVTO A'!$C$3:$C$184,"Rec_Desp",'MVTO A'!$M$3:$M$189)*-1</f>
        <v>0</v>
      </c>
      <c r="AU41" s="209" t="e">
        <f t="shared" si="178"/>
        <v>#DIV/0!</v>
      </c>
      <c r="AV41" s="190">
        <f t="shared" si="140"/>
        <v>0</v>
      </c>
      <c r="AW41" s="209" t="e">
        <f t="shared" si="179"/>
        <v>#DIV/0!</v>
      </c>
      <c r="AX41" s="245">
        <f t="shared" si="180"/>
        <v>0</v>
      </c>
      <c r="AY41" s="190">
        <f>SUMIF('MVTO E'!$C$3:$C$240,"Rec_Desp",'MVTO E'!$N$3:$N$240)*-1</f>
        <v>0</v>
      </c>
      <c r="AZ41" s="209" t="e">
        <f t="shared" si="142"/>
        <v>#DIV/0!</v>
      </c>
      <c r="BA41" s="190">
        <f>SUMIF('MVTO A'!$C$3:$C$184,"Rec_Desp",'MVTO A'!$N$3:$N$189)*-1</f>
        <v>0</v>
      </c>
      <c r="BB41" s="209" t="e">
        <f t="shared" si="181"/>
        <v>#DIV/0!</v>
      </c>
      <c r="BC41" s="190">
        <f t="shared" si="144"/>
        <v>0</v>
      </c>
      <c r="BD41" s="209" t="e">
        <f t="shared" si="182"/>
        <v>#DIV/0!</v>
      </c>
      <c r="BE41" s="245">
        <f t="shared" si="183"/>
        <v>0</v>
      </c>
      <c r="BF41" s="190">
        <f>SUMIF('MVTO E'!$C$3:$C$240,"Rec_Desp",'MVTO E'!$O$3:$O$240)*-1</f>
        <v>0</v>
      </c>
      <c r="BG41" s="209" t="e">
        <f t="shared" si="146"/>
        <v>#DIV/0!</v>
      </c>
      <c r="BH41" s="190">
        <f>SUMIF('MVTO A'!$C$3:$C$184,"Rec_Desp",'MVTO A'!$O$3:$O$189)*-1</f>
        <v>0</v>
      </c>
      <c r="BI41" s="209" t="e">
        <f t="shared" si="184"/>
        <v>#DIV/0!</v>
      </c>
      <c r="BJ41" s="190">
        <f t="shared" si="148"/>
        <v>0</v>
      </c>
      <c r="BK41" s="209" t="e">
        <f t="shared" si="185"/>
        <v>#DIV/0!</v>
      </c>
      <c r="BL41" s="245">
        <f t="shared" si="186"/>
        <v>0</v>
      </c>
      <c r="BM41" s="190">
        <f>SUMIF('MVTO E'!$C$3:$C$240,"Rec_Desp",'MVTO E'!$P$3:$P$240)*-1</f>
        <v>0</v>
      </c>
      <c r="BN41" s="209" t="e">
        <f t="shared" si="150"/>
        <v>#DIV/0!</v>
      </c>
      <c r="BO41" s="190">
        <f>SUMIF('MVTO A'!$C$3:$C$184,"Rec_Desp",'MVTO A'!$P$3:$P$189)*-1</f>
        <v>0</v>
      </c>
      <c r="BP41" s="209" t="e">
        <f t="shared" si="187"/>
        <v>#DIV/0!</v>
      </c>
      <c r="BQ41" s="190">
        <f t="shared" si="152"/>
        <v>0</v>
      </c>
      <c r="BR41" s="209" t="e">
        <f t="shared" si="188"/>
        <v>#DIV/0!</v>
      </c>
      <c r="BS41" s="245">
        <f t="shared" si="189"/>
        <v>0</v>
      </c>
      <c r="BT41" s="190">
        <f>SUMIF('MVTO E'!$C$3:$C$240,"Rec_Desp",'MVTO E'!$Q$3:$Q$240)*-1</f>
        <v>0</v>
      </c>
      <c r="BU41" s="209" t="e">
        <f t="shared" si="154"/>
        <v>#DIV/0!</v>
      </c>
      <c r="BV41" s="190">
        <f>SUMIF('MVTO A'!$C$3:$C$184,"Rec_Desp",'MVTO A'!$Q$3:$Q$189)*-1</f>
        <v>0</v>
      </c>
      <c r="BW41" s="209" t="e">
        <f t="shared" si="190"/>
        <v>#DIV/0!</v>
      </c>
      <c r="BX41" s="190">
        <f t="shared" si="156"/>
        <v>0</v>
      </c>
      <c r="BY41" s="209" t="e">
        <f t="shared" si="191"/>
        <v>#DIV/0!</v>
      </c>
      <c r="BZ41" s="245">
        <f t="shared" si="192"/>
        <v>0</v>
      </c>
      <c r="CA41" s="190">
        <f>SUMIF('MVTO E'!$C$3:$C$240,"Rec_Desp",'MVTO E'!$R$3:$R$240)*-1</f>
        <v>0</v>
      </c>
      <c r="CB41" s="209" t="e">
        <f t="shared" si="158"/>
        <v>#DIV/0!</v>
      </c>
      <c r="CC41" s="190">
        <f>SUMIF('MVTO A'!$C$3:$C$184,"Rec_Desp",'MVTO A'!$R$3:$R$189)*-1</f>
        <v>0</v>
      </c>
      <c r="CD41" s="209" t="e">
        <f t="shared" si="193"/>
        <v>#DIV/0!</v>
      </c>
      <c r="CE41" s="190">
        <f t="shared" si="160"/>
        <v>0</v>
      </c>
      <c r="CF41" s="209" t="e">
        <f t="shared" si="194"/>
        <v>#DIV/0!</v>
      </c>
      <c r="CG41" s="245">
        <f t="shared" si="195"/>
        <v>0</v>
      </c>
      <c r="CH41" s="242">
        <f t="shared" si="196"/>
        <v>-26817.45</v>
      </c>
      <c r="CI41" s="246">
        <f t="shared" si="197"/>
        <v>-2.6780667893504722E-4</v>
      </c>
      <c r="CJ41" s="242">
        <f t="shared" si="196"/>
        <v>-543.02</v>
      </c>
      <c r="CK41" s="259">
        <f t="shared" si="162"/>
        <v>-3.8299263125266693E-5</v>
      </c>
      <c r="CL41" s="242">
        <f t="shared" si="196"/>
        <v>-27360.47</v>
      </c>
      <c r="CM41" s="247">
        <f t="shared" si="163"/>
        <v>-2.393413437756044E-4</v>
      </c>
    </row>
    <row r="42" spans="2:91" s="238" customFormat="1" ht="10.35" customHeight="1" thickBot="1">
      <c r="B42" s="260" t="s">
        <v>19</v>
      </c>
      <c r="C42" s="194">
        <f>IFERROR(C19-C20,"")</f>
        <v>1039053.6000000024</v>
      </c>
      <c r="D42" s="212">
        <f>D19-D20</f>
        <v>3.1581209023675311E-2</v>
      </c>
      <c r="E42" s="194">
        <f>IFERROR(E19-E20,"")</f>
        <v>2283069.3799999994</v>
      </c>
      <c r="F42" s="212">
        <f>F19-F20</f>
        <v>-0.19675735610339501</v>
      </c>
      <c r="G42" s="194">
        <f>C42+E42</f>
        <v>3322122.9800000018</v>
      </c>
      <c r="H42" s="212">
        <f>H19-H20</f>
        <v>0.12310861842587859</v>
      </c>
      <c r="I42" s="194">
        <f>IFERROR(I19-I20,"")</f>
        <v>2814936.540000001</v>
      </c>
      <c r="J42" s="212">
        <f>J19-J20</f>
        <v>0.13259225163973223</v>
      </c>
      <c r="K42" s="194">
        <f>IFERROR(K19-K20,"")</f>
        <v>1820238.0199999993</v>
      </c>
      <c r="L42" s="212">
        <f>L19-L20</f>
        <v>0.53235249585835642</v>
      </c>
      <c r="M42" s="194">
        <f t="shared" si="121"/>
        <v>4635174.5600000005</v>
      </c>
      <c r="N42" s="212">
        <f>N19-N20</f>
        <v>0.1880452008310623</v>
      </c>
      <c r="O42" s="245">
        <f t="shared" si="32"/>
        <v>1313051.5799999987</v>
      </c>
      <c r="P42" s="194">
        <f>IFERROR(P19-P20,"")</f>
        <v>1850730.160000002</v>
      </c>
      <c r="Q42" s="212">
        <f>Q19-Q20</f>
        <v>7.7737863116107198E-2</v>
      </c>
      <c r="R42" s="194">
        <f>IFERROR(R19-R20,"")</f>
        <v>2242779.6499999994</v>
      </c>
      <c r="S42" s="212">
        <f>S19-S20</f>
        <v>-0.21019266095936112</v>
      </c>
      <c r="T42" s="194">
        <f t="shared" si="125"/>
        <v>4093509.8100000015</v>
      </c>
      <c r="U42" s="212">
        <f>U19-U20</f>
        <v>8.8929160796981016E-2</v>
      </c>
      <c r="V42" s="245">
        <f t="shared" si="169"/>
        <v>-541664.74999999907</v>
      </c>
      <c r="W42" s="194">
        <f>IFERROR(W19-W20,"")</f>
        <v>988657.5699999975</v>
      </c>
      <c r="X42" s="209">
        <f>X19-X20</f>
        <v>4.4536139994986762E-2</v>
      </c>
      <c r="Y42" s="194">
        <f>IFERROR(Y19-Y20,"")</f>
        <v>1830523.5099999995</v>
      </c>
      <c r="Z42" s="209">
        <f>Z19-Z20</f>
        <v>-0.22536491080879878</v>
      </c>
      <c r="AA42" s="194">
        <f t="shared" si="128"/>
        <v>2819181.0799999973</v>
      </c>
      <c r="AB42" s="209">
        <f>AB19-AB20</f>
        <v>3.3694408432047129E-2</v>
      </c>
      <c r="AC42" s="245">
        <f t="shared" si="172"/>
        <v>-1274328.7300000042</v>
      </c>
      <c r="AD42" s="194">
        <f>IFERROR(AD19-AD20,"")</f>
        <v>0</v>
      </c>
      <c r="AE42" s="209" t="e">
        <f>AE19-AE20</f>
        <v>#DIV/0!</v>
      </c>
      <c r="AF42" s="194">
        <f>IFERROR(AF19-AF20,"")</f>
        <v>0</v>
      </c>
      <c r="AG42" s="209" t="e">
        <f>AG19-AG20</f>
        <v>#DIV/0!</v>
      </c>
      <c r="AH42" s="194">
        <f t="shared" si="132"/>
        <v>0</v>
      </c>
      <c r="AI42" s="209" t="e">
        <f>AI19-AI20</f>
        <v>#DIV/0!</v>
      </c>
      <c r="AJ42" s="245">
        <f t="shared" si="84"/>
        <v>-2819181.0799999973</v>
      </c>
      <c r="AK42" s="194">
        <f>IFERROR(AK19-AK20,"")</f>
        <v>0</v>
      </c>
      <c r="AL42" s="209" t="e">
        <f>AL19-AL20</f>
        <v>#DIV/0!</v>
      </c>
      <c r="AM42" s="194">
        <f>IFERROR(AM19-AM20,"")</f>
        <v>0</v>
      </c>
      <c r="AN42" s="209" t="e">
        <f>AN19-AN20</f>
        <v>#DIV/0!</v>
      </c>
      <c r="AO42" s="194">
        <f t="shared" si="136"/>
        <v>0</v>
      </c>
      <c r="AP42" s="209" t="e">
        <f>AP19-AP20</f>
        <v>#DIV/0!</v>
      </c>
      <c r="AQ42" s="245">
        <f t="shared" si="177"/>
        <v>0</v>
      </c>
      <c r="AR42" s="194">
        <f>IFERROR(AR19-AR20,"")</f>
        <v>0</v>
      </c>
      <c r="AS42" s="209" t="e">
        <f>AS19-AS20</f>
        <v>#DIV/0!</v>
      </c>
      <c r="AT42" s="194">
        <f>IFERROR(AT19-AT20,"")</f>
        <v>0</v>
      </c>
      <c r="AU42" s="209" t="e">
        <f>AU19-AU20</f>
        <v>#DIV/0!</v>
      </c>
      <c r="AV42" s="194">
        <f t="shared" si="140"/>
        <v>0</v>
      </c>
      <c r="AW42" s="209" t="e">
        <f>AW19-AW20</f>
        <v>#DIV/0!</v>
      </c>
      <c r="AX42" s="245">
        <f t="shared" si="180"/>
        <v>0</v>
      </c>
      <c r="AY42" s="194">
        <f>IFERROR(AY19-AY20,"")</f>
        <v>0</v>
      </c>
      <c r="AZ42" s="209" t="e">
        <f>AZ19-AZ20</f>
        <v>#DIV/0!</v>
      </c>
      <c r="BA42" s="194">
        <f>IFERROR(BA19-BA20,"")</f>
        <v>0</v>
      </c>
      <c r="BB42" s="209" t="e">
        <f>BB19-BB20</f>
        <v>#DIV/0!</v>
      </c>
      <c r="BC42" s="194">
        <f t="shared" si="144"/>
        <v>0</v>
      </c>
      <c r="BD42" s="209" t="e">
        <f>BD19-BD20</f>
        <v>#DIV/0!</v>
      </c>
      <c r="BE42" s="245">
        <f t="shared" si="183"/>
        <v>0</v>
      </c>
      <c r="BF42" s="194">
        <f>IFERROR(BF19-BF20,"")</f>
        <v>0</v>
      </c>
      <c r="BG42" s="209" t="e">
        <f>BG19-BG20</f>
        <v>#DIV/0!</v>
      </c>
      <c r="BH42" s="194">
        <f>IFERROR(BH19-BH20,"")</f>
        <v>0</v>
      </c>
      <c r="BI42" s="209" t="e">
        <f>BI19-BI20</f>
        <v>#DIV/0!</v>
      </c>
      <c r="BJ42" s="194">
        <f t="shared" si="148"/>
        <v>0</v>
      </c>
      <c r="BK42" s="209" t="e">
        <f>BK19-BK20</f>
        <v>#DIV/0!</v>
      </c>
      <c r="BL42" s="245">
        <f t="shared" si="186"/>
        <v>0</v>
      </c>
      <c r="BM42" s="194">
        <f>IFERROR(BM19-BM20,"")</f>
        <v>0</v>
      </c>
      <c r="BN42" s="209" t="e">
        <f>BN19-BN20</f>
        <v>#DIV/0!</v>
      </c>
      <c r="BO42" s="194">
        <f>IFERROR(BO19-BO20,"")</f>
        <v>0</v>
      </c>
      <c r="BP42" s="209" t="e">
        <f>BP19-BP20</f>
        <v>#DIV/0!</v>
      </c>
      <c r="BQ42" s="194">
        <f t="shared" si="152"/>
        <v>0</v>
      </c>
      <c r="BR42" s="209" t="e">
        <f>BR19-BR20</f>
        <v>#DIV/0!</v>
      </c>
      <c r="BS42" s="245">
        <f t="shared" si="189"/>
        <v>0</v>
      </c>
      <c r="BT42" s="194">
        <f>IFERROR(BT19-BT20,"")</f>
        <v>0</v>
      </c>
      <c r="BU42" s="209" t="e">
        <f>BU19-BU20</f>
        <v>#DIV/0!</v>
      </c>
      <c r="BV42" s="194">
        <f>IFERROR(BV19-BV20,"")</f>
        <v>0</v>
      </c>
      <c r="BW42" s="209" t="e">
        <f>BW19-BW20</f>
        <v>#DIV/0!</v>
      </c>
      <c r="BX42" s="194">
        <f t="shared" si="156"/>
        <v>0</v>
      </c>
      <c r="BY42" s="209" t="e">
        <f>BY19-BY20</f>
        <v>#DIV/0!</v>
      </c>
      <c r="BZ42" s="245">
        <f t="shared" si="192"/>
        <v>0</v>
      </c>
      <c r="CA42" s="194">
        <f>IFERROR(CA19-CA20,"")</f>
        <v>0</v>
      </c>
      <c r="CB42" s="209" t="e">
        <f>CB19-CB20</f>
        <v>#DIV/0!</v>
      </c>
      <c r="CC42" s="194">
        <f>IFERROR(CC19-CC20,"")</f>
        <v>0</v>
      </c>
      <c r="CD42" s="209" t="e">
        <f>CD19-CD20</f>
        <v>#DIV/0!</v>
      </c>
      <c r="CE42" s="194">
        <f t="shared" si="160"/>
        <v>0</v>
      </c>
      <c r="CF42" s="209" t="e">
        <f>CF19-CF20</f>
        <v>#DIV/0!</v>
      </c>
      <c r="CG42" s="245">
        <f t="shared" si="195"/>
        <v>0</v>
      </c>
      <c r="CH42" s="262">
        <f>IFERROR(CH19-CH20,"")</f>
        <v>6693377.8700000197</v>
      </c>
      <c r="CI42" s="261">
        <f>CH42/$CH$10</f>
        <v>6.6841974096047363E-2</v>
      </c>
      <c r="CJ42" s="262">
        <f>IFERROR(CJ19-CJ20,"")</f>
        <v>8176610.5599999959</v>
      </c>
      <c r="CK42" s="263">
        <f t="shared" si="162"/>
        <v>0.57669728428101008</v>
      </c>
      <c r="CL42" s="262">
        <f>IFERROR(CL19-CL20,"")</f>
        <v>14869988.430000022</v>
      </c>
      <c r="CM42" s="264">
        <f t="shared" si="163"/>
        <v>0.13007828494042301</v>
      </c>
    </row>
    <row r="43" spans="2:91" s="238" customFormat="1" ht="10.35" customHeight="1" thickBot="1">
      <c r="B43" s="257" t="s">
        <v>20</v>
      </c>
      <c r="C43" s="195">
        <f>IFERROR(C45-C44,"")</f>
        <v>-103329.57</v>
      </c>
      <c r="D43" s="209">
        <f t="shared" si="198"/>
        <v>-3.1406202225722347E-3</v>
      </c>
      <c r="E43" s="195">
        <f>IFERROR(E45-E44,"")</f>
        <v>-335.62000000000012</v>
      </c>
      <c r="F43" s="209">
        <f t="shared" ref="F43:F64" si="199">E43/$E$10</f>
        <v>-8.4929940036810369E-5</v>
      </c>
      <c r="G43" s="195">
        <f>C43+E43</f>
        <v>-103665.19</v>
      </c>
      <c r="H43" s="209">
        <f t="shared" ref="H43:H63" si="200">G43/$G$10</f>
        <v>-2.8129578137095356E-3</v>
      </c>
      <c r="I43" s="195">
        <f>IFERROR(I45-I44,"")</f>
        <v>-13822.530000000002</v>
      </c>
      <c r="J43" s="209">
        <f t="shared" ref="J43:J72" si="201">I43/$I$10</f>
        <v>-6.5108408307412431E-4</v>
      </c>
      <c r="K43" s="195">
        <f>IFERROR(K45-K44,"")</f>
        <v>-398.84999999999991</v>
      </c>
      <c r="L43" s="209">
        <f t="shared" ref="L43:L64" si="202">K43/$K$10</f>
        <v>-1.1664891659229573E-4</v>
      </c>
      <c r="M43" s="195">
        <f t="shared" si="121"/>
        <v>-14221.380000000003</v>
      </c>
      <c r="N43" s="209">
        <f t="shared" ref="N43:N64" si="203">M43/$M$10</f>
        <v>-5.7694963233377193E-4</v>
      </c>
      <c r="O43" s="245">
        <f t="shared" si="32"/>
        <v>89443.81</v>
      </c>
      <c r="P43" s="195">
        <f>IFERROR(P45-P44,"")</f>
        <v>-332694.98</v>
      </c>
      <c r="Q43" s="209">
        <f t="shared" ref="Q43:Q72" si="204">P43/$P$10</f>
        <v>-1.3974482814207764E-2</v>
      </c>
      <c r="R43" s="195">
        <f>IFERROR(R45-R44,"")</f>
        <v>-381.98</v>
      </c>
      <c r="S43" s="209">
        <f t="shared" ref="S43:S64" si="205">R43/$R$10</f>
        <v>-1.046352976666033E-4</v>
      </c>
      <c r="T43" s="195">
        <f t="shared" si="125"/>
        <v>-333076.95999999996</v>
      </c>
      <c r="U43" s="209">
        <f t="shared" ref="U43:U64" si="206">T43/$T$10</f>
        <v>-1.2130458213004531E-2</v>
      </c>
      <c r="V43" s="245">
        <f t="shared" si="169"/>
        <v>-318855.57999999996</v>
      </c>
      <c r="W43" s="195">
        <f>IFERROR(W45-W44,"")</f>
        <v>-1801685.73</v>
      </c>
      <c r="X43" s="209">
        <f t="shared" ref="X43:X72" si="207">W43/$W$10</f>
        <v>-8.1160687312848034E-2</v>
      </c>
      <c r="Y43" s="195">
        <f>IFERROR(Y45-Y44,"")</f>
        <v>-162973.84000000003</v>
      </c>
      <c r="Z43" s="209">
        <f t="shared" ref="Z43:Z64" si="208">Y43/$Y$10</f>
        <v>-5.1626379700069697E-2</v>
      </c>
      <c r="AA43" s="195">
        <f t="shared" si="128"/>
        <v>-1964659.57</v>
      </c>
      <c r="AB43" s="209">
        <f t="shared" ref="AB43:AB64" si="209">AA43/$AA$10</f>
        <v>-7.7483668211069251E-2</v>
      </c>
      <c r="AC43" s="245">
        <f t="shared" si="172"/>
        <v>-1631582.61</v>
      </c>
      <c r="AD43" s="195">
        <f>IFERROR(AD45-AD44,"")</f>
        <v>0</v>
      </c>
      <c r="AE43" s="209" t="e">
        <f t="shared" ref="AE43:AE72" si="210">AD43/$AD$10</f>
        <v>#DIV/0!</v>
      </c>
      <c r="AF43" s="195">
        <f>IFERROR(AF45-AF44,"")</f>
        <v>0</v>
      </c>
      <c r="AG43" s="209" t="e">
        <f t="shared" ref="AG43:AG64" si="211">AF43/$AF$10</f>
        <v>#DIV/0!</v>
      </c>
      <c r="AH43" s="195">
        <f t="shared" si="132"/>
        <v>0</v>
      </c>
      <c r="AI43" s="209" t="e">
        <f t="shared" ref="AI43:AI64" si="212">AH43/$AH$10</f>
        <v>#DIV/0!</v>
      </c>
      <c r="AJ43" s="245">
        <f t="shared" si="84"/>
        <v>1964659.57</v>
      </c>
      <c r="AK43" s="195">
        <f>IFERROR(AK45-AK44,"")</f>
        <v>0</v>
      </c>
      <c r="AL43" s="209" t="e">
        <f t="shared" ref="AL43:AL72" si="213">AK43/$AK$10</f>
        <v>#DIV/0!</v>
      </c>
      <c r="AM43" s="195">
        <f>IFERROR(AM45-AM44,"")</f>
        <v>0</v>
      </c>
      <c r="AN43" s="209" t="e">
        <f t="shared" ref="AN43:AN64" si="214">AM43/$AM$10</f>
        <v>#DIV/0!</v>
      </c>
      <c r="AO43" s="195">
        <f t="shared" si="136"/>
        <v>0</v>
      </c>
      <c r="AP43" s="209" t="e">
        <f t="shared" ref="AP43:AP64" si="215">AO43/$AO$10</f>
        <v>#DIV/0!</v>
      </c>
      <c r="AQ43" s="245">
        <f t="shared" si="177"/>
        <v>0</v>
      </c>
      <c r="AR43" s="195">
        <f>IFERROR(AR45-AR44,"")</f>
        <v>0</v>
      </c>
      <c r="AS43" s="209" t="e">
        <f t="shared" ref="AS43:AS72" si="216">AR43/$AR$10</f>
        <v>#DIV/0!</v>
      </c>
      <c r="AT43" s="380">
        <f>IFERROR(AT45-AT44,"")</f>
        <v>0</v>
      </c>
      <c r="AU43" s="209" t="e">
        <f t="shared" ref="AU43:AU64" si="217">AT43/$AT$10</f>
        <v>#DIV/0!</v>
      </c>
      <c r="AV43" s="195">
        <f t="shared" si="140"/>
        <v>0</v>
      </c>
      <c r="AW43" s="209" t="e">
        <f t="shared" ref="AW43:AW64" si="218">AV43/$AV$10</f>
        <v>#DIV/0!</v>
      </c>
      <c r="AX43" s="245">
        <f t="shared" si="180"/>
        <v>0</v>
      </c>
      <c r="AY43" s="195">
        <f>IFERROR(AY45-AY44,"")</f>
        <v>0</v>
      </c>
      <c r="AZ43" s="209" t="e">
        <f t="shared" ref="AZ43:AZ72" si="219">AY43/$AY$10</f>
        <v>#DIV/0!</v>
      </c>
      <c r="BA43" s="195">
        <f>IFERROR(BA45-BA44,"")</f>
        <v>0</v>
      </c>
      <c r="BB43" s="209" t="e">
        <f t="shared" ref="BB43:BB64" si="220">BA43/$BA$10</f>
        <v>#DIV/0!</v>
      </c>
      <c r="BC43" s="195">
        <f t="shared" si="144"/>
        <v>0</v>
      </c>
      <c r="BD43" s="209" t="e">
        <f t="shared" ref="BD43:BD64" si="221">BC43/$BC$10</f>
        <v>#DIV/0!</v>
      </c>
      <c r="BE43" s="245">
        <f t="shared" si="183"/>
        <v>0</v>
      </c>
      <c r="BF43" s="195">
        <f>IFERROR(BF45-BF44,"")</f>
        <v>0</v>
      </c>
      <c r="BG43" s="209" t="e">
        <f t="shared" ref="BG43:BG72" si="222">BF43/$BF$10</f>
        <v>#DIV/0!</v>
      </c>
      <c r="BH43" s="195">
        <f>IFERROR(BH45-BH44,"")</f>
        <v>0</v>
      </c>
      <c r="BI43" s="209" t="e">
        <f t="shared" ref="BI43:BI64" si="223">BH43/$BH$10</f>
        <v>#DIV/0!</v>
      </c>
      <c r="BJ43" s="195">
        <f t="shared" si="148"/>
        <v>0</v>
      </c>
      <c r="BK43" s="209" t="e">
        <f t="shared" ref="BK43:BK64" si="224">BJ43/$BJ$10</f>
        <v>#DIV/0!</v>
      </c>
      <c r="BL43" s="245">
        <f t="shared" si="186"/>
        <v>0</v>
      </c>
      <c r="BM43" s="195">
        <f>IFERROR(BM45-BM44,"")</f>
        <v>0</v>
      </c>
      <c r="BN43" s="209" t="e">
        <f t="shared" ref="BN43:BN72" si="225">BM43/$BF$10</f>
        <v>#DIV/0!</v>
      </c>
      <c r="BO43" s="195">
        <f>IFERROR(BO45-BO44,"")</f>
        <v>0</v>
      </c>
      <c r="BP43" s="209" t="e">
        <f t="shared" ref="BP43:BP64" si="226">BO43/$BH$10</f>
        <v>#DIV/0!</v>
      </c>
      <c r="BQ43" s="195">
        <f t="shared" si="152"/>
        <v>0</v>
      </c>
      <c r="BR43" s="209" t="e">
        <f t="shared" ref="BR43:BR64" si="227">BQ43/$BJ$10</f>
        <v>#DIV/0!</v>
      </c>
      <c r="BS43" s="245">
        <f t="shared" si="189"/>
        <v>0</v>
      </c>
      <c r="BT43" s="195">
        <f>IFERROR(BT45-BT44,"")</f>
        <v>0</v>
      </c>
      <c r="BU43" s="209" t="e">
        <f t="shared" ref="BU43:BU72" si="228">BT43/$BF$10</f>
        <v>#DIV/0!</v>
      </c>
      <c r="BV43" s="195">
        <f>IFERROR(BV45-BV44,"")</f>
        <v>0</v>
      </c>
      <c r="BW43" s="209" t="e">
        <f t="shared" ref="BW43:BW64" si="229">BV43/$BH$10</f>
        <v>#DIV/0!</v>
      </c>
      <c r="BX43" s="195">
        <f t="shared" si="156"/>
        <v>0</v>
      </c>
      <c r="BY43" s="209" t="e">
        <f t="shared" ref="BY43:BY64" si="230">BX43/$BJ$10</f>
        <v>#DIV/0!</v>
      </c>
      <c r="BZ43" s="245">
        <f t="shared" si="192"/>
        <v>0</v>
      </c>
      <c r="CA43" s="195">
        <f>IFERROR(CA45-CA44,"")</f>
        <v>0</v>
      </c>
      <c r="CB43" s="209" t="e">
        <f t="shared" ref="CB43:CB72" si="231">CA43/$BF$10</f>
        <v>#DIV/0!</v>
      </c>
      <c r="CC43" s="195">
        <f>IFERROR(CC45-CC44,"")</f>
        <v>0</v>
      </c>
      <c r="CD43" s="209" t="e">
        <f t="shared" ref="CD43:CD64" si="232">CC43/$BH$10</f>
        <v>#DIV/0!</v>
      </c>
      <c r="CE43" s="195">
        <f t="shared" si="160"/>
        <v>0</v>
      </c>
      <c r="CF43" s="209" t="e">
        <f t="shared" ref="CF43:CF64" si="233">CE43/$BJ$10</f>
        <v>#DIV/0!</v>
      </c>
      <c r="CG43" s="245">
        <f t="shared" si="195"/>
        <v>0</v>
      </c>
      <c r="CH43" s="265">
        <f>IFERROR(CH44-CH45,"")</f>
        <v>2251532.8099999996</v>
      </c>
      <c r="CI43" s="246">
        <f>CH43/$CH$4</f>
        <v>0.37480958173656403</v>
      </c>
      <c r="CJ43" s="265">
        <f>IFERROR(CJ44-CJ45,"")</f>
        <v>164090.29000000004</v>
      </c>
      <c r="CK43" s="259" t="e">
        <f>CJ43/$CJ$4</f>
        <v>#DIV/0!</v>
      </c>
      <c r="CL43" s="242">
        <f>IFERROR(CL44-CL45,"")</f>
        <v>2415623.1</v>
      </c>
      <c r="CM43" s="247">
        <f>CL43/$CL$4</f>
        <v>0.40212546746950689</v>
      </c>
    </row>
    <row r="44" spans="2:91" s="238" customFormat="1" ht="10.35" customHeight="1" thickBot="1">
      <c r="B44" s="240" t="s">
        <v>21</v>
      </c>
      <c r="C44" s="190">
        <f>SUMIF('MVTO E'!$C$3:$C$240,"EFIN",'MVTO E'!$G$3:$G$240)</f>
        <v>115863.02</v>
      </c>
      <c r="D44" s="209">
        <f t="shared" si="198"/>
        <v>3.5215644820770211E-3</v>
      </c>
      <c r="E44" s="190">
        <f>SUMIF('MVTO A'!$C$3:$C$184,"EFIN",'MVTO A'!$G$3:$G$184)</f>
        <v>1321.5900000000001</v>
      </c>
      <c r="F44" s="209">
        <f t="shared" si="199"/>
        <v>3.344334647912764E-4</v>
      </c>
      <c r="G44" s="190">
        <f t="shared" si="165"/>
        <v>117184.61</v>
      </c>
      <c r="H44" s="209">
        <f t="shared" si="200"/>
        <v>3.1798076514016381E-3</v>
      </c>
      <c r="I44" s="190">
        <f>SUMIF('MVTO E'!$C$3:$C$240,"EFIN",'MVTO E'!$H$3:$H$240)</f>
        <v>27467.08</v>
      </c>
      <c r="J44" s="209">
        <f t="shared" si="201"/>
        <v>1.2937847555059469E-3</v>
      </c>
      <c r="K44" s="190">
        <f>SUMIF('MVTO A'!$C$3:$C$184,"EFIN",'MVTO A'!$H$3:$H$184)</f>
        <v>1322.8</v>
      </c>
      <c r="L44" s="209">
        <f t="shared" si="202"/>
        <v>3.868702190504922E-4</v>
      </c>
      <c r="M44" s="190">
        <f t="shared" si="121"/>
        <v>28789.88</v>
      </c>
      <c r="N44" s="209">
        <f t="shared" si="203"/>
        <v>1.1679816361656471E-3</v>
      </c>
      <c r="O44" s="245">
        <f t="shared" si="32"/>
        <v>-88394.73</v>
      </c>
      <c r="P44" s="190">
        <f>SUMIF('MVTO E'!$C$3:$C$240,"EFIN",'MVTO E'!$I$3:$I$240)</f>
        <v>344331.37</v>
      </c>
      <c r="Q44" s="209">
        <f t="shared" si="204"/>
        <v>1.4463256441253231E-2</v>
      </c>
      <c r="R44" s="190">
        <f>SUMIF('MVTO A'!$C$3:$C$184,"EFIN",'MVTO A'!$I$3:$I$184)</f>
        <v>1436.84</v>
      </c>
      <c r="S44" s="209">
        <f t="shared" si="205"/>
        <v>3.9359176160867651E-4</v>
      </c>
      <c r="T44" s="190">
        <f t="shared" si="125"/>
        <v>345768.21</v>
      </c>
      <c r="U44" s="209">
        <f t="shared" si="206"/>
        <v>1.2592665739444651E-2</v>
      </c>
      <c r="V44" s="245">
        <f t="shared" si="169"/>
        <v>316978.33</v>
      </c>
      <c r="W44" s="190">
        <f>SUMIF('MVTO E'!$C$3:$C$240,"EFIN",'MVTO E'!$J$3:$J$240)</f>
        <v>1810170.13</v>
      </c>
      <c r="X44" s="212">
        <f t="shared" si="207"/>
        <v>8.1542884787119602E-2</v>
      </c>
      <c r="Y44" s="190">
        <f>SUMIF('MVTO A'!$C$3:$C$184,"EFIN",'MVTO A'!$J$3:$J$184)</f>
        <v>164002.78000000003</v>
      </c>
      <c r="Z44" s="212">
        <f t="shared" si="208"/>
        <v>5.1952324324854811E-2</v>
      </c>
      <c r="AA44" s="190">
        <f t="shared" si="128"/>
        <v>1974172.91</v>
      </c>
      <c r="AB44" s="212">
        <f t="shared" si="209"/>
        <v>7.7858862209762417E-2</v>
      </c>
      <c r="AC44" s="245">
        <f t="shared" si="172"/>
        <v>1628404.7</v>
      </c>
      <c r="AD44" s="190">
        <f>SUMIF('MVTO E'!$C$3:$C$240,"EFIN",'MVTO E'!$K$3:$K$240)</f>
        <v>0</v>
      </c>
      <c r="AE44" s="212" t="e">
        <f t="shared" si="210"/>
        <v>#DIV/0!</v>
      </c>
      <c r="AF44" s="190">
        <f>SUMIF('MVTO A'!$C$3:$C$184,"EFIN",'MVTO A'!$K$3:$K$184)</f>
        <v>0</v>
      </c>
      <c r="AG44" s="212" t="e">
        <f t="shared" si="211"/>
        <v>#DIV/0!</v>
      </c>
      <c r="AH44" s="190">
        <f t="shared" si="132"/>
        <v>0</v>
      </c>
      <c r="AI44" s="212" t="e">
        <f t="shared" si="212"/>
        <v>#DIV/0!</v>
      </c>
      <c r="AJ44" s="245">
        <f t="shared" si="84"/>
        <v>-1974172.91</v>
      </c>
      <c r="AK44" s="190">
        <f>SUMIF('MVTO E'!$C$3:$C$240,"EFIN",'MVTO E'!$L$3:$L$240)</f>
        <v>0</v>
      </c>
      <c r="AL44" s="212" t="e">
        <f t="shared" si="213"/>
        <v>#DIV/0!</v>
      </c>
      <c r="AM44" s="190">
        <f>SUMIF('MVTO A'!$C$3:$C$184,"EFIN",'MVTO A'!$L$3:$L$184)</f>
        <v>0</v>
      </c>
      <c r="AN44" s="212" t="e">
        <f t="shared" si="214"/>
        <v>#DIV/0!</v>
      </c>
      <c r="AO44" s="190">
        <f t="shared" si="136"/>
        <v>0</v>
      </c>
      <c r="AP44" s="212" t="e">
        <f t="shared" si="215"/>
        <v>#DIV/0!</v>
      </c>
      <c r="AQ44" s="245">
        <f t="shared" si="177"/>
        <v>0</v>
      </c>
      <c r="AR44" s="190">
        <f>SUMIF('MVTO E'!$C$3:$C$240,"EFIN",'MVTO E'!$M$3:$M$240)</f>
        <v>0</v>
      </c>
      <c r="AS44" s="212" t="e">
        <f t="shared" si="216"/>
        <v>#DIV/0!</v>
      </c>
      <c r="AT44" s="381">
        <f>SUMIF('MVTO A'!$C$3:$C$184,"EFIN",'MVTO A'!$M$3:$M$189)</f>
        <v>0</v>
      </c>
      <c r="AU44" s="212" t="e">
        <f t="shared" si="217"/>
        <v>#DIV/0!</v>
      </c>
      <c r="AV44" s="190">
        <f t="shared" si="140"/>
        <v>0</v>
      </c>
      <c r="AW44" s="212" t="e">
        <f t="shared" si="218"/>
        <v>#DIV/0!</v>
      </c>
      <c r="AX44" s="245">
        <f t="shared" si="180"/>
        <v>0</v>
      </c>
      <c r="AY44" s="190">
        <f>SUMIF('MVTO E'!$C$3:$C$240,"EFIN",'MVTO E'!$N$3:$N$240)</f>
        <v>0</v>
      </c>
      <c r="AZ44" s="212" t="e">
        <f t="shared" si="219"/>
        <v>#DIV/0!</v>
      </c>
      <c r="BA44" s="190">
        <f>SUMIF('MVTO A'!$C$3:$C$184,"EFIN",'MVTO A'!$N$3:$N$189)</f>
        <v>0</v>
      </c>
      <c r="BB44" s="212" t="e">
        <f t="shared" si="220"/>
        <v>#DIV/0!</v>
      </c>
      <c r="BC44" s="190">
        <f t="shared" si="144"/>
        <v>0</v>
      </c>
      <c r="BD44" s="212" t="e">
        <f t="shared" si="221"/>
        <v>#DIV/0!</v>
      </c>
      <c r="BE44" s="245">
        <f t="shared" si="183"/>
        <v>0</v>
      </c>
      <c r="BF44" s="190">
        <f>SUMIF('MVTO E'!$C$3:$C$240,"EFIN",'MVTO E'!$O$3:$O$240)</f>
        <v>0</v>
      </c>
      <c r="BG44" s="212" t="e">
        <f t="shared" si="222"/>
        <v>#DIV/0!</v>
      </c>
      <c r="BH44" s="190">
        <f>SUMIF('MVTO A'!$C$3:$C$184,"EFIN",'MVTO A'!$O$3:$O$189)</f>
        <v>0</v>
      </c>
      <c r="BI44" s="212" t="e">
        <f t="shared" si="223"/>
        <v>#DIV/0!</v>
      </c>
      <c r="BJ44" s="190">
        <f t="shared" si="148"/>
        <v>0</v>
      </c>
      <c r="BK44" s="212" t="e">
        <f t="shared" si="224"/>
        <v>#DIV/0!</v>
      </c>
      <c r="BL44" s="245">
        <f t="shared" si="186"/>
        <v>0</v>
      </c>
      <c r="BM44" s="190">
        <f>SUMIF('MVTO E'!$C$3:$C$240,"EFIN",'MVTO E'!$P$3:$P$240)</f>
        <v>0</v>
      </c>
      <c r="BN44" s="212" t="e">
        <f t="shared" si="225"/>
        <v>#DIV/0!</v>
      </c>
      <c r="BO44" s="190">
        <f>SUMIF('MVTO A'!$C$3:$C$184,"EFIN",'MVTO A'!$P$3:$P$189)</f>
        <v>0</v>
      </c>
      <c r="BP44" s="212" t="e">
        <f t="shared" si="226"/>
        <v>#DIV/0!</v>
      </c>
      <c r="BQ44" s="190">
        <f t="shared" si="152"/>
        <v>0</v>
      </c>
      <c r="BR44" s="212" t="e">
        <f t="shared" si="227"/>
        <v>#DIV/0!</v>
      </c>
      <c r="BS44" s="245">
        <f t="shared" si="189"/>
        <v>0</v>
      </c>
      <c r="BT44" s="190">
        <f>SUMIF('MVTO E'!$C$3:$C$240,"EFIN",'MVTO E'!$Q$3:$Q$240)</f>
        <v>0</v>
      </c>
      <c r="BU44" s="212" t="e">
        <f t="shared" si="228"/>
        <v>#DIV/0!</v>
      </c>
      <c r="BV44" s="190">
        <f>SUMIF('MVTO A'!$C$3:$C$184,"EFIN",'MVTO A'!$Q$3:$Q$189)</f>
        <v>0</v>
      </c>
      <c r="BW44" s="212" t="e">
        <f t="shared" si="229"/>
        <v>#DIV/0!</v>
      </c>
      <c r="BX44" s="190">
        <f t="shared" si="156"/>
        <v>0</v>
      </c>
      <c r="BY44" s="212" t="e">
        <f t="shared" si="230"/>
        <v>#DIV/0!</v>
      </c>
      <c r="BZ44" s="245">
        <f t="shared" si="192"/>
        <v>0</v>
      </c>
      <c r="CA44" s="190">
        <f>SUMIF('MVTO E'!$C$3:$C$240,"EFIN",'MVTO E'!$R$3:$R$240)</f>
        <v>0</v>
      </c>
      <c r="CB44" s="212" t="e">
        <f t="shared" si="231"/>
        <v>#DIV/0!</v>
      </c>
      <c r="CC44" s="190">
        <f>SUMIF('MVTO A'!$C$3:$C$184,"EFIN",'MVTO A'!$R$3:$R$189)</f>
        <v>0</v>
      </c>
      <c r="CD44" s="212" t="e">
        <f t="shared" si="232"/>
        <v>#DIV/0!</v>
      </c>
      <c r="CE44" s="190">
        <f t="shared" si="160"/>
        <v>0</v>
      </c>
      <c r="CF44" s="212" t="e">
        <f t="shared" si="233"/>
        <v>#DIV/0!</v>
      </c>
      <c r="CG44" s="245">
        <f t="shared" si="195"/>
        <v>0</v>
      </c>
      <c r="CH44" s="242">
        <f t="shared" ref="CH44:CL45" si="234">SUM(C44,I44,P44,W44,AD44,AK44,AR44,AY44,BF44,BM44,BT44,CA44)</f>
        <v>2297831.5999999996</v>
      </c>
      <c r="CI44" s="246">
        <f>CH44/$CH$4</f>
        <v>0.38251687786733152</v>
      </c>
      <c r="CJ44" s="242">
        <f t="shared" si="234"/>
        <v>168084.01000000004</v>
      </c>
      <c r="CK44" s="259" t="e">
        <f>CJ44/$CJ$4</f>
        <v>#DIV/0!</v>
      </c>
      <c r="CL44" s="242">
        <f t="shared" si="234"/>
        <v>2465915.61</v>
      </c>
      <c r="CM44" s="247">
        <f>CL44/$CL$4</f>
        <v>0.41049759269631264</v>
      </c>
    </row>
    <row r="45" spans="2:91" s="238" customFormat="1" ht="10.35" customHeight="1" thickBot="1">
      <c r="B45" s="240" t="s">
        <v>22</v>
      </c>
      <c r="C45" s="190">
        <f>SUMIF('MVTO E'!$C$3:$C$240,"SFIN",'MVTO E'!$G$3:$G$240)+SUMIF('DESP E'!$D$3:$D$146,"SFIN",'DESP E'!$G$3:$G$146)</f>
        <v>12533.449999999999</v>
      </c>
      <c r="D45" s="209">
        <f t="shared" si="198"/>
        <v>3.8094425950478623E-4</v>
      </c>
      <c r="E45" s="190">
        <f>SUMIF('MVTO A'!$C$3:$C$184,"SFIN",'MVTO A'!$G$3:$G$184)+SUMIF('DESP A'!$D$3:$D$129,"SFIN",'DESP A'!$G$3:$G$129)</f>
        <v>985.97</v>
      </c>
      <c r="F45" s="209">
        <f t="shared" si="199"/>
        <v>2.4950352475446605E-4</v>
      </c>
      <c r="G45" s="190">
        <f t="shared" si="165"/>
        <v>13519.419999999998</v>
      </c>
      <c r="H45" s="209">
        <f t="shared" si="200"/>
        <v>3.6684983769210246E-4</v>
      </c>
      <c r="I45" s="190">
        <f>SUMIF('MVTO E'!$C$3:$C$240,"SFIN",'MVTO E'!$H$3:$H$240)+SUMIF('DESP E'!$D$3:$D$146,"SFIN",'DESP E'!$H$3:$H$146)</f>
        <v>13644.55</v>
      </c>
      <c r="J45" s="209">
        <f t="shared" si="201"/>
        <v>6.4270067243182264E-4</v>
      </c>
      <c r="K45" s="190">
        <f>SUMIF('MVTO A'!$C$3:$C$184,"SFIN",'MVTO A'!$H$3:$H$184)+SUMIF('DESP A'!$D$3:$D$129,"SFIN",'DESP A'!$H$3:$H$129)</f>
        <v>923.95</v>
      </c>
      <c r="L45" s="209">
        <f t="shared" si="202"/>
        <v>2.7022130245819647E-4</v>
      </c>
      <c r="M45" s="190">
        <f t="shared" si="121"/>
        <v>14568.5</v>
      </c>
      <c r="N45" s="209">
        <f t="shared" si="203"/>
        <v>5.9103200383187526E-4</v>
      </c>
      <c r="O45" s="245">
        <f t="shared" si="32"/>
        <v>1049.0800000000017</v>
      </c>
      <c r="P45" s="190">
        <f>SUMIF('MVTO E'!$C$3:$C$240,"SFIN",'MVTO E'!$I$3:$I$240)+SUMIF('DESP E'!$D$3:$D$146,"SFIN",'DESP E'!$I$3:$I$146)</f>
        <v>11636.390000000001</v>
      </c>
      <c r="Q45" s="209">
        <f t="shared" si="204"/>
        <v>4.8877362704546705E-4</v>
      </c>
      <c r="R45" s="190">
        <f>SUMIF('MVTO A'!$C$3:$C$184,"SFIN",'MVTO A'!$I$3:$I$184)+SUMIF('DESP A'!$D$3:$D$129,"SFIN",'DESP A'!$I$3:$I$129)</f>
        <v>1054.8599999999999</v>
      </c>
      <c r="S45" s="209">
        <f t="shared" si="205"/>
        <v>2.8895646394207322E-4</v>
      </c>
      <c r="T45" s="190">
        <f t="shared" si="125"/>
        <v>12691.250000000002</v>
      </c>
      <c r="U45" s="209">
        <f t="shared" si="206"/>
        <v>4.6220752644011699E-4</v>
      </c>
      <c r="V45" s="245">
        <f t="shared" si="169"/>
        <v>-1877.2499999999982</v>
      </c>
      <c r="W45" s="190">
        <f>SUMIF('MVTO E'!$C$3:$C$240,"SFIN",'MVTO E'!$J$3:$J$240)+SUMIF('DESP E'!$D$3:$D$146,"SFIN",'DESP E'!$J$3:$J$146)</f>
        <v>8484.4000000000015</v>
      </c>
      <c r="X45" s="209">
        <f t="shared" si="207"/>
        <v>3.8219747427156898E-4</v>
      </c>
      <c r="Y45" s="190">
        <f>SUMIF('MVTO A'!$C$3:$C$184,"SFIN",'MVTO A'!$J$3:$J$184)+SUMIF('DESP A'!$D$3:$D$129,"SFIN",'DESP A'!$J$3:$J$129)</f>
        <v>1028.94</v>
      </c>
      <c r="Z45" s="209">
        <f t="shared" si="208"/>
        <v>3.2594462478511708E-4</v>
      </c>
      <c r="AA45" s="190">
        <f t="shared" si="128"/>
        <v>9513.340000000002</v>
      </c>
      <c r="AB45" s="209">
        <f t="shared" si="209"/>
        <v>3.751939986931648E-4</v>
      </c>
      <c r="AC45" s="245">
        <f t="shared" si="172"/>
        <v>-3177.91</v>
      </c>
      <c r="AD45" s="190">
        <f>SUMIF('MVTO E'!$C$3:$C$240,"SFIN",'MVTO E'!$K$3:$K$240)+SUMIF('DESP E'!$D$3:$D$146,"SFIN",'DESP E'!$K$3:$K$146)</f>
        <v>0</v>
      </c>
      <c r="AE45" s="209" t="e">
        <f t="shared" si="210"/>
        <v>#DIV/0!</v>
      </c>
      <c r="AF45" s="190">
        <f>SUMIF('MVTO A'!$C$3:$C$184,"SFIN",'MVTO A'!$K$3:$K$184)+SUMIF('DESP A'!$D$3:$D$129,"SFIN",'DESP A'!$K$3:$K$129)</f>
        <v>0</v>
      </c>
      <c r="AG45" s="209" t="e">
        <f t="shared" si="211"/>
        <v>#DIV/0!</v>
      </c>
      <c r="AH45" s="190">
        <f t="shared" si="132"/>
        <v>0</v>
      </c>
      <c r="AI45" s="209" t="e">
        <f t="shared" si="212"/>
        <v>#DIV/0!</v>
      </c>
      <c r="AJ45" s="245">
        <f t="shared" si="84"/>
        <v>-9513.340000000002</v>
      </c>
      <c r="AK45" s="190">
        <f>SUMIF('MVTO E'!$C$3:$C$240,"SFIN",'MVTO E'!$L$3:$L$240)+SUMIF('DESP E'!$D$3:$D$146,"SFIN",'DESP E'!$L$3:$L$146)</f>
        <v>0</v>
      </c>
      <c r="AL45" s="209" t="e">
        <f t="shared" si="213"/>
        <v>#DIV/0!</v>
      </c>
      <c r="AM45" s="190">
        <f>SUMIF('MVTO A'!$C$3:$C$184,"SFIN",'MVTO A'!$L$3:$L$184)+SUMIF('DESP A'!$D$3:$D$129,"SFIN",'DESP A'!$L$3:$L$129)</f>
        <v>0</v>
      </c>
      <c r="AN45" s="209" t="e">
        <f t="shared" si="214"/>
        <v>#DIV/0!</v>
      </c>
      <c r="AO45" s="190">
        <f t="shared" si="136"/>
        <v>0</v>
      </c>
      <c r="AP45" s="209" t="e">
        <f t="shared" si="215"/>
        <v>#DIV/0!</v>
      </c>
      <c r="AQ45" s="245">
        <f t="shared" si="177"/>
        <v>0</v>
      </c>
      <c r="AR45" s="190">
        <f>SUMIF('MVTO E'!$C$3:$C$240,"SFIN",'MVTO E'!$M$3:$M$240)+SUMIF('DESP E'!$D$3:$D$146,"SFIN",'DESP E'!$M$3:$M$146)</f>
        <v>0</v>
      </c>
      <c r="AS45" s="209" t="e">
        <f t="shared" si="216"/>
        <v>#DIV/0!</v>
      </c>
      <c r="AT45" s="381">
        <f>SUMIF('MVTO A'!$C$3:$C$184,"SFIN",'MVTO A'!$M$3:$M$189)+SUMIF('DESP A'!$D$3:$D$129,"SFIN",'DESP A'!$M$3:$M$129)</f>
        <v>0</v>
      </c>
      <c r="AU45" s="209" t="e">
        <f t="shared" si="217"/>
        <v>#DIV/0!</v>
      </c>
      <c r="AV45" s="190">
        <f t="shared" si="140"/>
        <v>0</v>
      </c>
      <c r="AW45" s="209" t="e">
        <f t="shared" si="218"/>
        <v>#DIV/0!</v>
      </c>
      <c r="AX45" s="245">
        <f t="shared" si="180"/>
        <v>0</v>
      </c>
      <c r="AY45" s="190">
        <f>SUMIF('MVTO E'!$C$3:$C$240,"SFIN",'MVTO E'!$N$3:$N$240)+SUMIF('DESP E'!$D$3:$D$146,"SFIN",'DESP E'!$N$3:$N$146)</f>
        <v>0</v>
      </c>
      <c r="AZ45" s="209" t="e">
        <f t="shared" si="219"/>
        <v>#DIV/0!</v>
      </c>
      <c r="BA45" s="190">
        <f>SUMIF('MVTO A'!$C$3:$C$184,"SFIN",'MVTO A'!$N$3:$N$189)+SUMIF('DESP A'!$D$3:$D$129,"SFIN",'DESP A'!$N$3:$N$129)</f>
        <v>0</v>
      </c>
      <c r="BB45" s="209" t="e">
        <f t="shared" si="220"/>
        <v>#DIV/0!</v>
      </c>
      <c r="BC45" s="190">
        <f t="shared" si="144"/>
        <v>0</v>
      </c>
      <c r="BD45" s="209" t="e">
        <f t="shared" si="221"/>
        <v>#DIV/0!</v>
      </c>
      <c r="BE45" s="245">
        <f t="shared" si="183"/>
        <v>0</v>
      </c>
      <c r="BF45" s="190">
        <f>SUMIF('MVTO E'!$C$3:$C$240,"SFIN",'MVTO E'!$O$3:$O$240)+SUMIF('DESP E'!$D$3:$D$146,"SFIN",'DESP E'!$O$3:$O$146)</f>
        <v>0</v>
      </c>
      <c r="BG45" s="209" t="e">
        <f t="shared" si="222"/>
        <v>#DIV/0!</v>
      </c>
      <c r="BH45" s="190">
        <f>SUMIF('MVTO A'!$C$3:$C$184,"SFIN",'MVTO A'!$O$3:$O$189)+SUMIF('DESP A'!$D$3:$D$129,"SFIN",'DESP A'!$O$3:$O$129)</f>
        <v>0</v>
      </c>
      <c r="BI45" s="209" t="e">
        <f t="shared" si="223"/>
        <v>#DIV/0!</v>
      </c>
      <c r="BJ45" s="190">
        <f t="shared" si="148"/>
        <v>0</v>
      </c>
      <c r="BK45" s="209" t="e">
        <f t="shared" si="224"/>
        <v>#DIV/0!</v>
      </c>
      <c r="BL45" s="245">
        <f t="shared" si="186"/>
        <v>0</v>
      </c>
      <c r="BM45" s="190">
        <f>SUMIF('MVTO E'!$C$3:$C$240,"SFIN",'MVTO E'!$P$3:$P$240)+SUMIF('DESP E'!$D$3:$D$146,"SFIN",'DESP E'!$P$3:$P$146)</f>
        <v>0</v>
      </c>
      <c r="BN45" s="209" t="e">
        <f t="shared" si="225"/>
        <v>#DIV/0!</v>
      </c>
      <c r="BO45" s="190">
        <f>SUMIF('MVTO A'!$C$3:$C$184,"SFIN",'MVTO A'!$P$3:$P$189)+SUMIF('DESP A'!$D$3:$D$129,"SFIN",'DESP A'!$P$3:$P$129)</f>
        <v>0</v>
      </c>
      <c r="BP45" s="209" t="e">
        <f t="shared" si="226"/>
        <v>#DIV/0!</v>
      </c>
      <c r="BQ45" s="190">
        <f t="shared" si="152"/>
        <v>0</v>
      </c>
      <c r="BR45" s="209" t="e">
        <f t="shared" si="227"/>
        <v>#DIV/0!</v>
      </c>
      <c r="BS45" s="245">
        <f t="shared" si="189"/>
        <v>0</v>
      </c>
      <c r="BT45" s="190">
        <f>SUMIF('MVTO E'!$C$3:$C$240,"SFIN",'MVTO E'!$Q$3:$Q$240)+SUMIF('DESP E'!$D$3:$D$146,"SFIN",'DESP E'!$Q$3:$Q$146)</f>
        <v>0</v>
      </c>
      <c r="BU45" s="209" t="e">
        <f t="shared" si="228"/>
        <v>#DIV/0!</v>
      </c>
      <c r="BV45" s="190">
        <f>SUMIF('MVTO A'!$C$3:$C$184,"SFIN",'MVTO A'!$Q$3:$Q$189)+SUMIF('DESP A'!$D$3:$D$129,"SFIN",'DESP A'!$Q$3:$Q$129)</f>
        <v>0</v>
      </c>
      <c r="BW45" s="209" t="e">
        <f t="shared" si="229"/>
        <v>#DIV/0!</v>
      </c>
      <c r="BX45" s="190">
        <f t="shared" si="156"/>
        <v>0</v>
      </c>
      <c r="BY45" s="209" t="e">
        <f t="shared" si="230"/>
        <v>#DIV/0!</v>
      </c>
      <c r="BZ45" s="245">
        <f t="shared" si="192"/>
        <v>0</v>
      </c>
      <c r="CA45" s="190">
        <f>SUMIF('MVTO E'!$C$3:$C$240,"SFIN",'MVTO E'!$R$3:$R$240)+SUMIF('DESP E'!$D$3:$D$146,"SFIN",'DESP E'!$R$3:$R$146)</f>
        <v>0</v>
      </c>
      <c r="CB45" s="209" t="e">
        <f t="shared" si="231"/>
        <v>#DIV/0!</v>
      </c>
      <c r="CC45" s="190">
        <f>SUMIF('MVTO A'!$C$3:$C$184,"SFIN",'MVTO A'!$R$3:$R$189)+SUMIF('DESP A'!$D$3:$D$129,"SFIN",'DESP A'!$R$3:$R$129)</f>
        <v>0</v>
      </c>
      <c r="CD45" s="209" t="e">
        <f t="shared" si="232"/>
        <v>#DIV/0!</v>
      </c>
      <c r="CE45" s="190">
        <f t="shared" si="160"/>
        <v>0</v>
      </c>
      <c r="CF45" s="209" t="e">
        <f t="shared" si="233"/>
        <v>#DIV/0!</v>
      </c>
      <c r="CG45" s="245">
        <f t="shared" si="195"/>
        <v>0</v>
      </c>
      <c r="CH45" s="242">
        <f t="shared" si="234"/>
        <v>46298.79</v>
      </c>
      <c r="CI45" s="246">
        <f>CH45/$CH$4</f>
        <v>7.7072961307674739E-3</v>
      </c>
      <c r="CJ45" s="242">
        <f t="shared" si="234"/>
        <v>3993.72</v>
      </c>
      <c r="CK45" s="259" t="e">
        <f>CJ45/$CJ$4</f>
        <v>#DIV/0!</v>
      </c>
      <c r="CL45" s="242">
        <f t="shared" si="234"/>
        <v>50292.51</v>
      </c>
      <c r="CM45" s="247">
        <f>CL45/$CL$4</f>
        <v>8.3721252268058079E-3</v>
      </c>
    </row>
    <row r="46" spans="2:91" s="238" customFormat="1" ht="10.35" customHeight="1" thickBot="1">
      <c r="B46" s="257" t="s">
        <v>23</v>
      </c>
      <c r="C46" s="195">
        <f>C42+C44-C45</f>
        <v>1142383.1700000025</v>
      </c>
      <c r="D46" s="209">
        <f t="shared" si="198"/>
        <v>3.4721829246247546E-2</v>
      </c>
      <c r="E46" s="195">
        <f>E42+E44-E45</f>
        <v>2283404.9999999991</v>
      </c>
      <c r="F46" s="209">
        <f t="shared" si="199"/>
        <v>0.57782447330240394</v>
      </c>
      <c r="G46" s="195">
        <f t="shared" si="165"/>
        <v>3425788.1700000018</v>
      </c>
      <c r="H46" s="209">
        <f t="shared" si="200"/>
        <v>9.2958857268435002E-2</v>
      </c>
      <c r="I46" s="195">
        <f>I42+I44-I45</f>
        <v>2828759.0700000012</v>
      </c>
      <c r="J46" s="209">
        <f t="shared" si="201"/>
        <v>0.13324333572280639</v>
      </c>
      <c r="K46" s="195">
        <f>K42+K44-K45</f>
        <v>1820636.8699999994</v>
      </c>
      <c r="L46" s="209">
        <f t="shared" si="202"/>
        <v>0.53246914477494878</v>
      </c>
      <c r="M46" s="195">
        <f t="shared" si="121"/>
        <v>4649395.9400000004</v>
      </c>
      <c r="N46" s="209">
        <f t="shared" si="203"/>
        <v>0.18862215046339606</v>
      </c>
      <c r="O46" s="245">
        <f t="shared" si="32"/>
        <v>1223607.7699999986</v>
      </c>
      <c r="P46" s="195">
        <f>P42+P44-P45</f>
        <v>2183425.140000002</v>
      </c>
      <c r="Q46" s="209">
        <f t="shared" si="204"/>
        <v>9.1712345930314937E-2</v>
      </c>
      <c r="R46" s="195">
        <f>R42+R44-R45</f>
        <v>2243161.6299999994</v>
      </c>
      <c r="S46" s="209">
        <f t="shared" si="205"/>
        <v>0.61446642460168854</v>
      </c>
      <c r="T46" s="195">
        <f t="shared" si="125"/>
        <v>4426586.7700000014</v>
      </c>
      <c r="U46" s="209">
        <f t="shared" si="206"/>
        <v>0.16121357010020665</v>
      </c>
      <c r="V46" s="245">
        <f t="shared" si="169"/>
        <v>-222809.16999999899</v>
      </c>
      <c r="W46" s="195">
        <f>W42+W44-W45</f>
        <v>2790343.2999999975</v>
      </c>
      <c r="X46" s="209">
        <f t="shared" si="207"/>
        <v>0.12569682730783482</v>
      </c>
      <c r="Y46" s="195">
        <f>Y42+Y44-Y45</f>
        <v>1993497.3499999996</v>
      </c>
      <c r="Z46" s="209">
        <f t="shared" si="208"/>
        <v>0.63149430069379664</v>
      </c>
      <c r="AA46" s="195">
        <f t="shared" si="128"/>
        <v>4783840.6499999966</v>
      </c>
      <c r="AB46" s="209">
        <f t="shared" si="209"/>
        <v>0.18866857513600976</v>
      </c>
      <c r="AC46" s="245">
        <f t="shared" si="172"/>
        <v>357253.87999999523</v>
      </c>
      <c r="AD46" s="195">
        <f>AD42+AD44-AD45</f>
        <v>0</v>
      </c>
      <c r="AE46" s="209" t="e">
        <f t="shared" si="210"/>
        <v>#DIV/0!</v>
      </c>
      <c r="AF46" s="195">
        <f>AF42+AF44-AF45</f>
        <v>0</v>
      </c>
      <c r="AG46" s="209" t="e">
        <f t="shared" si="211"/>
        <v>#DIV/0!</v>
      </c>
      <c r="AH46" s="195">
        <f t="shared" si="132"/>
        <v>0</v>
      </c>
      <c r="AI46" s="209" t="e">
        <f t="shared" si="212"/>
        <v>#DIV/0!</v>
      </c>
      <c r="AJ46" s="245">
        <f t="shared" si="84"/>
        <v>-4783840.6499999966</v>
      </c>
      <c r="AK46" s="195">
        <f>AK42+AK44-AK45</f>
        <v>0</v>
      </c>
      <c r="AL46" s="209" t="e">
        <f t="shared" si="213"/>
        <v>#DIV/0!</v>
      </c>
      <c r="AM46" s="195">
        <f>AM42+AM44-AM45</f>
        <v>0</v>
      </c>
      <c r="AN46" s="209" t="e">
        <f t="shared" si="214"/>
        <v>#DIV/0!</v>
      </c>
      <c r="AO46" s="195">
        <f t="shared" si="136"/>
        <v>0</v>
      </c>
      <c r="AP46" s="209" t="e">
        <f t="shared" si="215"/>
        <v>#DIV/0!</v>
      </c>
      <c r="AQ46" s="245">
        <f t="shared" si="177"/>
        <v>0</v>
      </c>
      <c r="AR46" s="195">
        <f>AR42+AR44-AR45</f>
        <v>0</v>
      </c>
      <c r="AS46" s="209" t="e">
        <f t="shared" si="216"/>
        <v>#DIV/0!</v>
      </c>
      <c r="AT46" s="380">
        <f>AT42+AT44-AT45</f>
        <v>0</v>
      </c>
      <c r="AU46" s="209" t="e">
        <f t="shared" si="217"/>
        <v>#DIV/0!</v>
      </c>
      <c r="AV46" s="195">
        <f t="shared" si="140"/>
        <v>0</v>
      </c>
      <c r="AW46" s="209" t="e">
        <f t="shared" si="218"/>
        <v>#DIV/0!</v>
      </c>
      <c r="AX46" s="245">
        <f t="shared" si="180"/>
        <v>0</v>
      </c>
      <c r="AY46" s="195">
        <f>AY42+AY44-AY45</f>
        <v>0</v>
      </c>
      <c r="AZ46" s="209" t="e">
        <f t="shared" si="219"/>
        <v>#DIV/0!</v>
      </c>
      <c r="BA46" s="195">
        <f>BA42+BA44-BA45</f>
        <v>0</v>
      </c>
      <c r="BB46" s="209" t="e">
        <f t="shared" si="220"/>
        <v>#DIV/0!</v>
      </c>
      <c r="BC46" s="195">
        <f t="shared" si="144"/>
        <v>0</v>
      </c>
      <c r="BD46" s="209" t="e">
        <f t="shared" si="221"/>
        <v>#DIV/0!</v>
      </c>
      <c r="BE46" s="245">
        <f t="shared" si="183"/>
        <v>0</v>
      </c>
      <c r="BF46" s="195">
        <f>BF42+BF44-BF45</f>
        <v>0</v>
      </c>
      <c r="BG46" s="209" t="e">
        <f t="shared" si="222"/>
        <v>#DIV/0!</v>
      </c>
      <c r="BH46" s="195">
        <f>BH42+BH44-BH45</f>
        <v>0</v>
      </c>
      <c r="BI46" s="209" t="e">
        <f t="shared" si="223"/>
        <v>#DIV/0!</v>
      </c>
      <c r="BJ46" s="195">
        <f t="shared" si="148"/>
        <v>0</v>
      </c>
      <c r="BK46" s="209" t="e">
        <f t="shared" si="224"/>
        <v>#DIV/0!</v>
      </c>
      <c r="BL46" s="245">
        <f t="shared" si="186"/>
        <v>0</v>
      </c>
      <c r="BM46" s="195">
        <f>BM42+BM44-BM45</f>
        <v>0</v>
      </c>
      <c r="BN46" s="209" t="e">
        <f t="shared" si="225"/>
        <v>#DIV/0!</v>
      </c>
      <c r="BO46" s="195">
        <f>BO42+BO44-BO45</f>
        <v>0</v>
      </c>
      <c r="BP46" s="209" t="e">
        <f t="shared" si="226"/>
        <v>#DIV/0!</v>
      </c>
      <c r="BQ46" s="195">
        <f t="shared" si="152"/>
        <v>0</v>
      </c>
      <c r="BR46" s="209" t="e">
        <f t="shared" si="227"/>
        <v>#DIV/0!</v>
      </c>
      <c r="BS46" s="245">
        <f t="shared" si="189"/>
        <v>0</v>
      </c>
      <c r="BT46" s="195">
        <f>BT42+BT44-BT45</f>
        <v>0</v>
      </c>
      <c r="BU46" s="209" t="e">
        <f t="shared" si="228"/>
        <v>#DIV/0!</v>
      </c>
      <c r="BV46" s="195">
        <f>BV42+BV44-BV45</f>
        <v>0</v>
      </c>
      <c r="BW46" s="209" t="e">
        <f t="shared" si="229"/>
        <v>#DIV/0!</v>
      </c>
      <c r="BX46" s="195">
        <f t="shared" si="156"/>
        <v>0</v>
      </c>
      <c r="BY46" s="209" t="e">
        <f t="shared" si="230"/>
        <v>#DIV/0!</v>
      </c>
      <c r="BZ46" s="245">
        <f t="shared" si="192"/>
        <v>0</v>
      </c>
      <c r="CA46" s="195">
        <f>CA42+CA44-CA45</f>
        <v>0</v>
      </c>
      <c r="CB46" s="209" t="e">
        <f t="shared" si="231"/>
        <v>#DIV/0!</v>
      </c>
      <c r="CC46" s="195">
        <f>CC42+CC44-CC45</f>
        <v>0</v>
      </c>
      <c r="CD46" s="209" t="e">
        <f t="shared" si="232"/>
        <v>#DIV/0!</v>
      </c>
      <c r="CE46" s="195">
        <f t="shared" si="160"/>
        <v>0</v>
      </c>
      <c r="CF46" s="209" t="e">
        <f t="shared" si="233"/>
        <v>#DIV/0!</v>
      </c>
      <c r="CG46" s="245">
        <f t="shared" si="195"/>
        <v>0</v>
      </c>
      <c r="CH46" s="265">
        <f>IFERROR(CH42+CH43,"")</f>
        <v>8944910.6800000183</v>
      </c>
      <c r="CI46" s="246">
        <f>CH46/$CH$4</f>
        <v>1.4890470242100236</v>
      </c>
      <c r="CJ46" s="265">
        <f>IFERROR(CJ42+CJ43,"")</f>
        <v>8340700.8499999959</v>
      </c>
      <c r="CK46" s="259" t="e">
        <f>CJ46/$CJ$4</f>
        <v>#DIV/0!</v>
      </c>
      <c r="CL46" s="242">
        <f>IFERROR(CL42+CL43,"")</f>
        <v>17285611.530000024</v>
      </c>
      <c r="CM46" s="247">
        <f>CL46/$CL$4</f>
        <v>2.877512065933447</v>
      </c>
    </row>
    <row r="47" spans="2:91" s="238" customFormat="1" ht="10.35" customHeight="1" thickBot="1">
      <c r="B47" s="240" t="s">
        <v>24</v>
      </c>
      <c r="C47" s="190"/>
      <c r="D47" s="209">
        <f t="shared" si="198"/>
        <v>0</v>
      </c>
      <c r="E47" s="190"/>
      <c r="F47" s="209">
        <f t="shared" si="199"/>
        <v>0</v>
      </c>
      <c r="G47" s="190"/>
      <c r="H47" s="209">
        <f t="shared" si="200"/>
        <v>0</v>
      </c>
      <c r="I47" s="190"/>
      <c r="J47" s="209">
        <f t="shared" si="201"/>
        <v>0</v>
      </c>
      <c r="K47" s="190"/>
      <c r="L47" s="209">
        <f t="shared" si="202"/>
        <v>0</v>
      </c>
      <c r="M47" s="190"/>
      <c r="N47" s="209">
        <f t="shared" si="203"/>
        <v>0</v>
      </c>
      <c r="O47" s="245">
        <f t="shared" si="32"/>
        <v>0</v>
      </c>
      <c r="P47" s="190"/>
      <c r="Q47" s="209">
        <f t="shared" si="204"/>
        <v>0</v>
      </c>
      <c r="R47" s="190"/>
      <c r="S47" s="209">
        <f t="shared" si="205"/>
        <v>0</v>
      </c>
      <c r="T47" s="190"/>
      <c r="U47" s="209">
        <f t="shared" si="206"/>
        <v>0</v>
      </c>
      <c r="V47" s="245">
        <f t="shared" si="169"/>
        <v>0</v>
      </c>
      <c r="W47" s="190"/>
      <c r="X47" s="209">
        <f t="shared" si="207"/>
        <v>0</v>
      </c>
      <c r="Y47" s="190"/>
      <c r="Z47" s="209">
        <f t="shared" si="208"/>
        <v>0</v>
      </c>
      <c r="AA47" s="190"/>
      <c r="AB47" s="209">
        <f t="shared" si="209"/>
        <v>0</v>
      </c>
      <c r="AC47" s="245">
        <f t="shared" si="172"/>
        <v>0</v>
      </c>
      <c r="AD47" s="190"/>
      <c r="AE47" s="209" t="e">
        <f t="shared" si="210"/>
        <v>#DIV/0!</v>
      </c>
      <c r="AF47" s="190"/>
      <c r="AG47" s="209" t="e">
        <f t="shared" si="211"/>
        <v>#DIV/0!</v>
      </c>
      <c r="AH47" s="190"/>
      <c r="AI47" s="209" t="e">
        <f t="shared" si="212"/>
        <v>#DIV/0!</v>
      </c>
      <c r="AJ47" s="245">
        <f t="shared" si="84"/>
        <v>0</v>
      </c>
      <c r="AK47" s="190"/>
      <c r="AL47" s="209" t="e">
        <f t="shared" si="213"/>
        <v>#DIV/0!</v>
      </c>
      <c r="AM47" s="190"/>
      <c r="AN47" s="209" t="e">
        <f t="shared" si="214"/>
        <v>#DIV/0!</v>
      </c>
      <c r="AO47" s="190"/>
      <c r="AP47" s="209" t="e">
        <f t="shared" si="215"/>
        <v>#DIV/0!</v>
      </c>
      <c r="AQ47" s="245">
        <f t="shared" si="177"/>
        <v>0</v>
      </c>
      <c r="AR47" s="190"/>
      <c r="AS47" s="209" t="e">
        <f t="shared" si="216"/>
        <v>#DIV/0!</v>
      </c>
      <c r="AT47" s="381"/>
      <c r="AU47" s="209" t="e">
        <f t="shared" si="217"/>
        <v>#DIV/0!</v>
      </c>
      <c r="AV47" s="190"/>
      <c r="AW47" s="209" t="e">
        <f t="shared" si="218"/>
        <v>#DIV/0!</v>
      </c>
      <c r="AX47" s="245">
        <f t="shared" si="180"/>
        <v>0</v>
      </c>
      <c r="AY47" s="190"/>
      <c r="AZ47" s="209" t="e">
        <f t="shared" si="219"/>
        <v>#DIV/0!</v>
      </c>
      <c r="BA47" s="190"/>
      <c r="BB47" s="209" t="e">
        <f t="shared" si="220"/>
        <v>#DIV/0!</v>
      </c>
      <c r="BC47" s="190"/>
      <c r="BD47" s="209" t="e">
        <f t="shared" si="221"/>
        <v>#DIV/0!</v>
      </c>
      <c r="BE47" s="245">
        <f t="shared" si="183"/>
        <v>0</v>
      </c>
      <c r="BF47" s="190"/>
      <c r="BG47" s="209" t="e">
        <f t="shared" si="222"/>
        <v>#DIV/0!</v>
      </c>
      <c r="BH47" s="190"/>
      <c r="BI47" s="209" t="e">
        <f t="shared" si="223"/>
        <v>#DIV/0!</v>
      </c>
      <c r="BJ47" s="190"/>
      <c r="BK47" s="209" t="e">
        <f t="shared" si="224"/>
        <v>#DIV/0!</v>
      </c>
      <c r="BL47" s="245">
        <f t="shared" si="186"/>
        <v>0</v>
      </c>
      <c r="BM47" s="190"/>
      <c r="BN47" s="209" t="e">
        <f t="shared" si="225"/>
        <v>#DIV/0!</v>
      </c>
      <c r="BO47" s="190"/>
      <c r="BP47" s="209" t="e">
        <f t="shared" si="226"/>
        <v>#DIV/0!</v>
      </c>
      <c r="BQ47" s="190"/>
      <c r="BR47" s="209" t="e">
        <f t="shared" si="227"/>
        <v>#DIV/0!</v>
      </c>
      <c r="BS47" s="245">
        <f t="shared" si="189"/>
        <v>0</v>
      </c>
      <c r="BT47" s="190"/>
      <c r="BU47" s="209" t="e">
        <f t="shared" si="228"/>
        <v>#DIV/0!</v>
      </c>
      <c r="BV47" s="190"/>
      <c r="BW47" s="209" t="e">
        <f t="shared" si="229"/>
        <v>#DIV/0!</v>
      </c>
      <c r="BX47" s="190"/>
      <c r="BY47" s="209" t="e">
        <f t="shared" si="230"/>
        <v>#DIV/0!</v>
      </c>
      <c r="BZ47" s="245">
        <f t="shared" si="192"/>
        <v>0</v>
      </c>
      <c r="CA47" s="190"/>
      <c r="CB47" s="209" t="e">
        <f t="shared" si="231"/>
        <v>#DIV/0!</v>
      </c>
      <c r="CC47" s="190"/>
      <c r="CD47" s="209" t="e">
        <f t="shared" si="232"/>
        <v>#DIV/0!</v>
      </c>
      <c r="CE47" s="190"/>
      <c r="CF47" s="209" t="e">
        <f t="shared" si="233"/>
        <v>#DIV/0!</v>
      </c>
      <c r="CG47" s="245">
        <f t="shared" si="195"/>
        <v>0</v>
      </c>
      <c r="CH47" s="242">
        <f t="shared" ref="CH47:CL47" si="235">SUM(C47,I47,P47,W47,AD47,AK47,AR47,AY47,BF47,BM47,BT47,CA47)</f>
        <v>0</v>
      </c>
      <c r="CI47" s="246">
        <f>CH47/$CH$4</f>
        <v>0</v>
      </c>
      <c r="CJ47" s="252">
        <f t="shared" si="235"/>
        <v>0</v>
      </c>
      <c r="CK47" s="259" t="e">
        <f>CJ47/$CJ$4</f>
        <v>#DIV/0!</v>
      </c>
      <c r="CL47" s="252">
        <f t="shared" si="235"/>
        <v>0</v>
      </c>
      <c r="CM47" s="247">
        <f>CL47/$CL$4</f>
        <v>0</v>
      </c>
    </row>
    <row r="48" spans="2:91" s="238" customFormat="1" ht="10.35" customHeight="1" thickBot="1">
      <c r="B48" s="266" t="s">
        <v>25</v>
      </c>
      <c r="C48" s="196">
        <f>C42+C44-C45</f>
        <v>1142383.1700000025</v>
      </c>
      <c r="D48" s="213">
        <f>C48/$C$10</f>
        <v>3.4721829246247546E-2</v>
      </c>
      <c r="E48" s="196">
        <f>E42+E44-E45</f>
        <v>2283404.9999999991</v>
      </c>
      <c r="F48" s="213">
        <f t="shared" si="199"/>
        <v>0.57782447330240394</v>
      </c>
      <c r="G48" s="196">
        <f>C48+E48</f>
        <v>3425788.1700000018</v>
      </c>
      <c r="H48" s="213">
        <f t="shared" si="200"/>
        <v>9.2958857268435002E-2</v>
      </c>
      <c r="I48" s="196">
        <f>I42+I44-I45</f>
        <v>2828759.0700000012</v>
      </c>
      <c r="J48" s="213">
        <f t="shared" si="201"/>
        <v>0.13324333572280639</v>
      </c>
      <c r="K48" s="196">
        <f>K42+K44-K45</f>
        <v>1820636.8699999994</v>
      </c>
      <c r="L48" s="213">
        <f t="shared" si="202"/>
        <v>0.53246914477494878</v>
      </c>
      <c r="M48" s="196">
        <f t="shared" ref="M48:M72" si="236">I48+K48</f>
        <v>4649395.9400000004</v>
      </c>
      <c r="N48" s="213">
        <f t="shared" si="203"/>
        <v>0.18862215046339606</v>
      </c>
      <c r="O48" s="245">
        <f t="shared" si="32"/>
        <v>1223607.7699999986</v>
      </c>
      <c r="P48" s="196">
        <f>P42+P44-P45</f>
        <v>2183425.140000002</v>
      </c>
      <c r="Q48" s="213">
        <f t="shared" si="204"/>
        <v>9.1712345930314937E-2</v>
      </c>
      <c r="R48" s="196">
        <f>R42+R44-R45</f>
        <v>2243161.6299999994</v>
      </c>
      <c r="S48" s="213">
        <f t="shared" si="205"/>
        <v>0.61446642460168854</v>
      </c>
      <c r="T48" s="196">
        <f t="shared" ref="T48:T72" si="237">P48+R48</f>
        <v>4426586.7700000014</v>
      </c>
      <c r="U48" s="213">
        <f t="shared" si="206"/>
        <v>0.16121357010020665</v>
      </c>
      <c r="V48" s="245">
        <f t="shared" si="169"/>
        <v>-222809.16999999899</v>
      </c>
      <c r="W48" s="196">
        <f>W42+W44-W45</f>
        <v>2790343.2999999975</v>
      </c>
      <c r="X48" s="209">
        <f t="shared" si="207"/>
        <v>0.12569682730783482</v>
      </c>
      <c r="Y48" s="196">
        <f>Y42+Y44-Y45</f>
        <v>1993497.3499999996</v>
      </c>
      <c r="Z48" s="209">
        <f t="shared" si="208"/>
        <v>0.63149430069379664</v>
      </c>
      <c r="AA48" s="196">
        <f t="shared" ref="AA48:AA72" si="238">W48+Y48</f>
        <v>4783840.6499999966</v>
      </c>
      <c r="AB48" s="209">
        <f t="shared" si="209"/>
        <v>0.18866857513600976</v>
      </c>
      <c r="AC48" s="245">
        <f t="shared" si="172"/>
        <v>357253.87999999523</v>
      </c>
      <c r="AD48" s="196">
        <f>AD42+AD44-AD45</f>
        <v>0</v>
      </c>
      <c r="AE48" s="209" t="e">
        <f t="shared" si="210"/>
        <v>#DIV/0!</v>
      </c>
      <c r="AF48" s="196">
        <f>AF42+AF44-AF45</f>
        <v>0</v>
      </c>
      <c r="AG48" s="209" t="e">
        <f t="shared" si="211"/>
        <v>#DIV/0!</v>
      </c>
      <c r="AH48" s="196">
        <f t="shared" ref="AH48:AH72" si="239">AD48+AF48</f>
        <v>0</v>
      </c>
      <c r="AI48" s="209" t="e">
        <f t="shared" si="212"/>
        <v>#DIV/0!</v>
      </c>
      <c r="AJ48" s="245">
        <f t="shared" si="84"/>
        <v>-4783840.6499999966</v>
      </c>
      <c r="AK48" s="196">
        <f>AK42+AK44-AK45</f>
        <v>0</v>
      </c>
      <c r="AL48" s="209" t="e">
        <f t="shared" si="213"/>
        <v>#DIV/0!</v>
      </c>
      <c r="AM48" s="196">
        <f>AM42+AM44-AM45</f>
        <v>0</v>
      </c>
      <c r="AN48" s="209" t="e">
        <f t="shared" si="214"/>
        <v>#DIV/0!</v>
      </c>
      <c r="AO48" s="196">
        <f t="shared" ref="AO48:AO72" si="240">AK48+AM48</f>
        <v>0</v>
      </c>
      <c r="AP48" s="209" t="e">
        <f t="shared" si="215"/>
        <v>#DIV/0!</v>
      </c>
      <c r="AQ48" s="245">
        <f t="shared" si="177"/>
        <v>0</v>
      </c>
      <c r="AR48" s="196">
        <f>AR42+AR44-AR45</f>
        <v>0</v>
      </c>
      <c r="AS48" s="209" t="e">
        <f t="shared" si="216"/>
        <v>#DIV/0!</v>
      </c>
      <c r="AT48" s="382">
        <f>AT42+AT44-AT45</f>
        <v>0</v>
      </c>
      <c r="AU48" s="209" t="e">
        <f t="shared" si="217"/>
        <v>#DIV/0!</v>
      </c>
      <c r="AV48" s="196">
        <f t="shared" ref="AV48:AV72" si="241">AR48+AT48</f>
        <v>0</v>
      </c>
      <c r="AW48" s="209" t="e">
        <f t="shared" si="218"/>
        <v>#DIV/0!</v>
      </c>
      <c r="AX48" s="245">
        <f t="shared" si="180"/>
        <v>0</v>
      </c>
      <c r="AY48" s="196">
        <f>AY42+AY44-AY45</f>
        <v>0</v>
      </c>
      <c r="AZ48" s="209" t="e">
        <f t="shared" si="219"/>
        <v>#DIV/0!</v>
      </c>
      <c r="BA48" s="196">
        <f>BA42+BA44-BA45</f>
        <v>0</v>
      </c>
      <c r="BB48" s="209" t="e">
        <f t="shared" si="220"/>
        <v>#DIV/0!</v>
      </c>
      <c r="BC48" s="196">
        <f t="shared" ref="BC48:BC72" si="242">AY48+BA48</f>
        <v>0</v>
      </c>
      <c r="BD48" s="209" t="e">
        <f t="shared" si="221"/>
        <v>#DIV/0!</v>
      </c>
      <c r="BE48" s="245">
        <f t="shared" si="183"/>
        <v>0</v>
      </c>
      <c r="BF48" s="196">
        <f>BF42+BF44-BF45</f>
        <v>0</v>
      </c>
      <c r="BG48" s="209" t="e">
        <f t="shared" si="222"/>
        <v>#DIV/0!</v>
      </c>
      <c r="BH48" s="196">
        <f>BH42+BH44-BH45</f>
        <v>0</v>
      </c>
      <c r="BI48" s="209" t="e">
        <f t="shared" si="223"/>
        <v>#DIV/0!</v>
      </c>
      <c r="BJ48" s="196">
        <f t="shared" ref="BJ48:BJ71" si="243">BF48+BH48</f>
        <v>0</v>
      </c>
      <c r="BK48" s="209" t="e">
        <f t="shared" si="224"/>
        <v>#DIV/0!</v>
      </c>
      <c r="BL48" s="245">
        <f t="shared" si="186"/>
        <v>0</v>
      </c>
      <c r="BM48" s="196">
        <f>BM42+BM44-BM45</f>
        <v>0</v>
      </c>
      <c r="BN48" s="209" t="e">
        <f t="shared" si="225"/>
        <v>#DIV/0!</v>
      </c>
      <c r="BO48" s="196">
        <f>BO42+BO44-BO45</f>
        <v>0</v>
      </c>
      <c r="BP48" s="209" t="e">
        <f t="shared" si="226"/>
        <v>#DIV/0!</v>
      </c>
      <c r="BQ48" s="196">
        <f t="shared" ref="BQ48:BQ72" si="244">BM48+BO48</f>
        <v>0</v>
      </c>
      <c r="BR48" s="209" t="e">
        <f t="shared" si="227"/>
        <v>#DIV/0!</v>
      </c>
      <c r="BS48" s="245">
        <f t="shared" si="189"/>
        <v>0</v>
      </c>
      <c r="BT48" s="196">
        <f>BT42+BT44-BT45</f>
        <v>0</v>
      </c>
      <c r="BU48" s="209" t="e">
        <f t="shared" si="228"/>
        <v>#DIV/0!</v>
      </c>
      <c r="BV48" s="196">
        <f>BV42+BV44-BV45</f>
        <v>0</v>
      </c>
      <c r="BW48" s="209" t="e">
        <f t="shared" si="229"/>
        <v>#DIV/0!</v>
      </c>
      <c r="BX48" s="196">
        <f t="shared" ref="BX48:BX72" si="245">BT48+BV48</f>
        <v>0</v>
      </c>
      <c r="BY48" s="209" t="e">
        <f t="shared" si="230"/>
        <v>#DIV/0!</v>
      </c>
      <c r="BZ48" s="245">
        <f t="shared" si="192"/>
        <v>0</v>
      </c>
      <c r="CA48" s="196">
        <f>CA42+CA44-CA45</f>
        <v>0</v>
      </c>
      <c r="CB48" s="209" t="e">
        <f t="shared" si="231"/>
        <v>#DIV/0!</v>
      </c>
      <c r="CC48" s="196">
        <f>CC42+CC44-CC45</f>
        <v>0</v>
      </c>
      <c r="CD48" s="209" t="e">
        <f t="shared" si="232"/>
        <v>#DIV/0!</v>
      </c>
      <c r="CE48" s="196">
        <f t="shared" ref="CE48:CE72" si="246">CA48+CC48</f>
        <v>0</v>
      </c>
      <c r="CF48" s="209" t="e">
        <f t="shared" si="233"/>
        <v>#DIV/0!</v>
      </c>
      <c r="CG48" s="245">
        <f t="shared" si="195"/>
        <v>0</v>
      </c>
      <c r="CH48" s="268">
        <f>CH42+CH44-CH45</f>
        <v>8944910.6800000202</v>
      </c>
      <c r="CI48" s="267">
        <f>CH48/$CH$10</f>
        <v>8.9326420766383086E-2</v>
      </c>
      <c r="CJ48" s="268">
        <f>CJ42+CJ44-CJ45</f>
        <v>8340700.8499999959</v>
      </c>
      <c r="CK48" s="269">
        <f t="shared" ref="CK48:CK72" si="247">CJ48/$CJ$10</f>
        <v>0.58827059132865345</v>
      </c>
      <c r="CL48" s="268">
        <f>CL42+CL44-CL45</f>
        <v>17285611.53000002</v>
      </c>
      <c r="CM48" s="270">
        <f t="shared" ref="CM48:CM72" si="248">CL48/$CL$10</f>
        <v>0.15120944528998537</v>
      </c>
    </row>
    <row r="49" spans="2:91" s="238" customFormat="1" ht="10.35" customHeight="1" thickBot="1">
      <c r="B49" s="266" t="s">
        <v>26</v>
      </c>
      <c r="C49" s="196">
        <f>IFERROR(C50-C57,"")</f>
        <v>7647475.4799999986</v>
      </c>
      <c r="D49" s="213">
        <f>C49/$C$10</f>
        <v>0.23243894409038288</v>
      </c>
      <c r="E49" s="196">
        <f>IFERROR(E50-E57,"")</f>
        <v>220345.98</v>
      </c>
      <c r="F49" s="213">
        <f t="shared" si="199"/>
        <v>5.575940310098388E-2</v>
      </c>
      <c r="G49" s="196">
        <f>C49+E49</f>
        <v>7867821.459999999</v>
      </c>
      <c r="H49" s="213">
        <f t="shared" si="200"/>
        <v>0.21349355413112697</v>
      </c>
      <c r="I49" s="196">
        <f>IFERROR(I50-I57,"")</f>
        <v>2674807.5699999994</v>
      </c>
      <c r="J49" s="213">
        <f t="shared" si="201"/>
        <v>0.12599174204094155</v>
      </c>
      <c r="K49" s="196">
        <f>IFERROR(K50-K57,"")</f>
        <v>220769</v>
      </c>
      <c r="L49" s="213">
        <f t="shared" si="202"/>
        <v>6.456679119259004E-2</v>
      </c>
      <c r="M49" s="196">
        <f t="shared" si="236"/>
        <v>2895576.5699999994</v>
      </c>
      <c r="N49" s="213">
        <f t="shared" si="203"/>
        <v>0.1174711481906667</v>
      </c>
      <c r="O49" s="245">
        <f t="shared" si="32"/>
        <v>-4972244.8899999997</v>
      </c>
      <c r="P49" s="196">
        <f>IFERROR(P50-P57,"")</f>
        <v>6846239.0300000003</v>
      </c>
      <c r="Q49" s="213">
        <f t="shared" si="204"/>
        <v>0.28756866023855676</v>
      </c>
      <c r="R49" s="196">
        <f>IFERROR(R50-R57,"")</f>
        <v>220258.18</v>
      </c>
      <c r="S49" s="213">
        <f t="shared" si="205"/>
        <v>6.0335044315943991E-2</v>
      </c>
      <c r="T49" s="196">
        <f t="shared" si="237"/>
        <v>7066497.21</v>
      </c>
      <c r="U49" s="213">
        <f t="shared" si="206"/>
        <v>0.25735748614439774</v>
      </c>
      <c r="V49" s="245">
        <f t="shared" si="169"/>
        <v>4170920.6400000006</v>
      </c>
      <c r="W49" s="196">
        <f>IFERROR(W50-W57,"")</f>
        <v>5549732.1499999994</v>
      </c>
      <c r="X49" s="209">
        <f t="shared" si="207"/>
        <v>0.2499992469253835</v>
      </c>
      <c r="Y49" s="196">
        <f>IFERROR(Y50-Y57,"")</f>
        <v>221889.58</v>
      </c>
      <c r="Z49" s="209">
        <f t="shared" si="208"/>
        <v>7.0289536704596201E-2</v>
      </c>
      <c r="AA49" s="196">
        <f t="shared" si="238"/>
        <v>5771621.7299999995</v>
      </c>
      <c r="AB49" s="209">
        <f t="shared" si="209"/>
        <v>0.22762540136514212</v>
      </c>
      <c r="AC49" s="245">
        <f t="shared" si="172"/>
        <v>-1294875.4800000004</v>
      </c>
      <c r="AD49" s="196">
        <f>IFERROR(AD50-AD57,"")</f>
        <v>0</v>
      </c>
      <c r="AE49" s="209" t="e">
        <f t="shared" si="210"/>
        <v>#DIV/0!</v>
      </c>
      <c r="AF49" s="196">
        <f>IFERROR(AF50-AF57,"")</f>
        <v>0</v>
      </c>
      <c r="AG49" s="209" t="e">
        <f t="shared" si="211"/>
        <v>#DIV/0!</v>
      </c>
      <c r="AH49" s="196">
        <f t="shared" si="239"/>
        <v>0</v>
      </c>
      <c r="AI49" s="209" t="e">
        <f t="shared" si="212"/>
        <v>#DIV/0!</v>
      </c>
      <c r="AJ49" s="245">
        <f t="shared" si="84"/>
        <v>-5771621.7299999995</v>
      </c>
      <c r="AK49" s="196">
        <f>IFERROR(AK50-AK57,"")</f>
        <v>0</v>
      </c>
      <c r="AL49" s="209" t="e">
        <f t="shared" si="213"/>
        <v>#DIV/0!</v>
      </c>
      <c r="AM49" s="196">
        <f>IFERROR(AM50-AM57,"")</f>
        <v>0</v>
      </c>
      <c r="AN49" s="209" t="e">
        <f t="shared" si="214"/>
        <v>#DIV/0!</v>
      </c>
      <c r="AO49" s="196">
        <f t="shared" si="240"/>
        <v>0</v>
      </c>
      <c r="AP49" s="209" t="e">
        <f t="shared" si="215"/>
        <v>#DIV/0!</v>
      </c>
      <c r="AQ49" s="245">
        <f t="shared" si="177"/>
        <v>0</v>
      </c>
      <c r="AR49" s="196">
        <f>IFERROR(AR50-AR57,"")</f>
        <v>0</v>
      </c>
      <c r="AS49" s="209" t="e">
        <f t="shared" si="216"/>
        <v>#DIV/0!</v>
      </c>
      <c r="AT49" s="382">
        <f>IFERROR(AT50-AT57,"")</f>
        <v>0</v>
      </c>
      <c r="AU49" s="209" t="e">
        <f t="shared" si="217"/>
        <v>#DIV/0!</v>
      </c>
      <c r="AV49" s="196">
        <f t="shared" si="241"/>
        <v>0</v>
      </c>
      <c r="AW49" s="209" t="e">
        <f t="shared" si="218"/>
        <v>#DIV/0!</v>
      </c>
      <c r="AX49" s="245">
        <f t="shared" si="180"/>
        <v>0</v>
      </c>
      <c r="AY49" s="196">
        <f>IFERROR(AY50-AY57,"")</f>
        <v>0</v>
      </c>
      <c r="AZ49" s="209" t="e">
        <f t="shared" si="219"/>
        <v>#DIV/0!</v>
      </c>
      <c r="BA49" s="196">
        <f>IFERROR(BA50-BA57,"")</f>
        <v>0</v>
      </c>
      <c r="BB49" s="209" t="e">
        <f t="shared" si="220"/>
        <v>#DIV/0!</v>
      </c>
      <c r="BC49" s="196">
        <f t="shared" si="242"/>
        <v>0</v>
      </c>
      <c r="BD49" s="209" t="e">
        <f t="shared" si="221"/>
        <v>#DIV/0!</v>
      </c>
      <c r="BE49" s="245">
        <f t="shared" si="183"/>
        <v>0</v>
      </c>
      <c r="BF49" s="196">
        <f>IFERROR(BF50-BF57,"")</f>
        <v>0</v>
      </c>
      <c r="BG49" s="209" t="e">
        <f t="shared" si="222"/>
        <v>#DIV/0!</v>
      </c>
      <c r="BH49" s="196">
        <f>IFERROR(BH50-BH57,"")</f>
        <v>0</v>
      </c>
      <c r="BI49" s="209" t="e">
        <f t="shared" si="223"/>
        <v>#DIV/0!</v>
      </c>
      <c r="BJ49" s="196">
        <f t="shared" si="243"/>
        <v>0</v>
      </c>
      <c r="BK49" s="209" t="e">
        <f t="shared" si="224"/>
        <v>#DIV/0!</v>
      </c>
      <c r="BL49" s="245">
        <f t="shared" si="186"/>
        <v>0</v>
      </c>
      <c r="BM49" s="196">
        <f>IFERROR(BM50-BM57,"")</f>
        <v>0</v>
      </c>
      <c r="BN49" s="209" t="e">
        <f t="shared" si="225"/>
        <v>#DIV/0!</v>
      </c>
      <c r="BO49" s="196">
        <f>IFERROR(BO50-BO57,"")</f>
        <v>0</v>
      </c>
      <c r="BP49" s="209" t="e">
        <f t="shared" si="226"/>
        <v>#DIV/0!</v>
      </c>
      <c r="BQ49" s="196">
        <f t="shared" si="244"/>
        <v>0</v>
      </c>
      <c r="BR49" s="209" t="e">
        <f t="shared" si="227"/>
        <v>#DIV/0!</v>
      </c>
      <c r="BS49" s="245">
        <f t="shared" si="189"/>
        <v>0</v>
      </c>
      <c r="BT49" s="196">
        <f>IFERROR(BT50-BT57,"")</f>
        <v>0</v>
      </c>
      <c r="BU49" s="209" t="e">
        <f t="shared" si="228"/>
        <v>#DIV/0!</v>
      </c>
      <c r="BV49" s="196">
        <f>IFERROR(BV50-BV57,"")</f>
        <v>0</v>
      </c>
      <c r="BW49" s="209" t="e">
        <f t="shared" si="229"/>
        <v>#DIV/0!</v>
      </c>
      <c r="BX49" s="196">
        <f t="shared" si="245"/>
        <v>0</v>
      </c>
      <c r="BY49" s="209" t="e">
        <f t="shared" si="230"/>
        <v>#DIV/0!</v>
      </c>
      <c r="BZ49" s="245">
        <f t="shared" si="192"/>
        <v>0</v>
      </c>
      <c r="CA49" s="196">
        <f>IFERROR(CA50-CA57,"")</f>
        <v>0</v>
      </c>
      <c r="CB49" s="209" t="e">
        <f t="shared" si="231"/>
        <v>#DIV/0!</v>
      </c>
      <c r="CC49" s="196">
        <f>IFERROR(CC50-CC57,"")</f>
        <v>0</v>
      </c>
      <c r="CD49" s="209" t="e">
        <f t="shared" si="232"/>
        <v>#DIV/0!</v>
      </c>
      <c r="CE49" s="196">
        <f t="shared" si="246"/>
        <v>0</v>
      </c>
      <c r="CF49" s="209" t="e">
        <f t="shared" si="233"/>
        <v>#DIV/0!</v>
      </c>
      <c r="CG49" s="245">
        <f t="shared" si="195"/>
        <v>0</v>
      </c>
      <c r="CH49" s="268">
        <f>IFERROR(CH50-CH57,"")</f>
        <v>16320910.15</v>
      </c>
      <c r="CI49" s="267">
        <f>CH49/$CH$10</f>
        <v>0.16298524820476232</v>
      </c>
      <c r="CJ49" s="268">
        <f>IFERROR(CJ50-CJ57,"")</f>
        <v>658732.38000000012</v>
      </c>
      <c r="CK49" s="269">
        <f t="shared" si="247"/>
        <v>4.6460470610204363E-2</v>
      </c>
      <c r="CL49" s="268">
        <f>IFERROR(CL50-CL57,"")</f>
        <v>16979642.529999997</v>
      </c>
      <c r="CM49" s="270">
        <f t="shared" si="248"/>
        <v>0.14853291847543565</v>
      </c>
    </row>
    <row r="50" spans="2:91" s="238" customFormat="1" ht="10.35" customHeight="1" thickBot="1">
      <c r="B50" s="257" t="s">
        <v>27</v>
      </c>
      <c r="C50" s="195">
        <f>SUM(C51:C56)</f>
        <v>8586436.2199999988</v>
      </c>
      <c r="D50" s="209">
        <f t="shared" si="198"/>
        <v>0.26097791012155275</v>
      </c>
      <c r="E50" s="195">
        <f>SUM(E51:E56)</f>
        <v>228282.94</v>
      </c>
      <c r="F50" s="209">
        <f t="shared" si="199"/>
        <v>5.7767881549451082E-2</v>
      </c>
      <c r="G50" s="195">
        <f t="shared" ref="G50:G72" si="249">C50+E50</f>
        <v>8814719.1599999983</v>
      </c>
      <c r="H50" s="209">
        <f t="shared" si="200"/>
        <v>0.23918764955504493</v>
      </c>
      <c r="I50" s="195">
        <f>SUM(I51:I56)</f>
        <v>4902049.8499999996</v>
      </c>
      <c r="J50" s="209">
        <f t="shared" si="201"/>
        <v>0.23090176919644217</v>
      </c>
      <c r="K50" s="195">
        <f>SUM(K51:K56)</f>
        <v>228145.88</v>
      </c>
      <c r="L50" s="209">
        <f t="shared" si="202"/>
        <v>6.6724256555085654E-2</v>
      </c>
      <c r="M50" s="195">
        <f t="shared" si="236"/>
        <v>5130195.7299999995</v>
      </c>
      <c r="N50" s="209">
        <f t="shared" si="203"/>
        <v>0.20812780055267391</v>
      </c>
      <c r="O50" s="245">
        <f t="shared" si="32"/>
        <v>-3684523.4299999988</v>
      </c>
      <c r="P50" s="195">
        <f>SUM(P51:P56)</f>
        <v>8810884.2300000004</v>
      </c>
      <c r="Q50" s="209">
        <f t="shared" si="204"/>
        <v>0.37009139798294888</v>
      </c>
      <c r="R50" s="195">
        <f>SUM(R51:R56)</f>
        <v>225716.18</v>
      </c>
      <c r="S50" s="209">
        <f t="shared" si="205"/>
        <v>6.1830147344019599E-2</v>
      </c>
      <c r="T50" s="195">
        <f t="shared" si="237"/>
        <v>9036600.4100000001</v>
      </c>
      <c r="U50" s="209">
        <f t="shared" si="206"/>
        <v>0.32910743409308357</v>
      </c>
      <c r="V50" s="245">
        <f t="shared" si="169"/>
        <v>3906404.6800000006</v>
      </c>
      <c r="W50" s="195">
        <f>SUM(W51:W56)</f>
        <v>6282130.1899999995</v>
      </c>
      <c r="X50" s="213">
        <f t="shared" si="207"/>
        <v>0.28299164250426329</v>
      </c>
      <c r="Y50" s="195">
        <f>SUM(Y51:Y56)</f>
        <v>227587.18</v>
      </c>
      <c r="Z50" s="213">
        <f t="shared" si="208"/>
        <v>7.2094405884699689E-2</v>
      </c>
      <c r="AA50" s="195">
        <f t="shared" si="238"/>
        <v>6509717.3699999992</v>
      </c>
      <c r="AB50" s="213">
        <f t="shared" si="209"/>
        <v>0.25673495222631076</v>
      </c>
      <c r="AC50" s="245">
        <f t="shared" si="172"/>
        <v>-2526883.040000001</v>
      </c>
      <c r="AD50" s="195">
        <f>SUM(AD51:AD56)</f>
        <v>0</v>
      </c>
      <c r="AE50" s="213" t="e">
        <f t="shared" si="210"/>
        <v>#DIV/0!</v>
      </c>
      <c r="AF50" s="195">
        <f>SUM(AF51:AF56)</f>
        <v>0</v>
      </c>
      <c r="AG50" s="213" t="e">
        <f t="shared" si="211"/>
        <v>#DIV/0!</v>
      </c>
      <c r="AH50" s="195">
        <f t="shared" si="239"/>
        <v>0</v>
      </c>
      <c r="AI50" s="213" t="e">
        <f t="shared" si="212"/>
        <v>#DIV/0!</v>
      </c>
      <c r="AJ50" s="245">
        <f t="shared" si="84"/>
        <v>-6509717.3699999992</v>
      </c>
      <c r="AK50" s="195">
        <f>SUM(AK51:AK56)</f>
        <v>0</v>
      </c>
      <c r="AL50" s="213" t="e">
        <f t="shared" si="213"/>
        <v>#DIV/0!</v>
      </c>
      <c r="AM50" s="195">
        <f>SUM(AM51:AM56)</f>
        <v>0</v>
      </c>
      <c r="AN50" s="213" t="e">
        <f t="shared" si="214"/>
        <v>#DIV/0!</v>
      </c>
      <c r="AO50" s="195">
        <f t="shared" si="240"/>
        <v>0</v>
      </c>
      <c r="AP50" s="213" t="e">
        <f t="shared" si="215"/>
        <v>#DIV/0!</v>
      </c>
      <c r="AQ50" s="245">
        <f t="shared" si="177"/>
        <v>0</v>
      </c>
      <c r="AR50" s="195">
        <f>SUM(AR51:AR56)</f>
        <v>0</v>
      </c>
      <c r="AS50" s="213" t="e">
        <f t="shared" si="216"/>
        <v>#DIV/0!</v>
      </c>
      <c r="AT50" s="380">
        <f>SUM(AT51:AT56)</f>
        <v>0</v>
      </c>
      <c r="AU50" s="213" t="e">
        <f t="shared" si="217"/>
        <v>#DIV/0!</v>
      </c>
      <c r="AV50" s="195">
        <f t="shared" si="241"/>
        <v>0</v>
      </c>
      <c r="AW50" s="213" t="e">
        <f t="shared" si="218"/>
        <v>#DIV/0!</v>
      </c>
      <c r="AX50" s="245">
        <f t="shared" si="180"/>
        <v>0</v>
      </c>
      <c r="AY50" s="195">
        <f>SUM(AY51:AY56)</f>
        <v>0</v>
      </c>
      <c r="AZ50" s="213" t="e">
        <f t="shared" si="219"/>
        <v>#DIV/0!</v>
      </c>
      <c r="BA50" s="195">
        <f>SUM(BA51:BA56)</f>
        <v>0</v>
      </c>
      <c r="BB50" s="213" t="e">
        <f t="shared" si="220"/>
        <v>#DIV/0!</v>
      </c>
      <c r="BC50" s="195">
        <f t="shared" si="242"/>
        <v>0</v>
      </c>
      <c r="BD50" s="213" t="e">
        <f t="shared" si="221"/>
        <v>#DIV/0!</v>
      </c>
      <c r="BE50" s="245">
        <f t="shared" si="183"/>
        <v>0</v>
      </c>
      <c r="BF50" s="195">
        <f>SUM(BF51:BF56)</f>
        <v>0</v>
      </c>
      <c r="BG50" s="213" t="e">
        <f t="shared" si="222"/>
        <v>#DIV/0!</v>
      </c>
      <c r="BH50" s="195">
        <f>SUM(BH51:BH56)</f>
        <v>0</v>
      </c>
      <c r="BI50" s="213" t="e">
        <f t="shared" si="223"/>
        <v>#DIV/0!</v>
      </c>
      <c r="BJ50" s="195">
        <f t="shared" si="243"/>
        <v>0</v>
      </c>
      <c r="BK50" s="213" t="e">
        <f t="shared" si="224"/>
        <v>#DIV/0!</v>
      </c>
      <c r="BL50" s="245">
        <f t="shared" si="186"/>
        <v>0</v>
      </c>
      <c r="BM50" s="195">
        <f>SUM(BM51:BM56)</f>
        <v>0</v>
      </c>
      <c r="BN50" s="213" t="e">
        <f t="shared" si="225"/>
        <v>#DIV/0!</v>
      </c>
      <c r="BO50" s="195">
        <f>SUM(BO51:BO56)</f>
        <v>0</v>
      </c>
      <c r="BP50" s="213" t="e">
        <f t="shared" si="226"/>
        <v>#DIV/0!</v>
      </c>
      <c r="BQ50" s="195">
        <f t="shared" si="244"/>
        <v>0</v>
      </c>
      <c r="BR50" s="213" t="e">
        <f t="shared" si="227"/>
        <v>#DIV/0!</v>
      </c>
      <c r="BS50" s="245">
        <f t="shared" si="189"/>
        <v>0</v>
      </c>
      <c r="BT50" s="195">
        <f>SUM(BT51:BT56)</f>
        <v>0</v>
      </c>
      <c r="BU50" s="213" t="e">
        <f t="shared" si="228"/>
        <v>#DIV/0!</v>
      </c>
      <c r="BV50" s="195">
        <f>SUM(BV51:BV56)</f>
        <v>0</v>
      </c>
      <c r="BW50" s="213" t="e">
        <f t="shared" si="229"/>
        <v>#DIV/0!</v>
      </c>
      <c r="BX50" s="195">
        <f t="shared" si="245"/>
        <v>0</v>
      </c>
      <c r="BY50" s="213" t="e">
        <f t="shared" si="230"/>
        <v>#DIV/0!</v>
      </c>
      <c r="BZ50" s="245">
        <f t="shared" si="192"/>
        <v>0</v>
      </c>
      <c r="CA50" s="195">
        <f>SUM(CA51:CA56)</f>
        <v>0</v>
      </c>
      <c r="CB50" s="213" t="e">
        <f t="shared" si="231"/>
        <v>#DIV/0!</v>
      </c>
      <c r="CC50" s="195">
        <f>SUM(CC51:CC56)</f>
        <v>0</v>
      </c>
      <c r="CD50" s="213" t="e">
        <f t="shared" si="232"/>
        <v>#DIV/0!</v>
      </c>
      <c r="CE50" s="195">
        <f t="shared" si="246"/>
        <v>0</v>
      </c>
      <c r="CF50" s="213" t="e">
        <f t="shared" si="233"/>
        <v>#DIV/0!</v>
      </c>
      <c r="CG50" s="245">
        <f t="shared" si="195"/>
        <v>0</v>
      </c>
      <c r="CH50" s="265">
        <f>IF(SUM(CH51:CH54)=0,"",SUM(CH51:CH54))</f>
        <v>22184156.41</v>
      </c>
      <c r="CI50" s="246">
        <f>CH50/$CH$10</f>
        <v>0.22153729206683481</v>
      </c>
      <c r="CJ50" s="265">
        <f>IF(SUM(CJ51:CJ54)=0,"",SUM(CJ51:CJ54))</f>
        <v>685201.82000000007</v>
      </c>
      <c r="CK50" s="259">
        <f t="shared" si="247"/>
        <v>4.8327363261190436E-2</v>
      </c>
      <c r="CL50" s="242">
        <f>IF(SUM(CL51:CL54)=0,"",SUM(CL51:CL54))</f>
        <v>22869358.229999997</v>
      </c>
      <c r="CM50" s="247">
        <f t="shared" si="248"/>
        <v>0.20005441902327983</v>
      </c>
    </row>
    <row r="51" spans="2:91" s="238" customFormat="1" ht="10.35" customHeight="1" thickBot="1">
      <c r="B51" s="240" t="s">
        <v>28</v>
      </c>
      <c r="C51" s="190">
        <f>SUMIF('MVTO E'!$C$3:$C$240,"Empres_S",'MVTO E'!$G$3:$G$240)</f>
        <v>5825866.4000000004</v>
      </c>
      <c r="D51" s="209">
        <f t="shared" si="198"/>
        <v>0.17707258270642282</v>
      </c>
      <c r="E51" s="190">
        <f>SUMIF('MVTO A'!$C$3:$C$184,"Empres_S",'MVTO A'!$G$3:$G$184)</f>
        <v>87936.960000000006</v>
      </c>
      <c r="F51" s="209">
        <f t="shared" si="199"/>
        <v>2.2252788093139235E-2</v>
      </c>
      <c r="G51" s="190">
        <f t="shared" si="249"/>
        <v>5913803.3600000003</v>
      </c>
      <c r="H51" s="209">
        <f t="shared" si="200"/>
        <v>0.16047121864392189</v>
      </c>
      <c r="I51" s="190">
        <f>SUMIF('MVTO E'!$C$3:$C$240,"Empres_S",'MVTO E'!$H$3:$H$240)</f>
        <v>2365724.1599999997</v>
      </c>
      <c r="J51" s="209">
        <f t="shared" si="201"/>
        <v>0.1114329537009435</v>
      </c>
      <c r="K51" s="190">
        <f>SUMIF('MVTO A'!$C$3:$C$184,"Empres_S",'MVTO A'!$H$3:$H$184)</f>
        <v>87376.87</v>
      </c>
      <c r="L51" s="209">
        <f t="shared" si="202"/>
        <v>2.5554512274604157E-2</v>
      </c>
      <c r="M51" s="190">
        <f t="shared" si="236"/>
        <v>2453101.0299999998</v>
      </c>
      <c r="N51" s="209">
        <f t="shared" si="203"/>
        <v>9.952028124809946E-2</v>
      </c>
      <c r="O51" s="245">
        <f t="shared" si="32"/>
        <v>-3460702.3300000005</v>
      </c>
      <c r="P51" s="190">
        <f>SUMIF('MVTO E'!$C$3:$C$240,"Empres_S",'MVTO E'!$I$3:$I$240)</f>
        <v>5328894.2</v>
      </c>
      <c r="Q51" s="209">
        <f t="shared" si="204"/>
        <v>0.22383427732102071</v>
      </c>
      <c r="R51" s="190">
        <f>SUMIF('MVTO A'!$C$3:$C$184,"Empres_S",'MVTO A'!$I$3:$I$184)</f>
        <v>85458</v>
      </c>
      <c r="S51" s="209">
        <f t="shared" si="205"/>
        <v>2.3409401717347986E-2</v>
      </c>
      <c r="T51" s="190">
        <f t="shared" si="237"/>
        <v>5414352.2000000002</v>
      </c>
      <c r="U51" s="209">
        <f t="shared" si="206"/>
        <v>0.19718738009554657</v>
      </c>
      <c r="V51" s="245">
        <f t="shared" si="169"/>
        <v>2961251.1700000004</v>
      </c>
      <c r="W51" s="190">
        <f>SUMIF('MVTO E'!$C$3:$C$240,"Empres_S",'MVTO E'!$J$3:$J$240)</f>
        <v>3080492.7899999996</v>
      </c>
      <c r="X51" s="213">
        <f t="shared" si="207"/>
        <v>0.13876721557797586</v>
      </c>
      <c r="Y51" s="190">
        <f>SUMIF('MVTO A'!$C$3:$C$184,"Empres_S",'MVTO A'!$J$3:$J$184)</f>
        <v>85697.59</v>
      </c>
      <c r="Z51" s="213">
        <f t="shared" si="208"/>
        <v>2.7147033663322252E-2</v>
      </c>
      <c r="AA51" s="190">
        <f t="shared" si="238"/>
        <v>3166190.3799999994</v>
      </c>
      <c r="AB51" s="213">
        <f t="shared" si="209"/>
        <v>0.12487051122907733</v>
      </c>
      <c r="AC51" s="245">
        <f t="shared" si="172"/>
        <v>-2248161.8200000008</v>
      </c>
      <c r="AD51" s="190">
        <f>SUMIF('MVTO E'!$C$3:$C$240,"Empres_S",'MVTO E'!$K$3:$K$240)</f>
        <v>0</v>
      </c>
      <c r="AE51" s="213" t="e">
        <f t="shared" si="210"/>
        <v>#DIV/0!</v>
      </c>
      <c r="AF51" s="190">
        <f>SUMIF('MVTO A'!$C$3:$C$184,"Empres_S",'MVTO A'!$K$3:$K$184)</f>
        <v>0</v>
      </c>
      <c r="AG51" s="213" t="e">
        <f t="shared" si="211"/>
        <v>#DIV/0!</v>
      </c>
      <c r="AH51" s="190">
        <f t="shared" si="239"/>
        <v>0</v>
      </c>
      <c r="AI51" s="213" t="e">
        <f t="shared" si="212"/>
        <v>#DIV/0!</v>
      </c>
      <c r="AJ51" s="245">
        <f t="shared" si="84"/>
        <v>-3166190.3799999994</v>
      </c>
      <c r="AK51" s="190">
        <f>SUMIF('MVTO E'!$C$3:$C$240,"Empres_S",'MVTO E'!$L$3:$L$240)</f>
        <v>0</v>
      </c>
      <c r="AL51" s="213" t="e">
        <f t="shared" si="213"/>
        <v>#DIV/0!</v>
      </c>
      <c r="AM51" s="190">
        <f>SUMIF('MVTO A'!$C$3:$C$184,"Empres_S",'MVTO A'!$L$3:$L$184)</f>
        <v>0</v>
      </c>
      <c r="AN51" s="213" t="e">
        <f t="shared" si="214"/>
        <v>#DIV/0!</v>
      </c>
      <c r="AO51" s="190">
        <f t="shared" si="240"/>
        <v>0</v>
      </c>
      <c r="AP51" s="213" t="e">
        <f t="shared" si="215"/>
        <v>#DIV/0!</v>
      </c>
      <c r="AQ51" s="245">
        <f t="shared" si="177"/>
        <v>0</v>
      </c>
      <c r="AR51" s="190">
        <f>SUMIF('MVTO E'!$C$3:$C$240,"Empres_S",'MVTO E'!$M$3:$M$240)</f>
        <v>0</v>
      </c>
      <c r="AS51" s="213" t="e">
        <f t="shared" si="216"/>
        <v>#DIV/0!</v>
      </c>
      <c r="AT51" s="381">
        <f>SUMIF('MVTO A'!$C$3:$C$184,"Empres_S",'MVTO A'!$M$3:$M$189)</f>
        <v>0</v>
      </c>
      <c r="AU51" s="213" t="e">
        <f t="shared" si="217"/>
        <v>#DIV/0!</v>
      </c>
      <c r="AV51" s="190">
        <f t="shared" si="241"/>
        <v>0</v>
      </c>
      <c r="AW51" s="213" t="e">
        <f t="shared" si="218"/>
        <v>#DIV/0!</v>
      </c>
      <c r="AX51" s="245">
        <f t="shared" si="180"/>
        <v>0</v>
      </c>
      <c r="AY51" s="190">
        <f>SUMIF('MVTO E'!$C$3:$C$240,"Empres_S",'MVTO E'!$N$3:$N$240)</f>
        <v>0</v>
      </c>
      <c r="AZ51" s="213" t="e">
        <f t="shared" si="219"/>
        <v>#DIV/0!</v>
      </c>
      <c r="BA51" s="190">
        <f>SUMIF('MVTO A'!$C$3:$C$184,"Empres_S",'MVTO A'!$N$3:$N$189)</f>
        <v>0</v>
      </c>
      <c r="BB51" s="213" t="e">
        <f t="shared" si="220"/>
        <v>#DIV/0!</v>
      </c>
      <c r="BC51" s="190">
        <f t="shared" si="242"/>
        <v>0</v>
      </c>
      <c r="BD51" s="213" t="e">
        <f t="shared" si="221"/>
        <v>#DIV/0!</v>
      </c>
      <c r="BE51" s="245">
        <f t="shared" si="183"/>
        <v>0</v>
      </c>
      <c r="BF51" s="190">
        <f>SUMIF('MVTO E'!$C$3:$C$240,"Empres_S",'MVTO E'!$O$3:$O$240)</f>
        <v>0</v>
      </c>
      <c r="BG51" s="213" t="e">
        <f t="shared" si="222"/>
        <v>#DIV/0!</v>
      </c>
      <c r="BH51" s="190">
        <f>SUMIF('MVTO A'!$C$3:$C$184,"Empres_S",'MVTO A'!$O$3:$O$189)</f>
        <v>0</v>
      </c>
      <c r="BI51" s="213" t="e">
        <f t="shared" si="223"/>
        <v>#DIV/0!</v>
      </c>
      <c r="BJ51" s="190">
        <f t="shared" si="243"/>
        <v>0</v>
      </c>
      <c r="BK51" s="213" t="e">
        <f t="shared" si="224"/>
        <v>#DIV/0!</v>
      </c>
      <c r="BL51" s="245">
        <f t="shared" si="186"/>
        <v>0</v>
      </c>
      <c r="BM51" s="190">
        <f>SUMIF('MVTO E'!$C$3:$C$240,"Empres_S",'MVTO E'!$P$3:$P$240)</f>
        <v>0</v>
      </c>
      <c r="BN51" s="213" t="e">
        <f t="shared" si="225"/>
        <v>#DIV/0!</v>
      </c>
      <c r="BO51" s="190">
        <f>SUMIF('MVTO A'!$C$3:$C$184,"Empres_S",'MVTO A'!$P$3:$P$189)</f>
        <v>0</v>
      </c>
      <c r="BP51" s="213" t="e">
        <f t="shared" si="226"/>
        <v>#DIV/0!</v>
      </c>
      <c r="BQ51" s="190">
        <f t="shared" si="244"/>
        <v>0</v>
      </c>
      <c r="BR51" s="213" t="e">
        <f t="shared" si="227"/>
        <v>#DIV/0!</v>
      </c>
      <c r="BS51" s="245">
        <f t="shared" si="189"/>
        <v>0</v>
      </c>
      <c r="BT51" s="190">
        <f>SUMIF('MVTO E'!$C$3:$C$240,"Empres_S",'MVTO E'!$Q$3:$Q$240)</f>
        <v>0</v>
      </c>
      <c r="BU51" s="213" t="e">
        <f t="shared" si="228"/>
        <v>#DIV/0!</v>
      </c>
      <c r="BV51" s="190">
        <f>SUMIF('MVTO A'!$C$3:$C$184,"Empres_S",'MVTO A'!$Q$3:$Q$189)</f>
        <v>0</v>
      </c>
      <c r="BW51" s="213" t="e">
        <f t="shared" si="229"/>
        <v>#DIV/0!</v>
      </c>
      <c r="BX51" s="190">
        <f t="shared" si="245"/>
        <v>0</v>
      </c>
      <c r="BY51" s="213" t="e">
        <f t="shared" si="230"/>
        <v>#DIV/0!</v>
      </c>
      <c r="BZ51" s="245">
        <f t="shared" si="192"/>
        <v>0</v>
      </c>
      <c r="CA51" s="190">
        <f>SUMIF('MVTO E'!$C$3:$C$240,"Empres_S",'MVTO E'!$R$3:$R$240)</f>
        <v>0</v>
      </c>
      <c r="CB51" s="213" t="e">
        <f t="shared" si="231"/>
        <v>#DIV/0!</v>
      </c>
      <c r="CC51" s="190">
        <f>SUMIF('MVTO A'!$C$3:$C$184,"Empres_S",'MVTO A'!$R$3:$R$189)</f>
        <v>0</v>
      </c>
      <c r="CD51" s="213" t="e">
        <f t="shared" si="232"/>
        <v>#DIV/0!</v>
      </c>
      <c r="CE51" s="190">
        <f t="shared" si="246"/>
        <v>0</v>
      </c>
      <c r="CF51" s="213" t="e">
        <f t="shared" si="233"/>
        <v>#DIV/0!</v>
      </c>
      <c r="CG51" s="245">
        <f t="shared" si="195"/>
        <v>0</v>
      </c>
      <c r="CH51" s="242">
        <f t="shared" ref="CH51:CL56" si="250">SUM(C51,I51,P51,W51,AD51,AK51,AR51,AY51,BF51,BM51,BT51,CA51)</f>
        <v>16600977.550000001</v>
      </c>
      <c r="CI51" s="246">
        <f t="shared" ref="CI51:CI67" si="251">CH51/$CH$10</f>
        <v>0.16578208087423588</v>
      </c>
      <c r="CJ51" s="242">
        <f t="shared" si="250"/>
        <v>346469.42000000004</v>
      </c>
      <c r="CK51" s="259">
        <f t="shared" si="247"/>
        <v>2.4436528086329307E-2</v>
      </c>
      <c r="CL51" s="242">
        <f t="shared" si="250"/>
        <v>16947446.969999999</v>
      </c>
      <c r="CM51" s="247">
        <f t="shared" si="248"/>
        <v>0.14825128118652914</v>
      </c>
    </row>
    <row r="52" spans="2:91" s="238" customFormat="1" ht="10.35" customHeight="1" thickBot="1">
      <c r="B52" s="240" t="s">
        <v>29</v>
      </c>
      <c r="C52" s="190">
        <f>SUMIF('MVTO E'!$C$3:$C$240,"Investimentos",'MVTO E'!$G$3:$G$240)</f>
        <v>600</v>
      </c>
      <c r="D52" s="209">
        <f t="shared" si="198"/>
        <v>1.8236523519292116E-5</v>
      </c>
      <c r="E52" s="190">
        <f>SUMIF('MVTO A'!$C$3:$C$177,"Investimentos",'MVTO A'!$G$3:$G$177)</f>
        <v>0</v>
      </c>
      <c r="F52" s="209">
        <f t="shared" si="199"/>
        <v>0</v>
      </c>
      <c r="G52" s="190">
        <f t="shared" si="249"/>
        <v>600</v>
      </c>
      <c r="H52" s="209">
        <f t="shared" si="200"/>
        <v>1.6281016686755905E-5</v>
      </c>
      <c r="I52" s="190">
        <f>SUMIF('MVTO E'!$C$3:$C$240,"Investimentos",'MVTO E'!$H$3:$H$240)</f>
        <v>200</v>
      </c>
      <c r="J52" s="209">
        <f t="shared" si="201"/>
        <v>9.4206210161833505E-6</v>
      </c>
      <c r="K52" s="190">
        <f>SUMIF('MVTO A'!$C$3:$C$177,"Investimentos",'MVTO A'!$H$3:$H$177)</f>
        <v>0</v>
      </c>
      <c r="L52" s="209">
        <f t="shared" si="202"/>
        <v>0</v>
      </c>
      <c r="M52" s="190">
        <f t="shared" si="236"/>
        <v>200</v>
      </c>
      <c r="N52" s="209">
        <f t="shared" si="203"/>
        <v>8.1138346958420603E-6</v>
      </c>
      <c r="O52" s="245">
        <f t="shared" si="32"/>
        <v>-400</v>
      </c>
      <c r="P52" s="190">
        <f>SUMIF('MVTO E'!$C$3:$C$240,"Investimentos",'MVTO E'!$I$3:$I$240)</f>
        <v>200</v>
      </c>
      <c r="Q52" s="209">
        <f t="shared" si="204"/>
        <v>8.4007776818320285E-6</v>
      </c>
      <c r="R52" s="190">
        <f>SUMIF('MVTO A'!$C$3:$C$177,"Investimentos",'MVTO A'!$I$3:$I$177)</f>
        <v>0</v>
      </c>
      <c r="S52" s="209">
        <f t="shared" si="205"/>
        <v>0</v>
      </c>
      <c r="T52" s="190">
        <f t="shared" si="237"/>
        <v>200</v>
      </c>
      <c r="U52" s="209">
        <f t="shared" si="206"/>
        <v>7.283877103360456E-6</v>
      </c>
      <c r="V52" s="245">
        <f t="shared" si="169"/>
        <v>0</v>
      </c>
      <c r="W52" s="190">
        <f>SUMIF('MVTO E'!$C$3:$C$240,"Investimentos",'MVTO E'!$J$3:$J$240)</f>
        <v>200</v>
      </c>
      <c r="X52" s="209">
        <f t="shared" si="207"/>
        <v>9.0094166769970522E-6</v>
      </c>
      <c r="Y52" s="190">
        <f>SUMIF('MVTO A'!$C$3:$C$177,"Investimentos",'MVTO A'!$J$3:$J$184)</f>
        <v>0</v>
      </c>
      <c r="Z52" s="209">
        <f t="shared" si="208"/>
        <v>0</v>
      </c>
      <c r="AA52" s="190">
        <f t="shared" si="238"/>
        <v>200</v>
      </c>
      <c r="AB52" s="209">
        <f t="shared" si="209"/>
        <v>7.8877449706026429E-6</v>
      </c>
      <c r="AC52" s="245">
        <f t="shared" si="172"/>
        <v>0</v>
      </c>
      <c r="AD52" s="190">
        <f>SUMIF('MVTO E'!$C$3:$C$240,"Investimentos",'MVTO E'!$K$3:$K$240)</f>
        <v>0</v>
      </c>
      <c r="AE52" s="209" t="e">
        <f t="shared" si="210"/>
        <v>#DIV/0!</v>
      </c>
      <c r="AF52" s="190">
        <f>SUMIF('MVTO A'!$C$3:$C$177,"Investimentos",'MVTO A'!$K$3:$K$177)</f>
        <v>0</v>
      </c>
      <c r="AG52" s="209" t="e">
        <f t="shared" si="211"/>
        <v>#DIV/0!</v>
      </c>
      <c r="AH52" s="190">
        <f t="shared" si="239"/>
        <v>0</v>
      </c>
      <c r="AI52" s="209" t="e">
        <f t="shared" si="212"/>
        <v>#DIV/0!</v>
      </c>
      <c r="AJ52" s="245">
        <f t="shared" si="84"/>
        <v>-200</v>
      </c>
      <c r="AK52" s="190">
        <f>SUMIF('MVTO E'!$C$3:$C$240,"Investimentos",'MVTO E'!$L$3:$L$240)</f>
        <v>0</v>
      </c>
      <c r="AL52" s="209" t="e">
        <f t="shared" si="213"/>
        <v>#DIV/0!</v>
      </c>
      <c r="AM52" s="190">
        <f>SUMIF('MVTO A'!$C$3:$C$177,"Investimentos",'MVTO A'!$I$3:$I$177)</f>
        <v>0</v>
      </c>
      <c r="AN52" s="209" t="e">
        <f t="shared" si="214"/>
        <v>#DIV/0!</v>
      </c>
      <c r="AO52" s="190">
        <f t="shared" si="240"/>
        <v>0</v>
      </c>
      <c r="AP52" s="209" t="e">
        <f t="shared" si="215"/>
        <v>#DIV/0!</v>
      </c>
      <c r="AQ52" s="245">
        <f t="shared" si="177"/>
        <v>0</v>
      </c>
      <c r="AR52" s="190">
        <f>SUMIF('MVTO E'!$C$3:$C$240,"Investimentos",'MVTO E'!$M$3:$M$240)</f>
        <v>0</v>
      </c>
      <c r="AS52" s="209" t="e">
        <f t="shared" si="216"/>
        <v>#DIV/0!</v>
      </c>
      <c r="AT52" s="381">
        <f>SUMIF('MVTO A'!$C$3:$C$177,"Investimentos",'MVTO A'!$M$3:$M$189)</f>
        <v>0</v>
      </c>
      <c r="AU52" s="209" t="e">
        <f t="shared" si="217"/>
        <v>#DIV/0!</v>
      </c>
      <c r="AV52" s="190">
        <f t="shared" si="241"/>
        <v>0</v>
      </c>
      <c r="AW52" s="209" t="e">
        <f t="shared" si="218"/>
        <v>#DIV/0!</v>
      </c>
      <c r="AX52" s="245">
        <f t="shared" si="180"/>
        <v>0</v>
      </c>
      <c r="AY52" s="190">
        <f>SUMIF('MVTO E'!$C$3:$C$240,"Investimentos",'MVTO E'!$N$3:$N$240)</f>
        <v>0</v>
      </c>
      <c r="AZ52" s="209" t="e">
        <f t="shared" si="219"/>
        <v>#DIV/0!</v>
      </c>
      <c r="BA52" s="190">
        <f>SUMIF('MVTO A'!$C$3:$C$177,"Investimentos",'MVTO A'!$I$3:$I$177)</f>
        <v>0</v>
      </c>
      <c r="BB52" s="209" t="e">
        <f t="shared" si="220"/>
        <v>#DIV/0!</v>
      </c>
      <c r="BC52" s="190">
        <f t="shared" si="242"/>
        <v>0</v>
      </c>
      <c r="BD52" s="209" t="e">
        <f t="shared" si="221"/>
        <v>#DIV/0!</v>
      </c>
      <c r="BE52" s="245">
        <f t="shared" si="183"/>
        <v>0</v>
      </c>
      <c r="BF52" s="190">
        <f>SUMIF('MVTO E'!$C$3:$C$240,"Investimentos",'MVTO E'!$O$3:$O$240)</f>
        <v>0</v>
      </c>
      <c r="BG52" s="209" t="e">
        <f t="shared" si="222"/>
        <v>#DIV/0!</v>
      </c>
      <c r="BH52" s="190">
        <f>SUMIF('MVTO A'!$C$3:$C$177,"Investimentos",'MVTO A'!$I$3:$I$177)</f>
        <v>0</v>
      </c>
      <c r="BI52" s="209" t="e">
        <f t="shared" si="223"/>
        <v>#DIV/0!</v>
      </c>
      <c r="BJ52" s="190">
        <f t="shared" si="243"/>
        <v>0</v>
      </c>
      <c r="BK52" s="209" t="e">
        <f t="shared" si="224"/>
        <v>#DIV/0!</v>
      </c>
      <c r="BL52" s="245">
        <f t="shared" si="186"/>
        <v>0</v>
      </c>
      <c r="BM52" s="190">
        <f>SUMIF('MVTO E'!$C$3:$C$240,"Investimentos",'MVTO E'!$P$3:$P$240)</f>
        <v>0</v>
      </c>
      <c r="BN52" s="209" t="e">
        <f t="shared" si="225"/>
        <v>#DIV/0!</v>
      </c>
      <c r="BO52" s="190">
        <f>SUMIF('MVTO A'!$C$3:$C$177,"Investimentos",'MVTO A'!$I$3:$I$177)</f>
        <v>0</v>
      </c>
      <c r="BP52" s="209" t="e">
        <f t="shared" si="226"/>
        <v>#DIV/0!</v>
      </c>
      <c r="BQ52" s="190">
        <f t="shared" si="244"/>
        <v>0</v>
      </c>
      <c r="BR52" s="209" t="e">
        <f t="shared" si="227"/>
        <v>#DIV/0!</v>
      </c>
      <c r="BS52" s="245">
        <f t="shared" si="189"/>
        <v>0</v>
      </c>
      <c r="BT52" s="190">
        <f>SUMIF('MVTO E'!$C$3:$C$240,"Investimentos",'MVTO E'!$Q$3:$Q$240)</f>
        <v>0</v>
      </c>
      <c r="BU52" s="209" t="e">
        <f t="shared" si="228"/>
        <v>#DIV/0!</v>
      </c>
      <c r="BV52" s="190">
        <f>SUMIF('MVTO A'!$C$3:$C$177,"Investimentos",'MVTO A'!$I$3:$I$177)</f>
        <v>0</v>
      </c>
      <c r="BW52" s="209" t="e">
        <f t="shared" si="229"/>
        <v>#DIV/0!</v>
      </c>
      <c r="BX52" s="190">
        <f t="shared" si="245"/>
        <v>0</v>
      </c>
      <c r="BY52" s="209" t="e">
        <f t="shared" si="230"/>
        <v>#DIV/0!</v>
      </c>
      <c r="BZ52" s="245">
        <f t="shared" si="192"/>
        <v>0</v>
      </c>
      <c r="CA52" s="190">
        <f>SUMIF('MVTO E'!$C$3:$C$240,"Investimentos",'MVTO E'!$R$3:$R$240)</f>
        <v>0</v>
      </c>
      <c r="CB52" s="209" t="e">
        <f t="shared" si="231"/>
        <v>#DIV/0!</v>
      </c>
      <c r="CC52" s="190">
        <f>SUMIF('MVTO A'!$C$3:$C$177,"Investimentos",'MVTO A'!$R$3:$R$189)</f>
        <v>0</v>
      </c>
      <c r="CD52" s="209" t="e">
        <f t="shared" si="232"/>
        <v>#DIV/0!</v>
      </c>
      <c r="CE52" s="190">
        <f t="shared" si="246"/>
        <v>0</v>
      </c>
      <c r="CF52" s="209" t="e">
        <f t="shared" si="233"/>
        <v>#DIV/0!</v>
      </c>
      <c r="CG52" s="245">
        <f t="shared" si="195"/>
        <v>0</v>
      </c>
      <c r="CH52" s="242">
        <f t="shared" si="250"/>
        <v>1200</v>
      </c>
      <c r="CI52" s="246">
        <f t="shared" si="251"/>
        <v>1.1983541116774961E-5</v>
      </c>
      <c r="CJ52" s="242">
        <f t="shared" si="250"/>
        <v>0</v>
      </c>
      <c r="CK52" s="259">
        <f t="shared" si="247"/>
        <v>0</v>
      </c>
      <c r="CL52" s="242">
        <f t="shared" si="250"/>
        <v>1200</v>
      </c>
      <c r="CM52" s="247">
        <f t="shared" si="248"/>
        <v>1.0497247033063587E-5</v>
      </c>
    </row>
    <row r="53" spans="2:91" s="238" customFormat="1" ht="10.35" customHeight="1" thickBot="1">
      <c r="B53" s="240" t="s">
        <v>359</v>
      </c>
      <c r="C53" s="190">
        <f>SUMIF('MVTO E'!$C$3:$C$240,"Imobilizado",'MVTO E'!$G$3:$G$240)+SUMIF('DESP E'!$D$3:$D$146,"Imobilizado",'DESP E'!$G$3:$G$146)</f>
        <v>494732.47000000003</v>
      </c>
      <c r="D53" s="209">
        <f t="shared" si="198"/>
        <v>1.50370005415208E-2</v>
      </c>
      <c r="E53" s="190">
        <f>SUMIF('MVTO A'!$C$3:$C$184,"Imobilizado",'MVTO A'!$G$3:$G$184)+SUMIF('DESP A'!$D$3:$D$129,"Imobilizado",'DESP A'!$G$3:$G$129)</f>
        <v>0</v>
      </c>
      <c r="F53" s="209">
        <f t="shared" si="199"/>
        <v>0</v>
      </c>
      <c r="G53" s="190">
        <f t="shared" si="249"/>
        <v>494732.47000000003</v>
      </c>
      <c r="H53" s="209">
        <f t="shared" si="200"/>
        <v>1.3424579332583276E-2</v>
      </c>
      <c r="I53" s="190">
        <f>SUMIF('MVTO E'!$C$3:$C$240,"Imobilizado",'MVTO E'!$H$3:$H$240)+SUMIF('DESP E'!$D$3:$D$146,"Imobilizado",'DESP E'!$H$3:$H$146)</f>
        <v>704588.90999999992</v>
      </c>
      <c r="J53" s="209">
        <f t="shared" si="201"/>
        <v>3.3188325466578593E-2</v>
      </c>
      <c r="K53" s="190">
        <f>SUMIF('MVTO A'!$C$3:$C$184,"Imobilizado",'MVTO A'!$H$3:$H$184)+SUMIF('DESP A'!$D$3:$D$129,"Imobilizado",'DESP A'!$H$3:$H$129)</f>
        <v>0</v>
      </c>
      <c r="L53" s="209">
        <f t="shared" si="202"/>
        <v>0</v>
      </c>
      <c r="M53" s="190">
        <f t="shared" si="236"/>
        <v>704588.90999999992</v>
      </c>
      <c r="N53" s="209">
        <f t="shared" si="203"/>
        <v>2.858458972131769E-2</v>
      </c>
      <c r="O53" s="245">
        <f t="shared" si="32"/>
        <v>209856.43999999989</v>
      </c>
      <c r="P53" s="190">
        <f>SUMIF('MVTO E'!$C$3:$C$240,"Imobilizado",'MVTO E'!$I$3:$I$240)+SUMIF('DESP E'!$D$3:$D$146,"Imobilizado",'DESP E'!$I$3:$I$146)</f>
        <v>1384396.14</v>
      </c>
      <c r="Q53" s="209">
        <f t="shared" si="204"/>
        <v>5.8150020978632033E-2</v>
      </c>
      <c r="R53" s="190">
        <f>SUMIF('MVTO A'!$C$3:$C$184,"Imobilizado",'MVTO A'!$I$3:$I$184)+SUMIF('DESP A'!$D$3:$D$129,"Imobilizado",'DESP A'!$I$3:$I$129)</f>
        <v>0</v>
      </c>
      <c r="S53" s="209">
        <f t="shared" si="205"/>
        <v>0</v>
      </c>
      <c r="T53" s="190">
        <f t="shared" si="237"/>
        <v>1384396.14</v>
      </c>
      <c r="U53" s="209">
        <f t="shared" si="206"/>
        <v>5.0418856730632976E-2</v>
      </c>
      <c r="V53" s="245">
        <f t="shared" si="169"/>
        <v>679807.23</v>
      </c>
      <c r="W53" s="190">
        <f>SUMIF('MVTO E'!$C$3:$C$240,"Imobilizado",'MVTO E'!$J$3:$J$240)+SUMIF('DESP E'!$D$3:$D$146,"Imobilizado",'DESP E'!$J$3:$J$146)</f>
        <v>1155208.47</v>
      </c>
      <c r="X53" s="209">
        <f t="shared" si="207"/>
        <v>5.2038772275131241E-2</v>
      </c>
      <c r="Y53" s="190">
        <f>SUMIF('MVTO A'!$C$3:$C$184,"Imobilizado",'MVTO A'!$J$3:$J$184)+SUMIF('DESP A'!$D$3:$D$129,"Imobilizado",'DESP A'!$J$3:$J$129)</f>
        <v>0</v>
      </c>
      <c r="Z53" s="209">
        <f t="shared" si="208"/>
        <v>0</v>
      </c>
      <c r="AA53" s="190">
        <f t="shared" si="238"/>
        <v>1155208.47</v>
      </c>
      <c r="AB53" s="209">
        <f t="shared" si="209"/>
        <v>4.5559948996200368E-2</v>
      </c>
      <c r="AC53" s="245">
        <f t="shared" si="172"/>
        <v>-229187.66999999993</v>
      </c>
      <c r="AD53" s="190">
        <f>SUMIF('MVTO E'!$C$3:$C$240,"Imobilizado",'MVTO E'!$K$3:$K$240)+SUMIF('DESP E'!$D$3:$D$146,"Imobilizado",'DESP E'!$K$3:$K$146)</f>
        <v>0</v>
      </c>
      <c r="AE53" s="209" t="e">
        <f t="shared" si="210"/>
        <v>#DIV/0!</v>
      </c>
      <c r="AF53" s="190">
        <f>SUMIF('MVTO A'!$C$3:$C$184,"Imobilizado",'MVTO A'!$K$3:$K$184)+SUMIF('DESP A'!$D$3:$D$129,"Imobilizado",'DESP A'!$K$3:$K$129)</f>
        <v>0</v>
      </c>
      <c r="AG53" s="209" t="e">
        <f t="shared" si="211"/>
        <v>#DIV/0!</v>
      </c>
      <c r="AH53" s="190">
        <f t="shared" si="239"/>
        <v>0</v>
      </c>
      <c r="AI53" s="209" t="e">
        <f t="shared" si="212"/>
        <v>#DIV/0!</v>
      </c>
      <c r="AJ53" s="245">
        <f t="shared" si="84"/>
        <v>-1155208.47</v>
      </c>
      <c r="AK53" s="190">
        <f>SUMIF('MVTO E'!$C$3:$C$240,"Imobilizado",'MVTO E'!$L$3:$L$240)+SUMIF('DESP E'!$D$3:$D$146,"Imobilizado",'DESP E'!$L$3:$L$146)</f>
        <v>0</v>
      </c>
      <c r="AL53" s="209" t="e">
        <f t="shared" si="213"/>
        <v>#DIV/0!</v>
      </c>
      <c r="AM53" s="190">
        <f>SUMIF('MVTO A'!$C$3:$C$184,"Imobilizado",'MVTO A'!$L$3:$L$184)+SUMIF('DESP A'!$D$3:$D$129,"Imobilizado",'DESP A'!$L$3:$L$129)</f>
        <v>0</v>
      </c>
      <c r="AN53" s="209" t="e">
        <f t="shared" si="214"/>
        <v>#DIV/0!</v>
      </c>
      <c r="AO53" s="190">
        <f t="shared" si="240"/>
        <v>0</v>
      </c>
      <c r="AP53" s="209" t="e">
        <f t="shared" si="215"/>
        <v>#DIV/0!</v>
      </c>
      <c r="AQ53" s="245">
        <f t="shared" si="177"/>
        <v>0</v>
      </c>
      <c r="AR53" s="190">
        <f>SUMIF('MVTO E'!$C$3:$C$240,"Imobilizado",'MVTO E'!$M$3:$M$240)+SUMIF('DESP E'!$D$3:$D$146,"Imobilizado",'DESP E'!$M$3:$M$146)</f>
        <v>0</v>
      </c>
      <c r="AS53" s="209" t="e">
        <f t="shared" si="216"/>
        <v>#DIV/0!</v>
      </c>
      <c r="AT53" s="381">
        <f>SUMIF('MVTO A'!$C$3:$C$184,"Imobilizado",'MVTO A'!$M$3:$M$189)+SUMIF('DESP A'!$D$3:$D$129,"Imobilizado",'DESP A'!$M$3:$M$129)</f>
        <v>0</v>
      </c>
      <c r="AU53" s="209" t="e">
        <f t="shared" si="217"/>
        <v>#DIV/0!</v>
      </c>
      <c r="AV53" s="190">
        <f t="shared" si="241"/>
        <v>0</v>
      </c>
      <c r="AW53" s="209" t="e">
        <f t="shared" si="218"/>
        <v>#DIV/0!</v>
      </c>
      <c r="AX53" s="245">
        <f t="shared" si="180"/>
        <v>0</v>
      </c>
      <c r="AY53" s="190">
        <f>SUMIF('MVTO E'!$C$3:$C$240,"Imobilizado",'MVTO E'!$N$3:$N$240)+SUMIF('DESP E'!$D$3:$D$146,"Imobilizado",'DESP E'!$N$3:$N$146)</f>
        <v>0</v>
      </c>
      <c r="AZ53" s="209" t="e">
        <f t="shared" si="219"/>
        <v>#DIV/0!</v>
      </c>
      <c r="BA53" s="190">
        <f>SUMIF('MVTO A'!$C$3:$C$184,"Imobilizado",'MVTO A'!$N$3:$N$189)+SUMIF('DESP A'!$D$3:$D$129,"Imobilizado",'DESP A'!$N$3:$N$129)</f>
        <v>0</v>
      </c>
      <c r="BB53" s="209" t="e">
        <f t="shared" si="220"/>
        <v>#DIV/0!</v>
      </c>
      <c r="BC53" s="190">
        <f t="shared" si="242"/>
        <v>0</v>
      </c>
      <c r="BD53" s="209" t="e">
        <f t="shared" si="221"/>
        <v>#DIV/0!</v>
      </c>
      <c r="BE53" s="245">
        <f t="shared" si="183"/>
        <v>0</v>
      </c>
      <c r="BF53" s="190">
        <f>SUMIF('MVTO E'!$C$3:$C$240,"Imobilizado",'MVTO E'!$O$3:$O$240)+SUMIF('DESP E'!$D$3:$D$146,"Imobilizado",'DESP E'!$O$3:$O$146)</f>
        <v>0</v>
      </c>
      <c r="BG53" s="209" t="e">
        <f t="shared" si="222"/>
        <v>#DIV/0!</v>
      </c>
      <c r="BH53" s="190">
        <f>SUMIF('MVTO A'!$C$3:$C$184,"Imobilizado",'MVTO A'!$O$3:$O$189)+SUMIF('DESP A'!$D$3:$D$129,"Imobilizado",'DESP A'!$O$3:$O$129)</f>
        <v>0</v>
      </c>
      <c r="BI53" s="209" t="e">
        <f t="shared" si="223"/>
        <v>#DIV/0!</v>
      </c>
      <c r="BJ53" s="190">
        <f t="shared" si="243"/>
        <v>0</v>
      </c>
      <c r="BK53" s="209" t="e">
        <f t="shared" si="224"/>
        <v>#DIV/0!</v>
      </c>
      <c r="BL53" s="245">
        <f t="shared" si="186"/>
        <v>0</v>
      </c>
      <c r="BM53" s="190">
        <f>SUMIF('MVTO E'!$C$3:$C$240,"Imobilizado",'MVTO E'!$P$3:$P$240)+SUMIF('DESP E'!$D$3:$D$146,"Imobilizado",'DESP E'!$P$3:$P$146)</f>
        <v>0</v>
      </c>
      <c r="BN53" s="209" t="e">
        <f t="shared" si="225"/>
        <v>#DIV/0!</v>
      </c>
      <c r="BO53" s="190">
        <f>SUMIF('MVTO A'!$C$3:$C$184,"Imobilizado",'MVTO A'!$P$3:$P$189)+SUMIF('DESP A'!$D$3:$D$129,"Imobilizado",'DESP A'!$P$3:$P$129)</f>
        <v>0</v>
      </c>
      <c r="BP53" s="209" t="e">
        <f t="shared" si="226"/>
        <v>#DIV/0!</v>
      </c>
      <c r="BQ53" s="190">
        <f t="shared" si="244"/>
        <v>0</v>
      </c>
      <c r="BR53" s="209" t="e">
        <f t="shared" si="227"/>
        <v>#DIV/0!</v>
      </c>
      <c r="BS53" s="245">
        <f t="shared" si="189"/>
        <v>0</v>
      </c>
      <c r="BT53" s="190">
        <f>SUMIF('MVTO E'!$C$3:$C$240,"Imobilizado",'MVTO E'!$Q$3:$Q$240)+SUMIF('DESP E'!$D$3:$D$146,"Imobilizado",'DESP E'!$Q$3:$Q$146)</f>
        <v>0</v>
      </c>
      <c r="BU53" s="209" t="e">
        <f t="shared" si="228"/>
        <v>#DIV/0!</v>
      </c>
      <c r="BV53" s="190">
        <f>SUMIF('MVTO A'!$C$3:$C$184,"Imobilizado",'MVTO A'!$Q$3:$Q$189)+SUMIF('DESP A'!$D$3:$D$129,"Imobilizado",'DESP A'!$Q$3:$Q$129)</f>
        <v>0</v>
      </c>
      <c r="BW53" s="209" t="e">
        <f t="shared" si="229"/>
        <v>#DIV/0!</v>
      </c>
      <c r="BX53" s="190">
        <f t="shared" si="245"/>
        <v>0</v>
      </c>
      <c r="BY53" s="209" t="e">
        <f t="shared" si="230"/>
        <v>#DIV/0!</v>
      </c>
      <c r="BZ53" s="245">
        <f t="shared" si="192"/>
        <v>0</v>
      </c>
      <c r="CA53" s="190">
        <f>SUMIF('MVTO E'!$C$3:$C$240,"Imobilizado",'MVTO E'!$R$3:$R$240)+SUMIF('DESP E'!$D$3:$D$146,"Imobilizado",'DESP E'!$R$3:$R$146)</f>
        <v>0</v>
      </c>
      <c r="CB53" s="209" t="e">
        <f t="shared" si="231"/>
        <v>#DIV/0!</v>
      </c>
      <c r="CC53" s="190">
        <f>SUMIF('MVTO A'!$C$3:$C$184,"Imobilizado",'MVTO A'!$R$3:$R$189)+SUMIF('DESP A'!$D$3:$D$129,"Imobilizado",'DESP A'!$R$3:$R$129)</f>
        <v>0</v>
      </c>
      <c r="CD53" s="209" t="e">
        <f t="shared" si="232"/>
        <v>#DIV/0!</v>
      </c>
      <c r="CE53" s="190">
        <f t="shared" si="246"/>
        <v>0</v>
      </c>
      <c r="CF53" s="209" t="e">
        <f t="shared" si="233"/>
        <v>#DIV/0!</v>
      </c>
      <c r="CG53" s="245">
        <f t="shared" si="195"/>
        <v>0</v>
      </c>
      <c r="CH53" s="242">
        <f t="shared" si="250"/>
        <v>3738925.9899999993</v>
      </c>
      <c r="CI53" s="246">
        <f t="shared" si="251"/>
        <v>3.7337977778119598E-2</v>
      </c>
      <c r="CJ53" s="242">
        <f t="shared" si="250"/>
        <v>0</v>
      </c>
      <c r="CK53" s="259">
        <f t="shared" si="247"/>
        <v>0</v>
      </c>
      <c r="CL53" s="242">
        <f t="shared" si="250"/>
        <v>3738925.9899999993</v>
      </c>
      <c r="CM53" s="247">
        <f t="shared" si="248"/>
        <v>3.2707024796143187E-2</v>
      </c>
    </row>
    <row r="54" spans="2:91" s="238" customFormat="1" ht="10.35" customHeight="1" thickBot="1">
      <c r="B54" s="240" t="s">
        <v>39</v>
      </c>
      <c r="C54" s="190">
        <f>SUMIF('MVTO E'!$C$3:$C$240,"Parcela",'MVTO E'!$G$3:$G$240)</f>
        <v>466788.02</v>
      </c>
      <c r="D54" s="209">
        <f t="shared" si="198"/>
        <v>1.4187651175422996E-2</v>
      </c>
      <c r="E54" s="190">
        <f>SUMIF('MVTO A'!$C$3:$C$184,"Parcela",'MVTO A'!$G$3:$G$184)</f>
        <v>84683.1</v>
      </c>
      <c r="F54" s="209">
        <f t="shared" si="199"/>
        <v>2.1429386225884077E-2</v>
      </c>
      <c r="G54" s="190">
        <f t="shared" si="249"/>
        <v>551471.12</v>
      </c>
      <c r="H54" s="209">
        <f t="shared" si="200"/>
        <v>1.4964184178306613E-2</v>
      </c>
      <c r="I54" s="190">
        <f>SUMIF('MVTO E'!$C$3:$C$240,"Parcela",'MVTO E'!$H$3:$H$240)</f>
        <v>462854.1</v>
      </c>
      <c r="J54" s="209">
        <f t="shared" si="201"/>
        <v>2.1801865309433149E-2</v>
      </c>
      <c r="K54" s="190">
        <f>SUMIF('MVTO A'!$C$3:$C$184,"Parcela",'MVTO A'!$H$3:$H$184)</f>
        <v>84683.1</v>
      </c>
      <c r="L54" s="209">
        <f t="shared" si="202"/>
        <v>2.476668388787023E-2</v>
      </c>
      <c r="M54" s="190">
        <f t="shared" si="236"/>
        <v>547537.19999999995</v>
      </c>
      <c r="N54" s="209">
        <f t="shared" si="203"/>
        <v>2.2213131653121065E-2</v>
      </c>
      <c r="O54" s="245">
        <f t="shared" si="32"/>
        <v>-3933.9200000000419</v>
      </c>
      <c r="P54" s="190">
        <f>SUMIF('MVTO E'!$C$3:$C$240,"Parcela",'MVTO E'!$I$3:$I$240)</f>
        <v>438430.66</v>
      </c>
      <c r="Q54" s="209">
        <f t="shared" si="204"/>
        <v>1.8415792517794429E-2</v>
      </c>
      <c r="R54" s="190">
        <f>SUMIF('MVTO A'!$C$3:$C$184,"Parcela",'MVTO A'!$I$3:$I$184)</f>
        <v>84683.1</v>
      </c>
      <c r="S54" s="209">
        <f t="shared" si="205"/>
        <v>2.3197134341669024E-2</v>
      </c>
      <c r="T54" s="190">
        <f t="shared" si="237"/>
        <v>523113.76</v>
      </c>
      <c r="U54" s="209">
        <f t="shared" si="206"/>
        <v>1.9051481694583983E-2</v>
      </c>
      <c r="V54" s="245">
        <f t="shared" si="169"/>
        <v>-24423.439999999944</v>
      </c>
      <c r="W54" s="190">
        <f>SUMIF('MVTO E'!$C$3:$C$240,"Parcela",'MVTO E'!$J$3:$J$240)</f>
        <v>474980.09</v>
      </c>
      <c r="X54" s="209">
        <f t="shared" si="207"/>
        <v>2.1396467720437806E-2</v>
      </c>
      <c r="Y54" s="190">
        <f>SUMIF('MVTO A'!$C$3:$C$184,"Parcela",'MVTO A'!$J$3:$J$184)</f>
        <v>84683.099999999991</v>
      </c>
      <c r="Z54" s="209">
        <f t="shared" si="208"/>
        <v>2.6825666467569096E-2</v>
      </c>
      <c r="AA54" s="190">
        <f t="shared" si="238"/>
        <v>559663.19000000006</v>
      </c>
      <c r="AB54" s="209">
        <f t="shared" si="209"/>
        <v>2.2072402560769658E-2</v>
      </c>
      <c r="AC54" s="245">
        <f t="shared" si="172"/>
        <v>36549.430000000051</v>
      </c>
      <c r="AD54" s="190">
        <f>SUMIF('MVTO E'!$C$3:$C$240,"Parcela",'MVTO E'!$K$3:$K$240)</f>
        <v>0</v>
      </c>
      <c r="AE54" s="209" t="e">
        <f t="shared" si="210"/>
        <v>#DIV/0!</v>
      </c>
      <c r="AF54" s="190">
        <f>SUMIF('MVTO A'!$C$3:$C$184,"Parcela",'MVTO A'!$K$3:$K$184)</f>
        <v>0</v>
      </c>
      <c r="AG54" s="209" t="e">
        <f t="shared" si="211"/>
        <v>#DIV/0!</v>
      </c>
      <c r="AH54" s="190">
        <f t="shared" si="239"/>
        <v>0</v>
      </c>
      <c r="AI54" s="209" t="e">
        <f t="shared" si="212"/>
        <v>#DIV/0!</v>
      </c>
      <c r="AJ54" s="245">
        <f t="shared" si="84"/>
        <v>-559663.19000000006</v>
      </c>
      <c r="AK54" s="190">
        <f>SUMIF('MVTO E'!$C$3:$C$240,"Parcela",'MVTO E'!$L$3:$L$240)</f>
        <v>0</v>
      </c>
      <c r="AL54" s="209" t="e">
        <f t="shared" si="213"/>
        <v>#DIV/0!</v>
      </c>
      <c r="AM54" s="190">
        <f>SUMIF('MVTO A'!$C$3:$C$184,"Parcela",'MVTO A'!$L$3:$L$184)</f>
        <v>0</v>
      </c>
      <c r="AN54" s="209" t="e">
        <f t="shared" si="214"/>
        <v>#DIV/0!</v>
      </c>
      <c r="AO54" s="190">
        <f t="shared" si="240"/>
        <v>0</v>
      </c>
      <c r="AP54" s="209" t="e">
        <f t="shared" si="215"/>
        <v>#DIV/0!</v>
      </c>
      <c r="AQ54" s="245">
        <f t="shared" si="177"/>
        <v>0</v>
      </c>
      <c r="AR54" s="190">
        <f>SUMIF('MVTO E'!$C$3:$C$240,"Parcela",'MVTO E'!$M$3:$M$240)</f>
        <v>0</v>
      </c>
      <c r="AS54" s="209" t="e">
        <f t="shared" si="216"/>
        <v>#DIV/0!</v>
      </c>
      <c r="AT54" s="381">
        <f>SUMIF('MVTO A'!$C$3:$C$184,"Parcela",'MVTO A'!$M$3:$M$189)</f>
        <v>0</v>
      </c>
      <c r="AU54" s="209" t="e">
        <f t="shared" si="217"/>
        <v>#DIV/0!</v>
      </c>
      <c r="AV54" s="190">
        <f t="shared" si="241"/>
        <v>0</v>
      </c>
      <c r="AW54" s="209" t="e">
        <f t="shared" si="218"/>
        <v>#DIV/0!</v>
      </c>
      <c r="AX54" s="245">
        <f t="shared" si="180"/>
        <v>0</v>
      </c>
      <c r="AY54" s="190">
        <f>SUMIF('MVTO E'!$C$3:$C$240,"Parcela",'MVTO E'!$N$3:$N$240)</f>
        <v>0</v>
      </c>
      <c r="AZ54" s="209" t="e">
        <f t="shared" si="219"/>
        <v>#DIV/0!</v>
      </c>
      <c r="BA54" s="190">
        <f>SUMIF('MVTO A'!$C$3:$C$184,"Parcela",'MVTO A'!$N$3:$N$189)</f>
        <v>0</v>
      </c>
      <c r="BB54" s="209" t="e">
        <f t="shared" si="220"/>
        <v>#DIV/0!</v>
      </c>
      <c r="BC54" s="190">
        <f t="shared" si="242"/>
        <v>0</v>
      </c>
      <c r="BD54" s="209" t="e">
        <f t="shared" si="221"/>
        <v>#DIV/0!</v>
      </c>
      <c r="BE54" s="245">
        <f t="shared" si="183"/>
        <v>0</v>
      </c>
      <c r="BF54" s="190">
        <f>SUMIF('MVTO E'!$C$3:$C$240,"Parcela",'MVTO E'!$O$3:$O$240)</f>
        <v>0</v>
      </c>
      <c r="BG54" s="209" t="e">
        <f t="shared" si="222"/>
        <v>#DIV/0!</v>
      </c>
      <c r="BH54" s="190">
        <f>SUMIF('MVTO A'!$C$3:$C$184,"Parcela",'MVTO A'!$O$3:$O$189)</f>
        <v>0</v>
      </c>
      <c r="BI54" s="209" t="e">
        <f t="shared" si="223"/>
        <v>#DIV/0!</v>
      </c>
      <c r="BJ54" s="190">
        <f t="shared" si="243"/>
        <v>0</v>
      </c>
      <c r="BK54" s="209" t="e">
        <f t="shared" si="224"/>
        <v>#DIV/0!</v>
      </c>
      <c r="BL54" s="245">
        <f t="shared" si="186"/>
        <v>0</v>
      </c>
      <c r="BM54" s="190">
        <f>SUMIF('MVTO E'!$C$3:$C$240,"Parcela",'MVTO E'!$P$3:$P$240)</f>
        <v>0</v>
      </c>
      <c r="BN54" s="209" t="e">
        <f t="shared" si="225"/>
        <v>#DIV/0!</v>
      </c>
      <c r="BO54" s="190">
        <f>SUMIF('MVTO A'!$C$3:$C$184,"Parcela",'MVTO A'!$P$3:$P$189)</f>
        <v>0</v>
      </c>
      <c r="BP54" s="209" t="e">
        <f t="shared" si="226"/>
        <v>#DIV/0!</v>
      </c>
      <c r="BQ54" s="190">
        <f t="shared" si="244"/>
        <v>0</v>
      </c>
      <c r="BR54" s="209" t="e">
        <f t="shared" si="227"/>
        <v>#DIV/0!</v>
      </c>
      <c r="BS54" s="245">
        <f t="shared" si="189"/>
        <v>0</v>
      </c>
      <c r="BT54" s="190">
        <f>SUMIF('MVTO E'!$C$3:$C$240,"Parcela",'MVTO E'!$Q$3:$Q$240)</f>
        <v>0</v>
      </c>
      <c r="BU54" s="209" t="e">
        <f t="shared" si="228"/>
        <v>#DIV/0!</v>
      </c>
      <c r="BV54" s="190">
        <f>SUMIF('MVTO A'!$C$3:$C$184,"Parcela",'MVTO A'!$Q$3:$Q$189)</f>
        <v>0</v>
      </c>
      <c r="BW54" s="209" t="e">
        <f t="shared" si="229"/>
        <v>#DIV/0!</v>
      </c>
      <c r="BX54" s="190">
        <f t="shared" si="245"/>
        <v>0</v>
      </c>
      <c r="BY54" s="209" t="e">
        <f t="shared" si="230"/>
        <v>#DIV/0!</v>
      </c>
      <c r="BZ54" s="245">
        <f t="shared" si="192"/>
        <v>0</v>
      </c>
      <c r="CA54" s="190">
        <f>SUMIF('MVTO E'!$C$3:$C$240,"Parcela",'MVTO E'!$R$3:$R$240)</f>
        <v>0</v>
      </c>
      <c r="CB54" s="209" t="e">
        <f t="shared" si="231"/>
        <v>#DIV/0!</v>
      </c>
      <c r="CC54" s="190">
        <f>SUMIF('MVTO A'!$C$3:$C$184,"Parcela",'MVTO A'!$R$3:$R$189)</f>
        <v>0</v>
      </c>
      <c r="CD54" s="209" t="e">
        <f t="shared" si="232"/>
        <v>#DIV/0!</v>
      </c>
      <c r="CE54" s="190">
        <f t="shared" si="246"/>
        <v>0</v>
      </c>
      <c r="CF54" s="209" t="e">
        <f t="shared" si="233"/>
        <v>#DIV/0!</v>
      </c>
      <c r="CG54" s="245">
        <f t="shared" si="195"/>
        <v>0</v>
      </c>
      <c r="CH54" s="242">
        <f t="shared" si="250"/>
        <v>1843052.87</v>
      </c>
      <c r="CI54" s="246">
        <f t="shared" si="251"/>
        <v>1.8405249873362582E-2</v>
      </c>
      <c r="CJ54" s="242">
        <f t="shared" si="250"/>
        <v>338732.4</v>
      </c>
      <c r="CK54" s="259">
        <f t="shared" si="247"/>
        <v>2.3890835174861125E-2</v>
      </c>
      <c r="CL54" s="242">
        <f t="shared" si="250"/>
        <v>2181785.27</v>
      </c>
      <c r="CM54" s="247">
        <f t="shared" si="248"/>
        <v>1.9085615793574446E-2</v>
      </c>
    </row>
    <row r="55" spans="2:91" s="238" customFormat="1" ht="10.35" customHeight="1" thickBot="1">
      <c r="B55" s="240" t="s">
        <v>381</v>
      </c>
      <c r="C55" s="190">
        <f>SUMIF('MVTO E'!$C$3:$C$240,"Desp_emp",'MVTO E'!$G$3:$G$240)</f>
        <v>1795129.2199999997</v>
      </c>
      <c r="D55" s="209">
        <f t="shared" si="198"/>
        <v>5.4561527067830837E-2</v>
      </c>
      <c r="E55" s="190">
        <f>SUMIF('MVTO A'!$C$3:$C$184,"Desp_emp",'MVTO A'!$G$3:$G$184)</f>
        <v>55659.95</v>
      </c>
      <c r="F55" s="209">
        <f t="shared" si="199"/>
        <v>1.4084965782587036E-2</v>
      </c>
      <c r="G55" s="190">
        <f t="shared" si="249"/>
        <v>1850789.1699999997</v>
      </c>
      <c r="H55" s="209">
        <f t="shared" si="200"/>
        <v>5.0221215600728508E-2</v>
      </c>
      <c r="I55" s="190">
        <f>SUMIF('MVTO E'!$C$3:$C$240,"Desp_emp",'MVTO E'!$H$3:$H$240)</f>
        <v>1366229.73</v>
      </c>
      <c r="J55" s="209">
        <f t="shared" si="201"/>
        <v>6.4353662536862519E-2</v>
      </c>
      <c r="K55" s="190">
        <f>SUMIF('MVTO A'!$C$3:$C$184,"Desp_emp",'MVTO A'!$H$3:$H$184)</f>
        <v>56084.82</v>
      </c>
      <c r="L55" s="209">
        <f t="shared" si="202"/>
        <v>1.6402741607807247E-2</v>
      </c>
      <c r="M55" s="190">
        <f t="shared" si="236"/>
        <v>1422314.55</v>
      </c>
      <c r="N55" s="209">
        <f t="shared" si="203"/>
        <v>5.7702125720954935E-2</v>
      </c>
      <c r="O55" s="245">
        <f t="shared" si="32"/>
        <v>-428474.61999999965</v>
      </c>
      <c r="P55" s="190">
        <f>SUMIF('MVTO E'!$C$3:$C$240,"Desp_emp",'MVTO E'!$I$3:$I$240)</f>
        <v>1656239.26</v>
      </c>
      <c r="Q55" s="209">
        <f t="shared" si="204"/>
        <v>6.9568489055909968E-2</v>
      </c>
      <c r="R55" s="190">
        <f>SUMIF('MVTO A'!$C$3:$C$184,"Desp_emp",'MVTO A'!$I$3:$I$184)</f>
        <v>55575.079999999994</v>
      </c>
      <c r="S55" s="209">
        <f t="shared" si="205"/>
        <v>1.5223611285002592E-2</v>
      </c>
      <c r="T55" s="190">
        <f t="shared" si="237"/>
        <v>1711814.34</v>
      </c>
      <c r="U55" s="209">
        <f t="shared" si="206"/>
        <v>6.2343226381650456E-2</v>
      </c>
      <c r="V55" s="245">
        <f t="shared" si="169"/>
        <v>289499.79000000004</v>
      </c>
      <c r="W55" s="190">
        <f>SUMIF('MVTO E'!$C$3:$C$240,"Desp_emp",'MVTO E'!$J$3:$J$240)</f>
        <v>1570944.29</v>
      </c>
      <c r="X55" s="209">
        <f t="shared" si="207"/>
        <v>7.0766458424796466E-2</v>
      </c>
      <c r="Y55" s="190">
        <f>SUMIF('MVTO A'!$C$3:$C$184,"Desp_emp",'MVTO A'!$J$3:$J$184)</f>
        <v>57206.49</v>
      </c>
      <c r="Z55" s="209">
        <f t="shared" si="208"/>
        <v>1.8121705753808337E-2</v>
      </c>
      <c r="AA55" s="190">
        <f t="shared" si="238"/>
        <v>1628150.78</v>
      </c>
      <c r="AB55" s="209">
        <f t="shared" si="209"/>
        <v>6.4212190631638855E-2</v>
      </c>
      <c r="AC55" s="245">
        <f t="shared" si="172"/>
        <v>-83663.560000000056</v>
      </c>
      <c r="AD55" s="190">
        <f>SUMIF('MVTO E'!$C$3:$C$240,"Desp_emp",'MVTO E'!$K$3:$K$240)</f>
        <v>0</v>
      </c>
      <c r="AE55" s="209" t="e">
        <f t="shared" si="210"/>
        <v>#DIV/0!</v>
      </c>
      <c r="AF55" s="190">
        <f>SUMIF('MVTO A'!$C$3:$C$184,"Desp_emp",'MVTO A'!$K$3:$K$184)</f>
        <v>0</v>
      </c>
      <c r="AG55" s="209" t="e">
        <f t="shared" si="211"/>
        <v>#DIV/0!</v>
      </c>
      <c r="AH55" s="190">
        <f t="shared" si="239"/>
        <v>0</v>
      </c>
      <c r="AI55" s="209" t="e">
        <f t="shared" si="212"/>
        <v>#DIV/0!</v>
      </c>
      <c r="AJ55" s="245">
        <f t="shared" si="84"/>
        <v>-1628150.78</v>
      </c>
      <c r="AK55" s="190">
        <f>SUMIF('MVTO E'!$C$3:$C$240,"Desp_emp",'MVTO E'!$L$3:$L$240)</f>
        <v>0</v>
      </c>
      <c r="AL55" s="209" t="e">
        <f t="shared" si="213"/>
        <v>#DIV/0!</v>
      </c>
      <c r="AM55" s="190">
        <f>SUMIF('MVTO A'!$C$3:$C$184,"Desp_emp",'MVTO A'!$L$3:$L$184)</f>
        <v>0</v>
      </c>
      <c r="AN55" s="209" t="e">
        <f t="shared" si="214"/>
        <v>#DIV/0!</v>
      </c>
      <c r="AO55" s="190">
        <f t="shared" si="240"/>
        <v>0</v>
      </c>
      <c r="AP55" s="209" t="e">
        <f t="shared" si="215"/>
        <v>#DIV/0!</v>
      </c>
      <c r="AQ55" s="245">
        <f t="shared" si="177"/>
        <v>0</v>
      </c>
      <c r="AR55" s="190">
        <f>SUMIF('MVTO E'!$C$3:$C$240,"Desp_emp",'MVTO E'!$M$3:$M$240)</f>
        <v>0</v>
      </c>
      <c r="AS55" s="209" t="e">
        <f t="shared" si="216"/>
        <v>#DIV/0!</v>
      </c>
      <c r="AT55" s="381">
        <f>SUMIF('MVTO A'!$C$3:$C$184,"Desp_emp",'MVTO A'!$M$3:$M$189)</f>
        <v>0</v>
      </c>
      <c r="AU55" s="209" t="e">
        <f t="shared" si="217"/>
        <v>#DIV/0!</v>
      </c>
      <c r="AV55" s="190">
        <f t="shared" si="241"/>
        <v>0</v>
      </c>
      <c r="AW55" s="209" t="e">
        <f t="shared" si="218"/>
        <v>#DIV/0!</v>
      </c>
      <c r="AX55" s="245">
        <f t="shared" si="180"/>
        <v>0</v>
      </c>
      <c r="AY55" s="190">
        <f>SUMIF('MVTO E'!$C$3:$C$240,"Desp_emp",'MVTO E'!$N$3:$N$240)</f>
        <v>0</v>
      </c>
      <c r="AZ55" s="209" t="e">
        <f t="shared" si="219"/>
        <v>#DIV/0!</v>
      </c>
      <c r="BA55" s="190">
        <f>SUMIF('MVTO A'!$C$3:$C$184,"Desp_emp",'MVTO A'!$N$3:$N$189)</f>
        <v>0</v>
      </c>
      <c r="BB55" s="209" t="e">
        <f t="shared" si="220"/>
        <v>#DIV/0!</v>
      </c>
      <c r="BC55" s="190">
        <f t="shared" si="242"/>
        <v>0</v>
      </c>
      <c r="BD55" s="209" t="e">
        <f t="shared" si="221"/>
        <v>#DIV/0!</v>
      </c>
      <c r="BE55" s="245">
        <f t="shared" si="183"/>
        <v>0</v>
      </c>
      <c r="BF55" s="190">
        <f>SUMIF('MVTO E'!$C$3:$C$240,"Desp_emp",'MVTO E'!$O$3:$O$240)</f>
        <v>0</v>
      </c>
      <c r="BG55" s="209" t="e">
        <f t="shared" si="222"/>
        <v>#DIV/0!</v>
      </c>
      <c r="BH55" s="190">
        <f>SUMIF('MVTO A'!$C$3:$C$184,"Desp_emp",'MVTO A'!$O$3:$O$189)</f>
        <v>0</v>
      </c>
      <c r="BI55" s="209" t="e">
        <f t="shared" si="223"/>
        <v>#DIV/0!</v>
      </c>
      <c r="BJ55" s="190">
        <f t="shared" si="243"/>
        <v>0</v>
      </c>
      <c r="BK55" s="209" t="e">
        <f t="shared" si="224"/>
        <v>#DIV/0!</v>
      </c>
      <c r="BL55" s="245">
        <f t="shared" si="186"/>
        <v>0</v>
      </c>
      <c r="BM55" s="190">
        <f>SUMIF('MVTO E'!$C$3:$C$240,"Desp_emp",'MVTO E'!$P$3:$P$240)</f>
        <v>0</v>
      </c>
      <c r="BN55" s="209" t="e">
        <f t="shared" si="225"/>
        <v>#DIV/0!</v>
      </c>
      <c r="BO55" s="190">
        <f>SUMIF('MVTO A'!$C$3:$C$184,"Desp_emp",'MVTO A'!$P$3:$P$189)</f>
        <v>0</v>
      </c>
      <c r="BP55" s="209" t="e">
        <f t="shared" si="226"/>
        <v>#DIV/0!</v>
      </c>
      <c r="BQ55" s="190">
        <f t="shared" si="244"/>
        <v>0</v>
      </c>
      <c r="BR55" s="209" t="e">
        <f t="shared" si="227"/>
        <v>#DIV/0!</v>
      </c>
      <c r="BS55" s="245">
        <f t="shared" si="189"/>
        <v>0</v>
      </c>
      <c r="BT55" s="190">
        <f>SUMIF('MVTO E'!$C$3:$C$240,"Desp_emp",'MVTO E'!$Q$3:$Q$240)</f>
        <v>0</v>
      </c>
      <c r="BU55" s="209" t="e">
        <f t="shared" si="228"/>
        <v>#DIV/0!</v>
      </c>
      <c r="BV55" s="190">
        <f>SUMIF('MVTO A'!$C$3:$C$184,"Desp_emp",'MVTO A'!$Q$3:$Q$189)</f>
        <v>0</v>
      </c>
      <c r="BW55" s="209" t="e">
        <f t="shared" si="229"/>
        <v>#DIV/0!</v>
      </c>
      <c r="BX55" s="190">
        <f t="shared" si="245"/>
        <v>0</v>
      </c>
      <c r="BY55" s="209" t="e">
        <f t="shared" si="230"/>
        <v>#DIV/0!</v>
      </c>
      <c r="BZ55" s="245">
        <f t="shared" si="192"/>
        <v>0</v>
      </c>
      <c r="CA55" s="190">
        <f>SUMIF('MVTO E'!$C$3:$C$240,"Desp_emp",'MVTO E'!$R$3:$R$240)</f>
        <v>0</v>
      </c>
      <c r="CB55" s="209" t="e">
        <f t="shared" si="231"/>
        <v>#DIV/0!</v>
      </c>
      <c r="CC55" s="190">
        <f>SUMIF('MVTO A'!$C$3:$C$184,"Desp_emp",'MVTO A'!$R$3:$R$189)</f>
        <v>0</v>
      </c>
      <c r="CD55" s="209" t="e">
        <f t="shared" si="232"/>
        <v>#DIV/0!</v>
      </c>
      <c r="CE55" s="190">
        <f t="shared" si="246"/>
        <v>0</v>
      </c>
      <c r="CF55" s="209" t="e">
        <f t="shared" si="233"/>
        <v>#DIV/0!</v>
      </c>
      <c r="CG55" s="245">
        <f t="shared" si="195"/>
        <v>0</v>
      </c>
      <c r="CH55" s="242">
        <f t="shared" si="250"/>
        <v>6388542.5</v>
      </c>
      <c r="CI55" s="246">
        <f t="shared" si="251"/>
        <v>6.3797801437511917E-2</v>
      </c>
      <c r="CJ55" s="242">
        <f t="shared" si="250"/>
        <v>224526.33999999997</v>
      </c>
      <c r="CK55" s="259">
        <f t="shared" si="247"/>
        <v>1.5835868612966542E-2</v>
      </c>
      <c r="CL55" s="242">
        <f t="shared" si="250"/>
        <v>6613068.8399999999</v>
      </c>
      <c r="CM55" s="247">
        <f t="shared" si="248"/>
        <v>5.7849181050112712E-2</v>
      </c>
    </row>
    <row r="56" spans="2:91" s="238" customFormat="1" ht="10.35" customHeight="1" thickBot="1">
      <c r="B56" s="240" t="s">
        <v>358</v>
      </c>
      <c r="C56" s="190">
        <f>SUMIF('MVTO E'!$C$3:$C$240,"IOF_EMP",'MVTO E'!$G$3:$G$240)</f>
        <v>3320.1099999999997</v>
      </c>
      <c r="D56" s="209">
        <f t="shared" si="198"/>
        <v>1.0091210683606156E-4</v>
      </c>
      <c r="E56" s="190">
        <f>SUMIF('MVTO A'!$C$3:$C$184,"IOF_EMP",'MVTO A'!$G$3:$G$184)</f>
        <v>2.93</v>
      </c>
      <c r="F56" s="209">
        <f t="shared" si="199"/>
        <v>7.4144784073611315E-7</v>
      </c>
      <c r="G56" s="190">
        <f t="shared" si="249"/>
        <v>3323.0399999999995</v>
      </c>
      <c r="H56" s="209">
        <f t="shared" si="200"/>
        <v>9.0170782817928887E-5</v>
      </c>
      <c r="I56" s="190">
        <f>SUMIF('MVTO E'!$C$3:$C$240,"IOF_EMP",'MVTO E'!$H$3:$H$240)</f>
        <v>2452.9499999999998</v>
      </c>
      <c r="J56" s="209">
        <f t="shared" si="201"/>
        <v>1.1554156160823473E-4</v>
      </c>
      <c r="K56" s="190">
        <f>SUMIF('MVTO A'!$C$3:$C$184,"IOF_EMP",'MVTO A'!$H$3:$H$184)</f>
        <v>1.0900000000000001</v>
      </c>
      <c r="L56" s="209">
        <f t="shared" si="202"/>
        <v>3.1878480402557945E-7</v>
      </c>
      <c r="M56" s="190">
        <f t="shared" si="236"/>
        <v>2454.04</v>
      </c>
      <c r="N56" s="209">
        <f t="shared" si="203"/>
        <v>9.9558374484921247E-5</v>
      </c>
      <c r="O56" s="245">
        <f t="shared" si="32"/>
        <v>-868.99999999999955</v>
      </c>
      <c r="P56" s="190">
        <f>SUMIF('MVTO E'!$C$3:$C$240,"IOF_EMP",'MVTO E'!$I$3:$I$240)</f>
        <v>2723.97</v>
      </c>
      <c r="Q56" s="209">
        <f t="shared" si="204"/>
        <v>1.1441733190989994E-4</v>
      </c>
      <c r="R56" s="190">
        <f>SUMIF('MVTO A'!$C$3:$C$184,"IOF_EMP",'MVTO A'!$I$3:$I$184)</f>
        <v>0</v>
      </c>
      <c r="S56" s="209">
        <f t="shared" si="205"/>
        <v>0</v>
      </c>
      <c r="T56" s="190">
        <f t="shared" si="237"/>
        <v>2723.97</v>
      </c>
      <c r="U56" s="209">
        <f t="shared" si="206"/>
        <v>9.9205313566203896E-5</v>
      </c>
      <c r="V56" s="245">
        <f t="shared" si="169"/>
        <v>269.92999999999984</v>
      </c>
      <c r="W56" s="190">
        <f>SUMIF('MVTO E'!$C$3:$C$240,"IOF_EMP",'MVTO E'!$J$3:$J$240)</f>
        <v>304.55</v>
      </c>
      <c r="X56" s="209">
        <f t="shared" si="207"/>
        <v>1.3719089244897261E-5</v>
      </c>
      <c r="Y56" s="190">
        <f>SUMIF('MVTO A'!$C$3:$C$184,"IOF_EMP",'MVTO A'!$J$3:$J$184)</f>
        <v>0</v>
      </c>
      <c r="Z56" s="209">
        <f t="shared" si="208"/>
        <v>0</v>
      </c>
      <c r="AA56" s="190">
        <f t="shared" si="238"/>
        <v>304.55</v>
      </c>
      <c r="AB56" s="209">
        <f t="shared" si="209"/>
        <v>1.2011063653985175E-5</v>
      </c>
      <c r="AC56" s="245">
        <f t="shared" si="172"/>
        <v>-2419.4199999999996</v>
      </c>
      <c r="AD56" s="190">
        <f>SUMIF('MVTO E'!$C$3:$C$240,"IOF_EMP",'MVTO E'!$K$3:$K$240)</f>
        <v>0</v>
      </c>
      <c r="AE56" s="209" t="e">
        <f t="shared" si="210"/>
        <v>#DIV/0!</v>
      </c>
      <c r="AF56" s="190">
        <f>SUMIF('MVTO A'!$C$3:$C$184,"IOF_EMP",'MVTO A'!$K$3:$K$184)</f>
        <v>0</v>
      </c>
      <c r="AG56" s="209" t="e">
        <f t="shared" si="211"/>
        <v>#DIV/0!</v>
      </c>
      <c r="AH56" s="190">
        <f t="shared" si="239"/>
        <v>0</v>
      </c>
      <c r="AI56" s="209" t="e">
        <f t="shared" si="212"/>
        <v>#DIV/0!</v>
      </c>
      <c r="AJ56" s="245">
        <f t="shared" si="84"/>
        <v>-304.55</v>
      </c>
      <c r="AK56" s="190">
        <f>SUMIF('MVTO E'!$C$3:$C$240,"IOF_EMP",'MVTO E'!$L$3:$L$240)</f>
        <v>0</v>
      </c>
      <c r="AL56" s="209" t="e">
        <f t="shared" si="213"/>
        <v>#DIV/0!</v>
      </c>
      <c r="AM56" s="190">
        <f>SUMIF('MVTO A'!$C$3:$C$184,"IOF_EMP",'MVTO A'!$L$3:$L$184)</f>
        <v>0</v>
      </c>
      <c r="AN56" s="209" t="e">
        <f t="shared" si="214"/>
        <v>#DIV/0!</v>
      </c>
      <c r="AO56" s="190">
        <f t="shared" si="240"/>
        <v>0</v>
      </c>
      <c r="AP56" s="209" t="e">
        <f t="shared" si="215"/>
        <v>#DIV/0!</v>
      </c>
      <c r="AQ56" s="245">
        <f t="shared" si="177"/>
        <v>0</v>
      </c>
      <c r="AR56" s="190">
        <f>SUMIF('MVTO E'!$C$3:$C$240,"IOF_EMP",'MVTO E'!$M$3:$M$240)</f>
        <v>0</v>
      </c>
      <c r="AS56" s="209" t="e">
        <f t="shared" si="216"/>
        <v>#DIV/0!</v>
      </c>
      <c r="AT56" s="381">
        <f>SUMIF('MVTO A'!$C$3:$C$184,"IOF_EMP",'MVTO A'!$M$3:$M$189)</f>
        <v>0</v>
      </c>
      <c r="AU56" s="209" t="e">
        <f t="shared" si="217"/>
        <v>#DIV/0!</v>
      </c>
      <c r="AV56" s="190">
        <f t="shared" si="241"/>
        <v>0</v>
      </c>
      <c r="AW56" s="209" t="e">
        <f t="shared" si="218"/>
        <v>#DIV/0!</v>
      </c>
      <c r="AX56" s="245">
        <f t="shared" si="180"/>
        <v>0</v>
      </c>
      <c r="AY56" s="190">
        <f>SUMIF('MVTO E'!$C$3:$C$240,"IOF_EMP",'MVTO E'!$N$3:$N$240)</f>
        <v>0</v>
      </c>
      <c r="AZ56" s="209" t="e">
        <f t="shared" si="219"/>
        <v>#DIV/0!</v>
      </c>
      <c r="BA56" s="190">
        <f>SUMIF('MVTO A'!$C$3:$C$184,"IOF_EMP",'MVTO A'!$N$3:$N$189)</f>
        <v>0</v>
      </c>
      <c r="BB56" s="209" t="e">
        <f t="shared" si="220"/>
        <v>#DIV/0!</v>
      </c>
      <c r="BC56" s="190">
        <f t="shared" si="242"/>
        <v>0</v>
      </c>
      <c r="BD56" s="209" t="e">
        <f t="shared" si="221"/>
        <v>#DIV/0!</v>
      </c>
      <c r="BE56" s="245">
        <f t="shared" si="183"/>
        <v>0</v>
      </c>
      <c r="BF56" s="190">
        <f>SUMIF('MVTO E'!$C$3:$C$240,"IOF_EMP",'MVTO E'!$O$3:$O$240)</f>
        <v>0</v>
      </c>
      <c r="BG56" s="209" t="e">
        <f t="shared" si="222"/>
        <v>#DIV/0!</v>
      </c>
      <c r="BH56" s="190">
        <f>SUMIF('MVTO A'!$C$3:$C$184,"IOF_EMP",'MVTO A'!$O$3:$O$189)</f>
        <v>0</v>
      </c>
      <c r="BI56" s="209" t="e">
        <f t="shared" si="223"/>
        <v>#DIV/0!</v>
      </c>
      <c r="BJ56" s="190">
        <f t="shared" si="243"/>
        <v>0</v>
      </c>
      <c r="BK56" s="209" t="e">
        <f t="shared" si="224"/>
        <v>#DIV/0!</v>
      </c>
      <c r="BL56" s="245">
        <f t="shared" si="186"/>
        <v>0</v>
      </c>
      <c r="BM56" s="190">
        <f>SUMIF('MVTO E'!$C$3:$C$240,"IOF_EMP",'MVTO E'!$P$3:$P$240)</f>
        <v>0</v>
      </c>
      <c r="BN56" s="209" t="e">
        <f t="shared" si="225"/>
        <v>#DIV/0!</v>
      </c>
      <c r="BO56" s="190">
        <f>SUMIF('MVTO A'!$C$3:$C$184,"IOF_EMP",'MVTO A'!$P$3:$P$189)</f>
        <v>0</v>
      </c>
      <c r="BP56" s="209" t="e">
        <f t="shared" si="226"/>
        <v>#DIV/0!</v>
      </c>
      <c r="BQ56" s="190">
        <f t="shared" si="244"/>
        <v>0</v>
      </c>
      <c r="BR56" s="209" t="e">
        <f t="shared" si="227"/>
        <v>#DIV/0!</v>
      </c>
      <c r="BS56" s="245">
        <f t="shared" si="189"/>
        <v>0</v>
      </c>
      <c r="BT56" s="190">
        <f>SUMIF('MVTO E'!$C$3:$C$240,"IOF_EMP",'MVTO E'!$Q$3:$Q$240)</f>
        <v>0</v>
      </c>
      <c r="BU56" s="209" t="e">
        <f t="shared" si="228"/>
        <v>#DIV/0!</v>
      </c>
      <c r="BV56" s="190">
        <f>SUMIF('MVTO A'!$C$3:$C$184,"IOF_EMP",'MVTO A'!$Q$3:$Q$189)</f>
        <v>0</v>
      </c>
      <c r="BW56" s="209" t="e">
        <f t="shared" si="229"/>
        <v>#DIV/0!</v>
      </c>
      <c r="BX56" s="190">
        <f t="shared" si="245"/>
        <v>0</v>
      </c>
      <c r="BY56" s="209" t="e">
        <f t="shared" si="230"/>
        <v>#DIV/0!</v>
      </c>
      <c r="BZ56" s="245">
        <f t="shared" si="192"/>
        <v>0</v>
      </c>
      <c r="CA56" s="190">
        <f>SUMIF('MVTO E'!$C$3:$C$240,"IOF_EMP",'MVTO E'!$R$3:$R$240)</f>
        <v>0</v>
      </c>
      <c r="CB56" s="209" t="e">
        <f t="shared" si="231"/>
        <v>#DIV/0!</v>
      </c>
      <c r="CC56" s="190">
        <f>SUMIF('MVTO A'!$C$3:$C$184,"IOF_EMP",'MVTO A'!$R$3:$R$189)</f>
        <v>0</v>
      </c>
      <c r="CD56" s="209" t="e">
        <f t="shared" si="232"/>
        <v>#DIV/0!</v>
      </c>
      <c r="CE56" s="190">
        <f t="shared" si="246"/>
        <v>0</v>
      </c>
      <c r="CF56" s="209" t="e">
        <f t="shared" si="233"/>
        <v>#DIV/0!</v>
      </c>
      <c r="CG56" s="245">
        <f t="shared" si="195"/>
        <v>0</v>
      </c>
      <c r="CH56" s="242">
        <f t="shared" si="250"/>
        <v>8801.5799999999981</v>
      </c>
      <c r="CI56" s="246">
        <f t="shared" si="251"/>
        <v>8.7895079852153438E-5</v>
      </c>
      <c r="CJ56" s="242">
        <f t="shared" si="250"/>
        <v>4.0200000000000005</v>
      </c>
      <c r="CK56" s="259">
        <f t="shared" si="247"/>
        <v>2.8353106287719075E-7</v>
      </c>
      <c r="CL56" s="242">
        <f t="shared" si="250"/>
        <v>8805.5999999999985</v>
      </c>
      <c r="CM56" s="247">
        <f t="shared" si="248"/>
        <v>7.7028798728620592E-5</v>
      </c>
    </row>
    <row r="57" spans="2:91" s="238" customFormat="1" ht="10.35" customHeight="1" thickBot="1">
      <c r="B57" s="301" t="s">
        <v>30</v>
      </c>
      <c r="C57" s="292">
        <f>IF(SUM(C58:C61)=0,0,SUM(C58:C61))</f>
        <v>938960.74</v>
      </c>
      <c r="D57" s="291">
        <f t="shared" si="198"/>
        <v>2.8538966031169878E-2</v>
      </c>
      <c r="E57" s="292">
        <f>IF(SUM(E58:E61)=0,0,SUM(E58:E61))</f>
        <v>7936.96</v>
      </c>
      <c r="F57" s="291">
        <f t="shared" si="199"/>
        <v>2.0084784484672015E-3</v>
      </c>
      <c r="G57" s="292">
        <f t="shared" si="249"/>
        <v>946897.7</v>
      </c>
      <c r="H57" s="291">
        <f t="shared" si="200"/>
        <v>2.5694095423917977E-2</v>
      </c>
      <c r="I57" s="292">
        <f>IF(SUM(I58:I61)=0,0,SUM(I58:I61))</f>
        <v>2227242.2800000003</v>
      </c>
      <c r="J57" s="291">
        <f t="shared" si="201"/>
        <v>0.10491002715550062</v>
      </c>
      <c r="K57" s="292">
        <f>IF(SUM(K58:K61)=0,0,SUM(K58:K61))</f>
        <v>7376.88</v>
      </c>
      <c r="L57" s="291">
        <f t="shared" si="202"/>
        <v>2.1574653624956116E-3</v>
      </c>
      <c r="M57" s="292">
        <f t="shared" si="236"/>
        <v>2234619.16</v>
      </c>
      <c r="N57" s="291">
        <f t="shared" si="203"/>
        <v>9.0656652362007206E-2</v>
      </c>
      <c r="O57" s="300">
        <f t="shared" si="32"/>
        <v>1287721.4600000002</v>
      </c>
      <c r="P57" s="292">
        <f>IF(SUM(P58:P61)=0,0,SUM(P58:P61))</f>
        <v>1964645.2</v>
      </c>
      <c r="Q57" s="291">
        <f t="shared" si="204"/>
        <v>8.2522737744392102E-2</v>
      </c>
      <c r="R57" s="292">
        <f>IF(SUM(R58:R61)=0,0,SUM(R58:R61))</f>
        <v>5458</v>
      </c>
      <c r="S57" s="291">
        <f t="shared" si="205"/>
        <v>1.495103028075608E-3</v>
      </c>
      <c r="T57" s="292">
        <f t="shared" si="237"/>
        <v>1970103.2</v>
      </c>
      <c r="U57" s="291">
        <f t="shared" si="206"/>
        <v>7.1749947948685819E-2</v>
      </c>
      <c r="V57" s="300">
        <f t="shared" si="169"/>
        <v>-264515.9600000002</v>
      </c>
      <c r="W57" s="292">
        <f>IF(SUM(W58:W61)=0,0,SUM(W58:W61))</f>
        <v>732398.04</v>
      </c>
      <c r="X57" s="209">
        <f t="shared" si="207"/>
        <v>3.2992395578879771E-2</v>
      </c>
      <c r="Y57" s="292">
        <f>IF(SUM(Y58:Y61)=0,0,SUM(Y58:Y61))</f>
        <v>5697.6</v>
      </c>
      <c r="Z57" s="209">
        <f t="shared" si="208"/>
        <v>1.8048691801034881E-3</v>
      </c>
      <c r="AA57" s="292">
        <f t="shared" si="238"/>
        <v>738095.64</v>
      </c>
      <c r="AB57" s="209">
        <f t="shared" si="209"/>
        <v>2.9109550861168693E-2</v>
      </c>
      <c r="AC57" s="300">
        <f t="shared" si="172"/>
        <v>-1232007.56</v>
      </c>
      <c r="AD57" s="292">
        <f>IF(SUM(AD58:AD61)=0,0,SUM(AD58:AD61))</f>
        <v>0</v>
      </c>
      <c r="AE57" s="209" t="e">
        <f t="shared" si="210"/>
        <v>#DIV/0!</v>
      </c>
      <c r="AF57" s="292">
        <f>IF(SUM(AF58:AF61)=0,0,SUM(AF58:AF61))</f>
        <v>0</v>
      </c>
      <c r="AG57" s="209" t="e">
        <f t="shared" si="211"/>
        <v>#DIV/0!</v>
      </c>
      <c r="AH57" s="292">
        <f t="shared" si="239"/>
        <v>0</v>
      </c>
      <c r="AI57" s="209" t="e">
        <f t="shared" si="212"/>
        <v>#DIV/0!</v>
      </c>
      <c r="AJ57" s="300">
        <f t="shared" si="84"/>
        <v>-738095.64</v>
      </c>
      <c r="AK57" s="292">
        <f>IF(SUM(AK58:AK61)=0,0,SUM(AK58:AK61))</f>
        <v>0</v>
      </c>
      <c r="AL57" s="209" t="e">
        <f t="shared" si="213"/>
        <v>#DIV/0!</v>
      </c>
      <c r="AM57" s="292">
        <f>IF(SUM(AM58:AM61)=0,0,SUM(AM58:AM61))</f>
        <v>0</v>
      </c>
      <c r="AN57" s="209" t="e">
        <f t="shared" si="214"/>
        <v>#DIV/0!</v>
      </c>
      <c r="AO57" s="292">
        <f t="shared" si="240"/>
        <v>0</v>
      </c>
      <c r="AP57" s="209" t="e">
        <f t="shared" si="215"/>
        <v>#DIV/0!</v>
      </c>
      <c r="AQ57" s="300">
        <f t="shared" si="177"/>
        <v>0</v>
      </c>
      <c r="AR57" s="292">
        <f>IF(SUM(AR58:AR61)=0,0,SUM(AR58:AR61))</f>
        <v>0</v>
      </c>
      <c r="AS57" s="209" t="e">
        <f t="shared" si="216"/>
        <v>#DIV/0!</v>
      </c>
      <c r="AT57" s="292">
        <f>IF(SUM(AT58:AT61)=0,0,SUM(AT58:AT61))</f>
        <v>0</v>
      </c>
      <c r="AU57" s="209" t="e">
        <f t="shared" si="217"/>
        <v>#DIV/0!</v>
      </c>
      <c r="AV57" s="292">
        <f t="shared" si="241"/>
        <v>0</v>
      </c>
      <c r="AW57" s="209" t="e">
        <f t="shared" si="218"/>
        <v>#DIV/0!</v>
      </c>
      <c r="AX57" s="300">
        <f t="shared" si="180"/>
        <v>0</v>
      </c>
      <c r="AY57" s="292">
        <f>IF(SUM(AY58:AY61)=0,0,SUM(AY58:AY61))</f>
        <v>0</v>
      </c>
      <c r="AZ57" s="209" t="e">
        <f t="shared" si="219"/>
        <v>#DIV/0!</v>
      </c>
      <c r="BA57" s="292">
        <f>IF(SUM(BA58:BA61)=0,0,SUM(BA58:BA61))</f>
        <v>0</v>
      </c>
      <c r="BB57" s="209" t="e">
        <f t="shared" si="220"/>
        <v>#DIV/0!</v>
      </c>
      <c r="BC57" s="292">
        <f>AY57+BA57</f>
        <v>0</v>
      </c>
      <c r="BD57" s="209" t="e">
        <f t="shared" si="221"/>
        <v>#DIV/0!</v>
      </c>
      <c r="BE57" s="300">
        <f t="shared" si="183"/>
        <v>0</v>
      </c>
      <c r="BF57" s="292">
        <f>IF(SUM(BF58:BF61)=0,0,SUM(BF58:BF61))</f>
        <v>0</v>
      </c>
      <c r="BG57" s="209" t="e">
        <f t="shared" si="222"/>
        <v>#DIV/0!</v>
      </c>
      <c r="BH57" s="292">
        <f>IF(SUM(BH58:BH61)=0,0,SUM(BH58:BH61))</f>
        <v>0</v>
      </c>
      <c r="BI57" s="209" t="e">
        <f t="shared" si="223"/>
        <v>#DIV/0!</v>
      </c>
      <c r="BJ57" s="292">
        <f t="shared" si="243"/>
        <v>0</v>
      </c>
      <c r="BK57" s="209" t="e">
        <f t="shared" si="224"/>
        <v>#DIV/0!</v>
      </c>
      <c r="BL57" s="300">
        <f t="shared" si="186"/>
        <v>0</v>
      </c>
      <c r="BM57" s="292">
        <f>IF(SUM(BM58:BM61)=0,0,SUM(BM58:BM61))</f>
        <v>0</v>
      </c>
      <c r="BN57" s="209" t="e">
        <f t="shared" si="225"/>
        <v>#DIV/0!</v>
      </c>
      <c r="BO57" s="292">
        <f>IF(SUM(BO58:BO61)=0,0,SUM(BO58:BO61))</f>
        <v>0</v>
      </c>
      <c r="BP57" s="209" t="e">
        <f t="shared" si="226"/>
        <v>#DIV/0!</v>
      </c>
      <c r="BQ57" s="292">
        <f t="shared" si="244"/>
        <v>0</v>
      </c>
      <c r="BR57" s="209" t="e">
        <f t="shared" si="227"/>
        <v>#DIV/0!</v>
      </c>
      <c r="BS57" s="300">
        <f t="shared" si="189"/>
        <v>0</v>
      </c>
      <c r="BT57" s="292">
        <f>IF(SUM(BT58:BT61)=0,0,SUM(BT58:BT61))</f>
        <v>0</v>
      </c>
      <c r="BU57" s="209" t="e">
        <f t="shared" si="228"/>
        <v>#DIV/0!</v>
      </c>
      <c r="BV57" s="292">
        <f>IF(SUM(BV58:BV61)=0,0,SUM(BV58:BV61))</f>
        <v>0</v>
      </c>
      <c r="BW57" s="209" t="e">
        <f t="shared" si="229"/>
        <v>#DIV/0!</v>
      </c>
      <c r="BX57" s="292">
        <f t="shared" si="245"/>
        <v>0</v>
      </c>
      <c r="BY57" s="209" t="e">
        <f t="shared" si="230"/>
        <v>#DIV/0!</v>
      </c>
      <c r="BZ57" s="300">
        <f t="shared" si="192"/>
        <v>0</v>
      </c>
      <c r="CA57" s="292">
        <f>IF(SUM(CA58:CA61)=0,0,SUM(CA58:CA61))</f>
        <v>0</v>
      </c>
      <c r="CB57" s="209" t="e">
        <f t="shared" si="231"/>
        <v>#DIV/0!</v>
      </c>
      <c r="CC57" s="292">
        <f>IF(SUM(CC58:CC61)=0,0,SUM(CC58:CC61))</f>
        <v>0</v>
      </c>
      <c r="CD57" s="209" t="e">
        <f t="shared" si="232"/>
        <v>#DIV/0!</v>
      </c>
      <c r="CE57" s="292">
        <f t="shared" si="246"/>
        <v>0</v>
      </c>
      <c r="CF57" s="209" t="e">
        <f t="shared" si="233"/>
        <v>#DIV/0!</v>
      </c>
      <c r="CG57" s="300">
        <f t="shared" si="195"/>
        <v>0</v>
      </c>
      <c r="CH57" s="302">
        <f>IF(SUM(CH58:CH61)=0,0,SUM(CH58:CH61))</f>
        <v>5863246.2599999998</v>
      </c>
      <c r="CI57" s="299">
        <f t="shared" si="251"/>
        <v>5.8552043862072502E-2</v>
      </c>
      <c r="CJ57" s="302">
        <f>IF(SUM(CJ58:CJ61)=0,0,SUM(CJ58:CJ61))</f>
        <v>26469.440000000002</v>
      </c>
      <c r="CK57" s="303">
        <f t="shared" si="247"/>
        <v>1.8668926509860767E-3</v>
      </c>
      <c r="CL57" s="242">
        <f>IF(SUM(CL58:CL61)=0,0,SUM(CL58:CL61))</f>
        <v>5889715.7000000002</v>
      </c>
      <c r="CM57" s="247">
        <f t="shared" si="248"/>
        <v>5.1521500547844191E-2</v>
      </c>
    </row>
    <row r="58" spans="2:91" s="238" customFormat="1" ht="10.35" customHeight="1" thickBot="1">
      <c r="B58" s="240" t="s">
        <v>366</v>
      </c>
      <c r="C58" s="190">
        <f>SUMIF('MVTO E'!$C$3:$C$240,"Empres_E",'MVTO E'!$G$3:$G$240)</f>
        <v>351003.33</v>
      </c>
      <c r="D58" s="209">
        <f t="shared" si="198"/>
        <v>1.066846747149142E-2</v>
      </c>
      <c r="E58" s="190">
        <f>SUMIF('MVTO A'!$C$3:$C$184,"Empres_E",'MVTO A'!$G$3:$G$184)</f>
        <v>0</v>
      </c>
      <c r="F58" s="209">
        <f t="shared" si="199"/>
        <v>0</v>
      </c>
      <c r="G58" s="190">
        <f t="shared" si="249"/>
        <v>351003.33</v>
      </c>
      <c r="H58" s="209">
        <f t="shared" si="200"/>
        <v>9.5244851213948153E-3</v>
      </c>
      <c r="I58" s="190">
        <f>SUMIF('MVTO E'!$C$3:$C$240,"Empres_E",'MVTO E'!$H$3:$H$240)</f>
        <v>1846500</v>
      </c>
      <c r="J58" s="209">
        <f t="shared" si="201"/>
        <v>8.6975883531912782E-2</v>
      </c>
      <c r="K58" s="190">
        <f>SUMIF('MVTO A'!$C$3:$C$184,"Empres_E",'MVTO A'!$H$3:$H$184)</f>
        <v>0</v>
      </c>
      <c r="L58" s="209">
        <f t="shared" si="202"/>
        <v>0</v>
      </c>
      <c r="M58" s="190">
        <f t="shared" si="236"/>
        <v>1846500</v>
      </c>
      <c r="N58" s="209">
        <f t="shared" si="203"/>
        <v>7.4910978829361818E-2</v>
      </c>
      <c r="O58" s="245">
        <f t="shared" si="32"/>
        <v>1495496.67</v>
      </c>
      <c r="P58" s="190">
        <f>SUMIF('MVTO E'!$C$3:$C$240,"Empres_E",'MVTO E'!$I$3:$I$240)</f>
        <v>1533825</v>
      </c>
      <c r="Q58" s="209">
        <f t="shared" si="204"/>
        <v>6.442661413918005E-2</v>
      </c>
      <c r="R58" s="190">
        <f>SUMIF('MVTO A'!$C$3:$C$184,"Empres_E",'MVTO A'!$I$3:$I$184)</f>
        <v>0</v>
      </c>
      <c r="S58" s="209">
        <f t="shared" si="205"/>
        <v>0</v>
      </c>
      <c r="T58" s="190">
        <f t="shared" si="237"/>
        <v>1533825</v>
      </c>
      <c r="U58" s="209">
        <f t="shared" si="206"/>
        <v>5.5860963990309258E-2</v>
      </c>
      <c r="V58" s="245">
        <f t="shared" si="169"/>
        <v>-312675</v>
      </c>
      <c r="W58" s="190">
        <f>SUMIF('MVTO E'!$C$3:$C$240,"Empres_E",'MVTO E'!$J$3:$J$240)</f>
        <v>330000</v>
      </c>
      <c r="X58" s="209">
        <f t="shared" si="207"/>
        <v>1.4865537517045136E-2</v>
      </c>
      <c r="Y58" s="190">
        <f>SUMIF('MVTO A'!$C$3:$C$184,"Empres_E",'MVTO A'!$J$3:$J$184)</f>
        <v>0</v>
      </c>
      <c r="Z58" s="209">
        <f t="shared" si="208"/>
        <v>0</v>
      </c>
      <c r="AA58" s="190">
        <f t="shared" si="238"/>
        <v>330000</v>
      </c>
      <c r="AB58" s="209">
        <f t="shared" si="209"/>
        <v>1.301477920149436E-2</v>
      </c>
      <c r="AC58" s="245">
        <f t="shared" si="172"/>
        <v>-1203825</v>
      </c>
      <c r="AD58" s="190">
        <f>SUMIF('MVTO E'!$C$3:$C$240,"Empres_E",'MVTO E'!$K$3:$K$240)</f>
        <v>0</v>
      </c>
      <c r="AE58" s="209" t="e">
        <f t="shared" si="210"/>
        <v>#DIV/0!</v>
      </c>
      <c r="AF58" s="190">
        <f>SUMIF('MVTO A'!$C$3:$C$184,"Empres_E",'MVTO A'!$K$3:$K$184)</f>
        <v>0</v>
      </c>
      <c r="AG58" s="209" t="e">
        <f t="shared" si="211"/>
        <v>#DIV/0!</v>
      </c>
      <c r="AH58" s="190">
        <f t="shared" si="239"/>
        <v>0</v>
      </c>
      <c r="AI58" s="209" t="e">
        <f t="shared" si="212"/>
        <v>#DIV/0!</v>
      </c>
      <c r="AJ58" s="245">
        <f t="shared" si="84"/>
        <v>-330000</v>
      </c>
      <c r="AK58" s="190">
        <f>SUMIF('MVTO E'!$C$3:$C$240,"Empres_E",'MVTO E'!$L$3:$L$240)</f>
        <v>0</v>
      </c>
      <c r="AL58" s="209" t="e">
        <f t="shared" si="213"/>
        <v>#DIV/0!</v>
      </c>
      <c r="AM58" s="190">
        <f>SUMIF('MVTO A'!$C$3:$C$184,"Empres_E",'MVTO A'!$L$3:$L$184)</f>
        <v>0</v>
      </c>
      <c r="AN58" s="209" t="e">
        <f t="shared" si="214"/>
        <v>#DIV/0!</v>
      </c>
      <c r="AO58" s="190">
        <f t="shared" si="240"/>
        <v>0</v>
      </c>
      <c r="AP58" s="209" t="e">
        <f t="shared" si="215"/>
        <v>#DIV/0!</v>
      </c>
      <c r="AQ58" s="245">
        <f t="shared" si="177"/>
        <v>0</v>
      </c>
      <c r="AR58" s="190">
        <f>SUMIF('MVTO E'!$C$3:$C$240,"Empres_E",'MVTO E'!$M$3:$M$240)</f>
        <v>0</v>
      </c>
      <c r="AS58" s="209" t="e">
        <f t="shared" si="216"/>
        <v>#DIV/0!</v>
      </c>
      <c r="AT58" s="190">
        <f>SUMIF('MVTO A'!$C$3:$C$184,"Empres_E",'MVTO A'!$M$3:$M$189)</f>
        <v>0</v>
      </c>
      <c r="AU58" s="209" t="e">
        <f t="shared" si="217"/>
        <v>#DIV/0!</v>
      </c>
      <c r="AV58" s="190">
        <f t="shared" si="241"/>
        <v>0</v>
      </c>
      <c r="AW58" s="209" t="e">
        <f t="shared" si="218"/>
        <v>#DIV/0!</v>
      </c>
      <c r="AX58" s="245">
        <f t="shared" si="180"/>
        <v>0</v>
      </c>
      <c r="AY58" s="190">
        <f>SUMIF('MVTO E'!$C$3:$C$240,"Empres_E",'MVTO E'!$N$3:$N$240)</f>
        <v>0</v>
      </c>
      <c r="AZ58" s="209" t="e">
        <f t="shared" si="219"/>
        <v>#DIV/0!</v>
      </c>
      <c r="BA58" s="190">
        <f>SUMIF('MVTO A'!$C$3:$C$184,"Empres_E",'MVTO A'!$N$3:$N$189)</f>
        <v>0</v>
      </c>
      <c r="BB58" s="209" t="e">
        <f t="shared" si="220"/>
        <v>#DIV/0!</v>
      </c>
      <c r="BC58" s="190">
        <f t="shared" si="242"/>
        <v>0</v>
      </c>
      <c r="BD58" s="209" t="e">
        <f t="shared" si="221"/>
        <v>#DIV/0!</v>
      </c>
      <c r="BE58" s="245">
        <f t="shared" si="183"/>
        <v>0</v>
      </c>
      <c r="BF58" s="190">
        <f>SUMIF('MVTO E'!$C$3:$C$240,"Empres_E",'MVTO E'!$O$3:$O$240)</f>
        <v>0</v>
      </c>
      <c r="BG58" s="209" t="e">
        <f t="shared" si="222"/>
        <v>#DIV/0!</v>
      </c>
      <c r="BH58" s="190">
        <f>SUMIF('MVTO A'!$C$3:$C$184,"Empres_E",'MVTO A'!$O$3:$O$189)</f>
        <v>0</v>
      </c>
      <c r="BI58" s="209" t="e">
        <f t="shared" si="223"/>
        <v>#DIV/0!</v>
      </c>
      <c r="BJ58" s="190">
        <f t="shared" si="243"/>
        <v>0</v>
      </c>
      <c r="BK58" s="209" t="e">
        <f t="shared" si="224"/>
        <v>#DIV/0!</v>
      </c>
      <c r="BL58" s="245">
        <f t="shared" si="186"/>
        <v>0</v>
      </c>
      <c r="BM58" s="190">
        <f>SUMIF('MVTO E'!$C$3:$C$240,"Empres_E",'MVTO E'!$P$3:$P$240)</f>
        <v>0</v>
      </c>
      <c r="BN58" s="209" t="e">
        <f t="shared" si="225"/>
        <v>#DIV/0!</v>
      </c>
      <c r="BO58" s="190">
        <f>SUMIF('MVTO A'!$C$3:$C$184,"Empres_E",'MVTO A'!$P$3:$P$189)</f>
        <v>0</v>
      </c>
      <c r="BP58" s="209" t="e">
        <f t="shared" si="226"/>
        <v>#DIV/0!</v>
      </c>
      <c r="BQ58" s="190">
        <f t="shared" si="244"/>
        <v>0</v>
      </c>
      <c r="BR58" s="209" t="e">
        <f t="shared" si="227"/>
        <v>#DIV/0!</v>
      </c>
      <c r="BS58" s="245">
        <f t="shared" si="189"/>
        <v>0</v>
      </c>
      <c r="BT58" s="190">
        <f>SUMIF('MVTO E'!$C$3:$C$240,"Empres_E",'MVTO E'!$Q$3:$Q$240)</f>
        <v>0</v>
      </c>
      <c r="BU58" s="209" t="e">
        <f t="shared" si="228"/>
        <v>#DIV/0!</v>
      </c>
      <c r="BV58" s="190">
        <f>SUMIF('MVTO A'!$C$3:$C$184,"Empres_E",'MVTO A'!$Q$3:$Q$189)</f>
        <v>0</v>
      </c>
      <c r="BW58" s="209" t="e">
        <f t="shared" si="229"/>
        <v>#DIV/0!</v>
      </c>
      <c r="BX58" s="190">
        <f t="shared" si="245"/>
        <v>0</v>
      </c>
      <c r="BY58" s="209" t="e">
        <f t="shared" si="230"/>
        <v>#DIV/0!</v>
      </c>
      <c r="BZ58" s="245">
        <f t="shared" si="192"/>
        <v>0</v>
      </c>
      <c r="CA58" s="190">
        <f>SUMIF('MVTO E'!$C$3:$C$240,"Empres_E",'MVTO E'!$R$3:$R$240)</f>
        <v>0</v>
      </c>
      <c r="CB58" s="209" t="e">
        <f t="shared" si="231"/>
        <v>#DIV/0!</v>
      </c>
      <c r="CC58" s="190">
        <f>SUMIF('MVTO A'!$C$3:$C$184,"Empres_E",'MVTO A'!$R$3:$R$189)</f>
        <v>0</v>
      </c>
      <c r="CD58" s="209" t="e">
        <f t="shared" si="232"/>
        <v>#DIV/0!</v>
      </c>
      <c r="CE58" s="190">
        <f t="shared" si="246"/>
        <v>0</v>
      </c>
      <c r="CF58" s="209" t="e">
        <f t="shared" si="233"/>
        <v>#DIV/0!</v>
      </c>
      <c r="CG58" s="245">
        <f t="shared" si="195"/>
        <v>0</v>
      </c>
      <c r="CH58" s="242">
        <f t="shared" ref="CH58:CL61" si="252">SUM(C58,I58,P58,W58,AD58,AK58,AR58,AY58,BF58,BM58,BT58,CA58)</f>
        <v>4061328.33</v>
      </c>
      <c r="CI58" s="246">
        <f t="shared" si="251"/>
        <v>4.0557579192731653E-2</v>
      </c>
      <c r="CJ58" s="242">
        <f t="shared" si="252"/>
        <v>0</v>
      </c>
      <c r="CK58" s="259">
        <f t="shared" si="247"/>
        <v>0</v>
      </c>
      <c r="CL58" s="242">
        <f t="shared" si="252"/>
        <v>4061328.33</v>
      </c>
      <c r="CM58" s="247">
        <f t="shared" si="248"/>
        <v>3.5527305635324663E-2</v>
      </c>
    </row>
    <row r="59" spans="2:91" s="238" customFormat="1" ht="10.35" customHeight="1" thickBot="1">
      <c r="B59" s="240" t="s">
        <v>31</v>
      </c>
      <c r="C59" s="197"/>
      <c r="D59" s="209">
        <f t="shared" si="198"/>
        <v>0</v>
      </c>
      <c r="E59" s="197"/>
      <c r="F59" s="209">
        <f t="shared" si="199"/>
        <v>0</v>
      </c>
      <c r="G59" s="197">
        <f t="shared" si="249"/>
        <v>0</v>
      </c>
      <c r="H59" s="209">
        <f t="shared" si="200"/>
        <v>0</v>
      </c>
      <c r="I59" s="197"/>
      <c r="J59" s="209">
        <f t="shared" si="201"/>
        <v>0</v>
      </c>
      <c r="K59" s="197"/>
      <c r="L59" s="209">
        <f t="shared" si="202"/>
        <v>0</v>
      </c>
      <c r="M59" s="197">
        <f t="shared" si="236"/>
        <v>0</v>
      </c>
      <c r="N59" s="209">
        <f t="shared" si="203"/>
        <v>0</v>
      </c>
      <c r="O59" s="245">
        <f t="shared" si="32"/>
        <v>0</v>
      </c>
      <c r="P59" s="197"/>
      <c r="Q59" s="209">
        <f t="shared" si="204"/>
        <v>0</v>
      </c>
      <c r="R59" s="197"/>
      <c r="S59" s="209">
        <f t="shared" si="205"/>
        <v>0</v>
      </c>
      <c r="T59" s="197">
        <f t="shared" si="237"/>
        <v>0</v>
      </c>
      <c r="U59" s="209">
        <f t="shared" si="206"/>
        <v>0</v>
      </c>
      <c r="V59" s="245">
        <f t="shared" si="169"/>
        <v>0</v>
      </c>
      <c r="W59" s="197"/>
      <c r="X59" s="291">
        <f t="shared" si="207"/>
        <v>0</v>
      </c>
      <c r="Y59" s="197"/>
      <c r="Z59" s="291">
        <f t="shared" si="208"/>
        <v>0</v>
      </c>
      <c r="AA59" s="197">
        <f t="shared" si="238"/>
        <v>0</v>
      </c>
      <c r="AB59" s="291">
        <f t="shared" si="209"/>
        <v>0</v>
      </c>
      <c r="AC59" s="245">
        <f t="shared" si="172"/>
        <v>0</v>
      </c>
      <c r="AD59" s="197"/>
      <c r="AE59" s="291" t="e">
        <f t="shared" si="210"/>
        <v>#DIV/0!</v>
      </c>
      <c r="AF59" s="197"/>
      <c r="AG59" s="291" t="e">
        <f t="shared" si="211"/>
        <v>#DIV/0!</v>
      </c>
      <c r="AH59" s="197">
        <f t="shared" si="239"/>
        <v>0</v>
      </c>
      <c r="AI59" s="291" t="e">
        <f t="shared" si="212"/>
        <v>#DIV/0!</v>
      </c>
      <c r="AJ59" s="245">
        <f t="shared" si="84"/>
        <v>0</v>
      </c>
      <c r="AK59" s="197"/>
      <c r="AL59" s="291" t="e">
        <f t="shared" si="213"/>
        <v>#DIV/0!</v>
      </c>
      <c r="AM59" s="197"/>
      <c r="AN59" s="291" t="e">
        <f t="shared" si="214"/>
        <v>#DIV/0!</v>
      </c>
      <c r="AO59" s="197">
        <f t="shared" si="240"/>
        <v>0</v>
      </c>
      <c r="AP59" s="291" t="e">
        <f t="shared" si="215"/>
        <v>#DIV/0!</v>
      </c>
      <c r="AQ59" s="245">
        <f t="shared" si="177"/>
        <v>0</v>
      </c>
      <c r="AR59" s="197"/>
      <c r="AS59" s="291" t="e">
        <f t="shared" si="216"/>
        <v>#DIV/0!</v>
      </c>
      <c r="AT59" s="197"/>
      <c r="AU59" s="291" t="e">
        <f t="shared" si="217"/>
        <v>#DIV/0!</v>
      </c>
      <c r="AV59" s="197">
        <f t="shared" si="241"/>
        <v>0</v>
      </c>
      <c r="AW59" s="291" t="e">
        <f t="shared" si="218"/>
        <v>#DIV/0!</v>
      </c>
      <c r="AX59" s="245">
        <f t="shared" si="180"/>
        <v>0</v>
      </c>
      <c r="AY59" s="197"/>
      <c r="AZ59" s="291" t="e">
        <f t="shared" si="219"/>
        <v>#DIV/0!</v>
      </c>
      <c r="BA59" s="197"/>
      <c r="BB59" s="291" t="e">
        <f t="shared" si="220"/>
        <v>#DIV/0!</v>
      </c>
      <c r="BC59" s="197">
        <f t="shared" si="242"/>
        <v>0</v>
      </c>
      <c r="BD59" s="291" t="e">
        <f t="shared" si="221"/>
        <v>#DIV/0!</v>
      </c>
      <c r="BE59" s="245">
        <f t="shared" si="183"/>
        <v>0</v>
      </c>
      <c r="BF59" s="197"/>
      <c r="BG59" s="291" t="e">
        <f t="shared" si="222"/>
        <v>#DIV/0!</v>
      </c>
      <c r="BH59" s="197"/>
      <c r="BI59" s="291" t="e">
        <f t="shared" si="223"/>
        <v>#DIV/0!</v>
      </c>
      <c r="BJ59" s="197">
        <f t="shared" si="243"/>
        <v>0</v>
      </c>
      <c r="BK59" s="291" t="e">
        <f t="shared" si="224"/>
        <v>#DIV/0!</v>
      </c>
      <c r="BL59" s="245">
        <f t="shared" si="186"/>
        <v>0</v>
      </c>
      <c r="BM59" s="197"/>
      <c r="BN59" s="291" t="e">
        <f t="shared" si="225"/>
        <v>#DIV/0!</v>
      </c>
      <c r="BO59" s="197"/>
      <c r="BP59" s="291" t="e">
        <f t="shared" si="226"/>
        <v>#DIV/0!</v>
      </c>
      <c r="BQ59" s="197">
        <f t="shared" si="244"/>
        <v>0</v>
      </c>
      <c r="BR59" s="291" t="e">
        <f t="shared" si="227"/>
        <v>#DIV/0!</v>
      </c>
      <c r="BS59" s="245">
        <f t="shared" si="189"/>
        <v>0</v>
      </c>
      <c r="BT59" s="197"/>
      <c r="BU59" s="291" t="e">
        <f t="shared" si="228"/>
        <v>#DIV/0!</v>
      </c>
      <c r="BV59" s="197"/>
      <c r="BW59" s="291" t="e">
        <f t="shared" si="229"/>
        <v>#DIV/0!</v>
      </c>
      <c r="BX59" s="197">
        <f t="shared" si="245"/>
        <v>0</v>
      </c>
      <c r="BY59" s="291" t="e">
        <f t="shared" si="230"/>
        <v>#DIV/0!</v>
      </c>
      <c r="BZ59" s="245">
        <f t="shared" si="192"/>
        <v>0</v>
      </c>
      <c r="CA59" s="197"/>
      <c r="CB59" s="291" t="e">
        <f t="shared" si="231"/>
        <v>#DIV/0!</v>
      </c>
      <c r="CC59" s="197"/>
      <c r="CD59" s="291" t="e">
        <f t="shared" si="232"/>
        <v>#DIV/0!</v>
      </c>
      <c r="CE59" s="197">
        <f t="shared" si="246"/>
        <v>0</v>
      </c>
      <c r="CF59" s="291" t="e">
        <f t="shared" si="233"/>
        <v>#DIV/0!</v>
      </c>
      <c r="CG59" s="245">
        <f t="shared" si="195"/>
        <v>0</v>
      </c>
      <c r="CH59" s="271">
        <f t="shared" si="252"/>
        <v>0</v>
      </c>
      <c r="CI59" s="246">
        <f t="shared" si="251"/>
        <v>0</v>
      </c>
      <c r="CJ59" s="271">
        <f t="shared" si="252"/>
        <v>0</v>
      </c>
      <c r="CK59" s="259">
        <f t="shared" si="247"/>
        <v>0</v>
      </c>
      <c r="CL59" s="242">
        <f t="shared" si="252"/>
        <v>0</v>
      </c>
      <c r="CM59" s="247">
        <f t="shared" si="248"/>
        <v>0</v>
      </c>
    </row>
    <row r="60" spans="2:91" s="238" customFormat="1" ht="10.35" customHeight="1" thickBot="1">
      <c r="B60" s="240" t="s">
        <v>32</v>
      </c>
      <c r="C60" s="197"/>
      <c r="D60" s="209">
        <f t="shared" si="198"/>
        <v>0</v>
      </c>
      <c r="E60" s="197"/>
      <c r="F60" s="209">
        <f t="shared" si="199"/>
        <v>0</v>
      </c>
      <c r="G60" s="197">
        <f t="shared" si="249"/>
        <v>0</v>
      </c>
      <c r="H60" s="209">
        <f t="shared" si="200"/>
        <v>0</v>
      </c>
      <c r="I60" s="197"/>
      <c r="J60" s="209">
        <f t="shared" si="201"/>
        <v>0</v>
      </c>
      <c r="K60" s="197"/>
      <c r="L60" s="209">
        <f t="shared" si="202"/>
        <v>0</v>
      </c>
      <c r="M60" s="197">
        <f t="shared" si="236"/>
        <v>0</v>
      </c>
      <c r="N60" s="209">
        <f t="shared" si="203"/>
        <v>0</v>
      </c>
      <c r="O60" s="245">
        <f t="shared" si="32"/>
        <v>0</v>
      </c>
      <c r="P60" s="197"/>
      <c r="Q60" s="209">
        <f t="shared" si="204"/>
        <v>0</v>
      </c>
      <c r="R60" s="197"/>
      <c r="S60" s="209">
        <f t="shared" si="205"/>
        <v>0</v>
      </c>
      <c r="T60" s="197">
        <f t="shared" si="237"/>
        <v>0</v>
      </c>
      <c r="U60" s="209">
        <f t="shared" si="206"/>
        <v>0</v>
      </c>
      <c r="V60" s="245">
        <f t="shared" si="169"/>
        <v>0</v>
      </c>
      <c r="W60" s="197"/>
      <c r="X60" s="209">
        <f t="shared" si="207"/>
        <v>0</v>
      </c>
      <c r="Y60" s="197"/>
      <c r="Z60" s="209">
        <f t="shared" si="208"/>
        <v>0</v>
      </c>
      <c r="AA60" s="197">
        <f t="shared" si="238"/>
        <v>0</v>
      </c>
      <c r="AB60" s="209">
        <f t="shared" si="209"/>
        <v>0</v>
      </c>
      <c r="AC60" s="245">
        <f t="shared" si="172"/>
        <v>0</v>
      </c>
      <c r="AD60" s="197"/>
      <c r="AE60" s="209" t="e">
        <f t="shared" si="210"/>
        <v>#DIV/0!</v>
      </c>
      <c r="AF60" s="197"/>
      <c r="AG60" s="209" t="e">
        <f t="shared" si="211"/>
        <v>#DIV/0!</v>
      </c>
      <c r="AH60" s="197">
        <f t="shared" si="239"/>
        <v>0</v>
      </c>
      <c r="AI60" s="209" t="e">
        <f t="shared" si="212"/>
        <v>#DIV/0!</v>
      </c>
      <c r="AJ60" s="245">
        <f t="shared" si="84"/>
        <v>0</v>
      </c>
      <c r="AK60" s="197"/>
      <c r="AL60" s="209" t="e">
        <f t="shared" si="213"/>
        <v>#DIV/0!</v>
      </c>
      <c r="AM60" s="197"/>
      <c r="AN60" s="209" t="e">
        <f t="shared" si="214"/>
        <v>#DIV/0!</v>
      </c>
      <c r="AO60" s="197">
        <f t="shared" si="240"/>
        <v>0</v>
      </c>
      <c r="AP60" s="209" t="e">
        <f t="shared" si="215"/>
        <v>#DIV/0!</v>
      </c>
      <c r="AQ60" s="245">
        <f t="shared" si="177"/>
        <v>0</v>
      </c>
      <c r="AR60" s="197"/>
      <c r="AS60" s="209" t="e">
        <f t="shared" si="216"/>
        <v>#DIV/0!</v>
      </c>
      <c r="AT60" s="197"/>
      <c r="AU60" s="209" t="e">
        <f t="shared" si="217"/>
        <v>#DIV/0!</v>
      </c>
      <c r="AV60" s="197">
        <f t="shared" si="241"/>
        <v>0</v>
      </c>
      <c r="AW60" s="209" t="e">
        <f t="shared" si="218"/>
        <v>#DIV/0!</v>
      </c>
      <c r="AX60" s="245">
        <f t="shared" si="180"/>
        <v>0</v>
      </c>
      <c r="AY60" s="197"/>
      <c r="AZ60" s="209" t="e">
        <f t="shared" si="219"/>
        <v>#DIV/0!</v>
      </c>
      <c r="BA60" s="197"/>
      <c r="BB60" s="209" t="e">
        <f t="shared" si="220"/>
        <v>#DIV/0!</v>
      </c>
      <c r="BC60" s="197">
        <f t="shared" si="242"/>
        <v>0</v>
      </c>
      <c r="BD60" s="209" t="e">
        <f t="shared" si="221"/>
        <v>#DIV/0!</v>
      </c>
      <c r="BE60" s="245">
        <f t="shared" si="183"/>
        <v>0</v>
      </c>
      <c r="BF60" s="197"/>
      <c r="BG60" s="209" t="e">
        <f t="shared" si="222"/>
        <v>#DIV/0!</v>
      </c>
      <c r="BH60" s="197"/>
      <c r="BI60" s="209" t="e">
        <f t="shared" si="223"/>
        <v>#DIV/0!</v>
      </c>
      <c r="BJ60" s="197">
        <f t="shared" si="243"/>
        <v>0</v>
      </c>
      <c r="BK60" s="209" t="e">
        <f t="shared" si="224"/>
        <v>#DIV/0!</v>
      </c>
      <c r="BL60" s="245">
        <f t="shared" si="186"/>
        <v>0</v>
      </c>
      <c r="BM60" s="197"/>
      <c r="BN60" s="209" t="e">
        <f t="shared" si="225"/>
        <v>#DIV/0!</v>
      </c>
      <c r="BO60" s="197"/>
      <c r="BP60" s="209" t="e">
        <f t="shared" si="226"/>
        <v>#DIV/0!</v>
      </c>
      <c r="BQ60" s="197">
        <f t="shared" si="244"/>
        <v>0</v>
      </c>
      <c r="BR60" s="209" t="e">
        <f t="shared" si="227"/>
        <v>#DIV/0!</v>
      </c>
      <c r="BS60" s="245">
        <f t="shared" si="189"/>
        <v>0</v>
      </c>
      <c r="BT60" s="197"/>
      <c r="BU60" s="209" t="e">
        <f t="shared" si="228"/>
        <v>#DIV/0!</v>
      </c>
      <c r="BV60" s="197"/>
      <c r="BW60" s="209" t="e">
        <f t="shared" si="229"/>
        <v>#DIV/0!</v>
      </c>
      <c r="BX60" s="197">
        <f t="shared" si="245"/>
        <v>0</v>
      </c>
      <c r="BY60" s="209" t="e">
        <f t="shared" si="230"/>
        <v>#DIV/0!</v>
      </c>
      <c r="BZ60" s="245">
        <f t="shared" si="192"/>
        <v>0</v>
      </c>
      <c r="CA60" s="197"/>
      <c r="CB60" s="209" t="e">
        <f t="shared" si="231"/>
        <v>#DIV/0!</v>
      </c>
      <c r="CC60" s="197"/>
      <c r="CD60" s="209" t="e">
        <f t="shared" si="232"/>
        <v>#DIV/0!</v>
      </c>
      <c r="CE60" s="197">
        <f t="shared" si="246"/>
        <v>0</v>
      </c>
      <c r="CF60" s="209" t="e">
        <f t="shared" si="233"/>
        <v>#DIV/0!</v>
      </c>
      <c r="CG60" s="245">
        <f t="shared" si="195"/>
        <v>0</v>
      </c>
      <c r="CH60" s="271">
        <f t="shared" si="252"/>
        <v>0</v>
      </c>
      <c r="CI60" s="246">
        <f t="shared" si="251"/>
        <v>0</v>
      </c>
      <c r="CJ60" s="271">
        <f t="shared" si="252"/>
        <v>0</v>
      </c>
      <c r="CK60" s="259">
        <f t="shared" si="247"/>
        <v>0</v>
      </c>
      <c r="CL60" s="242">
        <f t="shared" si="252"/>
        <v>0</v>
      </c>
      <c r="CM60" s="247">
        <f t="shared" si="248"/>
        <v>0</v>
      </c>
    </row>
    <row r="61" spans="2:91" s="238" customFormat="1" ht="10.35" customHeight="1" thickBot="1">
      <c r="B61" s="240" t="s">
        <v>368</v>
      </c>
      <c r="C61" s="190">
        <f>SUMIF('MVTO E'!$C$3:$C$240,"Juros_E",'MVTO E'!$G$3:$G$240)</f>
        <v>587957.41</v>
      </c>
      <c r="D61" s="209">
        <f t="shared" si="198"/>
        <v>1.7870498559678462E-2</v>
      </c>
      <c r="E61" s="190">
        <f>SUMIF('MVTO A'!$C$3:$C$184,"Juros_E",'MVTO A'!$G$3:$G$184)</f>
        <v>7936.96</v>
      </c>
      <c r="F61" s="209">
        <f t="shared" si="199"/>
        <v>2.0084784484672015E-3</v>
      </c>
      <c r="G61" s="190">
        <f t="shared" si="249"/>
        <v>595894.37</v>
      </c>
      <c r="H61" s="209">
        <f t="shared" si="200"/>
        <v>1.616961030252316E-2</v>
      </c>
      <c r="I61" s="190">
        <f>SUMIF('MVTO E'!$C$3:$C$240,"Juros_E",'MVTO E'!$H$3:$H$240)</f>
        <v>380742.28</v>
      </c>
      <c r="J61" s="209">
        <f t="shared" si="201"/>
        <v>1.793414362358783E-2</v>
      </c>
      <c r="K61" s="190">
        <f>SUMIF('MVTO A'!$C$3:$C$184,"Juros_E",'MVTO A'!$H$3:$H$184)</f>
        <v>7376.88</v>
      </c>
      <c r="L61" s="209">
        <f t="shared" si="202"/>
        <v>2.1574653624956116E-3</v>
      </c>
      <c r="M61" s="190">
        <f t="shared" si="236"/>
        <v>388119.16000000003</v>
      </c>
      <c r="N61" s="209">
        <f t="shared" si="203"/>
        <v>1.5745673532645381E-2</v>
      </c>
      <c r="O61" s="245">
        <f t="shared" si="32"/>
        <v>-207775.20999999996</v>
      </c>
      <c r="P61" s="190">
        <f>SUMIF('MVTO E'!$C$3:$C$240,"Juros_E",'MVTO E'!$I$3:$I$240)</f>
        <v>430820.2</v>
      </c>
      <c r="Q61" s="209">
        <f t="shared" si="204"/>
        <v>1.8096123605212053E-2</v>
      </c>
      <c r="R61" s="190">
        <f>SUMIF('MVTO A'!$C$3:$C$184,"Juros_E",'MVTO A'!$I$3:$I$184)</f>
        <v>5458</v>
      </c>
      <c r="S61" s="209">
        <f t="shared" si="205"/>
        <v>1.495103028075608E-3</v>
      </c>
      <c r="T61" s="190">
        <f t="shared" si="237"/>
        <v>436278.2</v>
      </c>
      <c r="U61" s="209">
        <f t="shared" si="206"/>
        <v>1.5888983958376568E-2</v>
      </c>
      <c r="V61" s="245">
        <f t="shared" si="169"/>
        <v>48159.039999999979</v>
      </c>
      <c r="W61" s="190">
        <f>SUMIF('MVTO E'!$C$3:$C$240,"Juros_E",'MVTO E'!$J$3:$J$240)</f>
        <v>402398.04000000004</v>
      </c>
      <c r="X61" s="209">
        <f t="shared" si="207"/>
        <v>1.8126858061834637E-2</v>
      </c>
      <c r="Y61" s="190">
        <f>SUMIF('MVTO A'!$C$3:$C$184,"Juros_E",'MVTO A'!$J$3:$J$184)</f>
        <v>5697.6</v>
      </c>
      <c r="Z61" s="209">
        <f t="shared" si="208"/>
        <v>1.8048691801034881E-3</v>
      </c>
      <c r="AA61" s="190">
        <f t="shared" si="238"/>
        <v>408095.64</v>
      </c>
      <c r="AB61" s="209">
        <f t="shared" si="209"/>
        <v>1.6094771659674333E-2</v>
      </c>
      <c r="AC61" s="245">
        <f t="shared" si="172"/>
        <v>-28182.559999999998</v>
      </c>
      <c r="AD61" s="190">
        <f>SUMIF('MVTO E'!$C$3:$C$240,"Juros_E",'MVTO E'!$K$3:$K$240)</f>
        <v>0</v>
      </c>
      <c r="AE61" s="209" t="e">
        <f t="shared" si="210"/>
        <v>#DIV/0!</v>
      </c>
      <c r="AF61" s="190">
        <f>SUMIF('MVTO A'!$C$3:$C$184,"Juros_E",'MVTO A'!$K$3:$K$184)</f>
        <v>0</v>
      </c>
      <c r="AG61" s="209" t="e">
        <f t="shared" si="211"/>
        <v>#DIV/0!</v>
      </c>
      <c r="AH61" s="190">
        <f t="shared" si="239"/>
        <v>0</v>
      </c>
      <c r="AI61" s="209" t="e">
        <f t="shared" si="212"/>
        <v>#DIV/0!</v>
      </c>
      <c r="AJ61" s="245">
        <f t="shared" si="84"/>
        <v>-408095.64</v>
      </c>
      <c r="AK61" s="190">
        <f>SUMIF('MVTO E'!$C$3:$C$240,"Juros_E",'MVTO E'!$L$3:$L$240)</f>
        <v>0</v>
      </c>
      <c r="AL61" s="209" t="e">
        <f t="shared" si="213"/>
        <v>#DIV/0!</v>
      </c>
      <c r="AM61" s="190">
        <f>SUMIF('MVTO A'!$C$3:$C$184,"Juros_E",'MVTO A'!$L$3:$L$184)</f>
        <v>0</v>
      </c>
      <c r="AN61" s="209" t="e">
        <f t="shared" si="214"/>
        <v>#DIV/0!</v>
      </c>
      <c r="AO61" s="190">
        <f t="shared" si="240"/>
        <v>0</v>
      </c>
      <c r="AP61" s="209" t="e">
        <f t="shared" si="215"/>
        <v>#DIV/0!</v>
      </c>
      <c r="AQ61" s="245">
        <f t="shared" si="177"/>
        <v>0</v>
      </c>
      <c r="AR61" s="190">
        <f>SUMIF('MVTO E'!$C$3:$C$240,"Juros_E",'MVTO E'!$M$3:$M$240)</f>
        <v>0</v>
      </c>
      <c r="AS61" s="209" t="e">
        <f t="shared" si="216"/>
        <v>#DIV/0!</v>
      </c>
      <c r="AT61" s="379">
        <f>SUMIF('MVTO A'!$C$3:$C$184,"Juros_E",'MVTO A'!$M$3:$M$189)</f>
        <v>0</v>
      </c>
      <c r="AU61" s="209" t="e">
        <f t="shared" si="217"/>
        <v>#DIV/0!</v>
      </c>
      <c r="AV61" s="190">
        <f t="shared" si="241"/>
        <v>0</v>
      </c>
      <c r="AW61" s="209" t="e">
        <f t="shared" si="218"/>
        <v>#DIV/0!</v>
      </c>
      <c r="AX61" s="245">
        <f t="shared" si="180"/>
        <v>0</v>
      </c>
      <c r="AY61" s="190">
        <f>SUMIF('MVTO E'!$C$3:$C$240,"Juros_E",'MVTO E'!$N$3:$N$240)</f>
        <v>0</v>
      </c>
      <c r="AZ61" s="209" t="e">
        <f t="shared" si="219"/>
        <v>#DIV/0!</v>
      </c>
      <c r="BA61" s="190">
        <f>SUMIF('MVTO A'!$C$3:$C$184,"Juros_E",'MVTO A'!$N$3:$N$189)</f>
        <v>0</v>
      </c>
      <c r="BB61" s="209" t="e">
        <f t="shared" si="220"/>
        <v>#DIV/0!</v>
      </c>
      <c r="BC61" s="190">
        <f t="shared" si="242"/>
        <v>0</v>
      </c>
      <c r="BD61" s="209" t="e">
        <f t="shared" si="221"/>
        <v>#DIV/0!</v>
      </c>
      <c r="BE61" s="245">
        <f t="shared" si="183"/>
        <v>0</v>
      </c>
      <c r="BF61" s="190">
        <f>SUMIF('MVTO E'!$C$3:$C$240,"Juros_E",'MVTO E'!$O$3:$O$240)</f>
        <v>0</v>
      </c>
      <c r="BG61" s="209" t="e">
        <f t="shared" si="222"/>
        <v>#DIV/0!</v>
      </c>
      <c r="BH61" s="190">
        <f>SUMIF('MVTO A'!$C$3:$C$184,"Juros_E",'MVTO A'!$O$3:$O$189)</f>
        <v>0</v>
      </c>
      <c r="BI61" s="209" t="e">
        <f t="shared" si="223"/>
        <v>#DIV/0!</v>
      </c>
      <c r="BJ61" s="190">
        <f t="shared" si="243"/>
        <v>0</v>
      </c>
      <c r="BK61" s="209" t="e">
        <f t="shared" si="224"/>
        <v>#DIV/0!</v>
      </c>
      <c r="BL61" s="245">
        <f t="shared" si="186"/>
        <v>0</v>
      </c>
      <c r="BM61" s="190">
        <f>SUMIF('MVTO E'!$C$3:$C$240,"Juros_E",'MVTO E'!$P$3:$P$240)</f>
        <v>0</v>
      </c>
      <c r="BN61" s="209" t="e">
        <f t="shared" si="225"/>
        <v>#DIV/0!</v>
      </c>
      <c r="BO61" s="190">
        <f>SUMIF('MVTO A'!$C$3:$C$184,"Juros_E",'MVTO A'!$P$3:$P$189)</f>
        <v>0</v>
      </c>
      <c r="BP61" s="209" t="e">
        <f t="shared" si="226"/>
        <v>#DIV/0!</v>
      </c>
      <c r="BQ61" s="190">
        <f t="shared" si="244"/>
        <v>0</v>
      </c>
      <c r="BR61" s="209" t="e">
        <f t="shared" si="227"/>
        <v>#DIV/0!</v>
      </c>
      <c r="BS61" s="245">
        <f t="shared" si="189"/>
        <v>0</v>
      </c>
      <c r="BT61" s="190">
        <f>SUMIF('MVTO E'!$C$3:$C$240,"Juros_E",'MVTO E'!$Q$3:$Q$240)</f>
        <v>0</v>
      </c>
      <c r="BU61" s="209" t="e">
        <f t="shared" si="228"/>
        <v>#DIV/0!</v>
      </c>
      <c r="BV61" s="190">
        <f>SUMIF('MVTO A'!$C$3:$C$184,"Juros_E",'MVTO A'!$Q$3:$Q$189)</f>
        <v>0</v>
      </c>
      <c r="BW61" s="209" t="e">
        <f t="shared" si="229"/>
        <v>#DIV/0!</v>
      </c>
      <c r="BX61" s="190">
        <f t="shared" si="245"/>
        <v>0</v>
      </c>
      <c r="BY61" s="209" t="e">
        <f t="shared" si="230"/>
        <v>#DIV/0!</v>
      </c>
      <c r="BZ61" s="245">
        <f t="shared" si="192"/>
        <v>0</v>
      </c>
      <c r="CA61" s="190">
        <f>SUMIF('MVTO E'!$C$3:$C$240,"Juros_E",'MVTO E'!$R$3:$R$240)</f>
        <v>0</v>
      </c>
      <c r="CB61" s="209" t="e">
        <f t="shared" si="231"/>
        <v>#DIV/0!</v>
      </c>
      <c r="CC61" s="190">
        <f>SUMIF('MVTO A'!$C$3:$C$184,"Juros_E",'MVTO A'!$R$3:$R$189)</f>
        <v>0</v>
      </c>
      <c r="CD61" s="209" t="e">
        <f t="shared" si="232"/>
        <v>#DIV/0!</v>
      </c>
      <c r="CE61" s="190">
        <f t="shared" si="246"/>
        <v>0</v>
      </c>
      <c r="CF61" s="209" t="e">
        <f t="shared" si="233"/>
        <v>#DIV/0!</v>
      </c>
      <c r="CG61" s="245">
        <f t="shared" si="195"/>
        <v>0</v>
      </c>
      <c r="CH61" s="242">
        <f t="shared" si="252"/>
        <v>1801917.9300000002</v>
      </c>
      <c r="CI61" s="246">
        <f t="shared" si="251"/>
        <v>1.7994464669340855E-2</v>
      </c>
      <c r="CJ61" s="242">
        <f t="shared" si="252"/>
        <v>26469.440000000002</v>
      </c>
      <c r="CK61" s="259">
        <f t="shared" si="247"/>
        <v>1.8668926509860767E-3</v>
      </c>
      <c r="CL61" s="242">
        <f t="shared" si="252"/>
        <v>1828387.37</v>
      </c>
      <c r="CM61" s="247">
        <f t="shared" si="248"/>
        <v>1.5994194912519528E-2</v>
      </c>
    </row>
    <row r="62" spans="2:91" s="238" customFormat="1" ht="10.35" customHeight="1" thickBot="1">
      <c r="B62" s="253" t="s">
        <v>369</v>
      </c>
      <c r="C62" s="192">
        <f>C63-C64</f>
        <v>675985.40000000014</v>
      </c>
      <c r="D62" s="211">
        <f t="shared" si="198"/>
        <v>2.0546039409663482E-2</v>
      </c>
      <c r="E62" s="192">
        <f>E63-E64</f>
        <v>-1248377</v>
      </c>
      <c r="F62" s="211">
        <f t="shared" si="199"/>
        <v>-0.31590663176608419</v>
      </c>
      <c r="G62" s="192">
        <f t="shared" si="249"/>
        <v>-572391.59999999986</v>
      </c>
      <c r="H62" s="211">
        <f t="shared" si="200"/>
        <v>-1.5531861984931514E-2</v>
      </c>
      <c r="I62" s="192">
        <f>I63-I64</f>
        <v>1029682.4100000001</v>
      </c>
      <c r="J62" s="211">
        <f t="shared" si="201"/>
        <v>4.8501238758201608E-2</v>
      </c>
      <c r="K62" s="192">
        <f>K63-K64</f>
        <v>-1671240</v>
      </c>
      <c r="L62" s="211">
        <f t="shared" si="202"/>
        <v>-0.48877606961441228</v>
      </c>
      <c r="M62" s="192">
        <f t="shared" si="236"/>
        <v>-641557.58999999985</v>
      </c>
      <c r="N62" s="211">
        <f t="shared" si="203"/>
        <v>-2.6027461165614069E-2</v>
      </c>
      <c r="O62" s="245">
        <f t="shared" si="32"/>
        <v>-69165.989999999991</v>
      </c>
      <c r="P62" s="192">
        <f>P63-P64</f>
        <v>-593346.33000000007</v>
      </c>
      <c r="Q62" s="211">
        <f t="shared" si="204"/>
        <v>-2.4922853033304711E-2</v>
      </c>
      <c r="R62" s="192">
        <f>R63-R64</f>
        <v>-2851185</v>
      </c>
      <c r="S62" s="211">
        <f t="shared" si="205"/>
        <v>-0.78102149635466334</v>
      </c>
      <c r="T62" s="192">
        <f t="shared" si="237"/>
        <v>-3444531.33</v>
      </c>
      <c r="U62" s="211">
        <f t="shared" si="206"/>
        <v>-0.12544771443197369</v>
      </c>
      <c r="V62" s="245">
        <f t="shared" si="169"/>
        <v>-2802973.74</v>
      </c>
      <c r="W62" s="192">
        <f>W63-W64</f>
        <v>1198016.1099999999</v>
      </c>
      <c r="X62" s="209">
        <f t="shared" si="207"/>
        <v>5.3967131603725668E-2</v>
      </c>
      <c r="Y62" s="192">
        <f>Y63-Y64</f>
        <v>-1914661</v>
      </c>
      <c r="Z62" s="209">
        <f t="shared" si="208"/>
        <v>-0.60652075071014544</v>
      </c>
      <c r="AA62" s="192">
        <f t="shared" si="238"/>
        <v>-716644.89000000013</v>
      </c>
      <c r="AB62" s="209">
        <f t="shared" si="209"/>
        <v>-2.8263560634027927E-2</v>
      </c>
      <c r="AC62" s="245">
        <f t="shared" si="172"/>
        <v>2727886.44</v>
      </c>
      <c r="AD62" s="192">
        <f>AD63-AD64</f>
        <v>0</v>
      </c>
      <c r="AE62" s="209" t="e">
        <f t="shared" si="210"/>
        <v>#DIV/0!</v>
      </c>
      <c r="AF62" s="192">
        <f>AF63-AF64</f>
        <v>0</v>
      </c>
      <c r="AG62" s="209" t="e">
        <f t="shared" si="211"/>
        <v>#DIV/0!</v>
      </c>
      <c r="AH62" s="192">
        <f t="shared" si="239"/>
        <v>0</v>
      </c>
      <c r="AI62" s="209" t="e">
        <f t="shared" si="212"/>
        <v>#DIV/0!</v>
      </c>
      <c r="AJ62" s="245">
        <f t="shared" si="84"/>
        <v>716644.89000000013</v>
      </c>
      <c r="AK62" s="192">
        <f>AK63-AK64</f>
        <v>0</v>
      </c>
      <c r="AL62" s="209" t="e">
        <f t="shared" si="213"/>
        <v>#DIV/0!</v>
      </c>
      <c r="AM62" s="192">
        <f>AM63-AM64</f>
        <v>0</v>
      </c>
      <c r="AN62" s="209" t="e">
        <f t="shared" si="214"/>
        <v>#DIV/0!</v>
      </c>
      <c r="AO62" s="192">
        <f t="shared" si="240"/>
        <v>0</v>
      </c>
      <c r="AP62" s="209" t="e">
        <f t="shared" si="215"/>
        <v>#DIV/0!</v>
      </c>
      <c r="AQ62" s="245">
        <f t="shared" si="177"/>
        <v>0</v>
      </c>
      <c r="AR62" s="192">
        <f>AR63-AR64</f>
        <v>0</v>
      </c>
      <c r="AS62" s="209" t="e">
        <f t="shared" si="216"/>
        <v>#DIV/0!</v>
      </c>
      <c r="AT62" s="192">
        <f>AT63-AT64</f>
        <v>0</v>
      </c>
      <c r="AU62" s="209" t="e">
        <f t="shared" si="217"/>
        <v>#DIV/0!</v>
      </c>
      <c r="AV62" s="192">
        <f t="shared" si="241"/>
        <v>0</v>
      </c>
      <c r="AW62" s="209" t="e">
        <f t="shared" si="218"/>
        <v>#DIV/0!</v>
      </c>
      <c r="AX62" s="245">
        <f t="shared" si="180"/>
        <v>0</v>
      </c>
      <c r="AY62" s="192">
        <f>AY63-AY64</f>
        <v>0</v>
      </c>
      <c r="AZ62" s="209" t="e">
        <f t="shared" si="219"/>
        <v>#DIV/0!</v>
      </c>
      <c r="BA62" s="192">
        <f>BA63-BA64</f>
        <v>0</v>
      </c>
      <c r="BB62" s="209" t="e">
        <f t="shared" si="220"/>
        <v>#DIV/0!</v>
      </c>
      <c r="BC62" s="192">
        <f t="shared" si="242"/>
        <v>0</v>
      </c>
      <c r="BD62" s="209" t="e">
        <f t="shared" si="221"/>
        <v>#DIV/0!</v>
      </c>
      <c r="BE62" s="245">
        <f t="shared" si="183"/>
        <v>0</v>
      </c>
      <c r="BF62" s="192">
        <f>BF63-BF64</f>
        <v>0</v>
      </c>
      <c r="BG62" s="209" t="e">
        <f t="shared" si="222"/>
        <v>#DIV/0!</v>
      </c>
      <c r="BH62" s="192">
        <f>BH63-BH64</f>
        <v>0</v>
      </c>
      <c r="BI62" s="209" t="e">
        <f t="shared" si="223"/>
        <v>#DIV/0!</v>
      </c>
      <c r="BJ62" s="192">
        <f t="shared" si="243"/>
        <v>0</v>
      </c>
      <c r="BK62" s="209" t="e">
        <f t="shared" si="224"/>
        <v>#DIV/0!</v>
      </c>
      <c r="BL62" s="245">
        <f t="shared" si="186"/>
        <v>0</v>
      </c>
      <c r="BM62" s="192">
        <f>BM63-BM64</f>
        <v>0</v>
      </c>
      <c r="BN62" s="209" t="e">
        <f t="shared" si="225"/>
        <v>#DIV/0!</v>
      </c>
      <c r="BO62" s="192">
        <f>BO63-BO64</f>
        <v>0</v>
      </c>
      <c r="BP62" s="209" t="e">
        <f t="shared" si="226"/>
        <v>#DIV/0!</v>
      </c>
      <c r="BQ62" s="192">
        <f t="shared" si="244"/>
        <v>0</v>
      </c>
      <c r="BR62" s="209" t="e">
        <f t="shared" si="227"/>
        <v>#DIV/0!</v>
      </c>
      <c r="BS62" s="245">
        <f t="shared" si="189"/>
        <v>0</v>
      </c>
      <c r="BT62" s="192">
        <f>BT63-BT64</f>
        <v>0</v>
      </c>
      <c r="BU62" s="209" t="e">
        <f t="shared" si="228"/>
        <v>#DIV/0!</v>
      </c>
      <c r="BV62" s="192">
        <f>BV63-BV64</f>
        <v>0</v>
      </c>
      <c r="BW62" s="209" t="e">
        <f t="shared" si="229"/>
        <v>#DIV/0!</v>
      </c>
      <c r="BX62" s="192">
        <f t="shared" si="245"/>
        <v>0</v>
      </c>
      <c r="BY62" s="209" t="e">
        <f t="shared" si="230"/>
        <v>#DIV/0!</v>
      </c>
      <c r="BZ62" s="245">
        <f t="shared" si="192"/>
        <v>0</v>
      </c>
      <c r="CA62" s="192">
        <f>CA63-CA64</f>
        <v>0</v>
      </c>
      <c r="CB62" s="209" t="e">
        <f t="shared" si="231"/>
        <v>#DIV/0!</v>
      </c>
      <c r="CC62" s="192">
        <f>CC63-CC64</f>
        <v>0</v>
      </c>
      <c r="CD62" s="209" t="e">
        <f t="shared" si="232"/>
        <v>#DIV/0!</v>
      </c>
      <c r="CE62" s="192">
        <f t="shared" si="246"/>
        <v>0</v>
      </c>
      <c r="CF62" s="209" t="e">
        <f t="shared" si="233"/>
        <v>#DIV/0!</v>
      </c>
      <c r="CG62" s="245">
        <f t="shared" si="195"/>
        <v>0</v>
      </c>
      <c r="CH62" s="255">
        <f>CH63-CH64</f>
        <v>2310337.59</v>
      </c>
      <c r="CI62" s="254">
        <f>CH62/$CH$10</f>
        <v>2.3071687919496472E-2</v>
      </c>
      <c r="CJ62" s="255">
        <f>CJ63-CJ64</f>
        <v>-7685463</v>
      </c>
      <c r="CK62" s="272">
        <f t="shared" si="247"/>
        <v>-0.54205659032172215</v>
      </c>
      <c r="CL62" s="255">
        <f>CL63-CL64</f>
        <v>-5375125.4100000001</v>
      </c>
      <c r="CM62" s="256">
        <f t="shared" si="248"/>
        <v>-4.7020016052055996E-2</v>
      </c>
    </row>
    <row r="63" spans="2:91" s="238" customFormat="1" ht="10.35" customHeight="1" thickBot="1">
      <c r="B63" s="240" t="s">
        <v>370</v>
      </c>
      <c r="C63" s="190">
        <f>SUMIF('MVTO E'!$C$3:$C$240,"E_Ligadas",'MVTO E'!$G$3:$G$240)</f>
        <v>2097478.35</v>
      </c>
      <c r="D63" s="209">
        <f t="shared" si="198"/>
        <v>6.37511887683017E-2</v>
      </c>
      <c r="E63" s="190">
        <f>SUMIF('MVTO A'!$C$3:$C$184,"E_Ligadas",'MVTO A'!$G$3:$G$184)</f>
        <v>425948</v>
      </c>
      <c r="F63" s="209">
        <f t="shared" si="199"/>
        <v>0.10778779005660952</v>
      </c>
      <c r="G63" s="190">
        <f t="shared" si="249"/>
        <v>2523426.35</v>
      </c>
      <c r="H63" s="209">
        <f t="shared" si="200"/>
        <v>6.8473244186915916E-2</v>
      </c>
      <c r="I63" s="190">
        <f>SUMIF('MVTO E'!$C$3:$C$240,"E_Ligadas",'MVTO E'!$H$3:$H$240)</f>
        <v>1882980.86</v>
      </c>
      <c r="J63" s="209">
        <f t="shared" si="201"/>
        <v>8.8694245313934994E-2</v>
      </c>
      <c r="K63" s="190">
        <f>SUMIF('MVTO A'!$C$3:$C$184,"E_Ligadas",'MVTO A'!$H$3:$H$184)</f>
        <v>13900</v>
      </c>
      <c r="L63" s="209">
        <f t="shared" si="202"/>
        <v>4.0652374091335363E-3</v>
      </c>
      <c r="M63" s="190">
        <f t="shared" si="236"/>
        <v>1896880.86</v>
      </c>
      <c r="N63" s="209">
        <f t="shared" si="203"/>
        <v>7.6954888678733638E-2</v>
      </c>
      <c r="O63" s="245">
        <f>M63-G63</f>
        <v>-626545.49</v>
      </c>
      <c r="P63" s="190">
        <f>SUMIF('MVTO E'!$C$3:$C$240,"E_Ligadas",'MVTO E'!$I$3:$I$240)</f>
        <v>3672790.5999999996</v>
      </c>
      <c r="Q63" s="209">
        <f t="shared" si="204"/>
        <v>0.1542714865126123</v>
      </c>
      <c r="R63" s="190">
        <f>SUMIF('MVTO A'!$C$3:$C$184,"E_Ligadas",'MVTO A'!$I$3:$I$184)</f>
        <v>136600</v>
      </c>
      <c r="S63" s="209">
        <f t="shared" si="205"/>
        <v>3.7418665011932584E-2</v>
      </c>
      <c r="T63" s="190">
        <f t="shared" si="237"/>
        <v>3809390.5999999996</v>
      </c>
      <c r="U63" s="209">
        <f t="shared" si="206"/>
        <v>0.13873566484548275</v>
      </c>
      <c r="V63" s="245">
        <f t="shared" si="169"/>
        <v>1912509.7399999995</v>
      </c>
      <c r="W63" s="190">
        <f>SUMIF('MVTO E'!$C$3:$C$240,"E_Ligadas",'MVTO E'!$J$3:$J$240)</f>
        <v>1977550.01</v>
      </c>
      <c r="X63" s="209">
        <f t="shared" si="207"/>
        <v>8.9082860198448438E-2</v>
      </c>
      <c r="Y63" s="190">
        <f>SUMIF('MVTO A'!$C$3:$C$184,"E_Ligadas",'MVTO A'!$J$3:$J$184)</f>
        <v>0</v>
      </c>
      <c r="Z63" s="209">
        <f t="shared" si="208"/>
        <v>0</v>
      </c>
      <c r="AA63" s="190">
        <f t="shared" si="238"/>
        <v>1977550.01</v>
      </c>
      <c r="AB63" s="209">
        <f t="shared" si="209"/>
        <v>7.7992050727463527E-2</v>
      </c>
      <c r="AC63" s="245">
        <f t="shared" si="172"/>
        <v>-1831840.5899999996</v>
      </c>
      <c r="AD63" s="190">
        <f>SUMIF('MVTO E'!$C$3:$C$240,"E_Ligadas",'MVTO E'!$K$3:$K$240)</f>
        <v>0</v>
      </c>
      <c r="AE63" s="209" t="e">
        <f t="shared" si="210"/>
        <v>#DIV/0!</v>
      </c>
      <c r="AF63" s="190">
        <f>SUMIF('MVTO A'!$C$3:$C$184,"E_Ligadas",'MVTO A'!$K$3:$K$184)</f>
        <v>0</v>
      </c>
      <c r="AG63" s="209" t="e">
        <f t="shared" si="211"/>
        <v>#DIV/0!</v>
      </c>
      <c r="AH63" s="190">
        <f t="shared" si="239"/>
        <v>0</v>
      </c>
      <c r="AI63" s="209" t="e">
        <f t="shared" si="212"/>
        <v>#DIV/0!</v>
      </c>
      <c r="AJ63" s="245">
        <f t="shared" si="84"/>
        <v>-1977550.01</v>
      </c>
      <c r="AK63" s="190">
        <f>SUMIF('MVTO E'!$C$3:$C$240,"E_Ligadas",'MVTO E'!$L$3:$L$240)</f>
        <v>0</v>
      </c>
      <c r="AL63" s="209" t="e">
        <f t="shared" si="213"/>
        <v>#DIV/0!</v>
      </c>
      <c r="AM63" s="190">
        <f>SUMIF('MVTO A'!$C$3:$C$184,"E_Ligadas",'MVTO A'!$L$3:$L$184)</f>
        <v>0</v>
      </c>
      <c r="AN63" s="209" t="e">
        <f t="shared" si="214"/>
        <v>#DIV/0!</v>
      </c>
      <c r="AO63" s="190">
        <f t="shared" si="240"/>
        <v>0</v>
      </c>
      <c r="AP63" s="209" t="e">
        <f t="shared" si="215"/>
        <v>#DIV/0!</v>
      </c>
      <c r="AQ63" s="245">
        <f t="shared" si="177"/>
        <v>0</v>
      </c>
      <c r="AR63" s="190">
        <f>SUMIF('MVTO E'!$C$3:$C$240,"E_Ligadas",'MVTO E'!$M$3:$M$240)</f>
        <v>0</v>
      </c>
      <c r="AS63" s="209" t="e">
        <f t="shared" si="216"/>
        <v>#DIV/0!</v>
      </c>
      <c r="AT63" s="381">
        <f>SUMIF('MVTO A'!$C$3:$C$184,"E_Ligadas",'MVTO A'!$M$3:$M$189)</f>
        <v>0</v>
      </c>
      <c r="AU63" s="209" t="e">
        <f t="shared" si="217"/>
        <v>#DIV/0!</v>
      </c>
      <c r="AV63" s="190">
        <f t="shared" si="241"/>
        <v>0</v>
      </c>
      <c r="AW63" s="209" t="e">
        <f t="shared" si="218"/>
        <v>#DIV/0!</v>
      </c>
      <c r="AX63" s="245">
        <f t="shared" si="180"/>
        <v>0</v>
      </c>
      <c r="AY63" s="190">
        <f>SUMIF('MVTO E'!$C$3:$C$240,"E_Ligadas",'MVTO E'!$N$3:$N$240)</f>
        <v>0</v>
      </c>
      <c r="AZ63" s="209" t="e">
        <f t="shared" si="219"/>
        <v>#DIV/0!</v>
      </c>
      <c r="BA63" s="190">
        <f>SUMIF('MVTO A'!$C$3:$C$184,"E_Ligadas",'MVTO A'!$N$3:$N$189)</f>
        <v>0</v>
      </c>
      <c r="BB63" s="209" t="e">
        <f t="shared" si="220"/>
        <v>#DIV/0!</v>
      </c>
      <c r="BC63" s="190">
        <f t="shared" si="242"/>
        <v>0</v>
      </c>
      <c r="BD63" s="209" t="e">
        <f t="shared" si="221"/>
        <v>#DIV/0!</v>
      </c>
      <c r="BE63" s="245">
        <f t="shared" si="183"/>
        <v>0</v>
      </c>
      <c r="BF63" s="190">
        <f>SUMIF('MVTO E'!$C$3:$C$240,"E_Ligadas",'MVTO E'!$O$3:$O$240)</f>
        <v>0</v>
      </c>
      <c r="BG63" s="209" t="e">
        <f t="shared" si="222"/>
        <v>#DIV/0!</v>
      </c>
      <c r="BH63" s="190">
        <f>SUMIF('MVTO A'!$C$3:$C$184,"E_Ligadas",'MVTO A'!$O$3:$O$189)</f>
        <v>0</v>
      </c>
      <c r="BI63" s="209" t="e">
        <f t="shared" si="223"/>
        <v>#DIV/0!</v>
      </c>
      <c r="BJ63" s="190">
        <f t="shared" si="243"/>
        <v>0</v>
      </c>
      <c r="BK63" s="209" t="e">
        <f t="shared" si="224"/>
        <v>#DIV/0!</v>
      </c>
      <c r="BL63" s="245">
        <f t="shared" si="186"/>
        <v>0</v>
      </c>
      <c r="BM63" s="190">
        <f>SUMIF('MVTO E'!$C$3:$C$240,"E_Ligadas",'MVTO E'!$P$3:$P$240)</f>
        <v>0</v>
      </c>
      <c r="BN63" s="209" t="e">
        <f t="shared" si="225"/>
        <v>#DIV/0!</v>
      </c>
      <c r="BO63" s="190">
        <f>SUMIF('MVTO A'!$C$3:$C$184,"E_Ligadas",'MVTO A'!$P$3:$P$189)</f>
        <v>0</v>
      </c>
      <c r="BP63" s="209" t="e">
        <f t="shared" si="226"/>
        <v>#DIV/0!</v>
      </c>
      <c r="BQ63" s="190">
        <f t="shared" si="244"/>
        <v>0</v>
      </c>
      <c r="BR63" s="209" t="e">
        <f t="shared" si="227"/>
        <v>#DIV/0!</v>
      </c>
      <c r="BS63" s="245">
        <f t="shared" si="189"/>
        <v>0</v>
      </c>
      <c r="BT63" s="190">
        <f>SUMIF('MVTO E'!$C$3:$C$240,"E_Ligadas",'MVTO E'!$Q$3:$Q$240)</f>
        <v>0</v>
      </c>
      <c r="BU63" s="209" t="e">
        <f t="shared" si="228"/>
        <v>#DIV/0!</v>
      </c>
      <c r="BV63" s="190">
        <f>SUMIF('MVTO A'!$C$3:$C$184,"E_Ligadas",'MVTO A'!$Q$3:$Q$189)</f>
        <v>0</v>
      </c>
      <c r="BW63" s="209" t="e">
        <f t="shared" si="229"/>
        <v>#DIV/0!</v>
      </c>
      <c r="BX63" s="190">
        <f t="shared" si="245"/>
        <v>0</v>
      </c>
      <c r="BY63" s="209" t="e">
        <f t="shared" si="230"/>
        <v>#DIV/0!</v>
      </c>
      <c r="BZ63" s="245">
        <f t="shared" si="192"/>
        <v>0</v>
      </c>
      <c r="CA63" s="190">
        <f>SUMIF('MVTO E'!$C$3:$C$240,"E_Ligadas",'MVTO E'!$R$3:$R$240)</f>
        <v>0</v>
      </c>
      <c r="CB63" s="209" t="e">
        <f t="shared" si="231"/>
        <v>#DIV/0!</v>
      </c>
      <c r="CC63" s="190">
        <f>SUMIF('MVTO A'!$C$3:$C$184,"E_Ligadas",'MVTO A'!$R$3:$R$189)</f>
        <v>0</v>
      </c>
      <c r="CD63" s="209" t="e">
        <f t="shared" si="232"/>
        <v>#DIV/0!</v>
      </c>
      <c r="CE63" s="190">
        <f t="shared" si="246"/>
        <v>0</v>
      </c>
      <c r="CF63" s="209" t="e">
        <f t="shared" si="233"/>
        <v>#DIV/0!</v>
      </c>
      <c r="CG63" s="245">
        <f t="shared" si="195"/>
        <v>0</v>
      </c>
      <c r="CH63" s="242">
        <f t="shared" ref="CH63:CL64" si="253">SUM(C63,I63,P63,W63,AD63,AK63,AR63,AY63,BF63,BM63,BT63,CA63)</f>
        <v>9630799.8200000003</v>
      </c>
      <c r="CI63" s="246">
        <f t="shared" si="251"/>
        <v>9.6175904691999076E-2</v>
      </c>
      <c r="CJ63" s="242">
        <f t="shared" si="253"/>
        <v>576448</v>
      </c>
      <c r="CK63" s="259">
        <f t="shared" si="247"/>
        <v>4.0656943814286278E-2</v>
      </c>
      <c r="CL63" s="242">
        <f t="shared" si="253"/>
        <v>10207247.82</v>
      </c>
      <c r="CM63" s="247">
        <f t="shared" si="248"/>
        <v>8.9290001578533132E-2</v>
      </c>
    </row>
    <row r="64" spans="2:91" s="238" customFormat="1" ht="10.35" customHeight="1" thickBot="1">
      <c r="B64" s="240" t="s">
        <v>371</v>
      </c>
      <c r="C64" s="190">
        <f>SUMIF('MVTO E'!$C$3:$C$240,"S_Ligadas",'MVTO E'!$G$3:$G$240)</f>
        <v>1421492.95</v>
      </c>
      <c r="D64" s="209">
        <f t="shared" si="198"/>
        <v>4.3205149358638215E-2</v>
      </c>
      <c r="E64" s="190">
        <f>SUMIF('MVTO A'!$C$3:$C$184,"S_Ligadas",'MVTO A'!$G$3:$G$184)</f>
        <v>1674325</v>
      </c>
      <c r="F64" s="209">
        <f t="shared" si="199"/>
        <v>0.42369442182269373</v>
      </c>
      <c r="G64" s="190">
        <f>C64+E64</f>
        <v>3095817.95</v>
      </c>
      <c r="H64" s="209">
        <f>G64/$G$10</f>
        <v>8.4005106171847435E-2</v>
      </c>
      <c r="I64" s="190">
        <f>SUMIF('MVTO E'!$C$3:$C$240,"S_Ligadas",'MVTO E'!$H$3:$H$240)</f>
        <v>853298.45</v>
      </c>
      <c r="J64" s="209">
        <f t="shared" si="201"/>
        <v>4.0193006555733386E-2</v>
      </c>
      <c r="K64" s="190">
        <f>SUMIF('MVTO A'!$C$3:$C$184,"S_Ligadas",'MVTO A'!$H$3:$H$184)</f>
        <v>1685140</v>
      </c>
      <c r="L64" s="209">
        <f t="shared" si="202"/>
        <v>0.49284130702354584</v>
      </c>
      <c r="M64" s="190">
        <f t="shared" si="236"/>
        <v>2538438.4500000002</v>
      </c>
      <c r="N64" s="209">
        <f t="shared" si="203"/>
        <v>0.10298234984434772</v>
      </c>
      <c r="O64" s="245">
        <f t="shared" si="32"/>
        <v>-557379.5</v>
      </c>
      <c r="P64" s="190">
        <f>SUMIF('MVTO E'!$C$3:$C$240,"S_Ligadas",'MVTO E'!$I$3:$I$240)</f>
        <v>4266136.93</v>
      </c>
      <c r="Q64" s="209">
        <f t="shared" si="204"/>
        <v>0.17919433954591701</v>
      </c>
      <c r="R64" s="190">
        <f>SUMIF('MVTO A'!$C$3:$C$184,"S_Ligadas",'MVTO A'!$I$3:$I$184)</f>
        <v>2987785</v>
      </c>
      <c r="S64" s="209">
        <f t="shared" si="205"/>
        <v>0.81844016136659592</v>
      </c>
      <c r="T64" s="190">
        <f t="shared" si="237"/>
        <v>7253921.9299999997</v>
      </c>
      <c r="U64" s="209">
        <f t="shared" si="206"/>
        <v>0.26418337927745644</v>
      </c>
      <c r="V64" s="245">
        <f t="shared" si="169"/>
        <v>4715483.4799999995</v>
      </c>
      <c r="W64" s="190">
        <f>SUMIF('MVTO E'!$C$3:$C$240,"S_Ligadas",'MVTO E'!$J$3:$J$240)</f>
        <v>779533.9</v>
      </c>
      <c r="X64" s="211">
        <f t="shared" si="207"/>
        <v>3.5115728594722763E-2</v>
      </c>
      <c r="Y64" s="190">
        <f>SUMIF('MVTO A'!$C$3:$C$184,"S_Ligadas",'MVTO A'!$J$3:$J$184)</f>
        <v>1914661</v>
      </c>
      <c r="Z64" s="211">
        <f t="shared" si="208"/>
        <v>0.60652075071014544</v>
      </c>
      <c r="AA64" s="190">
        <f t="shared" si="238"/>
        <v>2694194.9</v>
      </c>
      <c r="AB64" s="211">
        <f t="shared" si="209"/>
        <v>0.10625561136149145</v>
      </c>
      <c r="AC64" s="245">
        <f t="shared" si="172"/>
        <v>-4559727.0299999993</v>
      </c>
      <c r="AD64" s="190">
        <f>SUMIF('MVTO E'!$C$3:$C$240,"S_Ligadas",'MVTO E'!$K$3:$K$240)</f>
        <v>0</v>
      </c>
      <c r="AE64" s="211" t="e">
        <f t="shared" si="210"/>
        <v>#DIV/0!</v>
      </c>
      <c r="AF64" s="190">
        <f>SUMIF('MVTO A'!$C$3:$C$184,"S_Ligadas",'MVTO A'!$K$3:$K$184)</f>
        <v>0</v>
      </c>
      <c r="AG64" s="211" t="e">
        <f t="shared" si="211"/>
        <v>#DIV/0!</v>
      </c>
      <c r="AH64" s="190">
        <f t="shared" si="239"/>
        <v>0</v>
      </c>
      <c r="AI64" s="211" t="e">
        <f t="shared" si="212"/>
        <v>#DIV/0!</v>
      </c>
      <c r="AJ64" s="245">
        <f t="shared" si="84"/>
        <v>-2694194.9</v>
      </c>
      <c r="AK64" s="190">
        <f>SUMIF('MVTO E'!$C$3:$C$240,"S_Ligadas",'MVTO E'!$L$3:$L$240)</f>
        <v>0</v>
      </c>
      <c r="AL64" s="211" t="e">
        <f t="shared" si="213"/>
        <v>#DIV/0!</v>
      </c>
      <c r="AM64" s="190">
        <f>SUMIF('MVTO A'!$C$3:$C$184,"S_Ligadas",'MVTO A'!$L$3:$L$184)</f>
        <v>0</v>
      </c>
      <c r="AN64" s="211" t="e">
        <f t="shared" si="214"/>
        <v>#DIV/0!</v>
      </c>
      <c r="AO64" s="190">
        <f t="shared" si="240"/>
        <v>0</v>
      </c>
      <c r="AP64" s="211" t="e">
        <f t="shared" si="215"/>
        <v>#DIV/0!</v>
      </c>
      <c r="AQ64" s="245">
        <f t="shared" si="177"/>
        <v>0</v>
      </c>
      <c r="AR64" s="190">
        <f>SUMIF('MVTO E'!$C$3:$C$240,"S_Ligadas",'MVTO E'!$M$3:$M$240)</f>
        <v>0</v>
      </c>
      <c r="AS64" s="211" t="e">
        <f t="shared" si="216"/>
        <v>#DIV/0!</v>
      </c>
      <c r="AT64" s="379">
        <f>SUMIF('MVTO A'!$C$3:$C$184,"S_Ligadas",'MVTO A'!$M$3:$M$189)</f>
        <v>0</v>
      </c>
      <c r="AU64" s="211" t="e">
        <f t="shared" si="217"/>
        <v>#DIV/0!</v>
      </c>
      <c r="AV64" s="190">
        <f t="shared" si="241"/>
        <v>0</v>
      </c>
      <c r="AW64" s="211" t="e">
        <f t="shared" si="218"/>
        <v>#DIV/0!</v>
      </c>
      <c r="AX64" s="245">
        <f t="shared" si="180"/>
        <v>0</v>
      </c>
      <c r="AY64" s="190">
        <f>SUMIF('MVTO E'!$C$3:$C$240,"S_Ligadas",'MVTO E'!$N$3:$N$240)</f>
        <v>0</v>
      </c>
      <c r="AZ64" s="211" t="e">
        <f t="shared" si="219"/>
        <v>#DIV/0!</v>
      </c>
      <c r="BA64" s="190">
        <f>SUMIF('MVTO A'!$C$3:$C$184,"S_Ligadas",'MVTO A'!$N$3:$N$189)</f>
        <v>0</v>
      </c>
      <c r="BB64" s="211" t="e">
        <f t="shared" si="220"/>
        <v>#DIV/0!</v>
      </c>
      <c r="BC64" s="190">
        <f t="shared" si="242"/>
        <v>0</v>
      </c>
      <c r="BD64" s="211" t="e">
        <f t="shared" si="221"/>
        <v>#DIV/0!</v>
      </c>
      <c r="BE64" s="245">
        <f t="shared" si="183"/>
        <v>0</v>
      </c>
      <c r="BF64" s="190">
        <f>SUMIF('MVTO E'!$C$3:$C$240,"S_Ligadas",'MVTO E'!$O$3:$O$240)</f>
        <v>0</v>
      </c>
      <c r="BG64" s="211" t="e">
        <f t="shared" si="222"/>
        <v>#DIV/0!</v>
      </c>
      <c r="BH64" s="190">
        <f>SUMIF('MVTO A'!$C$3:$C$184,"S_Ligadas",'MVTO A'!$O$3:$O$189)</f>
        <v>0</v>
      </c>
      <c r="BI64" s="211" t="e">
        <f t="shared" si="223"/>
        <v>#DIV/0!</v>
      </c>
      <c r="BJ64" s="190">
        <f t="shared" si="243"/>
        <v>0</v>
      </c>
      <c r="BK64" s="211" t="e">
        <f t="shared" si="224"/>
        <v>#DIV/0!</v>
      </c>
      <c r="BL64" s="245">
        <f t="shared" si="186"/>
        <v>0</v>
      </c>
      <c r="BM64" s="190">
        <f>SUMIF('MVTO E'!$C$3:$C$240,"S_Ligadas",'MVTO E'!$P$3:$P$240)</f>
        <v>0</v>
      </c>
      <c r="BN64" s="211" t="e">
        <f t="shared" si="225"/>
        <v>#DIV/0!</v>
      </c>
      <c r="BO64" s="190">
        <f>SUMIF('MVTO A'!$C$3:$C$184,"S_Ligadas",'MVTO A'!$P$3:$P$189)</f>
        <v>0</v>
      </c>
      <c r="BP64" s="211" t="e">
        <f t="shared" si="226"/>
        <v>#DIV/0!</v>
      </c>
      <c r="BQ64" s="190">
        <f t="shared" si="244"/>
        <v>0</v>
      </c>
      <c r="BR64" s="211" t="e">
        <f t="shared" si="227"/>
        <v>#DIV/0!</v>
      </c>
      <c r="BS64" s="245">
        <f t="shared" si="189"/>
        <v>0</v>
      </c>
      <c r="BT64" s="190">
        <f>SUMIF('MVTO E'!$C$3:$C$240,"S_Ligadas",'MVTO E'!$Q$3:$Q$240)</f>
        <v>0</v>
      </c>
      <c r="BU64" s="211" t="e">
        <f t="shared" si="228"/>
        <v>#DIV/0!</v>
      </c>
      <c r="BV64" s="190">
        <f>SUMIF('MVTO A'!$C$3:$C$184,"S_Ligadas",'MVTO A'!$Q$3:$Q$189)</f>
        <v>0</v>
      </c>
      <c r="BW64" s="211" t="e">
        <f t="shared" si="229"/>
        <v>#DIV/0!</v>
      </c>
      <c r="BX64" s="190">
        <f t="shared" si="245"/>
        <v>0</v>
      </c>
      <c r="BY64" s="211" t="e">
        <f t="shared" si="230"/>
        <v>#DIV/0!</v>
      </c>
      <c r="BZ64" s="245">
        <f t="shared" si="192"/>
        <v>0</v>
      </c>
      <c r="CA64" s="190">
        <f>SUMIF('MVTO E'!$C$3:$C$240,"S_Ligadas",'MVTO E'!$R$3:$R$240)</f>
        <v>0</v>
      </c>
      <c r="CB64" s="211" t="e">
        <f t="shared" si="231"/>
        <v>#DIV/0!</v>
      </c>
      <c r="CC64" s="190">
        <f>SUMIF('MVTO A'!$C$3:$C$184,"S_Ligadas",'MVTO A'!$R$3:$R$189)</f>
        <v>0</v>
      </c>
      <c r="CD64" s="211" t="e">
        <f t="shared" si="232"/>
        <v>#DIV/0!</v>
      </c>
      <c r="CE64" s="190">
        <f t="shared" si="246"/>
        <v>0</v>
      </c>
      <c r="CF64" s="211" t="e">
        <f t="shared" si="233"/>
        <v>#DIV/0!</v>
      </c>
      <c r="CG64" s="245">
        <f t="shared" si="195"/>
        <v>0</v>
      </c>
      <c r="CH64" s="242">
        <f t="shared" si="253"/>
        <v>7320462.2300000004</v>
      </c>
      <c r="CI64" s="246">
        <f t="shared" si="251"/>
        <v>7.3104216772502603E-2</v>
      </c>
      <c r="CJ64" s="242">
        <f t="shared" si="253"/>
        <v>8261911</v>
      </c>
      <c r="CK64" s="259">
        <f t="shared" si="247"/>
        <v>0.58271353413600835</v>
      </c>
      <c r="CL64" s="242">
        <f t="shared" si="253"/>
        <v>15582373.23</v>
      </c>
      <c r="CM64" s="247">
        <f t="shared" si="248"/>
        <v>0.13631001763058914</v>
      </c>
    </row>
    <row r="65" spans="2:91" s="238" customFormat="1" ht="10.35" customHeight="1" thickBot="1">
      <c r="B65" s="253" t="s">
        <v>379</v>
      </c>
      <c r="C65" s="192">
        <f>C66-C67</f>
        <v>-841604.19</v>
      </c>
      <c r="D65" s="211">
        <f t="shared" si="198"/>
        <v>-2.5579891008116314E-2</v>
      </c>
      <c r="E65" s="192">
        <f>E66-E67</f>
        <v>-25394.58</v>
      </c>
      <c r="F65" s="211">
        <f>E65/$E$10</f>
        <v>-6.4261967602049436E-3</v>
      </c>
      <c r="G65" s="192">
        <f>C65+E65</f>
        <v>-866998.7699999999</v>
      </c>
      <c r="H65" s="211">
        <f>G65/$G$10</f>
        <v>-2.352603573627807E-2</v>
      </c>
      <c r="I65" s="192">
        <f>I66-I67</f>
        <v>-1551388.46</v>
      </c>
      <c r="J65" s="211">
        <f t="shared" si="201"/>
        <v>-7.3075213652701615E-2</v>
      </c>
      <c r="K65" s="192">
        <f>K66-K67</f>
        <v>-24047.010000000002</v>
      </c>
      <c r="L65" s="211">
        <f>K65/$K$10</f>
        <v>-7.0328636424322475E-3</v>
      </c>
      <c r="M65" s="192">
        <f t="shared" si="236"/>
        <v>-1575435.47</v>
      </c>
      <c r="N65" s="211">
        <f>M65/$M$10</f>
        <v>-6.3914114887731216E-2</v>
      </c>
      <c r="O65" s="245">
        <f t="shared" si="32"/>
        <v>-708436.70000000007</v>
      </c>
      <c r="P65" s="192">
        <f>P66-P67</f>
        <v>-1197861.9099999999</v>
      </c>
      <c r="Q65" s="211">
        <f t="shared" si="204"/>
        <v>-5.0314857997223426E-2</v>
      </c>
      <c r="R65" s="192">
        <f>R66-R67</f>
        <v>-21667.27</v>
      </c>
      <c r="S65" s="211">
        <f>R65/$R$10</f>
        <v>-5.935287832013884E-3</v>
      </c>
      <c r="T65" s="192">
        <f t="shared" si="237"/>
        <v>-1219529.18</v>
      </c>
      <c r="U65" s="211">
        <f>T65/$T$10</f>
        <v>-4.4414503355409758E-2</v>
      </c>
      <c r="V65" s="245">
        <f t="shared" si="169"/>
        <v>355906.29000000004</v>
      </c>
      <c r="W65" s="192">
        <f>W66-W67</f>
        <v>-1968180.53</v>
      </c>
      <c r="X65" s="209">
        <f t="shared" si="207"/>
        <v>-8.8660792451614484E-2</v>
      </c>
      <c r="Y65" s="192">
        <f>Y66-Y67</f>
        <v>-28805.86</v>
      </c>
      <c r="Z65" s="209">
        <f>Y65/$Y$10</f>
        <v>-9.1250366681367347E-3</v>
      </c>
      <c r="AA65" s="192">
        <f t="shared" si="238"/>
        <v>-1996986.3900000001</v>
      </c>
      <c r="AB65" s="209">
        <f>AA65/$AA$10</f>
        <v>-7.8758596770422143E-2</v>
      </c>
      <c r="AC65" s="245">
        <f t="shared" si="172"/>
        <v>-777457.2100000002</v>
      </c>
      <c r="AD65" s="192">
        <f>AD66-AD67</f>
        <v>0</v>
      </c>
      <c r="AE65" s="209" t="e">
        <f>AD65/$AD$10</f>
        <v>#DIV/0!</v>
      </c>
      <c r="AF65" s="192">
        <f>AF66-AF67</f>
        <v>0</v>
      </c>
      <c r="AG65" s="209" t="e">
        <f>AF65/$AF$10</f>
        <v>#DIV/0!</v>
      </c>
      <c r="AH65" s="192">
        <f t="shared" si="239"/>
        <v>0</v>
      </c>
      <c r="AI65" s="209" t="e">
        <f>AH65/$AH$10</f>
        <v>#DIV/0!</v>
      </c>
      <c r="AJ65" s="245">
        <f t="shared" si="84"/>
        <v>1996986.3900000001</v>
      </c>
      <c r="AK65" s="192">
        <f>AK66-AK67</f>
        <v>0</v>
      </c>
      <c r="AL65" s="209" t="e">
        <f t="shared" si="213"/>
        <v>#DIV/0!</v>
      </c>
      <c r="AM65" s="192">
        <f>AM66-AM67</f>
        <v>0</v>
      </c>
      <c r="AN65" s="209">
        <f t="shared" ref="AN65" si="254">AM65/$C$10</f>
        <v>0</v>
      </c>
      <c r="AO65" s="192">
        <f t="shared" si="240"/>
        <v>0</v>
      </c>
      <c r="AP65" s="209">
        <f t="shared" ref="AP65" si="255">AO65/$C$10</f>
        <v>0</v>
      </c>
      <c r="AQ65" s="245">
        <f t="shared" si="177"/>
        <v>0</v>
      </c>
      <c r="AR65" s="192">
        <f>AR66-AR67</f>
        <v>0</v>
      </c>
      <c r="AS65" s="209" t="e">
        <f t="shared" si="216"/>
        <v>#DIV/0!</v>
      </c>
      <c r="AT65" s="192">
        <f>AT66-AT67</f>
        <v>0</v>
      </c>
      <c r="AU65" s="209">
        <f t="shared" ref="AU65" si="256">AT65/$C$10</f>
        <v>0</v>
      </c>
      <c r="AV65" s="192">
        <f t="shared" si="241"/>
        <v>0</v>
      </c>
      <c r="AW65" s="209">
        <f t="shared" ref="AW65" si="257">AV65/$C$10</f>
        <v>0</v>
      </c>
      <c r="AX65" s="245">
        <f t="shared" si="180"/>
        <v>0</v>
      </c>
      <c r="AY65" s="192">
        <f>AY66-AY67</f>
        <v>0</v>
      </c>
      <c r="AZ65" s="209" t="e">
        <f t="shared" si="219"/>
        <v>#DIV/0!</v>
      </c>
      <c r="BA65" s="192">
        <f>BA66-BA67</f>
        <v>0</v>
      </c>
      <c r="BB65" s="209">
        <f t="shared" ref="BB65" si="258">BA65/$C$10</f>
        <v>0</v>
      </c>
      <c r="BC65" s="192">
        <f t="shared" si="242"/>
        <v>0</v>
      </c>
      <c r="BD65" s="209">
        <f t="shared" ref="BD65" si="259">BC65/$C$10</f>
        <v>0</v>
      </c>
      <c r="BE65" s="245">
        <f t="shared" si="183"/>
        <v>0</v>
      </c>
      <c r="BF65" s="192">
        <f>BF66-BF67</f>
        <v>0</v>
      </c>
      <c r="BG65" s="209" t="e">
        <f t="shared" si="222"/>
        <v>#DIV/0!</v>
      </c>
      <c r="BH65" s="192">
        <f>BH66-BH67</f>
        <v>0</v>
      </c>
      <c r="BI65" s="209">
        <f t="shared" ref="BI65" si="260">BH65/$C$10</f>
        <v>0</v>
      </c>
      <c r="BJ65" s="192">
        <f t="shared" si="243"/>
        <v>0</v>
      </c>
      <c r="BK65" s="209">
        <f t="shared" ref="BK65" si="261">BJ65/$C$10</f>
        <v>0</v>
      </c>
      <c r="BL65" s="245">
        <f t="shared" si="186"/>
        <v>0</v>
      </c>
      <c r="BM65" s="192">
        <f>BM66-BM67</f>
        <v>0</v>
      </c>
      <c r="BN65" s="209" t="e">
        <f t="shared" si="225"/>
        <v>#DIV/0!</v>
      </c>
      <c r="BO65" s="192">
        <f>BO66-BO67</f>
        <v>0</v>
      </c>
      <c r="BP65" s="209">
        <f t="shared" ref="BP65" si="262">BO65/$C$10</f>
        <v>0</v>
      </c>
      <c r="BQ65" s="192">
        <f t="shared" si="244"/>
        <v>0</v>
      </c>
      <c r="BR65" s="209">
        <f t="shared" ref="BR65" si="263">BQ65/$C$10</f>
        <v>0</v>
      </c>
      <c r="BS65" s="245">
        <f t="shared" si="189"/>
        <v>0</v>
      </c>
      <c r="BT65" s="192">
        <f>BT66-BT67</f>
        <v>0</v>
      </c>
      <c r="BU65" s="209" t="e">
        <f t="shared" si="228"/>
        <v>#DIV/0!</v>
      </c>
      <c r="BV65" s="192">
        <f>BV66-BV67</f>
        <v>0</v>
      </c>
      <c r="BW65" s="209">
        <f t="shared" ref="BW65" si="264">BV65/$C$10</f>
        <v>0</v>
      </c>
      <c r="BX65" s="192">
        <f t="shared" si="245"/>
        <v>0</v>
      </c>
      <c r="BY65" s="209">
        <f t="shared" ref="BY65" si="265">BX65/$C$10</f>
        <v>0</v>
      </c>
      <c r="BZ65" s="245">
        <f t="shared" si="192"/>
        <v>0</v>
      </c>
      <c r="CA65" s="192">
        <f>CA66-CA67</f>
        <v>0</v>
      </c>
      <c r="CB65" s="209" t="e">
        <f t="shared" si="231"/>
        <v>#DIV/0!</v>
      </c>
      <c r="CC65" s="192">
        <f>CC66-CC67</f>
        <v>0</v>
      </c>
      <c r="CD65" s="209">
        <f t="shared" ref="CD65" si="266">CC65/$C$10</f>
        <v>0</v>
      </c>
      <c r="CE65" s="192">
        <f t="shared" si="246"/>
        <v>0</v>
      </c>
      <c r="CF65" s="209">
        <f t="shared" ref="CF65" si="267">CE65/$C$10</f>
        <v>0</v>
      </c>
      <c r="CG65" s="245">
        <f t="shared" si="195"/>
        <v>0</v>
      </c>
      <c r="CH65" s="255">
        <f>CH66-CH67</f>
        <v>-5559035.0899999999</v>
      </c>
      <c r="CI65" s="254">
        <f>CH65/$CH$10</f>
        <v>-5.5514104642174822E-2</v>
      </c>
      <c r="CJ65" s="255">
        <f>CJ66-CJ67</f>
        <v>-99914.72</v>
      </c>
      <c r="CK65" s="272">
        <f t="shared" si="247"/>
        <v>-7.0469967061385337E-3</v>
      </c>
      <c r="CL65" s="255">
        <f>CL66-CL67</f>
        <v>-5658949.8100000005</v>
      </c>
      <c r="CM65" s="256">
        <f t="shared" si="248"/>
        <v>-4.9502828419398542E-2</v>
      </c>
    </row>
    <row r="66" spans="2:91" s="238" customFormat="1" ht="10.35" customHeight="1" thickBot="1">
      <c r="B66" s="240" t="s">
        <v>370</v>
      </c>
      <c r="C66" s="190"/>
      <c r="D66" s="209">
        <f t="shared" si="198"/>
        <v>0</v>
      </c>
      <c r="E66" s="190"/>
      <c r="F66" s="209">
        <f t="shared" ref="F66:F72" si="268">E66/$E$10</f>
        <v>0</v>
      </c>
      <c r="G66" s="190">
        <f t="shared" si="249"/>
        <v>0</v>
      </c>
      <c r="H66" s="209">
        <f t="shared" ref="H66:H72" si="269">G66/$G$10</f>
        <v>0</v>
      </c>
      <c r="I66" s="190"/>
      <c r="J66" s="209">
        <f t="shared" si="201"/>
        <v>0</v>
      </c>
      <c r="K66" s="190"/>
      <c r="L66" s="209">
        <f t="shared" ref="L66:L72" si="270">K66/$K$10</f>
        <v>0</v>
      </c>
      <c r="M66" s="190">
        <f t="shared" si="236"/>
        <v>0</v>
      </c>
      <c r="N66" s="209">
        <f t="shared" ref="N66:N72" si="271">M66/$M$10</f>
        <v>0</v>
      </c>
      <c r="O66" s="245">
        <f t="shared" si="32"/>
        <v>0</v>
      </c>
      <c r="P66" s="190"/>
      <c r="Q66" s="209">
        <f t="shared" si="204"/>
        <v>0</v>
      </c>
      <c r="R66" s="190"/>
      <c r="S66" s="209">
        <f t="shared" ref="S66:S72" si="272">R66/$R$10</f>
        <v>0</v>
      </c>
      <c r="T66" s="190">
        <f t="shared" si="237"/>
        <v>0</v>
      </c>
      <c r="U66" s="209">
        <f t="shared" ref="U66:U72" si="273">T66/$T$10</f>
        <v>0</v>
      </c>
      <c r="V66" s="245">
        <f t="shared" si="169"/>
        <v>0</v>
      </c>
      <c r="W66" s="190"/>
      <c r="X66" s="209">
        <f t="shared" si="207"/>
        <v>0</v>
      </c>
      <c r="Y66" s="190"/>
      <c r="Z66" s="209">
        <f t="shared" ref="Z66:Z72" si="274">Y66/$Y$10</f>
        <v>0</v>
      </c>
      <c r="AA66" s="190">
        <f t="shared" si="238"/>
        <v>0</v>
      </c>
      <c r="AB66" s="209">
        <f t="shared" ref="AB66:AB72" si="275">AA66/$AA$10</f>
        <v>0</v>
      </c>
      <c r="AC66" s="245">
        <f t="shared" si="172"/>
        <v>0</v>
      </c>
      <c r="AD66" s="190"/>
      <c r="AE66" s="209" t="e">
        <f t="shared" si="210"/>
        <v>#DIV/0!</v>
      </c>
      <c r="AF66" s="190"/>
      <c r="AG66" s="209" t="e">
        <f t="shared" ref="AG66:AG72" si="276">AF66/$AF$10</f>
        <v>#DIV/0!</v>
      </c>
      <c r="AH66" s="190">
        <f t="shared" si="239"/>
        <v>0</v>
      </c>
      <c r="AI66" s="209" t="e">
        <f t="shared" ref="AI66:AI72" si="277">AH66/$AH$10</f>
        <v>#DIV/0!</v>
      </c>
      <c r="AJ66" s="245">
        <f t="shared" si="84"/>
        <v>0</v>
      </c>
      <c r="AK66" s="190"/>
      <c r="AL66" s="209" t="e">
        <f t="shared" si="213"/>
        <v>#DIV/0!</v>
      </c>
      <c r="AM66" s="190"/>
      <c r="AN66" s="209" t="e">
        <f t="shared" ref="AN66:AN72" si="278">AM66/$AM$10</f>
        <v>#DIV/0!</v>
      </c>
      <c r="AO66" s="190">
        <f t="shared" si="240"/>
        <v>0</v>
      </c>
      <c r="AP66" s="209" t="e">
        <f t="shared" ref="AP66:AP72" si="279">AO66/$AO$10</f>
        <v>#DIV/0!</v>
      </c>
      <c r="AQ66" s="245">
        <f t="shared" si="177"/>
        <v>0</v>
      </c>
      <c r="AR66" s="190"/>
      <c r="AS66" s="209" t="e">
        <f t="shared" si="216"/>
        <v>#DIV/0!</v>
      </c>
      <c r="AT66" s="190"/>
      <c r="AU66" s="209" t="e">
        <f t="shared" ref="AU66:AU72" si="280">AT66/$AT$10</f>
        <v>#DIV/0!</v>
      </c>
      <c r="AV66" s="190">
        <f t="shared" si="241"/>
        <v>0</v>
      </c>
      <c r="AW66" s="209" t="e">
        <f t="shared" ref="AW66:AW72" si="281">AV66/$AV$10</f>
        <v>#DIV/0!</v>
      </c>
      <c r="AX66" s="245">
        <f t="shared" si="180"/>
        <v>0</v>
      </c>
      <c r="AY66" s="190"/>
      <c r="AZ66" s="209" t="e">
        <f t="shared" si="219"/>
        <v>#DIV/0!</v>
      </c>
      <c r="BA66" s="190"/>
      <c r="BB66" s="209" t="e">
        <f t="shared" ref="BB66:BB72" si="282">BA66/$BA$10</f>
        <v>#DIV/0!</v>
      </c>
      <c r="BC66" s="190">
        <f t="shared" si="242"/>
        <v>0</v>
      </c>
      <c r="BD66" s="209" t="e">
        <f t="shared" ref="BD66:BD72" si="283">BC66/$BC$10</f>
        <v>#DIV/0!</v>
      </c>
      <c r="BE66" s="245">
        <f t="shared" si="183"/>
        <v>0</v>
      </c>
      <c r="BF66" s="190"/>
      <c r="BG66" s="209" t="e">
        <f t="shared" si="222"/>
        <v>#DIV/0!</v>
      </c>
      <c r="BH66" s="190"/>
      <c r="BI66" s="209" t="e">
        <f t="shared" ref="BI66:BI72" si="284">BH66/$BH$10</f>
        <v>#DIV/0!</v>
      </c>
      <c r="BJ66" s="190">
        <f t="shared" si="243"/>
        <v>0</v>
      </c>
      <c r="BK66" s="209" t="e">
        <f t="shared" ref="BK66:BK72" si="285">BJ66/$BJ$10</f>
        <v>#DIV/0!</v>
      </c>
      <c r="BL66" s="245">
        <f t="shared" si="186"/>
        <v>0</v>
      </c>
      <c r="BM66" s="190"/>
      <c r="BN66" s="209" t="e">
        <f t="shared" si="225"/>
        <v>#DIV/0!</v>
      </c>
      <c r="BO66" s="190"/>
      <c r="BP66" s="209" t="e">
        <f t="shared" ref="BP66:BP72" si="286">BO66/$BH$10</f>
        <v>#DIV/0!</v>
      </c>
      <c r="BQ66" s="190">
        <f t="shared" si="244"/>
        <v>0</v>
      </c>
      <c r="BR66" s="209" t="e">
        <f t="shared" ref="BR66:BR72" si="287">BQ66/$BJ$10</f>
        <v>#DIV/0!</v>
      </c>
      <c r="BS66" s="245">
        <f t="shared" si="189"/>
        <v>0</v>
      </c>
      <c r="BT66" s="190"/>
      <c r="BU66" s="209" t="e">
        <f t="shared" si="228"/>
        <v>#DIV/0!</v>
      </c>
      <c r="BV66" s="190"/>
      <c r="BW66" s="209" t="e">
        <f t="shared" ref="BW66:BW72" si="288">BV66/$BH$10</f>
        <v>#DIV/0!</v>
      </c>
      <c r="BX66" s="190">
        <f t="shared" si="245"/>
        <v>0</v>
      </c>
      <c r="BY66" s="209" t="e">
        <f t="shared" ref="BY66:BY72" si="289">BX66/$BJ$10</f>
        <v>#DIV/0!</v>
      </c>
      <c r="BZ66" s="245">
        <f t="shared" si="192"/>
        <v>0</v>
      </c>
      <c r="CA66" s="190"/>
      <c r="CB66" s="209" t="e">
        <f t="shared" si="231"/>
        <v>#DIV/0!</v>
      </c>
      <c r="CC66" s="190"/>
      <c r="CD66" s="209" t="e">
        <f t="shared" ref="CD66:CD72" si="290">CC66/$BH$10</f>
        <v>#DIV/0!</v>
      </c>
      <c r="CE66" s="190">
        <f t="shared" si="246"/>
        <v>0</v>
      </c>
      <c r="CF66" s="209" t="e">
        <f t="shared" ref="CF66:CF72" si="291">CE66/$BJ$10</f>
        <v>#DIV/0!</v>
      </c>
      <c r="CG66" s="245">
        <f t="shared" si="195"/>
        <v>0</v>
      </c>
      <c r="CH66" s="242">
        <f t="shared" ref="CH66:CL67" si="292">SUM(C66,I66,P66,W66,AD66,AK66,AR66,AY66,BF66,BM66,BT66,CA66)</f>
        <v>0</v>
      </c>
      <c r="CI66" s="246">
        <f t="shared" si="251"/>
        <v>0</v>
      </c>
      <c r="CJ66" s="252">
        <f t="shared" si="292"/>
        <v>0</v>
      </c>
      <c r="CK66" s="259">
        <f t="shared" si="247"/>
        <v>0</v>
      </c>
      <c r="CL66" s="242">
        <f t="shared" si="292"/>
        <v>0</v>
      </c>
      <c r="CM66" s="247">
        <f t="shared" si="248"/>
        <v>0</v>
      </c>
    </row>
    <row r="67" spans="2:91" s="238" customFormat="1" ht="10.35" customHeight="1" thickBot="1">
      <c r="B67" s="240" t="s">
        <v>371</v>
      </c>
      <c r="C67" s="190">
        <f>SUMIF('MVTO E'!$C$3:$C$240,"Adto_S",'MVTO E'!$G$3:$G$240)</f>
        <v>841604.19</v>
      </c>
      <c r="D67" s="209">
        <f t="shared" si="198"/>
        <v>2.5579891008116314E-2</v>
      </c>
      <c r="E67" s="190">
        <f>SUMIF('MVTO A'!$C$3:$C$184,"Adto_S",'MVTO A'!$G$3:$G$184)</f>
        <v>25394.58</v>
      </c>
      <c r="F67" s="209">
        <f t="shared" si="268"/>
        <v>6.4261967602049436E-3</v>
      </c>
      <c r="G67" s="190">
        <f t="shared" si="249"/>
        <v>866998.7699999999</v>
      </c>
      <c r="H67" s="209">
        <f t="shared" si="269"/>
        <v>2.352603573627807E-2</v>
      </c>
      <c r="I67" s="190">
        <f>SUMIF('MVTO E'!$C$3:$C$240,"Adto_S",'MVTO E'!$H$3:$H$240)</f>
        <v>1551388.46</v>
      </c>
      <c r="J67" s="209">
        <f t="shared" si="201"/>
        <v>7.3075213652701615E-2</v>
      </c>
      <c r="K67" s="190">
        <f>SUMIF('MVTO A'!$C$3:$C$184,"Adto_S",'MVTO A'!$H$3:$H$184)</f>
        <v>24047.010000000002</v>
      </c>
      <c r="L67" s="209">
        <f t="shared" si="270"/>
        <v>7.0328636424322475E-3</v>
      </c>
      <c r="M67" s="190">
        <f t="shared" si="236"/>
        <v>1575435.47</v>
      </c>
      <c r="N67" s="209">
        <f t="shared" si="271"/>
        <v>6.3914114887731216E-2</v>
      </c>
      <c r="O67" s="245">
        <f t="shared" si="32"/>
        <v>708436.70000000007</v>
      </c>
      <c r="P67" s="190">
        <f>SUMIF('MVTO E'!$C$3:$C$240,"Adto_S",'MVTO E'!$I$3:$I$240)</f>
        <v>1197861.9099999999</v>
      </c>
      <c r="Q67" s="209">
        <f t="shared" si="204"/>
        <v>5.0314857997223426E-2</v>
      </c>
      <c r="R67" s="190">
        <f>SUMIF('MVTO A'!$C$3:$C$184,"Adto_S",'MVTO A'!$I$3:$I$184)</f>
        <v>21667.27</v>
      </c>
      <c r="S67" s="209">
        <f t="shared" si="272"/>
        <v>5.935287832013884E-3</v>
      </c>
      <c r="T67" s="190">
        <f t="shared" si="237"/>
        <v>1219529.18</v>
      </c>
      <c r="U67" s="209">
        <f t="shared" si="273"/>
        <v>4.4414503355409758E-2</v>
      </c>
      <c r="V67" s="245">
        <f t="shared" si="169"/>
        <v>-355906.29000000004</v>
      </c>
      <c r="W67" s="190">
        <f>SUMIF('MVTO E'!$C$3:$C$240,"Adto_S",'MVTO E'!$J$3:$J$240)</f>
        <v>1968180.53</v>
      </c>
      <c r="X67" s="211">
        <f t="shared" si="207"/>
        <v>8.8660792451614484E-2</v>
      </c>
      <c r="Y67" s="190">
        <f>SUMIF('MVTO A'!$C$3:$C$184,"Adto_S",'MVTO A'!$J$3:$J$184)</f>
        <v>28805.86</v>
      </c>
      <c r="Z67" s="211">
        <f t="shared" si="274"/>
        <v>9.1250366681367347E-3</v>
      </c>
      <c r="AA67" s="190">
        <f t="shared" si="238"/>
        <v>1996986.3900000001</v>
      </c>
      <c r="AB67" s="211">
        <f t="shared" si="275"/>
        <v>7.8758596770422143E-2</v>
      </c>
      <c r="AC67" s="245">
        <f t="shared" si="172"/>
        <v>777457.2100000002</v>
      </c>
      <c r="AD67" s="190">
        <f>SUMIF('MVTO E'!$C$3:$C$240,"Adto_S",'MVTO E'!$K$3:$K$240)</f>
        <v>0</v>
      </c>
      <c r="AE67" s="211" t="e">
        <f t="shared" si="210"/>
        <v>#DIV/0!</v>
      </c>
      <c r="AF67" s="190">
        <f>SUMIF('MVTO A'!$C$3:$C$184,"Adto_S",'MVTO A'!$K$3:$K$184)</f>
        <v>0</v>
      </c>
      <c r="AG67" s="211" t="e">
        <f t="shared" si="276"/>
        <v>#DIV/0!</v>
      </c>
      <c r="AH67" s="190">
        <f t="shared" si="239"/>
        <v>0</v>
      </c>
      <c r="AI67" s="211" t="e">
        <f t="shared" si="277"/>
        <v>#DIV/0!</v>
      </c>
      <c r="AJ67" s="245">
        <f t="shared" si="84"/>
        <v>-1996986.3900000001</v>
      </c>
      <c r="AK67" s="190">
        <f>SUMIF('MVTO E'!$C$3:$C$240,"Adto_S",'MVTO E'!$L$3:$L$240)</f>
        <v>0</v>
      </c>
      <c r="AL67" s="211" t="e">
        <f t="shared" si="213"/>
        <v>#DIV/0!</v>
      </c>
      <c r="AM67" s="190">
        <f>SUMIF('MVTO A'!$C$3:$C$184,"Adto_S",'MVTO A'!$L$3:$L$184)</f>
        <v>0</v>
      </c>
      <c r="AN67" s="211" t="e">
        <f t="shared" si="278"/>
        <v>#DIV/0!</v>
      </c>
      <c r="AO67" s="190">
        <f t="shared" si="240"/>
        <v>0</v>
      </c>
      <c r="AP67" s="211" t="e">
        <f t="shared" si="279"/>
        <v>#DIV/0!</v>
      </c>
      <c r="AQ67" s="245">
        <f t="shared" si="177"/>
        <v>0</v>
      </c>
      <c r="AR67" s="190">
        <f>SUMIF('MVTO E'!$C$3:$C$240,"Adto_S",'MVTO E'!$M$3:$M$240)</f>
        <v>0</v>
      </c>
      <c r="AS67" s="211" t="e">
        <f t="shared" si="216"/>
        <v>#DIV/0!</v>
      </c>
      <c r="AT67" s="379">
        <f>SUMIF('MVTO A'!$C$3:$C$184,"Adto_S",'MVTO A'!$M$3:$M$189)</f>
        <v>0</v>
      </c>
      <c r="AU67" s="211" t="e">
        <f t="shared" si="280"/>
        <v>#DIV/0!</v>
      </c>
      <c r="AV67" s="190">
        <f t="shared" si="241"/>
        <v>0</v>
      </c>
      <c r="AW67" s="211" t="e">
        <f t="shared" si="281"/>
        <v>#DIV/0!</v>
      </c>
      <c r="AX67" s="245">
        <f t="shared" si="180"/>
        <v>0</v>
      </c>
      <c r="AY67" s="190">
        <f>SUMIF('MVTO E'!$C$3:$C$240,"Adto_S",'MVTO E'!$N$3:$N$240)</f>
        <v>0</v>
      </c>
      <c r="AZ67" s="211" t="e">
        <f t="shared" si="219"/>
        <v>#DIV/0!</v>
      </c>
      <c r="BA67" s="190">
        <f>SUMIF('MVTO A'!$C$3:$C$184,"Adto_S",'MVTO A'!$N$3:$N$189)</f>
        <v>0</v>
      </c>
      <c r="BB67" s="211" t="e">
        <f t="shared" si="282"/>
        <v>#DIV/0!</v>
      </c>
      <c r="BC67" s="190">
        <f t="shared" si="242"/>
        <v>0</v>
      </c>
      <c r="BD67" s="211" t="e">
        <f t="shared" si="283"/>
        <v>#DIV/0!</v>
      </c>
      <c r="BE67" s="245">
        <f t="shared" si="183"/>
        <v>0</v>
      </c>
      <c r="BF67" s="190">
        <f>SUMIF('MVTO E'!$C$3:$C$240,"Adto_S",'MVTO E'!$O$3:$O$240)</f>
        <v>0</v>
      </c>
      <c r="BG67" s="211" t="e">
        <f t="shared" si="222"/>
        <v>#DIV/0!</v>
      </c>
      <c r="BH67" s="190">
        <f>SUMIF('MVTO A'!$C$3:$C$184,"Adto_S",'MVTO A'!$O$3:$O$189)</f>
        <v>0</v>
      </c>
      <c r="BI67" s="211" t="e">
        <f t="shared" si="284"/>
        <v>#DIV/0!</v>
      </c>
      <c r="BJ67" s="190">
        <f t="shared" si="243"/>
        <v>0</v>
      </c>
      <c r="BK67" s="211" t="e">
        <f t="shared" si="285"/>
        <v>#DIV/0!</v>
      </c>
      <c r="BL67" s="245">
        <f t="shared" si="186"/>
        <v>0</v>
      </c>
      <c r="BM67" s="190">
        <f>SUMIF('MVTO E'!$C$3:$C$240,"Adto_S",'MVTO E'!$P$3:$P$240)</f>
        <v>0</v>
      </c>
      <c r="BN67" s="211" t="e">
        <f t="shared" si="225"/>
        <v>#DIV/0!</v>
      </c>
      <c r="BO67" s="190">
        <f>SUMIF('MVTO A'!$C$3:$C$184,"Adto_S",'MVTO A'!$P$3:$P$189)</f>
        <v>0</v>
      </c>
      <c r="BP67" s="211" t="e">
        <f t="shared" si="286"/>
        <v>#DIV/0!</v>
      </c>
      <c r="BQ67" s="190">
        <f t="shared" si="244"/>
        <v>0</v>
      </c>
      <c r="BR67" s="211" t="e">
        <f t="shared" si="287"/>
        <v>#DIV/0!</v>
      </c>
      <c r="BS67" s="245">
        <f t="shared" si="189"/>
        <v>0</v>
      </c>
      <c r="BT67" s="190">
        <f>SUMIF('MVTO E'!$C$3:$C$240,"Adto_S",'MVTO E'!$Q$3:$Q$240)</f>
        <v>0</v>
      </c>
      <c r="BU67" s="211" t="e">
        <f t="shared" si="228"/>
        <v>#DIV/0!</v>
      </c>
      <c r="BV67" s="190">
        <f>SUMIF('MVTO A'!$C$3:$C$184,"Adto_S",'MVTO A'!$Q$3:$Q$189)</f>
        <v>0</v>
      </c>
      <c r="BW67" s="211" t="e">
        <f t="shared" si="288"/>
        <v>#DIV/0!</v>
      </c>
      <c r="BX67" s="190">
        <f t="shared" si="245"/>
        <v>0</v>
      </c>
      <c r="BY67" s="211" t="e">
        <f t="shared" si="289"/>
        <v>#DIV/0!</v>
      </c>
      <c r="BZ67" s="245">
        <f t="shared" si="192"/>
        <v>0</v>
      </c>
      <c r="CA67" s="190">
        <f>SUMIF('MVTO E'!$C$3:$C$240,"Adto_S",'MVTO E'!$R$3:$R$240)</f>
        <v>0</v>
      </c>
      <c r="CB67" s="211" t="e">
        <f t="shared" si="231"/>
        <v>#DIV/0!</v>
      </c>
      <c r="CC67" s="190">
        <f>SUMIF('MVTO A'!$C$3:$C$184,"Adto_S",'MVTO A'!$R$3:$R$189)</f>
        <v>0</v>
      </c>
      <c r="CD67" s="211" t="e">
        <f t="shared" si="290"/>
        <v>#DIV/0!</v>
      </c>
      <c r="CE67" s="190">
        <f t="shared" si="246"/>
        <v>0</v>
      </c>
      <c r="CF67" s="211" t="e">
        <f t="shared" si="291"/>
        <v>#DIV/0!</v>
      </c>
      <c r="CG67" s="245">
        <f t="shared" si="195"/>
        <v>0</v>
      </c>
      <c r="CH67" s="242">
        <f t="shared" si="292"/>
        <v>5559035.0899999999</v>
      </c>
      <c r="CI67" s="246">
        <f t="shared" si="251"/>
        <v>5.5514104642174822E-2</v>
      </c>
      <c r="CJ67" s="242">
        <f t="shared" si="292"/>
        <v>99914.72</v>
      </c>
      <c r="CK67" s="259">
        <f t="shared" si="247"/>
        <v>7.0469967061385337E-3</v>
      </c>
      <c r="CL67" s="242">
        <f t="shared" si="292"/>
        <v>5658949.8100000005</v>
      </c>
      <c r="CM67" s="247">
        <f t="shared" si="248"/>
        <v>4.9502828419398542E-2</v>
      </c>
    </row>
    <row r="68" spans="2:91" s="238" customFormat="1" ht="10.35" customHeight="1" thickBot="1">
      <c r="B68" s="253" t="s">
        <v>33</v>
      </c>
      <c r="C68" s="198">
        <f>C48+C57-C50+C63-C64+C66-C67</f>
        <v>-6670711.0999999978</v>
      </c>
      <c r="D68" s="211">
        <f t="shared" si="198"/>
        <v>-0.20275096644258822</v>
      </c>
      <c r="E68" s="198">
        <f>E48+E57-E50+E63-E64+E66-E67</f>
        <v>789287.43999999913</v>
      </c>
      <c r="F68" s="211">
        <f>E68/$E$10</f>
        <v>0.19973224167513098</v>
      </c>
      <c r="G68" s="198">
        <f t="shared" si="249"/>
        <v>-5881423.6599999983</v>
      </c>
      <c r="H68" s="211">
        <f t="shared" si="269"/>
        <v>-0.1595925945839016</v>
      </c>
      <c r="I68" s="198">
        <f>I48+I57-I50+I63-I64+I66-I67</f>
        <v>-367754.54999999795</v>
      </c>
      <c r="J68" s="211">
        <f t="shared" si="201"/>
        <v>-1.7322381212635157E-2</v>
      </c>
      <c r="K68" s="198">
        <f>K48+K57-K50+K63-K64+K66-K67</f>
        <v>-95419.140000000829</v>
      </c>
      <c r="L68" s="211">
        <f t="shared" si="270"/>
        <v>-2.7906579674485867E-2</v>
      </c>
      <c r="M68" s="198">
        <f>I68+K68</f>
        <v>-463173.68999999878</v>
      </c>
      <c r="N68" s="211">
        <f t="shared" si="271"/>
        <v>-1.8790573780615924E-2</v>
      </c>
      <c r="O68" s="245">
        <f t="shared" si="32"/>
        <v>5418249.9699999997</v>
      </c>
      <c r="P68" s="198">
        <f>P48+P57-P50+P63-P64+P66-P67</f>
        <v>-6454022.129999999</v>
      </c>
      <c r="Q68" s="211">
        <f t="shared" si="204"/>
        <v>-0.27109402533876997</v>
      </c>
      <c r="R68" s="198">
        <f>R48+R57-R50+R63-R64+R66-R67</f>
        <v>-849948.82000000076</v>
      </c>
      <c r="S68" s="211">
        <f t="shared" si="272"/>
        <v>-0.23282540390093276</v>
      </c>
      <c r="T68" s="198">
        <f t="shared" si="237"/>
        <v>-7303970.9499999993</v>
      </c>
      <c r="U68" s="211">
        <f t="shared" si="273"/>
        <v>-0.26600613383157456</v>
      </c>
      <c r="V68" s="245">
        <f t="shared" si="169"/>
        <v>-6840797.2600000007</v>
      </c>
      <c r="W68" s="198">
        <f>W48+W57-W50+W63-W64+W66-W67</f>
        <v>-3529553.2700000023</v>
      </c>
      <c r="X68" s="209">
        <f t="shared" si="207"/>
        <v>-0.15899608046543751</v>
      </c>
      <c r="Y68" s="198">
        <f>Y48+Y57-Y50+Y63-Y64+Y66-Y67</f>
        <v>-171859.0900000002</v>
      </c>
      <c r="Z68" s="209">
        <f t="shared" si="274"/>
        <v>-5.4441023389081702E-2</v>
      </c>
      <c r="AA68" s="198">
        <f t="shared" si="238"/>
        <v>-3701412.3600000027</v>
      </c>
      <c r="AB68" s="209">
        <f t="shared" si="275"/>
        <v>-0.14597898363358239</v>
      </c>
      <c r="AC68" s="245">
        <f t="shared" si="172"/>
        <v>3602558.5899999966</v>
      </c>
      <c r="AD68" s="198">
        <f>AD48+AD57-AD50+AD63-AD64+AD66-AD67</f>
        <v>0</v>
      </c>
      <c r="AE68" s="209" t="e">
        <f t="shared" si="210"/>
        <v>#DIV/0!</v>
      </c>
      <c r="AF68" s="198">
        <f>AF48+AF57-AF50+AF63-AF64+AF66-AF67</f>
        <v>0</v>
      </c>
      <c r="AG68" s="209" t="e">
        <f t="shared" si="276"/>
        <v>#DIV/0!</v>
      </c>
      <c r="AH68" s="198">
        <f t="shared" si="239"/>
        <v>0</v>
      </c>
      <c r="AI68" s="209" t="e">
        <f t="shared" si="277"/>
        <v>#DIV/0!</v>
      </c>
      <c r="AJ68" s="245">
        <f t="shared" si="84"/>
        <v>3701412.3600000027</v>
      </c>
      <c r="AK68" s="198">
        <f>AK48+AK57-AK50+AK63-AK64+AK66-AK67</f>
        <v>0</v>
      </c>
      <c r="AL68" s="209" t="e">
        <f t="shared" si="213"/>
        <v>#DIV/0!</v>
      </c>
      <c r="AM68" s="198">
        <f>AM48+AM57-AM50+AM63-AM64+AM66-AM67</f>
        <v>0</v>
      </c>
      <c r="AN68" s="209" t="e">
        <f t="shared" si="278"/>
        <v>#DIV/0!</v>
      </c>
      <c r="AO68" s="198">
        <f t="shared" si="240"/>
        <v>0</v>
      </c>
      <c r="AP68" s="209" t="e">
        <f t="shared" si="279"/>
        <v>#DIV/0!</v>
      </c>
      <c r="AQ68" s="245">
        <f t="shared" si="177"/>
        <v>0</v>
      </c>
      <c r="AR68" s="198">
        <f>AR48+AR57-AR50+AR63-AR64+AR66-AR67</f>
        <v>0</v>
      </c>
      <c r="AS68" s="209" t="e">
        <f t="shared" si="216"/>
        <v>#DIV/0!</v>
      </c>
      <c r="AT68" s="198">
        <f>AT48+AT57-AT50+AT63-AT64+AT66-AT67</f>
        <v>0</v>
      </c>
      <c r="AU68" s="209" t="e">
        <f t="shared" si="280"/>
        <v>#DIV/0!</v>
      </c>
      <c r="AV68" s="198">
        <f t="shared" si="241"/>
        <v>0</v>
      </c>
      <c r="AW68" s="209" t="e">
        <f t="shared" si="281"/>
        <v>#DIV/0!</v>
      </c>
      <c r="AX68" s="245">
        <f t="shared" si="180"/>
        <v>0</v>
      </c>
      <c r="AY68" s="198">
        <f>AY48+AY57-AY50+AY63-AY64+AY66-AY67</f>
        <v>0</v>
      </c>
      <c r="AZ68" s="209" t="e">
        <f t="shared" si="219"/>
        <v>#DIV/0!</v>
      </c>
      <c r="BA68" s="198">
        <f>BA48+BA57-BA50+BA63-BA64+BA66-BA67</f>
        <v>0</v>
      </c>
      <c r="BB68" s="209" t="e">
        <f t="shared" si="282"/>
        <v>#DIV/0!</v>
      </c>
      <c r="BC68" s="198">
        <f t="shared" si="242"/>
        <v>0</v>
      </c>
      <c r="BD68" s="209" t="e">
        <f t="shared" si="283"/>
        <v>#DIV/0!</v>
      </c>
      <c r="BE68" s="245">
        <f t="shared" si="183"/>
        <v>0</v>
      </c>
      <c r="BF68" s="198">
        <f>BF48+BF57-BF50+BF63-BF64+BF66-BF67</f>
        <v>0</v>
      </c>
      <c r="BG68" s="209" t="e">
        <f t="shared" si="222"/>
        <v>#DIV/0!</v>
      </c>
      <c r="BH68" s="198">
        <f>BH48+BH57-BH50+BH63-BH64+BH66-BH67</f>
        <v>0</v>
      </c>
      <c r="BI68" s="209" t="e">
        <f t="shared" si="284"/>
        <v>#DIV/0!</v>
      </c>
      <c r="BJ68" s="198">
        <f t="shared" si="243"/>
        <v>0</v>
      </c>
      <c r="BK68" s="209" t="e">
        <f t="shared" si="285"/>
        <v>#DIV/0!</v>
      </c>
      <c r="BL68" s="245">
        <f t="shared" si="186"/>
        <v>0</v>
      </c>
      <c r="BM68" s="198">
        <f>BM48+BM57-BM50+BM63-BM64+BM66-BM67</f>
        <v>0</v>
      </c>
      <c r="BN68" s="209" t="e">
        <f t="shared" si="225"/>
        <v>#DIV/0!</v>
      </c>
      <c r="BO68" s="198">
        <f>BO48+BO57-BO50+BO63-BO64+BO66-BO67</f>
        <v>0</v>
      </c>
      <c r="BP68" s="209" t="e">
        <f t="shared" si="286"/>
        <v>#DIV/0!</v>
      </c>
      <c r="BQ68" s="198">
        <f t="shared" si="244"/>
        <v>0</v>
      </c>
      <c r="BR68" s="209" t="e">
        <f t="shared" si="287"/>
        <v>#DIV/0!</v>
      </c>
      <c r="BS68" s="245">
        <f t="shared" si="189"/>
        <v>0</v>
      </c>
      <c r="BT68" s="198">
        <f>BT48+BT57-BT50+BT63-BT64+BT66-BT67</f>
        <v>0</v>
      </c>
      <c r="BU68" s="209" t="e">
        <f t="shared" si="228"/>
        <v>#DIV/0!</v>
      </c>
      <c r="BV68" s="198">
        <f>BV48+BV57-BV50+BV63-BV64+BV66-BV67</f>
        <v>0</v>
      </c>
      <c r="BW68" s="209" t="e">
        <f t="shared" si="288"/>
        <v>#DIV/0!</v>
      </c>
      <c r="BX68" s="198">
        <f t="shared" si="245"/>
        <v>0</v>
      </c>
      <c r="BY68" s="209" t="e">
        <f t="shared" si="289"/>
        <v>#DIV/0!</v>
      </c>
      <c r="BZ68" s="245">
        <f t="shared" si="192"/>
        <v>0</v>
      </c>
      <c r="CA68" s="198">
        <f>CA48+CA57-CA50+CA63-CA64+CA66-CA67</f>
        <v>0</v>
      </c>
      <c r="CB68" s="209" t="e">
        <f t="shared" si="231"/>
        <v>#DIV/0!</v>
      </c>
      <c r="CC68" s="198">
        <f>CC48+CC57-CC50+CC63-CC64+CC66-CC67</f>
        <v>0</v>
      </c>
      <c r="CD68" s="209" t="e">
        <f t="shared" si="290"/>
        <v>#DIV/0!</v>
      </c>
      <c r="CE68" s="198">
        <f t="shared" si="246"/>
        <v>0</v>
      </c>
      <c r="CF68" s="209" t="e">
        <f t="shared" si="291"/>
        <v>#DIV/0!</v>
      </c>
      <c r="CG68" s="245">
        <f t="shared" si="195"/>
        <v>0</v>
      </c>
      <c r="CH68" s="273">
        <f>CH48+CH57-CH50+CH63-CH64+CH66-CH67</f>
        <v>-10624696.96999998</v>
      </c>
      <c r="CI68" s="254">
        <f>CH68/$CH$10</f>
        <v>-0.10610124416105758</v>
      </c>
      <c r="CJ68" s="273">
        <f>CJ48+CJ57-CJ50+CJ63-CJ64+CJ66-CJ67</f>
        <v>-103409.25000000399</v>
      </c>
      <c r="CK68" s="272">
        <f t="shared" si="247"/>
        <v>-7.2934663094115088E-3</v>
      </c>
      <c r="CL68" s="273">
        <f>CL48+CL57-CL50+CL63-CL64+CL66-CL67</f>
        <v>-10728106.219999978</v>
      </c>
      <c r="CM68" s="256">
        <f t="shared" si="248"/>
        <v>-9.3846317656904821E-2</v>
      </c>
    </row>
    <row r="69" spans="2:91" s="238" customFormat="1" ht="10.35" customHeight="1" thickBot="1">
      <c r="B69" s="274" t="s">
        <v>34</v>
      </c>
      <c r="C69" s="190">
        <f>SUMIF('MVTO E'!$C$3:$C$240,"Acionistas",'MVTO E'!$G$3:$G$240)</f>
        <v>143580.62</v>
      </c>
      <c r="D69" s="209">
        <f t="shared" si="198"/>
        <v>4.3640189225742391E-3</v>
      </c>
      <c r="E69" s="190">
        <f>SUMIF('MVTO A'!$C$3:$C$184,"Acionistas",'MVTO A'!$G$3:$G$184)</f>
        <v>0</v>
      </c>
      <c r="F69" s="209">
        <f t="shared" si="268"/>
        <v>0</v>
      </c>
      <c r="G69" s="190">
        <f t="shared" si="249"/>
        <v>143580.62</v>
      </c>
      <c r="H69" s="209">
        <f t="shared" si="269"/>
        <v>3.8960641168579307E-3</v>
      </c>
      <c r="I69" s="190">
        <f>SUMIF('MVTO E'!$C$3:$C$240,"Acionistas",'MVTO E'!$H$3:$H$240)</f>
        <v>2718.65</v>
      </c>
      <c r="J69" s="209">
        <f t="shared" si="201"/>
        <v>1.2805685662823431E-4</v>
      </c>
      <c r="K69" s="190">
        <f>SUMIF('MVTO A'!$C$3:$C$184,"Acionistas",'MVTO A'!$H$3:$H$184)</f>
        <v>0</v>
      </c>
      <c r="L69" s="209">
        <f t="shared" si="270"/>
        <v>0</v>
      </c>
      <c r="M69" s="190">
        <f t="shared" si="236"/>
        <v>2718.65</v>
      </c>
      <c r="N69" s="209">
        <f t="shared" si="271"/>
        <v>1.1029338347925509E-4</v>
      </c>
      <c r="O69" s="245">
        <f t="shared" ref="O69:O73" si="293">M69-G69</f>
        <v>-140861.97</v>
      </c>
      <c r="P69" s="190">
        <f>SUMIF('MVTO E'!$C$3:$C$240,"Acionistas",'MVTO E'!$I$3:$I$240)</f>
        <v>71642.8</v>
      </c>
      <c r="Q69" s="209">
        <f t="shared" si="204"/>
        <v>3.0092761765197784E-3</v>
      </c>
      <c r="R69" s="190">
        <f>SUMIF('MVTO A'!$C$3:$C$184,"Acionistas",'MVTO A'!$I$3:$I$184)</f>
        <v>0</v>
      </c>
      <c r="S69" s="209">
        <f t="shared" si="272"/>
        <v>0</v>
      </c>
      <c r="T69" s="190">
        <f t="shared" si="237"/>
        <v>71642.8</v>
      </c>
      <c r="U69" s="209">
        <f t="shared" si="273"/>
        <v>2.6091867527031627E-3</v>
      </c>
      <c r="V69" s="245">
        <f t="shared" si="169"/>
        <v>68924.150000000009</v>
      </c>
      <c r="W69" s="190">
        <f>SUMIF('MVTO E'!$C$3:$C$240,"Acionistas",'MVTO E'!$J$3:$J$240)</f>
        <v>1666.49</v>
      </c>
      <c r="X69" s="209">
        <f t="shared" si="207"/>
        <v>7.5070513990244082E-5</v>
      </c>
      <c r="Y69" s="190">
        <f>SUMIF('MVTO A'!$C$3:$C$184,"Acionistas",'MVTO A'!$J$3:$J$184)</f>
        <v>2606.1799999999998</v>
      </c>
      <c r="Z69" s="209">
        <f t="shared" si="274"/>
        <v>8.255781311082049E-4</v>
      </c>
      <c r="AA69" s="190">
        <f t="shared" si="238"/>
        <v>4272.67</v>
      </c>
      <c r="AB69" s="209">
        <f t="shared" si="275"/>
        <v>1.6850865651772397E-4</v>
      </c>
      <c r="AC69" s="245">
        <f t="shared" si="172"/>
        <v>-67370.13</v>
      </c>
      <c r="AD69" s="190">
        <f>SUMIF('MVTO E'!$C$3:$C$240,"Acionistas",'MVTO E'!$K$3:$K$240)</f>
        <v>0</v>
      </c>
      <c r="AE69" s="209" t="e">
        <f t="shared" si="210"/>
        <v>#DIV/0!</v>
      </c>
      <c r="AF69" s="190">
        <f>SUMIF('MVTO A'!$C$3:$C$184,"Acionistas",'MVTO A'!$K$3:$K$184)</f>
        <v>0</v>
      </c>
      <c r="AG69" s="209" t="e">
        <f t="shared" si="276"/>
        <v>#DIV/0!</v>
      </c>
      <c r="AH69" s="190">
        <f t="shared" si="239"/>
        <v>0</v>
      </c>
      <c r="AI69" s="209" t="e">
        <f t="shared" si="277"/>
        <v>#DIV/0!</v>
      </c>
      <c r="AJ69" s="245">
        <f t="shared" ref="AJ69:AJ73" si="294">AH69-AA69</f>
        <v>-4272.67</v>
      </c>
      <c r="AK69" s="190">
        <f>SUMIF('MVTO E'!$C$3:$C$240,"Acionistas",'MVTO E'!$J$3:$J$240)</f>
        <v>1666.49</v>
      </c>
      <c r="AL69" s="209" t="e">
        <f t="shared" si="213"/>
        <v>#DIV/0!</v>
      </c>
      <c r="AM69" s="190">
        <f>SUMIF('MVTO A'!$C$3:$C$184,"Acionistas",'MVTO A'!$L$3:$L$184)</f>
        <v>0</v>
      </c>
      <c r="AN69" s="209" t="e">
        <f t="shared" si="278"/>
        <v>#DIV/0!</v>
      </c>
      <c r="AO69" s="190">
        <f t="shared" si="240"/>
        <v>1666.49</v>
      </c>
      <c r="AP69" s="209" t="e">
        <f t="shared" si="279"/>
        <v>#DIV/0!</v>
      </c>
      <c r="AQ69" s="245">
        <f t="shared" si="177"/>
        <v>1666.49</v>
      </c>
      <c r="AR69" s="190">
        <f>SUMIF('MVTO E'!$C$3:$C$240,"Acionistas",'MVTO E'!$M$3:$M$240)</f>
        <v>0</v>
      </c>
      <c r="AS69" s="209" t="e">
        <f t="shared" si="216"/>
        <v>#DIV/0!</v>
      </c>
      <c r="AT69" s="379">
        <f>SUMIF('MVTO A'!$C$3:$C$184,"Acionistas",'MVTO A'!$M$3:$M$189)</f>
        <v>0</v>
      </c>
      <c r="AU69" s="209" t="e">
        <f t="shared" si="280"/>
        <v>#DIV/0!</v>
      </c>
      <c r="AV69" s="190">
        <f t="shared" si="241"/>
        <v>0</v>
      </c>
      <c r="AW69" s="209" t="e">
        <f t="shared" si="281"/>
        <v>#DIV/0!</v>
      </c>
      <c r="AX69" s="245">
        <f t="shared" si="180"/>
        <v>-1666.49</v>
      </c>
      <c r="AY69" s="190">
        <f>SUMIF('MVTO E'!$C$3:$C$240,"Acionistas",'MVTO E'!$N$3:$N$240)</f>
        <v>0</v>
      </c>
      <c r="AZ69" s="209" t="e">
        <f t="shared" si="219"/>
        <v>#DIV/0!</v>
      </c>
      <c r="BA69" s="190">
        <f>SUMIF('MVTO A'!$C$3:$C$184,"Acionistas",'MVTO A'!$N$3:$N$189)</f>
        <v>0</v>
      </c>
      <c r="BB69" s="209" t="e">
        <f t="shared" si="282"/>
        <v>#DIV/0!</v>
      </c>
      <c r="BC69" s="190">
        <f t="shared" si="242"/>
        <v>0</v>
      </c>
      <c r="BD69" s="209" t="e">
        <f t="shared" si="283"/>
        <v>#DIV/0!</v>
      </c>
      <c r="BE69" s="245">
        <f t="shared" si="183"/>
        <v>0</v>
      </c>
      <c r="BF69" s="190">
        <f>SUMIF('MVTO E'!$C$3:$C$240,"Acionistas",'MVTO E'!$O$3:$O$240)</f>
        <v>0</v>
      </c>
      <c r="BG69" s="209" t="e">
        <f t="shared" si="222"/>
        <v>#DIV/0!</v>
      </c>
      <c r="BH69" s="190">
        <f>SUMIF('MVTO A'!$C$3:$C$184,"Acionistas",'MVTO A'!$O$3:$O$189)</f>
        <v>0</v>
      </c>
      <c r="BI69" s="209" t="e">
        <f t="shared" si="284"/>
        <v>#DIV/0!</v>
      </c>
      <c r="BJ69" s="190">
        <f t="shared" si="243"/>
        <v>0</v>
      </c>
      <c r="BK69" s="209" t="e">
        <f t="shared" si="285"/>
        <v>#DIV/0!</v>
      </c>
      <c r="BL69" s="245">
        <f t="shared" si="186"/>
        <v>0</v>
      </c>
      <c r="BM69" s="190">
        <f>SUMIF('MVTO E'!$C$3:$C$240,"Acionistas",'MVTO E'!$P$3:$P$240)</f>
        <v>0</v>
      </c>
      <c r="BN69" s="209" t="e">
        <f t="shared" si="225"/>
        <v>#DIV/0!</v>
      </c>
      <c r="BO69" s="190">
        <f>SUMIF('MVTO A'!$C$3:$C$184,"Acionistas",'MVTO A'!$P$3:$P$189)</f>
        <v>0</v>
      </c>
      <c r="BP69" s="209" t="e">
        <f t="shared" si="286"/>
        <v>#DIV/0!</v>
      </c>
      <c r="BQ69" s="190">
        <f t="shared" si="244"/>
        <v>0</v>
      </c>
      <c r="BR69" s="209" t="e">
        <f t="shared" si="287"/>
        <v>#DIV/0!</v>
      </c>
      <c r="BS69" s="245">
        <f t="shared" si="189"/>
        <v>0</v>
      </c>
      <c r="BT69" s="190">
        <f>SUMIF('MVTO E'!$C$3:$C$240,"Acionistas",'MVTO E'!$Q$3:$Q$240)</f>
        <v>0</v>
      </c>
      <c r="BU69" s="209" t="e">
        <f t="shared" si="228"/>
        <v>#DIV/0!</v>
      </c>
      <c r="BV69" s="190">
        <f>SUMIF('MVTO A'!$C$3:$C$184,"Acionistas",'MVTO A'!$Q$3:$Q$189)</f>
        <v>0</v>
      </c>
      <c r="BW69" s="209" t="e">
        <f t="shared" si="288"/>
        <v>#DIV/0!</v>
      </c>
      <c r="BX69" s="190">
        <f t="shared" si="245"/>
        <v>0</v>
      </c>
      <c r="BY69" s="209" t="e">
        <f t="shared" si="289"/>
        <v>#DIV/0!</v>
      </c>
      <c r="BZ69" s="245">
        <f t="shared" si="192"/>
        <v>0</v>
      </c>
      <c r="CA69" s="190">
        <f>SUMIF('MVTO E'!$C$3:$C$240,"Acionistas",'MVTO E'!$R$3:$R$240)</f>
        <v>0</v>
      </c>
      <c r="CB69" s="209" t="e">
        <f t="shared" si="231"/>
        <v>#DIV/0!</v>
      </c>
      <c r="CC69" s="190">
        <f>SUMIF('MVTO A'!$C$3:$C$184,"Acionistas",'MVTO A'!$R$3:$R$189)</f>
        <v>0</v>
      </c>
      <c r="CD69" s="209" t="e">
        <f t="shared" si="290"/>
        <v>#DIV/0!</v>
      </c>
      <c r="CE69" s="190">
        <f t="shared" si="246"/>
        <v>0</v>
      </c>
      <c r="CF69" s="209" t="e">
        <f t="shared" si="291"/>
        <v>#DIV/0!</v>
      </c>
      <c r="CG69" s="245">
        <f t="shared" si="195"/>
        <v>0</v>
      </c>
      <c r="CH69" s="242">
        <f t="shared" ref="CH69:CL72" si="295">SUM(C69,I69,P69,W69,AD69,AK69,AR69,AY69,BF69,BM69,BT69,CA69)</f>
        <v>221275.05</v>
      </c>
      <c r="CI69" s="246">
        <f>CH69/$CH$10</f>
        <v>2.209715549826196E-3</v>
      </c>
      <c r="CJ69" s="242">
        <f t="shared" si="295"/>
        <v>2606.1799999999998</v>
      </c>
      <c r="CK69" s="259">
        <f t="shared" si="247"/>
        <v>1.8381417548489476E-4</v>
      </c>
      <c r="CL69" s="242">
        <f t="shared" si="295"/>
        <v>223881.23</v>
      </c>
      <c r="CM69" s="247">
        <f t="shared" si="248"/>
        <v>1.9584471478134389E-3</v>
      </c>
    </row>
    <row r="70" spans="2:91" s="238" customFormat="1" ht="10.35" customHeight="1" thickBot="1">
      <c r="B70" s="274" t="s">
        <v>35</v>
      </c>
      <c r="C70" s="197"/>
      <c r="D70" s="209">
        <f t="shared" si="198"/>
        <v>0</v>
      </c>
      <c r="E70" s="197"/>
      <c r="F70" s="209">
        <f t="shared" si="268"/>
        <v>0</v>
      </c>
      <c r="G70" s="197">
        <f t="shared" si="249"/>
        <v>0</v>
      </c>
      <c r="H70" s="209">
        <f t="shared" si="269"/>
        <v>0</v>
      </c>
      <c r="I70" s="197"/>
      <c r="J70" s="209">
        <f t="shared" si="201"/>
        <v>0</v>
      </c>
      <c r="K70" s="197"/>
      <c r="L70" s="209">
        <f t="shared" si="270"/>
        <v>0</v>
      </c>
      <c r="M70" s="197">
        <f t="shared" si="236"/>
        <v>0</v>
      </c>
      <c r="N70" s="209">
        <f t="shared" si="271"/>
        <v>0</v>
      </c>
      <c r="O70" s="245">
        <f t="shared" si="293"/>
        <v>0</v>
      </c>
      <c r="P70" s="197"/>
      <c r="Q70" s="209">
        <f t="shared" si="204"/>
        <v>0</v>
      </c>
      <c r="R70" s="197"/>
      <c r="S70" s="209">
        <f t="shared" si="272"/>
        <v>0</v>
      </c>
      <c r="T70" s="197">
        <f t="shared" si="237"/>
        <v>0</v>
      </c>
      <c r="U70" s="209">
        <f t="shared" si="273"/>
        <v>0</v>
      </c>
      <c r="V70" s="245">
        <f t="shared" si="169"/>
        <v>0</v>
      </c>
      <c r="W70" s="197"/>
      <c r="X70" s="211">
        <f t="shared" si="207"/>
        <v>0</v>
      </c>
      <c r="Y70" s="197"/>
      <c r="Z70" s="211">
        <f t="shared" si="274"/>
        <v>0</v>
      </c>
      <c r="AA70" s="197">
        <f t="shared" si="238"/>
        <v>0</v>
      </c>
      <c r="AB70" s="211">
        <f t="shared" si="275"/>
        <v>0</v>
      </c>
      <c r="AC70" s="245">
        <f t="shared" si="172"/>
        <v>0</v>
      </c>
      <c r="AD70" s="197"/>
      <c r="AE70" s="211" t="e">
        <f t="shared" si="210"/>
        <v>#DIV/0!</v>
      </c>
      <c r="AF70" s="197"/>
      <c r="AG70" s="211" t="e">
        <f t="shared" si="276"/>
        <v>#DIV/0!</v>
      </c>
      <c r="AH70" s="197">
        <f t="shared" si="239"/>
        <v>0</v>
      </c>
      <c r="AI70" s="211" t="e">
        <f t="shared" si="277"/>
        <v>#DIV/0!</v>
      </c>
      <c r="AJ70" s="245">
        <f t="shared" si="294"/>
        <v>0</v>
      </c>
      <c r="AK70" s="197"/>
      <c r="AL70" s="211" t="e">
        <f t="shared" si="213"/>
        <v>#DIV/0!</v>
      </c>
      <c r="AM70" s="197"/>
      <c r="AN70" s="211" t="e">
        <f t="shared" si="278"/>
        <v>#DIV/0!</v>
      </c>
      <c r="AO70" s="197">
        <f t="shared" si="240"/>
        <v>0</v>
      </c>
      <c r="AP70" s="211" t="e">
        <f t="shared" si="279"/>
        <v>#DIV/0!</v>
      </c>
      <c r="AQ70" s="245">
        <f t="shared" si="177"/>
        <v>0</v>
      </c>
      <c r="AR70" s="197"/>
      <c r="AS70" s="211" t="e">
        <f t="shared" si="216"/>
        <v>#DIV/0!</v>
      </c>
      <c r="AT70" s="197"/>
      <c r="AU70" s="211" t="e">
        <f t="shared" si="280"/>
        <v>#DIV/0!</v>
      </c>
      <c r="AV70" s="197">
        <f t="shared" si="241"/>
        <v>0</v>
      </c>
      <c r="AW70" s="211" t="e">
        <f t="shared" si="281"/>
        <v>#DIV/0!</v>
      </c>
      <c r="AX70" s="245">
        <f t="shared" si="180"/>
        <v>0</v>
      </c>
      <c r="AY70" s="197"/>
      <c r="AZ70" s="211" t="e">
        <f t="shared" si="219"/>
        <v>#DIV/0!</v>
      </c>
      <c r="BA70" s="197"/>
      <c r="BB70" s="211" t="e">
        <f t="shared" si="282"/>
        <v>#DIV/0!</v>
      </c>
      <c r="BC70" s="197">
        <f t="shared" si="242"/>
        <v>0</v>
      </c>
      <c r="BD70" s="211" t="e">
        <f t="shared" si="283"/>
        <v>#DIV/0!</v>
      </c>
      <c r="BE70" s="245">
        <f t="shared" si="183"/>
        <v>0</v>
      </c>
      <c r="BF70" s="197"/>
      <c r="BG70" s="211" t="e">
        <f t="shared" si="222"/>
        <v>#DIV/0!</v>
      </c>
      <c r="BH70" s="197"/>
      <c r="BI70" s="211" t="e">
        <f t="shared" si="284"/>
        <v>#DIV/0!</v>
      </c>
      <c r="BJ70" s="197">
        <f t="shared" si="243"/>
        <v>0</v>
      </c>
      <c r="BK70" s="211" t="e">
        <f t="shared" si="285"/>
        <v>#DIV/0!</v>
      </c>
      <c r="BL70" s="245">
        <f t="shared" si="186"/>
        <v>0</v>
      </c>
      <c r="BM70" s="197"/>
      <c r="BN70" s="211" t="e">
        <f t="shared" si="225"/>
        <v>#DIV/0!</v>
      </c>
      <c r="BO70" s="197"/>
      <c r="BP70" s="211" t="e">
        <f t="shared" si="286"/>
        <v>#DIV/0!</v>
      </c>
      <c r="BQ70" s="197">
        <f t="shared" si="244"/>
        <v>0</v>
      </c>
      <c r="BR70" s="211" t="e">
        <f t="shared" si="287"/>
        <v>#DIV/0!</v>
      </c>
      <c r="BS70" s="245">
        <f t="shared" si="189"/>
        <v>0</v>
      </c>
      <c r="BT70" s="197"/>
      <c r="BU70" s="211" t="e">
        <f t="shared" si="228"/>
        <v>#DIV/0!</v>
      </c>
      <c r="BV70" s="197"/>
      <c r="BW70" s="211" t="e">
        <f t="shared" si="288"/>
        <v>#DIV/0!</v>
      </c>
      <c r="BX70" s="197">
        <f t="shared" si="245"/>
        <v>0</v>
      </c>
      <c r="BY70" s="211" t="e">
        <f t="shared" si="289"/>
        <v>#DIV/0!</v>
      </c>
      <c r="BZ70" s="245">
        <f t="shared" si="192"/>
        <v>0</v>
      </c>
      <c r="CA70" s="197"/>
      <c r="CB70" s="211" t="e">
        <f t="shared" si="231"/>
        <v>#DIV/0!</v>
      </c>
      <c r="CC70" s="197"/>
      <c r="CD70" s="211" t="e">
        <f t="shared" si="290"/>
        <v>#DIV/0!</v>
      </c>
      <c r="CE70" s="197">
        <f t="shared" si="246"/>
        <v>0</v>
      </c>
      <c r="CF70" s="211" t="e">
        <f t="shared" si="291"/>
        <v>#DIV/0!</v>
      </c>
      <c r="CG70" s="245">
        <f t="shared" si="195"/>
        <v>0</v>
      </c>
      <c r="CH70" s="271">
        <f t="shared" si="295"/>
        <v>0</v>
      </c>
      <c r="CI70" s="246">
        <f>CH70/$CH$10</f>
        <v>0</v>
      </c>
      <c r="CJ70" s="252">
        <f t="shared" si="295"/>
        <v>0</v>
      </c>
      <c r="CK70" s="259">
        <f t="shared" si="247"/>
        <v>0</v>
      </c>
      <c r="CL70" s="242">
        <f t="shared" si="295"/>
        <v>0</v>
      </c>
      <c r="CM70" s="247">
        <f t="shared" si="248"/>
        <v>0</v>
      </c>
    </row>
    <row r="71" spans="2:91" s="238" customFormat="1" ht="10.35" customHeight="1" thickBot="1">
      <c r="B71" s="274" t="s">
        <v>36</v>
      </c>
      <c r="C71" s="197"/>
      <c r="D71" s="209">
        <f t="shared" si="198"/>
        <v>0</v>
      </c>
      <c r="E71" s="197"/>
      <c r="F71" s="209">
        <f t="shared" si="268"/>
        <v>0</v>
      </c>
      <c r="G71" s="197">
        <f t="shared" si="249"/>
        <v>0</v>
      </c>
      <c r="H71" s="209">
        <f t="shared" si="269"/>
        <v>0</v>
      </c>
      <c r="I71" s="197"/>
      <c r="J71" s="209">
        <f t="shared" si="201"/>
        <v>0</v>
      </c>
      <c r="K71" s="197"/>
      <c r="L71" s="209">
        <f t="shared" si="270"/>
        <v>0</v>
      </c>
      <c r="M71" s="197">
        <f t="shared" si="236"/>
        <v>0</v>
      </c>
      <c r="N71" s="209">
        <f t="shared" si="271"/>
        <v>0</v>
      </c>
      <c r="O71" s="245">
        <f t="shared" si="293"/>
        <v>0</v>
      </c>
      <c r="P71" s="197"/>
      <c r="Q71" s="209">
        <f t="shared" si="204"/>
        <v>0</v>
      </c>
      <c r="R71" s="197"/>
      <c r="S71" s="209">
        <f t="shared" si="272"/>
        <v>0</v>
      </c>
      <c r="T71" s="197">
        <f t="shared" si="237"/>
        <v>0</v>
      </c>
      <c r="U71" s="209">
        <f t="shared" si="273"/>
        <v>0</v>
      </c>
      <c r="V71" s="245">
        <f t="shared" si="169"/>
        <v>0</v>
      </c>
      <c r="W71" s="197"/>
      <c r="X71" s="209">
        <f t="shared" si="207"/>
        <v>0</v>
      </c>
      <c r="Y71" s="197"/>
      <c r="Z71" s="209">
        <f t="shared" si="274"/>
        <v>0</v>
      </c>
      <c r="AA71" s="197">
        <f t="shared" si="238"/>
        <v>0</v>
      </c>
      <c r="AB71" s="209">
        <f t="shared" si="275"/>
        <v>0</v>
      </c>
      <c r="AC71" s="245">
        <f t="shared" si="172"/>
        <v>0</v>
      </c>
      <c r="AD71" s="197"/>
      <c r="AE71" s="209" t="e">
        <f t="shared" si="210"/>
        <v>#DIV/0!</v>
      </c>
      <c r="AF71" s="197"/>
      <c r="AG71" s="209" t="e">
        <f t="shared" si="276"/>
        <v>#DIV/0!</v>
      </c>
      <c r="AH71" s="197">
        <f t="shared" si="239"/>
        <v>0</v>
      </c>
      <c r="AI71" s="209" t="e">
        <f t="shared" si="277"/>
        <v>#DIV/0!</v>
      </c>
      <c r="AJ71" s="245">
        <f t="shared" si="294"/>
        <v>0</v>
      </c>
      <c r="AK71" s="197"/>
      <c r="AL71" s="209" t="e">
        <f t="shared" si="213"/>
        <v>#DIV/0!</v>
      </c>
      <c r="AM71" s="197"/>
      <c r="AN71" s="209" t="e">
        <f t="shared" si="278"/>
        <v>#DIV/0!</v>
      </c>
      <c r="AO71" s="197">
        <f t="shared" si="240"/>
        <v>0</v>
      </c>
      <c r="AP71" s="209" t="e">
        <f t="shared" si="279"/>
        <v>#DIV/0!</v>
      </c>
      <c r="AQ71" s="245">
        <f t="shared" si="177"/>
        <v>0</v>
      </c>
      <c r="AR71" s="197"/>
      <c r="AS71" s="209" t="e">
        <f t="shared" si="216"/>
        <v>#DIV/0!</v>
      </c>
      <c r="AT71" s="197"/>
      <c r="AU71" s="209" t="e">
        <f t="shared" si="280"/>
        <v>#DIV/0!</v>
      </c>
      <c r="AV71" s="197">
        <f t="shared" si="241"/>
        <v>0</v>
      </c>
      <c r="AW71" s="209" t="e">
        <f t="shared" si="281"/>
        <v>#DIV/0!</v>
      </c>
      <c r="AX71" s="245">
        <f t="shared" si="180"/>
        <v>0</v>
      </c>
      <c r="AY71" s="197"/>
      <c r="AZ71" s="209" t="e">
        <f t="shared" si="219"/>
        <v>#DIV/0!</v>
      </c>
      <c r="BA71" s="197"/>
      <c r="BB71" s="209" t="e">
        <f t="shared" si="282"/>
        <v>#DIV/0!</v>
      </c>
      <c r="BC71" s="197">
        <f t="shared" si="242"/>
        <v>0</v>
      </c>
      <c r="BD71" s="209" t="e">
        <f t="shared" si="283"/>
        <v>#DIV/0!</v>
      </c>
      <c r="BE71" s="245">
        <f t="shared" si="183"/>
        <v>0</v>
      </c>
      <c r="BF71" s="197"/>
      <c r="BG71" s="209" t="e">
        <f t="shared" si="222"/>
        <v>#DIV/0!</v>
      </c>
      <c r="BH71" s="197"/>
      <c r="BI71" s="209" t="e">
        <f t="shared" si="284"/>
        <v>#DIV/0!</v>
      </c>
      <c r="BJ71" s="197">
        <f t="shared" si="243"/>
        <v>0</v>
      </c>
      <c r="BK71" s="209" t="e">
        <f t="shared" si="285"/>
        <v>#DIV/0!</v>
      </c>
      <c r="BL71" s="245">
        <f t="shared" si="186"/>
        <v>0</v>
      </c>
      <c r="BM71" s="197"/>
      <c r="BN71" s="209" t="e">
        <f t="shared" si="225"/>
        <v>#DIV/0!</v>
      </c>
      <c r="BO71" s="197"/>
      <c r="BP71" s="209" t="e">
        <f t="shared" si="286"/>
        <v>#DIV/0!</v>
      </c>
      <c r="BQ71" s="197">
        <f t="shared" si="244"/>
        <v>0</v>
      </c>
      <c r="BR71" s="209" t="e">
        <f t="shared" si="287"/>
        <v>#DIV/0!</v>
      </c>
      <c r="BS71" s="245">
        <f t="shared" si="189"/>
        <v>0</v>
      </c>
      <c r="BT71" s="197"/>
      <c r="BU71" s="209" t="e">
        <f t="shared" si="228"/>
        <v>#DIV/0!</v>
      </c>
      <c r="BV71" s="197"/>
      <c r="BW71" s="209" t="e">
        <f t="shared" si="288"/>
        <v>#DIV/0!</v>
      </c>
      <c r="BX71" s="197">
        <f t="shared" si="245"/>
        <v>0</v>
      </c>
      <c r="BY71" s="209" t="e">
        <f t="shared" si="289"/>
        <v>#DIV/0!</v>
      </c>
      <c r="BZ71" s="245">
        <f t="shared" si="192"/>
        <v>0</v>
      </c>
      <c r="CA71" s="197"/>
      <c r="CB71" s="209" t="e">
        <f t="shared" si="231"/>
        <v>#DIV/0!</v>
      </c>
      <c r="CC71" s="197"/>
      <c r="CD71" s="209" t="e">
        <f t="shared" si="290"/>
        <v>#DIV/0!</v>
      </c>
      <c r="CE71" s="197">
        <f t="shared" si="246"/>
        <v>0</v>
      </c>
      <c r="CF71" s="209" t="e">
        <f t="shared" si="291"/>
        <v>#DIV/0!</v>
      </c>
      <c r="CG71" s="245">
        <f t="shared" si="195"/>
        <v>0</v>
      </c>
      <c r="CH71" s="271">
        <f t="shared" si="295"/>
        <v>0</v>
      </c>
      <c r="CI71" s="246">
        <f>CH71/$CH$10</f>
        <v>0</v>
      </c>
      <c r="CJ71" s="252">
        <f t="shared" si="295"/>
        <v>0</v>
      </c>
      <c r="CK71" s="259">
        <f t="shared" si="247"/>
        <v>0</v>
      </c>
      <c r="CL71" s="242">
        <f t="shared" si="295"/>
        <v>0</v>
      </c>
      <c r="CM71" s="247">
        <f t="shared" si="248"/>
        <v>0</v>
      </c>
    </row>
    <row r="72" spans="2:91" s="238" customFormat="1" ht="10.35" customHeight="1" thickBot="1">
      <c r="B72" s="274" t="s">
        <v>37</v>
      </c>
      <c r="C72" s="190">
        <f>SUMIF('MVTO E'!$C$3:$C$240,"Trans_S",'MVTO E'!$G$3:$G$240)-SUMIF('MVTO E'!$C$3:$C$240,"Trans_E",'MVTO E'!$G$3:$G$240)</f>
        <v>53.5</v>
      </c>
      <c r="D72" s="209">
        <f>C72/$C$10</f>
        <v>1.6260900138035468E-6</v>
      </c>
      <c r="E72" s="190">
        <f>SUMIF('MVTO A'!$C$3:$C$184,"Trans_S",'MVTO A'!$G$3:$G$184)-SUMIF('MVTO A'!$C$3:$C$184,"Trans_E",'MVTO A'!$G$3:$G$184)</f>
        <v>162.51</v>
      </c>
      <c r="F72" s="209">
        <f t="shared" si="268"/>
        <v>4.1123784504445644E-5</v>
      </c>
      <c r="G72" s="190">
        <f t="shared" si="249"/>
        <v>216.01</v>
      </c>
      <c r="H72" s="209">
        <f t="shared" si="269"/>
        <v>5.8614373575102376E-6</v>
      </c>
      <c r="I72" s="190">
        <f>SUMIF('MVTO E'!$C$3:$C$240,"Trans_S",'MVTO E'!$H$3:$H$240)-SUMIF('MVTO E'!$C$3:$C$240,"Trans_E",'MVTO E'!$H$3:$H$240)</f>
        <v>-42.84</v>
      </c>
      <c r="J72" s="209">
        <f t="shared" si="201"/>
        <v>-2.0178970216664738E-6</v>
      </c>
      <c r="K72" s="190">
        <f>SUMIF('MVTO A'!$C$3:$C$184,"Trans_S",'MVTO A'!$H$3:$H$184)-SUMIF('MVTO A'!$C$3:$C$184,"Trans_E",'MVTO A'!$H$3:$H$184)</f>
        <v>-64.02</v>
      </c>
      <c r="L72" s="209">
        <f t="shared" si="270"/>
        <v>-1.8723489131851006E-5</v>
      </c>
      <c r="M72" s="190">
        <f t="shared" si="236"/>
        <v>-106.86</v>
      </c>
      <c r="N72" s="209">
        <f t="shared" si="271"/>
        <v>-4.335221877988413E-6</v>
      </c>
      <c r="O72" s="245">
        <f t="shared" si="293"/>
        <v>-322.87</v>
      </c>
      <c r="P72" s="190">
        <f>SUMIF('MVTO E'!$C$3:$C$240,"Trans_S",'MVTO E'!$I$3:$I$240)-SUMIF('MVTO E'!$C$3:$C$240,"Trans_E",'MVTO E'!$I$3:$I$240)</f>
        <v>-910.49</v>
      </c>
      <c r="Q72" s="209">
        <f t="shared" si="204"/>
        <v>-3.8244120357656216E-5</v>
      </c>
      <c r="R72" s="190">
        <f>SUMIF('MVTO A'!$C$3:$C$184,"Trans_S",'MVTO A'!$I$3:$I$184)-SUMIF('MVTO A'!$C$3:$C$184,"Trans_E",'MVTO A'!$I$3:$I$184)</f>
        <v>0</v>
      </c>
      <c r="S72" s="209">
        <f t="shared" si="272"/>
        <v>0</v>
      </c>
      <c r="T72" s="190">
        <f t="shared" si="237"/>
        <v>-910.49</v>
      </c>
      <c r="U72" s="209">
        <f t="shared" si="273"/>
        <v>-3.3159486319193309E-5</v>
      </c>
      <c r="V72" s="245">
        <f t="shared" si="169"/>
        <v>-803.63</v>
      </c>
      <c r="W72" s="190">
        <f>SUMIF('MVTO E'!$C$3:$C$240,"Trans_S",'MVTO E'!$J$3:$J$240)-SUMIF('MVTO E'!$C$3:$C$240,"Trans_E",'MVTO E'!$J$3:$J$240)</f>
        <v>-1072.67</v>
      </c>
      <c r="X72" s="209">
        <f t="shared" si="207"/>
        <v>-4.8320654934572143E-5</v>
      </c>
      <c r="Y72" s="190">
        <f>SUMIF('MVTO A'!$C$3:$C$184,"Trans_S",'MVTO A'!$J$3:$J$184)-SUMIF('MVTO A'!$C$3:$C$184,"Trans_E",'MVTO A'!$J$3:$J$184)</f>
        <v>0</v>
      </c>
      <c r="Z72" s="209">
        <f t="shared" si="274"/>
        <v>0</v>
      </c>
      <c r="AA72" s="190">
        <f t="shared" si="238"/>
        <v>-1072.67</v>
      </c>
      <c r="AB72" s="209">
        <f t="shared" si="275"/>
        <v>-4.2304736988081687E-5</v>
      </c>
      <c r="AC72" s="245">
        <f t="shared" si="172"/>
        <v>-162.18000000000006</v>
      </c>
      <c r="AD72" s="190">
        <f>SUMIF('MVTO E'!$C$3:$C$240,"Trans_S",'MVTO E'!$K$3:$K$240)-SUMIF('MVTO E'!$C$3:$C$240,"Trans_E",'MVTO E'!$K$3:$K$240)</f>
        <v>0</v>
      </c>
      <c r="AE72" s="209" t="e">
        <f t="shared" si="210"/>
        <v>#DIV/0!</v>
      </c>
      <c r="AF72" s="190">
        <f>SUMIF('MVTO A'!$C$3:$C$184,"Trans_S",'MVTO A'!$K$3:$K$184)-SUMIF('MVTO A'!$C$3:$C$184,"Trans_E",'MVTO A'!$K$3:$K$184)</f>
        <v>0</v>
      </c>
      <c r="AG72" s="209" t="e">
        <f t="shared" si="276"/>
        <v>#DIV/0!</v>
      </c>
      <c r="AH72" s="190">
        <f t="shared" si="239"/>
        <v>0</v>
      </c>
      <c r="AI72" s="209" t="e">
        <f t="shared" si="277"/>
        <v>#DIV/0!</v>
      </c>
      <c r="AJ72" s="245">
        <f t="shared" si="294"/>
        <v>1072.67</v>
      </c>
      <c r="AK72" s="190">
        <f>SUMIF('MVTO E'!$C$3:$C$240,"Trans_S",'MVTO E'!$L$3:$L$240)-SUMIF('MVTO E'!$C$3:$C$240,"Trans_E",'MVTO E'!$L$3:$L$240)</f>
        <v>0</v>
      </c>
      <c r="AL72" s="209" t="e">
        <f t="shared" si="213"/>
        <v>#DIV/0!</v>
      </c>
      <c r="AM72" s="190">
        <f>SUMIF('MVTO A'!$C$3:$C$184,"Trans_S",'MVTO A'!$L$3:$L$184)-SUMIF('MVTO A'!$C$3:$C$184,"Trans_E",'MVTO A'!$L$3:$L$184)</f>
        <v>0</v>
      </c>
      <c r="AN72" s="209" t="e">
        <f t="shared" si="278"/>
        <v>#DIV/0!</v>
      </c>
      <c r="AO72" s="190">
        <f t="shared" si="240"/>
        <v>0</v>
      </c>
      <c r="AP72" s="209" t="e">
        <f t="shared" si="279"/>
        <v>#DIV/0!</v>
      </c>
      <c r="AQ72" s="245">
        <f t="shared" si="177"/>
        <v>0</v>
      </c>
      <c r="AR72" s="190">
        <f>SUMIF('MVTO E'!$C$3:$C$240,"Trans_S",'MVTO E'!$M$3:$M$240)-SUMIF('MVTO E'!$C$3:$C$240,"Trans_E",'MVTO E'!$M$3:$M$240)</f>
        <v>0</v>
      </c>
      <c r="AS72" s="209" t="e">
        <f t="shared" si="216"/>
        <v>#DIV/0!</v>
      </c>
      <c r="AT72" s="190">
        <f>SUMIF('MVTO A'!$C$3:$C$184,"Trans_S",'MVTO A'!$M$3:$M$189)-SUMIF('MVTO A'!$C$3:$C$184,"Trans_E",'MVTO A'!$M$3:$M$189)</f>
        <v>0</v>
      </c>
      <c r="AU72" s="209" t="e">
        <f t="shared" si="280"/>
        <v>#DIV/0!</v>
      </c>
      <c r="AV72" s="190">
        <f t="shared" si="241"/>
        <v>0</v>
      </c>
      <c r="AW72" s="209" t="e">
        <f t="shared" si="281"/>
        <v>#DIV/0!</v>
      </c>
      <c r="AX72" s="245">
        <f t="shared" si="180"/>
        <v>0</v>
      </c>
      <c r="AY72" s="190">
        <f>SUMIF('MVTO E'!$C$3:$C$240,"Trans_S",'MVTO E'!$N$3:$N$240)-SUMIF('MVTO E'!$C$3:$C$240,"Trans_E",'MVTO E'!$N$3:$N$240)</f>
        <v>0</v>
      </c>
      <c r="AZ72" s="209" t="e">
        <f t="shared" si="219"/>
        <v>#DIV/0!</v>
      </c>
      <c r="BA72" s="190">
        <f>SUMIF('MVTO A'!$C$3:$C$184,"Trans_S",'MVTO A'!$N$3:$N$189)-SUMIF('MVTO A'!$C$3:$C$184,"Trans_E",'MVTO A'!$N$3:$N$189)</f>
        <v>0</v>
      </c>
      <c r="BB72" s="209" t="e">
        <f t="shared" si="282"/>
        <v>#DIV/0!</v>
      </c>
      <c r="BC72" s="190">
        <f t="shared" si="242"/>
        <v>0</v>
      </c>
      <c r="BD72" s="209" t="e">
        <f t="shared" si="283"/>
        <v>#DIV/0!</v>
      </c>
      <c r="BE72" s="245">
        <f t="shared" si="183"/>
        <v>0</v>
      </c>
      <c r="BF72" s="190">
        <f>SUMIF('MVTO E'!$C$3:$C$240,"Trans_S",'MVTO E'!$O$3:$O$240)-SUMIF('MVTO E'!$C$3:$C$240,"Trans_E",'MVTO E'!$O$3:$O$240)</f>
        <v>0</v>
      </c>
      <c r="BG72" s="209" t="e">
        <f t="shared" si="222"/>
        <v>#DIV/0!</v>
      </c>
      <c r="BH72" s="190">
        <f>SUMIF('MVTO A'!$C$3:$C$184,"Trans_S",'MVTO A'!$O$3:$O$189)-SUMIF('MVTO A'!$C$3:$C$184,"Trans_E",'MVTO A'!$O$3:$O$189)</f>
        <v>0</v>
      </c>
      <c r="BI72" s="209" t="e">
        <f t="shared" si="284"/>
        <v>#DIV/0!</v>
      </c>
      <c r="BJ72" s="190">
        <f>BF72+BH72</f>
        <v>0</v>
      </c>
      <c r="BK72" s="209" t="e">
        <f t="shared" si="285"/>
        <v>#DIV/0!</v>
      </c>
      <c r="BL72" s="245">
        <f t="shared" si="186"/>
        <v>0</v>
      </c>
      <c r="BM72" s="190">
        <f>SUMIF('MVTO E'!$C$3:$C$240,"Trans_S",'MVTO E'!$P$3:$P$240)-SUMIF('MVTO E'!$C$3:$C$240,"Trans_E",'MVTO E'!$P$3:$P$240)</f>
        <v>0</v>
      </c>
      <c r="BN72" s="209" t="e">
        <f t="shared" si="225"/>
        <v>#DIV/0!</v>
      </c>
      <c r="BO72" s="190">
        <f>SUMIF('MVTO A'!$C$3:$C$184,"Trans_S",'MVTO A'!$P$3:$P$189)-SUMIF('MVTO A'!$C$3:$C$184,"Trans_E",'MVTO A'!$P$3:$P$189)</f>
        <v>0</v>
      </c>
      <c r="BP72" s="209" t="e">
        <f t="shared" si="286"/>
        <v>#DIV/0!</v>
      </c>
      <c r="BQ72" s="190">
        <f t="shared" si="244"/>
        <v>0</v>
      </c>
      <c r="BR72" s="209" t="e">
        <f t="shared" si="287"/>
        <v>#DIV/0!</v>
      </c>
      <c r="BS72" s="245">
        <f t="shared" si="189"/>
        <v>0</v>
      </c>
      <c r="BT72" s="190">
        <f>SUMIF('MVTO E'!$C$3:$C$240,"Trans_S",'MVTO E'!$Q$3:$Q$240)-SUMIF('MVTO E'!$C$3:$C$240,"Trans_E",'MVTO E'!$Q$3:$Q$240)</f>
        <v>0</v>
      </c>
      <c r="BU72" s="209" t="e">
        <f t="shared" si="228"/>
        <v>#DIV/0!</v>
      </c>
      <c r="BV72" s="190">
        <f>SUMIF('MVTO A'!$C$3:$C$184,"Trans_S",'MVTO A'!$Q$3:$Q$189)-SUMIF('MVTO A'!$C$3:$C$184,"Trans_E",'MVTO A'!$Q$3:$Q$189)</f>
        <v>0</v>
      </c>
      <c r="BW72" s="209" t="e">
        <f t="shared" si="288"/>
        <v>#DIV/0!</v>
      </c>
      <c r="BX72" s="190">
        <f t="shared" si="245"/>
        <v>0</v>
      </c>
      <c r="BY72" s="209" t="e">
        <f t="shared" si="289"/>
        <v>#DIV/0!</v>
      </c>
      <c r="BZ72" s="245">
        <f t="shared" si="192"/>
        <v>0</v>
      </c>
      <c r="CA72" s="190">
        <f>SUMIF('MVTO E'!$C$3:$C$240,"Trans_S",'MVTO E'!$R$3:$R$240)-SUMIF('MVTO E'!$C$3:$C$240,"Trans_E",'MVTO E'!$R$3:$R$240)</f>
        <v>0</v>
      </c>
      <c r="CB72" s="209" t="e">
        <f t="shared" si="231"/>
        <v>#DIV/0!</v>
      </c>
      <c r="CC72" s="190">
        <f>SUMIF('MVTO A'!$C$3:$C$184,"Trans_S",'MVTO A'!$R$3:$R$189)-SUMIF('MVTO A'!$C$3:$C$184,"Trans_E",'MVTO A'!$R$3:$R$189)</f>
        <v>0</v>
      </c>
      <c r="CD72" s="209" t="e">
        <f t="shared" si="290"/>
        <v>#DIV/0!</v>
      </c>
      <c r="CE72" s="190">
        <f t="shared" si="246"/>
        <v>0</v>
      </c>
      <c r="CF72" s="209" t="e">
        <f t="shared" si="291"/>
        <v>#DIV/0!</v>
      </c>
      <c r="CG72" s="245">
        <f t="shared" si="195"/>
        <v>0</v>
      </c>
      <c r="CH72" s="242">
        <f t="shared" si="295"/>
        <v>-1972.5</v>
      </c>
      <c r="CI72" s="246">
        <f>CH72/$CH$10</f>
        <v>-1.969794571069884E-5</v>
      </c>
      <c r="CJ72" s="242">
        <f t="shared" si="295"/>
        <v>98.49</v>
      </c>
      <c r="CK72" s="259">
        <f t="shared" si="247"/>
        <v>6.9465110404911729E-6</v>
      </c>
      <c r="CL72" s="242">
        <f t="shared" si="295"/>
        <v>-1874.0100000000002</v>
      </c>
      <c r="CM72" s="247">
        <f t="shared" si="248"/>
        <v>-1.6393288260359579E-5</v>
      </c>
    </row>
    <row r="73" spans="2:91" s="238" customFormat="1" ht="10.35" customHeight="1">
      <c r="B73" s="275" t="s">
        <v>42</v>
      </c>
      <c r="C73" s="500">
        <f>C68-C69+C70-C71-C72</f>
        <v>-6814345.2199999979</v>
      </c>
      <c r="D73" s="222"/>
      <c r="E73" s="223">
        <f>E68-E69+E70-E71-E72</f>
        <v>789124.92999999912</v>
      </c>
      <c r="F73" s="222"/>
      <c r="G73" s="500">
        <f>G68-G69+G70-G71-G72</f>
        <v>-6025220.2899999982</v>
      </c>
      <c r="H73" s="222"/>
      <c r="I73" s="223">
        <f>I68-I69+I70-I71-I72</f>
        <v>-370430.35999999795</v>
      </c>
      <c r="J73" s="222"/>
      <c r="K73" s="223">
        <f>K68-K69+K70-K71-K72</f>
        <v>-95355.120000000825</v>
      </c>
      <c r="L73" s="222"/>
      <c r="M73" s="223">
        <f>M68-M69+M70-M71-M72</f>
        <v>-465785.47999999882</v>
      </c>
      <c r="N73" s="222"/>
      <c r="O73" s="298">
        <f t="shared" si="293"/>
        <v>5559434.8099999996</v>
      </c>
      <c r="P73" s="223">
        <f>P68-P69+P70-P71-P72</f>
        <v>-6524754.4399999985</v>
      </c>
      <c r="Q73" s="222"/>
      <c r="R73" s="223">
        <f>R68-R69+R70-R71-R72</f>
        <v>-849948.82000000076</v>
      </c>
      <c r="S73" s="222"/>
      <c r="T73" s="223">
        <f>T68-T69+T70-T71-T72</f>
        <v>-7374703.2599999988</v>
      </c>
      <c r="U73" s="222"/>
      <c r="V73" s="298">
        <f t="shared" si="169"/>
        <v>-6908917.7800000003</v>
      </c>
      <c r="W73" s="223">
        <f>W68-W69+W70-W71-W72</f>
        <v>-3530147.0900000026</v>
      </c>
      <c r="X73" s="314"/>
      <c r="Y73" s="223">
        <f>Y68-Y69+Y70-Y71-Y72</f>
        <v>-174465.27000000019</v>
      </c>
      <c r="Z73" s="314"/>
      <c r="AA73" s="223">
        <f>AA68-AA69+AA70-AA71-AA72</f>
        <v>-3704612.3600000027</v>
      </c>
      <c r="AB73" s="314"/>
      <c r="AC73" s="298">
        <f t="shared" si="172"/>
        <v>3670090.8999999962</v>
      </c>
      <c r="AD73" s="223">
        <f>AD68-AD69+AD70-AD71-AD72</f>
        <v>0</v>
      </c>
      <c r="AE73" s="314"/>
      <c r="AF73" s="223">
        <f>AF68-AF69+AF70-AF71-AF72</f>
        <v>0</v>
      </c>
      <c r="AG73" s="314"/>
      <c r="AH73" s="223">
        <f>AH68-AH69+AH70-AH71-AH72</f>
        <v>0</v>
      </c>
      <c r="AI73" s="314"/>
      <c r="AJ73" s="298">
        <f t="shared" si="294"/>
        <v>3704612.3600000027</v>
      </c>
      <c r="AK73" s="223">
        <f>AK68-AK69+AK70-AK71-AK72</f>
        <v>-1666.49</v>
      </c>
      <c r="AL73" s="314"/>
      <c r="AM73" s="223">
        <f>AM68-AM69+AM70-AM71-AM72</f>
        <v>0</v>
      </c>
      <c r="AN73" s="314"/>
      <c r="AO73" s="223">
        <f>AO68-AO69+AO70-AO71-AO72</f>
        <v>-1666.49</v>
      </c>
      <c r="AP73" s="314"/>
      <c r="AQ73" s="298">
        <f t="shared" si="177"/>
        <v>-1666.49</v>
      </c>
      <c r="AR73" s="223">
        <f>AR68-AR69+AR70-AR71-AR72</f>
        <v>0</v>
      </c>
      <c r="AS73" s="314"/>
      <c r="AT73" s="223">
        <f>AT68-AT69+AT70-AT71-AT72</f>
        <v>0</v>
      </c>
      <c r="AU73" s="314"/>
      <c r="AV73" s="223">
        <f>AV68-AV69+AV70-AV71-AV72</f>
        <v>0</v>
      </c>
      <c r="AW73" s="314"/>
      <c r="AX73" s="298">
        <f t="shared" si="180"/>
        <v>1666.49</v>
      </c>
      <c r="AY73" s="223">
        <f>AY68-AY69+AY70-AY71-AY72</f>
        <v>0</v>
      </c>
      <c r="AZ73" s="314"/>
      <c r="BA73" s="223">
        <f>BA68-BA69+BA70-BA71-BA72</f>
        <v>0</v>
      </c>
      <c r="BB73" s="314"/>
      <c r="BC73" s="223">
        <f>BC68-BC69+BC70-BC71-BC72</f>
        <v>0</v>
      </c>
      <c r="BD73" s="314"/>
      <c r="BE73" s="298">
        <f t="shared" si="183"/>
        <v>0</v>
      </c>
      <c r="BF73" s="223">
        <f>BF68-BF69+BF70-BF71-BF72</f>
        <v>0</v>
      </c>
      <c r="BG73" s="314"/>
      <c r="BH73" s="223">
        <f>BH68-BH69+BH70-BH71-BH72</f>
        <v>0</v>
      </c>
      <c r="BI73" s="314"/>
      <c r="BJ73" s="223">
        <f>BJ68-BJ69+BJ70-BJ71-BJ72</f>
        <v>0</v>
      </c>
      <c r="BK73" s="314"/>
      <c r="BL73" s="298">
        <f t="shared" si="186"/>
        <v>0</v>
      </c>
      <c r="BM73" s="223">
        <f>BM68-BM69+BM70-BM71-BM72</f>
        <v>0</v>
      </c>
      <c r="BN73" s="314"/>
      <c r="BO73" s="223">
        <f>BO68-BO69+BO70-BO71-BO72</f>
        <v>0</v>
      </c>
      <c r="BP73" s="314"/>
      <c r="BQ73" s="223">
        <f>BQ68-BQ69+BQ70-BQ71-BQ72</f>
        <v>0</v>
      </c>
      <c r="BR73" s="314"/>
      <c r="BS73" s="298">
        <f t="shared" si="189"/>
        <v>0</v>
      </c>
      <c r="BT73" s="223">
        <f>BT68-BT69+BT70-BT71-BT72</f>
        <v>0</v>
      </c>
      <c r="BU73" s="314"/>
      <c r="BV73" s="223">
        <f>BV68-BV69+BV70-BV71-BV72</f>
        <v>0</v>
      </c>
      <c r="BW73" s="314"/>
      <c r="BX73" s="223">
        <f>BX68-BX69+BX70-BX71-BX72</f>
        <v>0</v>
      </c>
      <c r="BY73" s="314"/>
      <c r="BZ73" s="298">
        <f t="shared" si="192"/>
        <v>0</v>
      </c>
      <c r="CA73" s="223">
        <f>CA68-CA69+CA70-CA71-CA72</f>
        <v>0</v>
      </c>
      <c r="CB73" s="314"/>
      <c r="CC73" s="223">
        <f>CC68-CC69+CC70-CC71-CC72</f>
        <v>0</v>
      </c>
      <c r="CD73" s="314"/>
      <c r="CE73" s="223">
        <f>CE68-CE69+CE70-CE71-CE72</f>
        <v>0</v>
      </c>
      <c r="CF73" s="314"/>
      <c r="CG73" s="298">
        <f t="shared" si="195"/>
        <v>0</v>
      </c>
      <c r="CH73" s="277">
        <f>CH68-CH69+CH70-CH71-CH72</f>
        <v>-10843999.519999981</v>
      </c>
      <c r="CI73" s="276"/>
      <c r="CJ73" s="277">
        <f>CJ68-CJ69+CJ70-CJ71-CJ72</f>
        <v>-106113.92000000399</v>
      </c>
      <c r="CK73" s="278"/>
      <c r="CL73" s="262">
        <f>CL68-CL69+CL70-CL71-CL72</f>
        <v>-10950113.439999979</v>
      </c>
      <c r="CM73" s="264"/>
    </row>
    <row r="74" spans="2:91">
      <c r="B74" s="279"/>
      <c r="C74" s="315"/>
      <c r="D74" s="279"/>
      <c r="E74" s="279"/>
      <c r="F74" s="279"/>
      <c r="G74" s="279"/>
      <c r="H74" s="279"/>
      <c r="I74" s="315"/>
      <c r="J74" s="279"/>
      <c r="K74" s="279"/>
      <c r="L74" s="279"/>
      <c r="M74" s="279"/>
      <c r="N74" s="279"/>
      <c r="O74" s="279"/>
      <c r="P74" s="315"/>
      <c r="Q74" s="279"/>
      <c r="R74" s="279"/>
      <c r="S74" s="279"/>
      <c r="T74" s="279"/>
      <c r="U74" s="279"/>
      <c r="V74" s="279"/>
      <c r="X74" s="179"/>
      <c r="Z74" s="179"/>
      <c r="AB74" s="179"/>
      <c r="AE74" s="179"/>
      <c r="AG74" s="179"/>
      <c r="AI74" s="179"/>
      <c r="AL74" s="179"/>
      <c r="AN74" s="179"/>
      <c r="AP74" s="179"/>
      <c r="AS74" s="179"/>
      <c r="AU74" s="179"/>
      <c r="AW74" s="179"/>
      <c r="AZ74" s="179"/>
      <c r="BB74" s="179"/>
      <c r="BD74" s="179"/>
      <c r="BG74" s="179"/>
      <c r="BI74" s="179"/>
      <c r="BK74" s="179"/>
      <c r="BN74" s="179"/>
      <c r="BP74" s="179"/>
      <c r="BR74" s="179"/>
      <c r="CI74" s="279"/>
      <c r="CJ74" s="279"/>
      <c r="CK74" s="279"/>
      <c r="CL74" s="279"/>
      <c r="CM74" s="279"/>
    </row>
    <row r="75" spans="2:91" s="238" customFormat="1">
      <c r="B75" s="279"/>
      <c r="C75" s="280"/>
      <c r="D75" s="279"/>
      <c r="E75" s="279"/>
      <c r="F75" s="279"/>
      <c r="G75" s="279"/>
      <c r="H75" s="279"/>
      <c r="I75" s="280"/>
      <c r="J75" s="279"/>
      <c r="K75" s="279"/>
      <c r="L75" s="279"/>
      <c r="M75" s="279"/>
      <c r="N75" s="279"/>
      <c r="O75" s="279"/>
      <c r="P75" s="315"/>
      <c r="Q75" s="279"/>
      <c r="R75" s="279"/>
      <c r="S75" s="279"/>
      <c r="T75" s="279"/>
      <c r="U75" s="279"/>
      <c r="V75" s="279"/>
      <c r="W75" s="280"/>
      <c r="X75" s="316"/>
      <c r="Y75" s="280"/>
      <c r="Z75" s="316"/>
      <c r="AA75" s="280"/>
      <c r="AB75" s="316"/>
      <c r="AC75" s="279"/>
      <c r="AD75" s="280"/>
      <c r="AE75" s="316"/>
      <c r="AF75" s="280"/>
      <c r="AG75" s="316"/>
      <c r="AH75" s="280"/>
      <c r="AI75" s="316"/>
      <c r="AJ75" s="279"/>
      <c r="AK75" s="280"/>
      <c r="AL75" s="316"/>
      <c r="AM75" s="280"/>
      <c r="AN75" s="316"/>
      <c r="AO75" s="280"/>
      <c r="AP75" s="316"/>
      <c r="AQ75" s="279"/>
      <c r="AR75" s="280"/>
      <c r="AS75" s="316"/>
      <c r="AT75" s="280"/>
      <c r="AU75" s="316"/>
      <c r="AV75" s="280"/>
      <c r="AW75" s="316"/>
      <c r="AX75" s="279"/>
      <c r="AY75" s="280"/>
      <c r="AZ75" s="316"/>
      <c r="BA75" s="280"/>
      <c r="BB75" s="316"/>
      <c r="BC75" s="280"/>
      <c r="BD75" s="316"/>
      <c r="BE75" s="279"/>
      <c r="BF75" s="280"/>
      <c r="BG75" s="316"/>
      <c r="BH75" s="280"/>
      <c r="BI75" s="316"/>
      <c r="BJ75" s="280"/>
      <c r="BK75" s="316"/>
      <c r="BL75" s="279"/>
      <c r="BM75" s="280"/>
      <c r="BN75" s="316"/>
      <c r="BO75" s="280"/>
      <c r="BP75" s="316"/>
      <c r="BQ75" s="280"/>
      <c r="BR75" s="316"/>
      <c r="BS75" s="279"/>
      <c r="BT75" s="280"/>
      <c r="BU75" s="279"/>
      <c r="BV75" s="280"/>
      <c r="BW75" s="279"/>
      <c r="BX75" s="280"/>
      <c r="BY75" s="279"/>
      <c r="BZ75" s="279"/>
      <c r="CA75" s="280"/>
      <c r="CB75" s="279"/>
      <c r="CC75" s="280"/>
      <c r="CD75" s="279"/>
      <c r="CE75" s="280"/>
      <c r="CF75" s="279"/>
      <c r="CG75" s="279"/>
      <c r="CH75" s="280"/>
      <c r="CI75" s="280"/>
      <c r="CJ75" s="280"/>
      <c r="CK75" s="280"/>
      <c r="CL75" s="280"/>
      <c r="CM75" s="280"/>
    </row>
    <row r="76" spans="2:91" s="285" customFormat="1" ht="9.6">
      <c r="B76" s="286" t="s">
        <v>424</v>
      </c>
      <c r="C76" s="289">
        <f>'MVTO E'!G245</f>
        <v>20778063.890000001</v>
      </c>
      <c r="D76" s="286"/>
      <c r="E76" s="289">
        <f>'MVTO A'!G189</f>
        <v>313112.02</v>
      </c>
      <c r="F76" s="286"/>
      <c r="G76" s="289">
        <f>C76+E76</f>
        <v>21091175.91</v>
      </c>
      <c r="H76" s="286"/>
      <c r="I76" s="289">
        <f>'MVTO E'!H245</f>
        <v>13963718.67</v>
      </c>
      <c r="J76" s="286"/>
      <c r="K76" s="289">
        <f>'MVTO A'!H189</f>
        <v>1102236.95</v>
      </c>
      <c r="L76" s="286"/>
      <c r="M76" s="289">
        <f>I76+K76</f>
        <v>15065955.619999999</v>
      </c>
      <c r="N76" s="286"/>
      <c r="O76" s="286"/>
      <c r="P76" s="304">
        <f>'MVTO E'!I245</f>
        <v>13593288.310000001</v>
      </c>
      <c r="Q76" s="286"/>
      <c r="R76" s="304">
        <f>'MVTO A'!I189</f>
        <v>1006881.83</v>
      </c>
      <c r="S76" s="286"/>
      <c r="T76" s="289">
        <f>P76+R76</f>
        <v>14600170.140000001</v>
      </c>
      <c r="U76" s="286"/>
      <c r="V76" s="286"/>
      <c r="W76" s="288">
        <f>'MVTO E'!J245</f>
        <v>7068533.8700000001</v>
      </c>
      <c r="X76" s="286"/>
      <c r="Y76" s="304">
        <f>'MVTO A'!J189</f>
        <v>156933.01</v>
      </c>
      <c r="Z76" s="286"/>
      <c r="AA76" s="289">
        <f>W76+Y76</f>
        <v>7225466.8799999999</v>
      </c>
      <c r="AB76" s="286"/>
      <c r="AC76" s="286"/>
      <c r="AD76" s="288">
        <f>'MVTO E'!K245</f>
        <v>0</v>
      </c>
      <c r="AE76" s="286"/>
      <c r="AF76" s="288">
        <f>'MVTO A'!K189</f>
        <v>0</v>
      </c>
      <c r="AG76" s="286"/>
      <c r="AH76" s="289">
        <f>AD76+AF76</f>
        <v>0</v>
      </c>
      <c r="AI76" s="286"/>
      <c r="AJ76" s="286"/>
      <c r="AK76" s="288">
        <f>'MVTO E'!L245</f>
        <v>0</v>
      </c>
      <c r="AL76" s="286"/>
      <c r="AM76" s="288">
        <f>'MVTO A'!L189</f>
        <v>0</v>
      </c>
      <c r="AN76" s="286"/>
      <c r="AO76" s="289">
        <f>AK76+AM76</f>
        <v>0</v>
      </c>
      <c r="AP76" s="286"/>
      <c r="AQ76" s="286"/>
      <c r="AR76" s="288">
        <f>'MVTO E'!M245</f>
        <v>0</v>
      </c>
      <c r="AS76" s="286"/>
      <c r="AT76" s="288">
        <f>'MVTO A'!M189</f>
        <v>0</v>
      </c>
      <c r="AU76" s="286"/>
      <c r="AV76" s="289">
        <f>AR76+AT76</f>
        <v>0</v>
      </c>
      <c r="AW76" s="286"/>
      <c r="AX76" s="286"/>
      <c r="AY76" s="288">
        <f>'MVTO E'!N245</f>
        <v>0</v>
      </c>
      <c r="AZ76" s="286"/>
      <c r="BA76" s="288">
        <f>'MVTO A'!N189</f>
        <v>0</v>
      </c>
      <c r="BB76" s="286"/>
      <c r="BC76" s="289">
        <f>AY76+BA76</f>
        <v>0</v>
      </c>
      <c r="BD76" s="286"/>
      <c r="BE76" s="286"/>
      <c r="BF76" s="288">
        <f>'MVTO E'!O245</f>
        <v>0</v>
      </c>
      <c r="BG76" s="286"/>
      <c r="BH76" s="288">
        <f>'MVTO A'!O189</f>
        <v>0</v>
      </c>
      <c r="BI76" s="286"/>
      <c r="BJ76" s="289">
        <f>BF76+BH76</f>
        <v>0</v>
      </c>
      <c r="BK76" s="286"/>
      <c r="BL76" s="286"/>
      <c r="BM76" s="288">
        <f>'MVTO E'!P245</f>
        <v>0</v>
      </c>
      <c r="BN76" s="286"/>
      <c r="BO76" s="288">
        <f>'MVTO A'!P189</f>
        <v>0</v>
      </c>
      <c r="BP76" s="286"/>
      <c r="BQ76" s="289">
        <f>BM76+BO76</f>
        <v>0</v>
      </c>
      <c r="BR76" s="286"/>
      <c r="BS76" s="286"/>
      <c r="BT76" s="288">
        <f>'MVTO E'!Q245</f>
        <v>0</v>
      </c>
      <c r="BU76" s="286"/>
      <c r="BV76" s="288">
        <f>'MVTO A'!Q189</f>
        <v>0</v>
      </c>
      <c r="BW76" s="286"/>
      <c r="BX76" s="289">
        <f>BT76+BV76</f>
        <v>0</v>
      </c>
      <c r="BY76" s="286"/>
      <c r="BZ76" s="286"/>
      <c r="CA76" s="288">
        <f>'MVTO E'!R245</f>
        <v>0</v>
      </c>
      <c r="CB76" s="286"/>
      <c r="CC76" s="288">
        <f>'MVTO A'!R189</f>
        <v>0</v>
      </c>
      <c r="CD76" s="286"/>
      <c r="CE76" s="289">
        <f>CA76+CC76</f>
        <v>0</v>
      </c>
      <c r="CF76" s="286"/>
      <c r="CG76" s="286"/>
      <c r="CH76" s="288"/>
      <c r="CI76" s="288"/>
      <c r="CJ76" s="288"/>
      <c r="CK76" s="288"/>
      <c r="CL76" s="288"/>
      <c r="CM76" s="288"/>
    </row>
    <row r="77" spans="2:91" s="285" customFormat="1" ht="9.6">
      <c r="B77" s="286" t="s">
        <v>423</v>
      </c>
      <c r="C77" s="289">
        <f>'MVTO E'!G246</f>
        <v>13963718.67</v>
      </c>
      <c r="D77" s="286"/>
      <c r="E77" s="289">
        <f>'MVTO A'!G190</f>
        <v>1102236.95</v>
      </c>
      <c r="F77" s="286"/>
      <c r="G77" s="289">
        <f>C77+E77</f>
        <v>15065955.619999999</v>
      </c>
      <c r="H77" s="286"/>
      <c r="I77" s="289">
        <f>'MVTO E'!H246</f>
        <v>13593288.310000001</v>
      </c>
      <c r="J77" s="286"/>
      <c r="K77" s="289">
        <f>'MVTO A'!H190</f>
        <v>1006881.83</v>
      </c>
      <c r="L77" s="286"/>
      <c r="M77" s="289">
        <f>I77+K77</f>
        <v>14600170.140000001</v>
      </c>
      <c r="N77" s="286"/>
      <c r="O77" s="286"/>
      <c r="P77" s="304">
        <f>'MVTO E'!I246</f>
        <v>7068533.8700000001</v>
      </c>
      <c r="Q77" s="286"/>
      <c r="R77" s="304">
        <f>'MVTO A'!I190</f>
        <v>156933.01</v>
      </c>
      <c r="S77" s="286"/>
      <c r="T77" s="289">
        <f>P77+R77</f>
        <v>7225466.8799999999</v>
      </c>
      <c r="U77" s="286"/>
      <c r="V77" s="286"/>
      <c r="W77" s="288">
        <f>'MVTO E'!J246</f>
        <v>3538386.78</v>
      </c>
      <c r="X77" s="286"/>
      <c r="Y77" s="304">
        <f>'MVTO A'!J190</f>
        <v>-17532.259999999998</v>
      </c>
      <c r="Z77" s="286"/>
      <c r="AA77" s="289">
        <f>W77+Y77</f>
        <v>3520854.52</v>
      </c>
      <c r="AB77" s="286"/>
      <c r="AC77" s="286"/>
      <c r="AD77" s="288">
        <f>'MVTO E'!K246</f>
        <v>0</v>
      </c>
      <c r="AE77" s="286"/>
      <c r="AF77" s="288">
        <f>'MVTO A'!K190</f>
        <v>0</v>
      </c>
      <c r="AG77" s="286"/>
      <c r="AH77" s="289">
        <f>AD77+AF77</f>
        <v>0</v>
      </c>
      <c r="AI77" s="286"/>
      <c r="AJ77" s="286"/>
      <c r="AK77" s="288">
        <f>'MVTO E'!L246</f>
        <v>0</v>
      </c>
      <c r="AL77" s="286"/>
      <c r="AM77" s="288">
        <f>'MVTO A'!L190</f>
        <v>0</v>
      </c>
      <c r="AN77" s="286"/>
      <c r="AO77" s="289">
        <f>AK77+AM77</f>
        <v>0</v>
      </c>
      <c r="AP77" s="286"/>
      <c r="AQ77" s="286"/>
      <c r="AR77" s="288">
        <f>'MVTO E'!M246</f>
        <v>0</v>
      </c>
      <c r="AS77" s="286"/>
      <c r="AT77" s="288">
        <f>'MVTO A'!M190</f>
        <v>0</v>
      </c>
      <c r="AU77" s="286"/>
      <c r="AV77" s="289">
        <f>AR77+AT77</f>
        <v>0</v>
      </c>
      <c r="AW77" s="286"/>
      <c r="AX77" s="286"/>
      <c r="AY77" s="288">
        <f>'MVTO E'!N246</f>
        <v>0</v>
      </c>
      <c r="AZ77" s="286"/>
      <c r="BA77" s="288">
        <f>'MVTO A'!N190</f>
        <v>0</v>
      </c>
      <c r="BB77" s="286"/>
      <c r="BC77" s="289">
        <f>AY77+BA77</f>
        <v>0</v>
      </c>
      <c r="BD77" s="286"/>
      <c r="BE77" s="286"/>
      <c r="BF77" s="288">
        <f>'MVTO E'!O246</f>
        <v>0</v>
      </c>
      <c r="BG77" s="286"/>
      <c r="BH77" s="288">
        <f>'MVTO A'!O190</f>
        <v>0</v>
      </c>
      <c r="BI77" s="286"/>
      <c r="BJ77" s="289">
        <f>BF77+BH77</f>
        <v>0</v>
      </c>
      <c r="BK77" s="286"/>
      <c r="BL77" s="286"/>
      <c r="BM77" s="288">
        <f>'MVTO E'!P246</f>
        <v>0</v>
      </c>
      <c r="BN77" s="286"/>
      <c r="BO77" s="288">
        <f>'MVTO A'!P190</f>
        <v>0</v>
      </c>
      <c r="BP77" s="286"/>
      <c r="BQ77" s="289">
        <f>BM77+BO77</f>
        <v>0</v>
      </c>
      <c r="BR77" s="286"/>
      <c r="BS77" s="286"/>
      <c r="BT77" s="288">
        <f>'MVTO E'!Q246</f>
        <v>0</v>
      </c>
      <c r="BU77" s="286"/>
      <c r="BV77" s="288">
        <f>'MVTO A'!Q190</f>
        <v>0</v>
      </c>
      <c r="BW77" s="286"/>
      <c r="BX77" s="289">
        <f>BT77+BV77</f>
        <v>0</v>
      </c>
      <c r="BY77" s="286"/>
      <c r="BZ77" s="286"/>
      <c r="CA77" s="288">
        <f>'MVTO E'!R246</f>
        <v>0</v>
      </c>
      <c r="CB77" s="286"/>
      <c r="CC77" s="288">
        <f>'MVTO A'!R190</f>
        <v>0</v>
      </c>
      <c r="CD77" s="286"/>
      <c r="CE77" s="289">
        <f>CA77+CC77</f>
        <v>0</v>
      </c>
      <c r="CF77" s="286"/>
      <c r="CG77" s="286"/>
      <c r="CH77" s="288"/>
      <c r="CI77" s="288"/>
      <c r="CJ77" s="288"/>
      <c r="CK77" s="288"/>
      <c r="CL77" s="288"/>
      <c r="CM77" s="288"/>
    </row>
    <row r="78" spans="2:91" s="285" customFormat="1" ht="9.6">
      <c r="B78" s="286" t="s">
        <v>425</v>
      </c>
      <c r="C78" s="287">
        <f>C77-C76</f>
        <v>-6814345.2200000007</v>
      </c>
      <c r="D78" s="286"/>
      <c r="E78" s="287">
        <f>E77-E76</f>
        <v>789124.92999999993</v>
      </c>
      <c r="F78" s="286"/>
      <c r="G78" s="287">
        <f>G77-G76</f>
        <v>-6025220.290000001</v>
      </c>
      <c r="H78" s="289"/>
      <c r="I78" s="287">
        <f>I77-I76</f>
        <v>-370430.3599999994</v>
      </c>
      <c r="J78" s="286"/>
      <c r="K78" s="287">
        <f>K77-K76</f>
        <v>-95355.12</v>
      </c>
      <c r="L78" s="286"/>
      <c r="M78" s="287">
        <f>M77-M76</f>
        <v>-465785.47999999858</v>
      </c>
      <c r="N78" s="286"/>
      <c r="O78" s="286"/>
      <c r="P78" s="287">
        <f>P77-P76</f>
        <v>-6524754.4400000004</v>
      </c>
      <c r="Q78" s="286"/>
      <c r="R78" s="287">
        <f>R77-R76</f>
        <v>-849948.82</v>
      </c>
      <c r="S78" s="286"/>
      <c r="T78" s="287">
        <f>T77-T76</f>
        <v>-7374703.2600000007</v>
      </c>
      <c r="U78" s="286"/>
      <c r="V78" s="286"/>
      <c r="W78" s="287">
        <f>W77-W76</f>
        <v>-3530147.0900000003</v>
      </c>
      <c r="X78" s="286"/>
      <c r="Y78" s="289">
        <f>Y77-Y76</f>
        <v>-174465.27000000002</v>
      </c>
      <c r="Z78" s="286"/>
      <c r="AA78" s="289">
        <f>AA77-AA76</f>
        <v>-3704612.36</v>
      </c>
      <c r="AB78" s="286"/>
      <c r="AC78" s="286"/>
      <c r="AD78" s="312">
        <f>AD77-AD76</f>
        <v>0</v>
      </c>
      <c r="AE78" s="286"/>
      <c r="AF78" s="289">
        <f>AF77-AF76</f>
        <v>0</v>
      </c>
      <c r="AG78" s="286"/>
      <c r="AH78" s="289">
        <f>AH77-AH76</f>
        <v>0</v>
      </c>
      <c r="AI78" s="286"/>
      <c r="AJ78" s="286"/>
      <c r="AK78" s="312">
        <f>AK77-AK76</f>
        <v>0</v>
      </c>
      <c r="AL78" s="286"/>
      <c r="AM78" s="289">
        <f>AM77-AM76</f>
        <v>0</v>
      </c>
      <c r="AN78" s="286"/>
      <c r="AO78" s="289">
        <f>AO77-AO76</f>
        <v>0</v>
      </c>
      <c r="AP78" s="286"/>
      <c r="AQ78" s="286"/>
      <c r="AR78" s="312">
        <f>AR77-AR76</f>
        <v>0</v>
      </c>
      <c r="AS78" s="286"/>
      <c r="AT78" s="289">
        <f>AT77-AT76</f>
        <v>0</v>
      </c>
      <c r="AU78" s="286"/>
      <c r="AV78" s="289">
        <f>AV77-AV76</f>
        <v>0</v>
      </c>
      <c r="AW78" s="286"/>
      <c r="AX78" s="286"/>
      <c r="AY78" s="312">
        <f>AY77-AY76</f>
        <v>0</v>
      </c>
      <c r="AZ78" s="286"/>
      <c r="BA78" s="289">
        <f>BA77-BA76</f>
        <v>0</v>
      </c>
      <c r="BB78" s="286"/>
      <c r="BC78" s="289">
        <f>BC77-BC76</f>
        <v>0</v>
      </c>
      <c r="BD78" s="286"/>
      <c r="BE78" s="286"/>
      <c r="BF78" s="312">
        <f>BF77-BF76</f>
        <v>0</v>
      </c>
      <c r="BG78" s="286"/>
      <c r="BH78" s="289">
        <f>BH77-BH76</f>
        <v>0</v>
      </c>
      <c r="BI78" s="286"/>
      <c r="BJ78" s="289">
        <f>BJ77-BJ76</f>
        <v>0</v>
      </c>
      <c r="BK78" s="286"/>
      <c r="BL78" s="286"/>
      <c r="BM78" s="312">
        <f>BM77-BM76</f>
        <v>0</v>
      </c>
      <c r="BN78" s="286"/>
      <c r="BO78" s="289">
        <f>BO77-BO76</f>
        <v>0</v>
      </c>
      <c r="BP78" s="286"/>
      <c r="BQ78" s="289">
        <f>BQ77-BQ76</f>
        <v>0</v>
      </c>
      <c r="BR78" s="286"/>
      <c r="BS78" s="286"/>
      <c r="BT78" s="312">
        <f>BT77-BT76</f>
        <v>0</v>
      </c>
      <c r="BU78" s="286"/>
      <c r="BV78" s="312">
        <f>BV77-BV76</f>
        <v>0</v>
      </c>
      <c r="BW78" s="286"/>
      <c r="BX78" s="289">
        <f>BX77-BX76</f>
        <v>0</v>
      </c>
      <c r="BY78" s="286"/>
      <c r="BZ78" s="286"/>
      <c r="CA78" s="312">
        <f>CA77-CA76</f>
        <v>0</v>
      </c>
      <c r="CB78" s="286"/>
      <c r="CC78" s="312">
        <f>CC77-CC76</f>
        <v>0</v>
      </c>
      <c r="CD78" s="286"/>
      <c r="CE78" s="289">
        <f>CE77-CE76</f>
        <v>0</v>
      </c>
      <c r="CF78" s="286"/>
      <c r="CG78" s="286"/>
      <c r="CH78" s="286"/>
      <c r="CI78" s="286"/>
      <c r="CJ78" s="286"/>
      <c r="CK78" s="286"/>
      <c r="CL78" s="286"/>
      <c r="CM78" s="286"/>
    </row>
    <row r="79" spans="2:91" s="238" customFormat="1">
      <c r="C79" s="282"/>
      <c r="I79" s="282"/>
      <c r="P79" s="282"/>
      <c r="W79" s="281"/>
      <c r="X79" s="279"/>
      <c r="Y79" s="279"/>
      <c r="Z79" s="279"/>
      <c r="AA79" s="279"/>
      <c r="AB79" s="279"/>
      <c r="AC79" s="279"/>
      <c r="AD79" s="281"/>
      <c r="AE79" s="279"/>
      <c r="AF79" s="279"/>
      <c r="AG79" s="279"/>
      <c r="AH79" s="279"/>
      <c r="AI79" s="279"/>
      <c r="AJ79" s="279"/>
      <c r="AK79" s="281"/>
      <c r="AL79" s="279"/>
      <c r="AM79" s="279"/>
      <c r="AN79" s="279"/>
      <c r="AO79" s="279"/>
      <c r="AP79" s="279"/>
      <c r="AQ79" s="279"/>
      <c r="AR79" s="281"/>
      <c r="AS79" s="279"/>
      <c r="AT79" s="279"/>
      <c r="AU79" s="279"/>
      <c r="AV79" s="279"/>
      <c r="AW79" s="279"/>
      <c r="AX79" s="279"/>
      <c r="AY79" s="281"/>
      <c r="AZ79" s="279"/>
      <c r="BA79" s="279"/>
      <c r="BB79" s="279"/>
      <c r="BC79" s="279"/>
      <c r="BD79" s="279"/>
      <c r="BE79" s="279"/>
      <c r="BF79" s="281"/>
      <c r="BG79" s="279"/>
      <c r="BH79" s="279"/>
      <c r="BI79" s="279"/>
      <c r="BJ79" s="279"/>
      <c r="BK79" s="279"/>
      <c r="BL79" s="279"/>
      <c r="BM79" s="281"/>
      <c r="BN79" s="279"/>
      <c r="BO79" s="279"/>
      <c r="BP79" s="279"/>
      <c r="BQ79" s="279"/>
      <c r="BR79" s="279"/>
      <c r="BS79" s="279"/>
      <c r="BT79" s="281"/>
      <c r="BU79" s="279"/>
      <c r="BV79" s="279"/>
      <c r="BW79" s="279"/>
      <c r="BX79" s="279"/>
      <c r="BY79" s="279"/>
      <c r="BZ79" s="279"/>
      <c r="CA79" s="281"/>
      <c r="CB79" s="279"/>
      <c r="CC79" s="279"/>
      <c r="CD79" s="279"/>
      <c r="CE79" s="279"/>
      <c r="CF79" s="279"/>
      <c r="CG79" s="279"/>
      <c r="CH79" s="281"/>
    </row>
    <row r="80" spans="2:91">
      <c r="C80" s="305">
        <f>C73-C78</f>
        <v>0</v>
      </c>
      <c r="E80" s="422">
        <f>E73-E78</f>
        <v>0</v>
      </c>
      <c r="G80" s="305">
        <f>G73-G78</f>
        <v>0</v>
      </c>
      <c r="I80" s="305">
        <f>I73-I78</f>
        <v>1.4551915228366852E-9</v>
      </c>
      <c r="K80" s="305">
        <f>K73-K78</f>
        <v>-8.2945916801691055E-10</v>
      </c>
      <c r="M80" s="305">
        <f>M73-M78</f>
        <v>0</v>
      </c>
      <c r="P80" s="305">
        <f>P73-P78</f>
        <v>0</v>
      </c>
      <c r="R80" s="305">
        <f>R73-R78</f>
        <v>0</v>
      </c>
      <c r="T80" s="305">
        <f>T73-T78</f>
        <v>0</v>
      </c>
      <c r="W80" s="305">
        <f>W73-W78</f>
        <v>0</v>
      </c>
      <c r="Y80" s="305">
        <f>Y73-Y78</f>
        <v>0</v>
      </c>
      <c r="AA80" s="305">
        <f>AA73-AA78</f>
        <v>0</v>
      </c>
      <c r="AD80" s="305">
        <f>AD73-AD78</f>
        <v>0</v>
      </c>
      <c r="AF80" s="305">
        <f>AF73-AF78</f>
        <v>0</v>
      </c>
      <c r="AH80" s="305">
        <f>AH73-AH78</f>
        <v>0</v>
      </c>
      <c r="AK80" s="305">
        <f>AK73-AK78</f>
        <v>-1666.49</v>
      </c>
      <c r="AM80" s="305">
        <f>AM73-AM78</f>
        <v>0</v>
      </c>
      <c r="AO80" s="305">
        <f>AO73-AO78</f>
        <v>-1666.49</v>
      </c>
      <c r="AR80" s="305">
        <f>AR73-AR78</f>
        <v>0</v>
      </c>
      <c r="AT80" s="305">
        <f>AT73-AT78</f>
        <v>0</v>
      </c>
      <c r="AV80" s="305">
        <f>AV73-AV78</f>
        <v>0</v>
      </c>
      <c r="AY80" s="305">
        <f>AY73-AY78</f>
        <v>0</v>
      </c>
      <c r="BA80" s="305">
        <f>BA73-BA78</f>
        <v>0</v>
      </c>
      <c r="BC80" s="305">
        <f>BC73-BC78</f>
        <v>0</v>
      </c>
      <c r="BF80" s="305">
        <f>BF73-BF78</f>
        <v>0</v>
      </c>
      <c r="BH80" s="305">
        <f>BH73-BH78</f>
        <v>0</v>
      </c>
      <c r="BJ80" s="305">
        <f>BJ73-BJ78</f>
        <v>0</v>
      </c>
      <c r="BM80" s="305">
        <f>BM73-BM78</f>
        <v>0</v>
      </c>
      <c r="BO80" s="305">
        <f>BO73-BO78</f>
        <v>0</v>
      </c>
      <c r="BQ80" s="305">
        <f>BQ73-BQ78</f>
        <v>0</v>
      </c>
      <c r="BT80" s="305">
        <f>BT73-BT78</f>
        <v>0</v>
      </c>
      <c r="BV80" s="305">
        <f>BV73-BV78</f>
        <v>0</v>
      </c>
      <c r="BX80" s="305">
        <f>BX73-BX78</f>
        <v>0</v>
      </c>
      <c r="CA80" s="305">
        <f>CA73-CA78</f>
        <v>0</v>
      </c>
      <c r="CC80" s="305">
        <f>CC73-CC78</f>
        <v>0</v>
      </c>
      <c r="CE80" s="305">
        <f>CE73-CE78</f>
        <v>0</v>
      </c>
    </row>
    <row r="81" spans="3:86" s="238" customFormat="1">
      <c r="C81" s="282"/>
      <c r="I81" s="282"/>
      <c r="P81" s="282"/>
      <c r="W81" s="281"/>
      <c r="X81" s="279"/>
      <c r="Y81" s="279"/>
      <c r="Z81" s="279"/>
      <c r="AA81" s="279"/>
      <c r="AB81" s="279"/>
      <c r="AC81" s="279"/>
      <c r="AD81" s="281"/>
      <c r="AE81" s="279"/>
      <c r="AF81" s="279"/>
      <c r="AG81" s="279"/>
      <c r="AH81" s="279"/>
      <c r="AI81" s="279"/>
      <c r="AJ81" s="279"/>
      <c r="AK81" s="281"/>
      <c r="AL81" s="279"/>
      <c r="AM81" s="279"/>
      <c r="AN81" s="279"/>
      <c r="AO81" s="279"/>
      <c r="AP81" s="279"/>
      <c r="AQ81" s="279"/>
      <c r="AR81" s="281"/>
      <c r="AS81" s="279"/>
      <c r="AT81" s="279"/>
      <c r="AU81" s="279"/>
      <c r="AV81" s="279"/>
      <c r="AW81" s="279"/>
      <c r="AX81" s="279"/>
      <c r="AY81" s="281"/>
      <c r="AZ81" s="279"/>
      <c r="BA81" s="279"/>
      <c r="BB81" s="279"/>
      <c r="BC81" s="279"/>
      <c r="BD81" s="279"/>
      <c r="BE81" s="279"/>
      <c r="BF81" s="281"/>
      <c r="BG81" s="279"/>
      <c r="BH81" s="279"/>
      <c r="BI81" s="279"/>
      <c r="BJ81" s="279"/>
      <c r="BK81" s="279"/>
      <c r="BL81" s="279"/>
      <c r="BM81" s="281"/>
      <c r="BN81" s="279"/>
      <c r="BO81" s="279"/>
      <c r="BP81" s="279"/>
      <c r="BQ81" s="279"/>
      <c r="BR81" s="279"/>
      <c r="BS81" s="279"/>
      <c r="BT81" s="281"/>
      <c r="BU81" s="279"/>
      <c r="BV81" s="279"/>
      <c r="BW81" s="279"/>
      <c r="BX81" s="279"/>
      <c r="BY81" s="279"/>
      <c r="BZ81" s="279"/>
      <c r="CA81" s="281"/>
      <c r="CB81" s="279"/>
      <c r="CC81" s="279"/>
      <c r="CD81" s="279"/>
      <c r="CE81" s="279"/>
      <c r="CF81" s="279"/>
      <c r="CG81" s="279"/>
      <c r="CH81" s="281"/>
    </row>
    <row r="82" spans="3:86">
      <c r="C82" s="426"/>
    </row>
    <row r="83" spans="3:86">
      <c r="C83" s="426"/>
    </row>
    <row r="85" spans="3:86" s="238" customFormat="1">
      <c r="W85" s="281"/>
      <c r="X85" s="279"/>
      <c r="Y85" s="279"/>
      <c r="Z85" s="279"/>
      <c r="AA85" s="279"/>
      <c r="AB85" s="279"/>
      <c r="AC85" s="279"/>
      <c r="AD85" s="281"/>
      <c r="AE85" s="279"/>
      <c r="AF85" s="279"/>
      <c r="AG85" s="279"/>
      <c r="AH85" s="279"/>
      <c r="AI85" s="279"/>
      <c r="AJ85" s="279"/>
      <c r="AK85" s="281"/>
      <c r="AL85" s="279"/>
      <c r="AM85" s="279"/>
      <c r="AN85" s="279"/>
      <c r="AO85" s="279"/>
      <c r="AP85" s="279"/>
      <c r="AQ85" s="279"/>
      <c r="AR85" s="281"/>
      <c r="AS85" s="279"/>
      <c r="AT85" s="279"/>
      <c r="AU85" s="279"/>
      <c r="AV85" s="279"/>
      <c r="AW85" s="279"/>
      <c r="AX85" s="279"/>
      <c r="AY85" s="281"/>
      <c r="AZ85" s="279"/>
      <c r="BA85" s="279"/>
      <c r="BB85" s="279"/>
      <c r="BC85" s="279"/>
      <c r="BD85" s="279"/>
      <c r="BE85" s="279"/>
      <c r="BF85" s="281"/>
      <c r="BG85" s="279"/>
      <c r="BH85" s="279"/>
      <c r="BI85" s="279"/>
      <c r="BJ85" s="279"/>
      <c r="BK85" s="279"/>
      <c r="BL85" s="279"/>
      <c r="BM85" s="281"/>
      <c r="BN85" s="279"/>
      <c r="BO85" s="279"/>
      <c r="BP85" s="279"/>
      <c r="BQ85" s="279"/>
      <c r="BR85" s="279"/>
      <c r="BS85" s="279"/>
      <c r="BT85" s="281"/>
      <c r="BU85" s="279"/>
      <c r="BV85" s="279"/>
      <c r="BW85" s="279"/>
      <c r="BX85" s="279"/>
      <c r="BY85" s="279"/>
      <c r="BZ85" s="279"/>
      <c r="CA85" s="281"/>
      <c r="CB85" s="279"/>
      <c r="CC85" s="279"/>
      <c r="CD85" s="279"/>
      <c r="CE85" s="279"/>
      <c r="CF85" s="279"/>
      <c r="CG85" s="279"/>
      <c r="CH85" s="281"/>
    </row>
    <row r="87" spans="3:86" s="238" customFormat="1">
      <c r="W87" s="280"/>
      <c r="X87" s="279"/>
      <c r="Y87" s="279"/>
      <c r="Z87" s="279"/>
      <c r="AA87" s="279"/>
      <c r="AB87" s="279"/>
      <c r="AC87" s="279"/>
      <c r="AD87" s="280"/>
      <c r="AE87" s="279"/>
      <c r="AF87" s="279"/>
      <c r="AG87" s="279"/>
      <c r="AH87" s="279"/>
      <c r="AI87" s="279"/>
      <c r="AJ87" s="279"/>
      <c r="AK87" s="280"/>
      <c r="AL87" s="279"/>
      <c r="AM87" s="279"/>
      <c r="AN87" s="279"/>
      <c r="AO87" s="279"/>
      <c r="AP87" s="279"/>
      <c r="AQ87" s="279"/>
      <c r="AR87" s="280"/>
      <c r="AS87" s="279"/>
      <c r="AT87" s="279"/>
      <c r="AU87" s="279"/>
      <c r="AV87" s="279"/>
      <c r="AW87" s="279"/>
      <c r="AX87" s="279"/>
      <c r="AY87" s="280"/>
      <c r="AZ87" s="279"/>
      <c r="BA87" s="279"/>
      <c r="BB87" s="279"/>
      <c r="BC87" s="279"/>
      <c r="BD87" s="279"/>
      <c r="BE87" s="279"/>
      <c r="BF87" s="280"/>
      <c r="BG87" s="279"/>
      <c r="BH87" s="279"/>
      <c r="BI87" s="279"/>
      <c r="BJ87" s="279"/>
      <c r="BK87" s="279"/>
      <c r="BL87" s="279"/>
      <c r="BM87" s="280"/>
      <c r="BN87" s="279"/>
      <c r="BO87" s="279"/>
      <c r="BP87" s="279"/>
      <c r="BQ87" s="279"/>
      <c r="BR87" s="279"/>
      <c r="BS87" s="279"/>
      <c r="BT87" s="280"/>
      <c r="BU87" s="279"/>
      <c r="BV87" s="279"/>
      <c r="BW87" s="279"/>
      <c r="BX87" s="279"/>
      <c r="BY87" s="279"/>
      <c r="BZ87" s="279"/>
      <c r="CA87" s="280"/>
      <c r="CB87" s="279"/>
      <c r="CC87" s="279"/>
      <c r="CD87" s="279"/>
      <c r="CE87" s="279"/>
      <c r="CF87" s="279"/>
      <c r="CG87" s="279"/>
      <c r="CH87" s="280"/>
    </row>
  </sheetData>
  <dataConsolidate/>
  <mergeCells count="52">
    <mergeCell ref="CL3:CM3"/>
    <mergeCell ref="BM3:BN3"/>
    <mergeCell ref="BO3:BP3"/>
    <mergeCell ref="BQ3:BR3"/>
    <mergeCell ref="BT3:BU3"/>
    <mergeCell ref="BV3:BW3"/>
    <mergeCell ref="BX3:BY3"/>
    <mergeCell ref="CA3:CB3"/>
    <mergeCell ref="CC3:CD3"/>
    <mergeCell ref="CE3:CF3"/>
    <mergeCell ref="CH3:CI3"/>
    <mergeCell ref="CJ3:CK3"/>
    <mergeCell ref="BJ3:BK3"/>
    <mergeCell ref="AK3:AL3"/>
    <mergeCell ref="AM3:AN3"/>
    <mergeCell ref="AO3:AP3"/>
    <mergeCell ref="AR3:AS3"/>
    <mergeCell ref="AT3:AU3"/>
    <mergeCell ref="AV3:AW3"/>
    <mergeCell ref="AY3:AZ3"/>
    <mergeCell ref="BA3:BB3"/>
    <mergeCell ref="BC3:BD3"/>
    <mergeCell ref="BF3:BG3"/>
    <mergeCell ref="BH3:BI3"/>
    <mergeCell ref="W3:X3"/>
    <mergeCell ref="Y3:Z3"/>
    <mergeCell ref="AA3:AB3"/>
    <mergeCell ref="AD3:AE3"/>
    <mergeCell ref="AF3:AG3"/>
    <mergeCell ref="AH3:AI3"/>
    <mergeCell ref="CH2:CM2"/>
    <mergeCell ref="C3:D3"/>
    <mergeCell ref="E3:F3"/>
    <mergeCell ref="G3:H3"/>
    <mergeCell ref="I3:J3"/>
    <mergeCell ref="K3:L3"/>
    <mergeCell ref="M3:N3"/>
    <mergeCell ref="P3:Q3"/>
    <mergeCell ref="R3:S3"/>
    <mergeCell ref="T3:U3"/>
    <mergeCell ref="AR2:AX2"/>
    <mergeCell ref="AY2:BE2"/>
    <mergeCell ref="BF2:BL2"/>
    <mergeCell ref="BM2:BS2"/>
    <mergeCell ref="BT2:BZ2"/>
    <mergeCell ref="CA2:CG2"/>
    <mergeCell ref="C2:H2"/>
    <mergeCell ref="I2:O2"/>
    <mergeCell ref="P2:V2"/>
    <mergeCell ref="W2:AC2"/>
    <mergeCell ref="AD2:AJ2"/>
    <mergeCell ref="AK2:AQ2"/>
  </mergeCells>
  <conditionalFormatting sqref="O4:O73">
    <cfRule type="iconSet" priority="121">
      <iconSet iconSet="3Arrows">
        <cfvo type="percent" val="0"/>
        <cfvo type="num" val="0"/>
        <cfvo type="num" val="0"/>
      </iconSet>
    </cfRule>
  </conditionalFormatting>
  <conditionalFormatting sqref="O11">
    <cfRule type="iconSet" priority="120">
      <iconSet iconSet="3Arrows" reverse="1">
        <cfvo type="percent" val="0"/>
        <cfvo type="num" val="0"/>
        <cfvo type="num" val="0"/>
      </iconSet>
    </cfRule>
  </conditionalFormatting>
  <conditionalFormatting sqref="O14:O16">
    <cfRule type="iconSet" priority="119">
      <iconSet iconSet="3Arrows" reverse="1">
        <cfvo type="percent" val="0"/>
        <cfvo type="num" val="0"/>
        <cfvo type="num" val="0"/>
      </iconSet>
    </cfRule>
  </conditionalFormatting>
  <conditionalFormatting sqref="V4:V18">
    <cfRule type="iconSet" priority="65">
      <iconSet iconSet="3Arrows">
        <cfvo type="percent" val="0"/>
        <cfvo type="num" val="0"/>
        <cfvo type="num" val="0"/>
      </iconSet>
    </cfRule>
  </conditionalFormatting>
  <conditionalFormatting sqref="V11">
    <cfRule type="iconSet" priority="64">
      <iconSet iconSet="3Arrows" reverse="1">
        <cfvo type="percent" val="0"/>
        <cfvo type="num" val="0"/>
        <cfvo type="num" val="0"/>
      </iconSet>
    </cfRule>
  </conditionalFormatting>
  <conditionalFormatting sqref="V14:V16">
    <cfRule type="iconSet" priority="63">
      <iconSet iconSet="3Arrows" reverse="1">
        <cfvo type="percent" val="0"/>
        <cfvo type="num" val="0"/>
        <cfvo type="num" val="0"/>
      </iconSet>
    </cfRule>
  </conditionalFormatting>
  <conditionalFormatting sqref="V19:V73">
    <cfRule type="iconSet" priority="18">
      <iconSet iconSet="3Arrows">
        <cfvo type="percent" val="0"/>
        <cfvo type="num" val="0"/>
        <cfvo type="num" val="0"/>
      </iconSet>
    </cfRule>
  </conditionalFormatting>
  <conditionalFormatting sqref="AC4:AC73">
    <cfRule type="iconSet" priority="58">
      <iconSet iconSet="3Arrows">
        <cfvo type="percent" val="0"/>
        <cfvo type="num" val="0"/>
        <cfvo type="num" val="0"/>
      </iconSet>
    </cfRule>
  </conditionalFormatting>
  <conditionalFormatting sqref="AC11">
    <cfRule type="iconSet" priority="57">
      <iconSet iconSet="3Arrows" reverse="1">
        <cfvo type="percent" val="0"/>
        <cfvo type="num" val="0"/>
        <cfvo type="num" val="0"/>
      </iconSet>
    </cfRule>
  </conditionalFormatting>
  <conditionalFormatting sqref="AC14:AC16">
    <cfRule type="iconSet" priority="56">
      <iconSet iconSet="3Arrows" reverse="1">
        <cfvo type="percent" val="0"/>
        <cfvo type="num" val="0"/>
        <cfvo type="num" val="0"/>
      </iconSet>
    </cfRule>
  </conditionalFormatting>
  <conditionalFormatting sqref="AJ4:AJ9">
    <cfRule type="iconSet" priority="8">
      <iconSet iconSet="3Arrows">
        <cfvo type="percent" val="0"/>
        <cfvo type="num" val="0"/>
        <cfvo type="num" val="0"/>
      </iconSet>
    </cfRule>
  </conditionalFormatting>
  <conditionalFormatting sqref="AJ10:AJ73">
    <cfRule type="iconSet" priority="51">
      <iconSet iconSet="3Arrows">
        <cfvo type="percent" val="0"/>
        <cfvo type="num" val="0"/>
        <cfvo type="num" val="0"/>
      </iconSet>
    </cfRule>
  </conditionalFormatting>
  <conditionalFormatting sqref="AJ11">
    <cfRule type="iconSet" priority="50">
      <iconSet iconSet="3Arrows" reverse="1">
        <cfvo type="percent" val="0"/>
        <cfvo type="num" val="0"/>
        <cfvo type="num" val="0"/>
      </iconSet>
    </cfRule>
  </conditionalFormatting>
  <conditionalFormatting sqref="AJ14:AJ16">
    <cfRule type="iconSet" priority="49">
      <iconSet iconSet="3Arrows" reverse="1">
        <cfvo type="percent" val="0"/>
        <cfvo type="num" val="0"/>
        <cfvo type="num" val="0"/>
      </iconSet>
    </cfRule>
  </conditionalFormatting>
  <conditionalFormatting sqref="AQ4:AQ9">
    <cfRule type="iconSet" priority="7">
      <iconSet iconSet="3Arrows">
        <cfvo type="percent" val="0"/>
        <cfvo type="num" val="0"/>
        <cfvo type="num" val="0"/>
      </iconSet>
    </cfRule>
  </conditionalFormatting>
  <conditionalFormatting sqref="AQ10:AQ73">
    <cfRule type="iconSet" priority="44">
      <iconSet iconSet="3Arrows">
        <cfvo type="percent" val="0"/>
        <cfvo type="num" val="0"/>
        <cfvo type="num" val="0"/>
      </iconSet>
    </cfRule>
  </conditionalFormatting>
  <conditionalFormatting sqref="AQ11">
    <cfRule type="iconSet" priority="43">
      <iconSet iconSet="3Arrows" reverse="1">
        <cfvo type="percent" val="0"/>
        <cfvo type="num" val="0"/>
        <cfvo type="num" val="0"/>
      </iconSet>
    </cfRule>
  </conditionalFormatting>
  <conditionalFormatting sqref="AQ14:AQ16">
    <cfRule type="iconSet" priority="42">
      <iconSet iconSet="3Arrows" reverse="1">
        <cfvo type="percent" val="0"/>
        <cfvo type="num" val="0"/>
        <cfvo type="num" val="0"/>
      </iconSet>
    </cfRule>
  </conditionalFormatting>
  <conditionalFormatting sqref="AX4:AX9">
    <cfRule type="iconSet" priority="6">
      <iconSet iconSet="3Arrows">
        <cfvo type="percent" val="0"/>
        <cfvo type="num" val="0"/>
        <cfvo type="num" val="0"/>
      </iconSet>
    </cfRule>
  </conditionalFormatting>
  <conditionalFormatting sqref="AX10:AX73">
    <cfRule type="iconSet" priority="37">
      <iconSet iconSet="3Arrows">
        <cfvo type="percent" val="0"/>
        <cfvo type="num" val="0"/>
        <cfvo type="num" val="0"/>
      </iconSet>
    </cfRule>
  </conditionalFormatting>
  <conditionalFormatting sqref="AX11">
    <cfRule type="iconSet" priority="36">
      <iconSet iconSet="3Arrows" reverse="1">
        <cfvo type="percent" val="0"/>
        <cfvo type="num" val="0"/>
        <cfvo type="num" val="0"/>
      </iconSet>
    </cfRule>
  </conditionalFormatting>
  <conditionalFormatting sqref="AX14:AX16">
    <cfRule type="iconSet" priority="35">
      <iconSet iconSet="3Arrows" reverse="1">
        <cfvo type="percent" val="0"/>
        <cfvo type="num" val="0"/>
        <cfvo type="num" val="0"/>
      </iconSet>
    </cfRule>
  </conditionalFormatting>
  <conditionalFormatting sqref="BE4:BE9">
    <cfRule type="iconSet" priority="5">
      <iconSet iconSet="3Arrows">
        <cfvo type="percent" val="0"/>
        <cfvo type="num" val="0"/>
        <cfvo type="num" val="0"/>
      </iconSet>
    </cfRule>
  </conditionalFormatting>
  <conditionalFormatting sqref="BE10:BE73">
    <cfRule type="iconSet" priority="30">
      <iconSet iconSet="3Arrows">
        <cfvo type="percent" val="0"/>
        <cfvo type="num" val="0"/>
        <cfvo type="num" val="0"/>
      </iconSet>
    </cfRule>
  </conditionalFormatting>
  <conditionalFormatting sqref="BE11">
    <cfRule type="iconSet" priority="29">
      <iconSet iconSet="3Arrows" reverse="1">
        <cfvo type="percent" val="0"/>
        <cfvo type="num" val="0"/>
        <cfvo type="num" val="0"/>
      </iconSet>
    </cfRule>
  </conditionalFormatting>
  <conditionalFormatting sqref="BE14:BE16">
    <cfRule type="iconSet" priority="28">
      <iconSet iconSet="3Arrows" reverse="1">
        <cfvo type="percent" val="0"/>
        <cfvo type="num" val="0"/>
        <cfvo type="num" val="0"/>
      </iconSet>
    </cfRule>
  </conditionalFormatting>
  <conditionalFormatting sqref="BL4:BL9">
    <cfRule type="iconSet" priority="4">
      <iconSet iconSet="3Arrows">
        <cfvo type="percent" val="0"/>
        <cfvo type="num" val="0"/>
        <cfvo type="num" val="0"/>
      </iconSet>
    </cfRule>
  </conditionalFormatting>
  <conditionalFormatting sqref="BL10:BL73">
    <cfRule type="iconSet" priority="23">
      <iconSet iconSet="3Arrows">
        <cfvo type="percent" val="0"/>
        <cfvo type="num" val="0"/>
        <cfvo type="num" val="0"/>
      </iconSet>
    </cfRule>
  </conditionalFormatting>
  <conditionalFormatting sqref="BL11">
    <cfRule type="iconSet" priority="22">
      <iconSet iconSet="3Arrows" reverse="1">
        <cfvo type="percent" val="0"/>
        <cfvo type="num" val="0"/>
        <cfvo type="num" val="0"/>
      </iconSet>
    </cfRule>
  </conditionalFormatting>
  <conditionalFormatting sqref="BL14:BL16">
    <cfRule type="iconSet" priority="21">
      <iconSet iconSet="3Arrows" reverse="1">
        <cfvo type="percent" val="0"/>
        <cfvo type="num" val="0"/>
        <cfvo type="num" val="0"/>
      </iconSet>
    </cfRule>
  </conditionalFormatting>
  <conditionalFormatting sqref="BS4:BS9">
    <cfRule type="iconSet" priority="3">
      <iconSet iconSet="3Arrows">
        <cfvo type="percent" val="0"/>
        <cfvo type="num" val="0"/>
        <cfvo type="num" val="0"/>
      </iconSet>
    </cfRule>
  </conditionalFormatting>
  <conditionalFormatting sqref="BS10:BS73">
    <cfRule type="iconSet" priority="17">
      <iconSet iconSet="3Arrows">
        <cfvo type="percent" val="0"/>
        <cfvo type="num" val="0"/>
        <cfvo type="num" val="0"/>
      </iconSet>
    </cfRule>
  </conditionalFormatting>
  <conditionalFormatting sqref="BS11">
    <cfRule type="iconSet" priority="16">
      <iconSet iconSet="3Arrows" reverse="1">
        <cfvo type="percent" val="0"/>
        <cfvo type="num" val="0"/>
        <cfvo type="num" val="0"/>
      </iconSet>
    </cfRule>
  </conditionalFormatting>
  <conditionalFormatting sqref="BS14:BS16">
    <cfRule type="iconSet" priority="15">
      <iconSet iconSet="3Arrows" reverse="1">
        <cfvo type="percent" val="0"/>
        <cfvo type="num" val="0"/>
        <cfvo type="num" val="0"/>
      </iconSet>
    </cfRule>
  </conditionalFormatting>
  <conditionalFormatting sqref="BZ4:BZ9">
    <cfRule type="iconSet" priority="2">
      <iconSet iconSet="3Arrows">
        <cfvo type="percent" val="0"/>
        <cfvo type="num" val="0"/>
        <cfvo type="num" val="0"/>
      </iconSet>
    </cfRule>
  </conditionalFormatting>
  <conditionalFormatting sqref="BZ10:BZ73">
    <cfRule type="iconSet" priority="14">
      <iconSet iconSet="3Arrows">
        <cfvo type="percent" val="0"/>
        <cfvo type="num" val="0"/>
        <cfvo type="num" val="0"/>
      </iconSet>
    </cfRule>
  </conditionalFormatting>
  <conditionalFormatting sqref="BZ11">
    <cfRule type="iconSet" priority="13">
      <iconSet iconSet="3Arrows" reverse="1">
        <cfvo type="percent" val="0"/>
        <cfvo type="num" val="0"/>
        <cfvo type="num" val="0"/>
      </iconSet>
    </cfRule>
  </conditionalFormatting>
  <conditionalFormatting sqref="BZ14:BZ16">
    <cfRule type="iconSet" priority="12">
      <iconSet iconSet="3Arrows" reverse="1">
        <cfvo type="percent" val="0"/>
        <cfvo type="num" val="0"/>
        <cfvo type="num" val="0"/>
      </iconSet>
    </cfRule>
  </conditionalFormatting>
  <conditionalFormatting sqref="CG4:CG9">
    <cfRule type="iconSet" priority="1">
      <iconSet iconSet="3Arrows">
        <cfvo type="percent" val="0"/>
        <cfvo type="num" val="0"/>
        <cfvo type="num" val="0"/>
      </iconSet>
    </cfRule>
  </conditionalFormatting>
  <conditionalFormatting sqref="CG10:CG73">
    <cfRule type="iconSet" priority="11">
      <iconSet iconSet="3Arrows">
        <cfvo type="percent" val="0"/>
        <cfvo type="num" val="0"/>
        <cfvo type="num" val="0"/>
      </iconSet>
    </cfRule>
  </conditionalFormatting>
  <conditionalFormatting sqref="CG11">
    <cfRule type="iconSet" priority="10">
      <iconSet iconSet="3Arrows" reverse="1">
        <cfvo type="percent" val="0"/>
        <cfvo type="num" val="0"/>
        <cfvo type="num" val="0"/>
      </iconSet>
    </cfRule>
  </conditionalFormatting>
  <conditionalFormatting sqref="CG14:CG16">
    <cfRule type="iconSet" priority="9">
      <iconSet iconSet="3Arrows" reverse="1">
        <cfvo type="percent" val="0"/>
        <cfvo type="num" val="0"/>
        <cfvo type="num" val="0"/>
      </iconSet>
    </cfRule>
  </conditionalFormatting>
  <pageMargins left="0.78740157480314965" right="0.78740157480314965" top="1.0629921259842521" bottom="1.0629921259842521" header="0.78740157480314965" footer="0.78740157480314965"/>
  <pageSetup paperSize="9" scale="80" firstPageNumber="0" fitToWidth="0" orientation="landscape" useFirstPageNumber="1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G90"/>
  <sheetViews>
    <sheetView zoomScale="140" zoomScaleNormal="140" workbookViewId="0">
      <pane xSplit="2" ySplit="3" topLeftCell="C49" activePane="bottomRight" state="frozen"/>
      <selection pane="topRight"/>
      <selection pane="bottomLeft"/>
      <selection pane="bottomRight" activeCell="I25" sqref="I25"/>
    </sheetView>
  </sheetViews>
  <sheetFormatPr defaultColWidth="9" defaultRowHeight="10.199999999999999"/>
  <cols>
    <col min="1" max="1" width="0.44140625" style="176" customWidth="1"/>
    <col min="2" max="2" width="30.5546875" style="176" bestFit="1" customWidth="1"/>
    <col min="3" max="3" width="10.88671875" style="176" customWidth="1"/>
    <col min="4" max="4" width="6" style="176" customWidth="1"/>
    <col min="5" max="5" width="10.88671875" style="176" customWidth="1"/>
    <col min="6" max="6" width="5.6640625" style="176" customWidth="1"/>
    <col min="7" max="7" width="10.88671875" style="176" customWidth="1"/>
    <col min="8" max="8" width="5.6640625" style="176" customWidth="1"/>
    <col min="9" max="9" width="8.6640625" style="185" bestFit="1" customWidth="1"/>
    <col min="10" max="10" width="6.109375" style="185" customWidth="1"/>
    <col min="11" max="11" width="8.6640625" style="185" bestFit="1" customWidth="1"/>
    <col min="12" max="12" width="7.6640625" style="185" customWidth="1"/>
    <col min="13" max="13" width="9.5546875" style="185" bestFit="1" customWidth="1"/>
    <col min="14" max="14" width="7.6640625" style="185" customWidth="1"/>
    <col min="15" max="15" width="9.5546875" style="185" bestFit="1" customWidth="1"/>
    <col min="16" max="16" width="6.6640625" style="185" customWidth="1"/>
    <col min="17" max="17" width="9.5546875" style="185" bestFit="1" customWidth="1"/>
    <col min="18" max="18" width="9.44140625" style="185" customWidth="1"/>
    <col min="19" max="19" width="9.5546875" style="185" bestFit="1" customWidth="1"/>
    <col min="20" max="20" width="7.33203125" style="185" customWidth="1"/>
    <col min="21" max="21" width="9.109375" style="185" bestFit="1" customWidth="1"/>
    <col min="22" max="22" width="7.33203125" style="185" customWidth="1"/>
    <col min="23" max="23" width="9.109375" style="185" bestFit="1" customWidth="1"/>
    <col min="24" max="24" width="7.33203125" style="185" customWidth="1"/>
    <col min="25" max="25" width="9.109375" style="185" bestFit="1" customWidth="1"/>
    <col min="26" max="26" width="7.33203125" style="185" customWidth="1"/>
    <col min="27" max="27" width="9.44140625" style="176" hidden="1" customWidth="1"/>
    <col min="28" max="28" width="6.5546875" style="176" hidden="1" customWidth="1"/>
    <col min="29" max="995" width="9.109375" style="176" customWidth="1"/>
    <col min="996" max="16384" width="9" style="188"/>
  </cols>
  <sheetData>
    <row r="1" spans="2:28" ht="5.25" customHeight="1" thickBot="1"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spans="2:28" ht="19.5" customHeight="1" thickBot="1">
      <c r="C2" s="481" t="s">
        <v>58</v>
      </c>
      <c r="D2" s="482"/>
      <c r="E2" s="481" t="s">
        <v>59</v>
      </c>
      <c r="F2" s="482"/>
      <c r="G2" s="481" t="s">
        <v>60</v>
      </c>
      <c r="H2" s="482"/>
      <c r="I2" s="481" t="s">
        <v>61</v>
      </c>
      <c r="J2" s="482"/>
      <c r="K2" s="481" t="s">
        <v>11</v>
      </c>
      <c r="L2" s="482"/>
      <c r="M2" s="481" t="s">
        <v>62</v>
      </c>
      <c r="N2" s="482"/>
      <c r="O2" s="481" t="s">
        <v>63</v>
      </c>
      <c r="P2" s="482"/>
      <c r="Q2" s="481" t="s">
        <v>64</v>
      </c>
      <c r="R2" s="482"/>
      <c r="S2" s="481" t="s">
        <v>65</v>
      </c>
      <c r="T2" s="482"/>
      <c r="U2" s="481" t="s">
        <v>66</v>
      </c>
      <c r="V2" s="482"/>
      <c r="W2" s="481" t="s">
        <v>67</v>
      </c>
      <c r="X2" s="482"/>
      <c r="Y2" s="481" t="s">
        <v>68</v>
      </c>
      <c r="Z2" s="482"/>
      <c r="AA2" s="498"/>
      <c r="AB2" s="495"/>
    </row>
    <row r="3" spans="2:28" ht="17.399999999999999" customHeight="1" thickBot="1">
      <c r="B3" s="283" t="s">
        <v>45</v>
      </c>
      <c r="C3" s="496" t="s">
        <v>460</v>
      </c>
      <c r="D3" s="497"/>
      <c r="E3" s="496" t="s">
        <v>460</v>
      </c>
      <c r="F3" s="497"/>
      <c r="G3" s="496" t="s">
        <v>460</v>
      </c>
      <c r="H3" s="497"/>
      <c r="I3" s="496" t="s">
        <v>460</v>
      </c>
      <c r="J3" s="497"/>
      <c r="K3" s="496" t="s">
        <v>460</v>
      </c>
      <c r="L3" s="497"/>
      <c r="M3" s="496" t="s">
        <v>460</v>
      </c>
      <c r="N3" s="497"/>
      <c r="O3" s="496" t="s">
        <v>460</v>
      </c>
      <c r="P3" s="497"/>
      <c r="Q3" s="496" t="s">
        <v>460</v>
      </c>
      <c r="R3" s="497"/>
      <c r="S3" s="496" t="s">
        <v>460</v>
      </c>
      <c r="T3" s="497"/>
      <c r="U3" s="496" t="s">
        <v>460</v>
      </c>
      <c r="V3" s="497"/>
      <c r="W3" s="496" t="s">
        <v>460</v>
      </c>
      <c r="X3" s="497"/>
      <c r="Y3" s="496" t="s">
        <v>460</v>
      </c>
      <c r="Z3" s="497"/>
      <c r="AA3" s="494" t="s">
        <v>462</v>
      </c>
      <c r="AB3" s="495"/>
    </row>
    <row r="4" spans="2:28" s="176" customFormat="1" ht="10.35" customHeight="1" thickBot="1">
      <c r="B4" s="178" t="s">
        <v>215</v>
      </c>
      <c r="C4" s="219">
        <f>SUMIF('MVTO E'!$C$3:$C$240,"Vda_Din",'MVTO E'!$G$3:$G$240)-SUMIF('MVTO E'!$C$3:$C$240,"Vda_S_Din",'MVTO E'!$G$3:$G$240)</f>
        <v>1612193.8</v>
      </c>
      <c r="D4" s="208">
        <f>C4/$C$10</f>
        <v>4.9001350252261544E-2</v>
      </c>
      <c r="E4" s="219">
        <f>SUMIF('MVTO E'!$C$3:$C$240,"Vda_Din",'MVTO E'!$H$3:$H$240)-SUMIF('MVTO E'!$C$3:$C$240,"Vda_S_Din",'MVTO E'!$H$3:$H$240)</f>
        <v>1483685.35</v>
      </c>
      <c r="F4" s="208">
        <f>E4/$E$10</f>
        <v>6.9886186948066753E-2</v>
      </c>
      <c r="G4" s="219">
        <f>SUMIF('MVTO E'!$C$3:$C$240,"Vda_Din",'MVTO E'!$I$3:$I$240)-SUMIF('MVTO E'!$C$3:$C$240,"Vda_S_Din",'MVTO E'!$I$3:$I$240)</f>
        <v>1481071.31</v>
      </c>
      <c r="H4" s="208">
        <f>G4/$G$10</f>
        <v>6.2210754031248629E-2</v>
      </c>
      <c r="I4" s="219">
        <f>SUMIF('MVTO E'!$C$3:$C$240,"Vda_Din",'MVTO E'!$J$3:$J$240)-SUMIF('MVTO E'!$C$3:$C$240,"Vda_S_Din",'MVTO E'!$J$3:$J$240)</f>
        <v>1430187.35</v>
      </c>
      <c r="J4" s="208">
        <f>I4/$I$10</f>
        <v>6.44257688116011E-2</v>
      </c>
      <c r="K4" s="219">
        <f>SUMIF('MVTO E'!$C$3:$C$240,"Vda_Din",'MVTO E'!$K$3:$K$240)</f>
        <v>0</v>
      </c>
      <c r="L4" s="208" t="e">
        <f>K4/$K$10</f>
        <v>#DIV/0!</v>
      </c>
      <c r="M4" s="219">
        <f>SUMIF('MVTO E'!$C$3:$C$240,"Vda_Din",'MVTO E'!$L$3:$L$240)</f>
        <v>0</v>
      </c>
      <c r="N4" s="208" t="e">
        <f>M4/$M$10</f>
        <v>#DIV/0!</v>
      </c>
      <c r="O4" s="219">
        <f>SUMIF('MVTO E'!$C$3:$C$240,"Vda_Din",'MVTO E'!$M$3:$M$240)</f>
        <v>0</v>
      </c>
      <c r="P4" s="208" t="e">
        <f>O4/$O$10</f>
        <v>#DIV/0!</v>
      </c>
      <c r="Q4" s="219">
        <f>SUMIF('MVTO E'!$C$3:$C$240,"Vda_Din",'MVTO E'!$N$3:$N$240)</f>
        <v>0</v>
      </c>
      <c r="R4" s="208" t="e">
        <f>Q4/$Q$10</f>
        <v>#DIV/0!</v>
      </c>
      <c r="S4" s="219">
        <f>SUMIF('MVTO E'!$C$3:$C$240,"Vda_Din",'MVTO E'!$O$3:$O$240)</f>
        <v>0</v>
      </c>
      <c r="T4" s="208" t="e">
        <f>S4/$S$10</f>
        <v>#DIV/0!</v>
      </c>
      <c r="U4" s="219">
        <f>SUMIF('MVTO E'!$C$3:$C$240,"Vda_Din",'MVTO E'!$P$3:$P$240)</f>
        <v>0</v>
      </c>
      <c r="V4" s="208" t="e">
        <f>U4/$S$10</f>
        <v>#DIV/0!</v>
      </c>
      <c r="W4" s="219">
        <f>SUMIF('MVTO E'!$C$3:$C$240,"Vda_Din",'MVTO E'!$Q$3:$Q$240)</f>
        <v>0</v>
      </c>
      <c r="X4" s="208" t="e">
        <f>W4/$S$10</f>
        <v>#DIV/0!</v>
      </c>
      <c r="Y4" s="219">
        <f>SUMIF('MVTO E'!$C$3:$C$240,"Vda_Din",'MVTO E'!$R$3:$R$240)</f>
        <v>0</v>
      </c>
      <c r="Z4" s="208" t="e">
        <f>Y4/$S$10</f>
        <v>#DIV/0!</v>
      </c>
      <c r="AA4" s="190" t="e">
        <f>SUM(#REF!,#REF!,#REF!,#REF!,#REF!,#REF!,#REF!,#REF!,#REF!,#REF!,#REF!,#REF!)</f>
        <v>#REF!</v>
      </c>
      <c r="AB4" s="200" t="e">
        <f t="shared" ref="AB4:AB17" si="0">AA4/$AA$10</f>
        <v>#REF!</v>
      </c>
    </row>
    <row r="5" spans="2:28" s="176" customFormat="1" ht="10.35" customHeight="1" thickBot="1">
      <c r="B5" s="178" t="s">
        <v>218</v>
      </c>
      <c r="C5" s="190">
        <f>SUMIF('MVTO E'!$C$3:$C$240,"Vda_PIX",'MVTO E'!$G$3:$G$240)-SUMIF('MVTO E'!$C$3:$C$240,"Vda_S_PIX",'MVTO E'!$G$3:$G$240)</f>
        <v>27676.119999999995</v>
      </c>
      <c r="D5" s="209">
        <f t="shared" ref="D5:D9" si="1">C5/$C$10</f>
        <v>8.4119368883791797E-4</v>
      </c>
      <c r="E5" s="190">
        <f>SUMIF('MVTO E'!$C$3:$C$240,"Vda_PIX",'MVTO E'!$H$3:$H$240)-SUMIF('MVTO E'!$C$3:$C$240,"Vda_S_PIX",'MVTO E'!$H$3:$H$240)</f>
        <v>19035.570000000007</v>
      </c>
      <c r="F5" s="209">
        <f t="shared" ref="F5:F9" si="2">E5/$E$10</f>
        <v>8.9663445398514678E-4</v>
      </c>
      <c r="G5" s="190">
        <f>SUMIF('MVTO E'!$C$3:$C$240,"Vda_PIX",'MVTO E'!$I$3:$I$240)-SUMIF('MVTO E'!$C$3:$C$240,"Vda_S_PIX",'MVTO E'!$I$3:$I$240)</f>
        <v>19965.39</v>
      </c>
      <c r="H5" s="209">
        <f>G5/$G$10</f>
        <v>8.3862401360536179E-4</v>
      </c>
      <c r="I5" s="190">
        <f>SUMIF('MVTO E'!$C$3:$C$240,"Vda_PIX",'MVTO E'!$J$3:$J$240)-SUMIF('MVTO E'!$C$3:$C$240,"Vda_S_PIX",'MVTO E'!$J$3:$J$240)</f>
        <v>34126.539999999994</v>
      </c>
      <c r="J5" s="208">
        <f t="shared" ref="J5:J13" si="3">I5/$I$10</f>
        <v>1.5373010930210345E-3</v>
      </c>
      <c r="K5" s="190">
        <f>SUMIF('MVTO E'!$C$3:$C$240,"Vda_PIX",'MVTO E'!$K$3:$K$240)</f>
        <v>0</v>
      </c>
      <c r="L5" s="208" t="e">
        <f t="shared" ref="L5:L17" si="4">K5/$K$10</f>
        <v>#DIV/0!</v>
      </c>
      <c r="M5" s="190">
        <f>SUMIF('MVTO E'!$C$3:$C$240,"Vda_PIX",'MVTO E'!$L$3:$L$240)</f>
        <v>0</v>
      </c>
      <c r="N5" s="208" t="e">
        <f t="shared" ref="N5:N17" si="5">M5/$M$10</f>
        <v>#DIV/0!</v>
      </c>
      <c r="O5" s="190">
        <f>SUMIF('MVTO E'!$C$3:$C$240,"Vda_PIX",'MVTO E'!$M$3:$M$240)</f>
        <v>0</v>
      </c>
      <c r="P5" s="208" t="e">
        <f t="shared" ref="P5:P17" si="6">O5/$O$10</f>
        <v>#DIV/0!</v>
      </c>
      <c r="Q5" s="190">
        <f>SUMIF('MVTO E'!$C$3:$C$240,"Vda_PIX",'MVTO E'!$N$3:$N$240)</f>
        <v>0</v>
      </c>
      <c r="R5" s="208" t="e">
        <f t="shared" ref="R5:R17" si="7">Q5/$Q$10</f>
        <v>#DIV/0!</v>
      </c>
      <c r="S5" s="190">
        <f>SUMIF('MVTO E'!$C$3:$C$240,"Vda_PIX",'MVTO E'!$O$3:$O$240)</f>
        <v>0</v>
      </c>
      <c r="T5" s="208" t="e">
        <f t="shared" ref="T5:T17" si="8">S5/$S$10</f>
        <v>#DIV/0!</v>
      </c>
      <c r="U5" s="190">
        <f>SUMIF('MVTO E'!$C$3:$C$240,"Vda_PIX",'MVTO E'!$P$3:$P$240)</f>
        <v>0</v>
      </c>
      <c r="V5" s="208" t="e">
        <f t="shared" ref="V5:V17" si="9">U5/$S$10</f>
        <v>#DIV/0!</v>
      </c>
      <c r="W5" s="190">
        <f>SUMIF('MVTO E'!$C$3:$C$240,"Vda_PIX",'MVTO E'!$Q$3:$Q$240)</f>
        <v>0</v>
      </c>
      <c r="X5" s="208" t="e">
        <f t="shared" ref="X5:X17" si="10">W5/$S$10</f>
        <v>#DIV/0!</v>
      </c>
      <c r="Y5" s="190">
        <f>SUMIF('MVTO E'!$C$3:$C$240,"Vda_PIX",'MVTO E'!$R$3:$R$240)</f>
        <v>0</v>
      </c>
      <c r="Z5" s="208" t="e">
        <f t="shared" ref="Z5:Z17" si="11">Y5/$S$10</f>
        <v>#DIV/0!</v>
      </c>
      <c r="AA5" s="190" t="e">
        <f>SUM(#REF!,#REF!,#REF!,#REF!,#REF!,#REF!,#REF!,#REF!,#REF!,#REF!,#REF!,#REF!)</f>
        <v>#REF!</v>
      </c>
      <c r="AB5" s="201" t="e">
        <f t="shared" si="0"/>
        <v>#REF!</v>
      </c>
    </row>
    <row r="6" spans="2:28" s="176" customFormat="1" ht="10.35" customHeight="1" thickBot="1">
      <c r="B6" s="178" t="s">
        <v>221</v>
      </c>
      <c r="C6" s="190">
        <f>SUMIF('MVTO E'!$C$3:$C$240,"Vda_Debito",'MVTO E'!$G$3:$G$240)-SUMIF('MVTO E'!$C$3:$C$240,"Vda_S_Deb",'MVTO E'!$G$3:$G$240)</f>
        <v>5599965.5600000005</v>
      </c>
      <c r="D6" s="209">
        <f t="shared" si="1"/>
        <v>0.1702065060702764</v>
      </c>
      <c r="E6" s="190">
        <f>SUMIF('MVTO E'!$C$3:$C$240,"Vda_Debito",'MVTO E'!$H$3:$H$240)-SUMIF('MVTO E'!$C$3:$C$240,"Vda_S_Deb",'MVTO E'!$H$3:$H$240)</f>
        <v>4567047.7300000014</v>
      </c>
      <c r="F6" s="209">
        <f t="shared" si="2"/>
        <v>0.21512212913575238</v>
      </c>
      <c r="G6" s="190">
        <f>SUMIF('MVTO E'!$C$3:$C$240,"Vda_Debito",'MVTO E'!$I$3:$I$240)-SUMIF('MVTO E'!$C$3:$C$240,"Vda_S_Deb",'MVTO E'!$I$3:$I$240)</f>
        <v>5183789.4800000004</v>
      </c>
      <c r="H6" s="209">
        <f>G6/$G$10</f>
        <v>0.21773931485449829</v>
      </c>
      <c r="I6" s="190">
        <f>SUMIF('MVTO E'!$C$3:$C$240,"Vda_Debito",'MVTO E'!$J$3:$J$240)-SUMIF('MVTO E'!$C$3:$C$240,"Vda_S_Deb",'MVTO E'!$J$3:$J$240)</f>
        <v>4670126.4100000011</v>
      </c>
      <c r="J6" s="208">
        <f t="shared" si="3"/>
        <v>0.21037557380969191</v>
      </c>
      <c r="K6" s="190">
        <f>SUMIF('MVTO E'!$C$3:$C$240,"Vda_Debito",'MVTO E'!$K$3:$K$240)</f>
        <v>0</v>
      </c>
      <c r="L6" s="208" t="e">
        <f t="shared" si="4"/>
        <v>#DIV/0!</v>
      </c>
      <c r="M6" s="190">
        <f>SUMIF('MVTO E'!$C$3:$C$240,"Vda_Debito",'MVTO E'!$L$3:$L$240)</f>
        <v>0</v>
      </c>
      <c r="N6" s="208" t="e">
        <f t="shared" si="5"/>
        <v>#DIV/0!</v>
      </c>
      <c r="O6" s="190">
        <f>SUMIF('MVTO E'!$C$3:$C$240,"Vda_Debito",'MVTO E'!$M$3:$M$240)</f>
        <v>0</v>
      </c>
      <c r="P6" s="208" t="e">
        <f t="shared" si="6"/>
        <v>#DIV/0!</v>
      </c>
      <c r="Q6" s="190">
        <f>SUMIF('MVTO E'!$C$3:$C$240,"Vda_Debito",'MVTO E'!$N$3:$N$240)</f>
        <v>0</v>
      </c>
      <c r="R6" s="208" t="e">
        <f t="shared" si="7"/>
        <v>#DIV/0!</v>
      </c>
      <c r="S6" s="190">
        <f>SUMIF('MVTO E'!$C$3:$C$240,"Vda_Debito",'MVTO E'!$O$3:$O$240)</f>
        <v>0</v>
      </c>
      <c r="T6" s="208" t="e">
        <f t="shared" si="8"/>
        <v>#DIV/0!</v>
      </c>
      <c r="U6" s="190">
        <f>SUMIF('MVTO E'!$C$3:$C$240,"Vda_Debito",'MVTO E'!$P$3:$P$240)</f>
        <v>0</v>
      </c>
      <c r="V6" s="208" t="e">
        <f t="shared" si="9"/>
        <v>#DIV/0!</v>
      </c>
      <c r="W6" s="190">
        <f>SUMIF('MVTO E'!$C$3:$C$240,"Vda_Debito",'MVTO E'!$Q$3:$Q$240)</f>
        <v>0</v>
      </c>
      <c r="X6" s="208" t="e">
        <f t="shared" si="10"/>
        <v>#DIV/0!</v>
      </c>
      <c r="Y6" s="190">
        <f>SUMIF('MVTO E'!$C$3:$C$240,"Vda_Debito",'MVTO E'!$R$3:$R$240)</f>
        <v>0</v>
      </c>
      <c r="Z6" s="208" t="e">
        <f t="shared" si="11"/>
        <v>#DIV/0!</v>
      </c>
      <c r="AA6" s="190" t="e">
        <f>SUM(#REF!,#REF!,#REF!,#REF!,#REF!,#REF!,#REF!,#REF!,#REF!,#REF!,#REF!,#REF!)</f>
        <v>#REF!</v>
      </c>
      <c r="AB6" s="201" t="e">
        <f t="shared" si="0"/>
        <v>#REF!</v>
      </c>
    </row>
    <row r="7" spans="2:28" s="176" customFormat="1" ht="10.35" customHeight="1" thickBot="1">
      <c r="B7" s="178" t="s">
        <v>220</v>
      </c>
      <c r="C7" s="190">
        <f>SUMIF('MVTO E'!$C$3:$C$240,"Vda_Credito",'MVTO E'!$G$3:$G$240)-SUMIF('MVTO E'!$C$3:$C$240,"Vda_S_Cre",'MVTO E'!$G$3:$G$240)</f>
        <v>20084100.629999999</v>
      </c>
      <c r="D7" s="209">
        <f t="shared" si="1"/>
        <v>0.61044028917137427</v>
      </c>
      <c r="E7" s="190">
        <f>SUMIF('MVTO E'!$C$3:$C$240,"Vda_Credito",'MVTO E'!$H$3:$H$240)-SUMIF('MVTO E'!$C$3:$C$240,"Vda_S_Cre",'MVTO E'!$H$3:$H$240)</f>
        <v>10918480.42</v>
      </c>
      <c r="F7" s="209">
        <f>E7/$E$10</f>
        <v>0.51429433054719209</v>
      </c>
      <c r="G7" s="190">
        <f>SUMIF('MVTO E'!$C$3:$C$240,"Vda_Credito",'MVTO E'!$I$3:$I$240)-SUMIF('MVTO E'!$C$3:$C$240,"Vda_S_Cre",'MVTO E'!$I$3:$I$240)</f>
        <v>12259326.400000002</v>
      </c>
      <c r="H7" s="209">
        <f t="shared" ref="H7:H9" si="12">G7/$G$10</f>
        <v>0.51493937807707102</v>
      </c>
      <c r="I7" s="190">
        <f>SUMIF('MVTO E'!$C$3:$C$240,"Vda_Credito",'MVTO E'!$J$3:$J$240)-SUMIF('MVTO E'!$C$3:$C$240,"Vda_S_Cre",'MVTO E'!$J$3:$J$240)</f>
        <v>10963832.68</v>
      </c>
      <c r="J7" s="208">
        <f t="shared" si="3"/>
        <v>0.49388868495498639</v>
      </c>
      <c r="K7" s="190">
        <f>SUMIF('MVTO E'!$C$3:$C$240,"Vda_Credito",'MVTO E'!$K$3:$K$240)</f>
        <v>0</v>
      </c>
      <c r="L7" s="208" t="e">
        <f t="shared" si="4"/>
        <v>#DIV/0!</v>
      </c>
      <c r="M7" s="190">
        <f>SUMIF('MVTO E'!$C$3:$C$240,"Vda_Credito",'MVTO E'!$L$3:$L$240)</f>
        <v>0</v>
      </c>
      <c r="N7" s="208" t="e">
        <f t="shared" si="5"/>
        <v>#DIV/0!</v>
      </c>
      <c r="O7" s="190">
        <f>SUMIF('MVTO E'!$C$3:$C$240,"Vda_Credito",'MVTO E'!$M$3:$M$240)</f>
        <v>0</v>
      </c>
      <c r="P7" s="208" t="e">
        <f t="shared" si="6"/>
        <v>#DIV/0!</v>
      </c>
      <c r="Q7" s="190">
        <f>SUMIF('MVTO E'!$C$3:$C$240,"Vda_Credito",'MVTO E'!$N$3:$N$240)</f>
        <v>0</v>
      </c>
      <c r="R7" s="208" t="e">
        <f t="shared" si="7"/>
        <v>#DIV/0!</v>
      </c>
      <c r="S7" s="190">
        <f>SUMIF('MVTO E'!$C$3:$C$240,"Vda_Credito",'MVTO E'!$O$3:$O$240)</f>
        <v>0</v>
      </c>
      <c r="T7" s="208" t="e">
        <f t="shared" si="8"/>
        <v>#DIV/0!</v>
      </c>
      <c r="U7" s="190">
        <f>SUMIF('MVTO E'!$C$3:$C$240,"Vda_Credito",'MVTO E'!$P$3:$P$240)</f>
        <v>0</v>
      </c>
      <c r="V7" s="208" t="e">
        <f t="shared" si="9"/>
        <v>#DIV/0!</v>
      </c>
      <c r="W7" s="190">
        <f>SUMIF('MVTO E'!$C$3:$C$240,"Vda_Credito",'MVTO E'!$Q$3:$Q$240)</f>
        <v>0</v>
      </c>
      <c r="X7" s="208" t="e">
        <f t="shared" si="10"/>
        <v>#DIV/0!</v>
      </c>
      <c r="Y7" s="190">
        <f>SUMIF('MVTO E'!$C$3:$C$240,"Vda_Credito",'MVTO E'!$R$3:$R$240)</f>
        <v>0</v>
      </c>
      <c r="Z7" s="208" t="e">
        <f t="shared" si="11"/>
        <v>#DIV/0!</v>
      </c>
      <c r="AA7" s="190" t="e">
        <f>SUM(#REF!,#REF!,#REF!,#REF!,#REF!,#REF!,#REF!,#REF!,#REF!,#REF!,#REF!,#REF!)</f>
        <v>#REF!</v>
      </c>
      <c r="AB7" s="201" t="e">
        <f t="shared" si="0"/>
        <v>#REF!</v>
      </c>
    </row>
    <row r="8" spans="2:28" s="176" customFormat="1" ht="10.35" customHeight="1" thickBot="1">
      <c r="B8" s="178" t="s">
        <v>222</v>
      </c>
      <c r="C8" s="190">
        <f>SUMIF('MVTO E'!$C$3:$C$240,"Vda_Ticket",'MVTO E'!$G$3:$G$240)-SUMIF('MVTO E'!$C$3:$C$240,"Vda_S_Ticket",'MVTO E'!$G$3:$G$240)</f>
        <v>4601459.04</v>
      </c>
      <c r="D8" s="209">
        <f t="shared" si="1"/>
        <v>0.13985769334336551</v>
      </c>
      <c r="E8" s="190">
        <f>SUMIF('MVTO E'!$C$3:$C$240,"Vda_Ticket",'MVTO E'!$H$3:$H$240)-SUMIF('MVTO E'!$C$3:$C$240,"Vda_S_Ticket",'MVTO E'!$H$3:$H$240)</f>
        <v>3733267.54</v>
      </c>
      <c r="F8" s="209">
        <f t="shared" si="2"/>
        <v>0.17584849323179558</v>
      </c>
      <c r="G8" s="190">
        <f>SUMIF('MVTO E'!$C$3:$C$240,"Vda_Ticket",'MVTO E'!$I$3:$I$240)-SUMIF('MVTO E'!$C$3:$C$240,"Vda_S_Ticket",'MVTO E'!$I$3:$I$240)</f>
        <v>4398041.28</v>
      </c>
      <c r="H8" s="209">
        <f t="shared" si="12"/>
        <v>0.18473483514399983</v>
      </c>
      <c r="I8" s="190">
        <f>SUMIF('MVTO E'!$C$3:$C$240,"Vda_Ticket",'MVTO E'!$J$3:$J$240)-SUMIF('MVTO E'!$C$3:$C$240,"Vda_S_Ticket",'MVTO E'!$J$3:$J$240)</f>
        <v>3932518.06</v>
      </c>
      <c r="J8" s="208">
        <f t="shared" si="3"/>
        <v>0.17714846896178046</v>
      </c>
      <c r="K8" s="190">
        <f>SUMIF('MVTO E'!$C$3:$C$240,"Vda_Ticket",'MVTO E'!$K$3:$K$240)</f>
        <v>0</v>
      </c>
      <c r="L8" s="208" t="e">
        <f t="shared" si="4"/>
        <v>#DIV/0!</v>
      </c>
      <c r="M8" s="190">
        <f>SUMIF('MVTO E'!$C$3:$C$240,"Vda_Ticket",'MVTO E'!$L$3:$L$240)</f>
        <v>0</v>
      </c>
      <c r="N8" s="208" t="e">
        <f t="shared" si="5"/>
        <v>#DIV/0!</v>
      </c>
      <c r="O8" s="190">
        <f>SUMIF('MVTO E'!$C$3:$C$240,"Vda_Ticket",'MVTO E'!$M$3:$M$240)</f>
        <v>0</v>
      </c>
      <c r="P8" s="208" t="e">
        <f t="shared" si="6"/>
        <v>#DIV/0!</v>
      </c>
      <c r="Q8" s="190">
        <f>SUMIF('MVTO E'!$C$3:$C$240,"Vda_Ticket",'MVTO E'!$N$3:$N$240)</f>
        <v>0</v>
      </c>
      <c r="R8" s="208" t="e">
        <f t="shared" si="7"/>
        <v>#DIV/0!</v>
      </c>
      <c r="S8" s="190">
        <f>SUMIF('MVTO E'!$C$3:$C$240,"Vda_Ticket",'MVTO E'!$O$3:$O$240)</f>
        <v>0</v>
      </c>
      <c r="T8" s="208" t="e">
        <f t="shared" si="8"/>
        <v>#DIV/0!</v>
      </c>
      <c r="U8" s="190">
        <f>SUMIF('MVTO E'!$C$3:$C$240,"Vda_Ticket",'MVTO E'!$P$3:$P$240)</f>
        <v>0</v>
      </c>
      <c r="V8" s="208" t="e">
        <f t="shared" si="9"/>
        <v>#DIV/0!</v>
      </c>
      <c r="W8" s="190">
        <f>SUMIF('MVTO E'!$C$3:$C$240,"Vda_Ticket",'MVTO E'!$Q$3:$Q$240)</f>
        <v>0</v>
      </c>
      <c r="X8" s="208" t="e">
        <f t="shared" si="10"/>
        <v>#DIV/0!</v>
      </c>
      <c r="Y8" s="190">
        <f>SUMIF('MVTO E'!$C$3:$C$240,"Vda_Ticket",'MVTO E'!$R$3:$R$240)</f>
        <v>0</v>
      </c>
      <c r="Z8" s="208" t="e">
        <f t="shared" si="11"/>
        <v>#DIV/0!</v>
      </c>
      <c r="AA8" s="190" t="e">
        <f>SUM(#REF!,#REF!,#REF!,#REF!,#REF!,#REF!,#REF!,#REF!,#REF!,#REF!,#REF!,#REF!)</f>
        <v>#REF!</v>
      </c>
      <c r="AB8" s="201" t="e">
        <f t="shared" si="0"/>
        <v>#REF!</v>
      </c>
    </row>
    <row r="9" spans="2:28" s="176" customFormat="1" ht="10.35" customHeight="1" thickBot="1">
      <c r="B9" s="178" t="s">
        <v>223</v>
      </c>
      <c r="C9" s="190">
        <f>SUMIF('MVTO E'!$C$3:$C$240,"Vda_Prazo",'MVTO E'!$G$3:$G$240)-SUMIF('MVTO E'!$C$3:$C$240,"Vda_S_Pz",'MVTO E'!$G$3:$G$240)</f>
        <v>975612.51</v>
      </c>
      <c r="D9" s="209">
        <f t="shared" si="1"/>
        <v>2.9652967473884354E-2</v>
      </c>
      <c r="E9" s="190">
        <f>SUMIF('MVTO E'!$C$3:$C$240,"Vda_Prazo",'MVTO E'!$H$3:$H$240)-SUMIF('MVTO E'!$C$3:$C$240,"Vda_S_Pz",'MVTO E'!$H$3:$H$240)</f>
        <v>508506.3</v>
      </c>
      <c r="F9" s="209">
        <f t="shared" si="2"/>
        <v>2.3952225683208175E-2</v>
      </c>
      <c r="G9" s="190">
        <f>SUMIF('MVTO E'!$C$3:$C$240,"Vda_Prazo",'MVTO E'!$I$3:$I$240)-SUMIF('MVTO E'!$C$3:$C$240,"Vda_S_Pz",'MVTO E'!$I$3:$I$240)</f>
        <v>465125.83999999997</v>
      </c>
      <c r="H9" s="209">
        <f t="shared" si="12"/>
        <v>1.9537093879576872E-2</v>
      </c>
      <c r="I9" s="190">
        <f>SUMIF('MVTO E'!$C$3:$C$240,"Vda_Prazo",'MVTO E'!$J$3:$J$240)-SUMIF('MVTO E'!$C$3:$C$240,"Vda_S_Pz",'MVTO E'!$J$3:$J$240)</f>
        <v>1168204.4300000004</v>
      </c>
      <c r="J9" s="208">
        <f t="shared" si="3"/>
        <v>5.2624202368919196E-2</v>
      </c>
      <c r="K9" s="190">
        <f>SUMIF('MVTO E'!$C$3:$C$240,"Vda_Prazo",'MVTO E'!$K$3:$K$240)</f>
        <v>0</v>
      </c>
      <c r="L9" s="208" t="e">
        <f t="shared" si="4"/>
        <v>#DIV/0!</v>
      </c>
      <c r="M9" s="190">
        <f>SUMIF('MVTO E'!$C$3:$C$240,"Vda_Prazo",'MVTO E'!$L$3:$L$240)</f>
        <v>0</v>
      </c>
      <c r="N9" s="208" t="e">
        <f t="shared" si="5"/>
        <v>#DIV/0!</v>
      </c>
      <c r="O9" s="190">
        <f>SUMIF('MVTO E'!$C$3:$C$240,"Vda_Prazo",'MVTO E'!$M$3:$M$240)</f>
        <v>0</v>
      </c>
      <c r="P9" s="208" t="e">
        <f t="shared" si="6"/>
        <v>#DIV/0!</v>
      </c>
      <c r="Q9" s="190">
        <f>SUMIF('MVTO E'!$C$3:$C$240,"Vda_Prazo",'MVTO E'!$N$3:$N$240)</f>
        <v>0</v>
      </c>
      <c r="R9" s="208" t="e">
        <f t="shared" si="7"/>
        <v>#DIV/0!</v>
      </c>
      <c r="S9" s="190">
        <f>SUMIF('MVTO E'!$C$3:$C$240,"Vda_Prazo",'MVTO E'!$O$3:$O$240)</f>
        <v>0</v>
      </c>
      <c r="T9" s="208" t="e">
        <f t="shared" si="8"/>
        <v>#DIV/0!</v>
      </c>
      <c r="U9" s="190">
        <f>SUMIF('MVTO E'!$C$3:$C$240,"Vda_Prazo",'MVTO E'!$P$3:$P$240)</f>
        <v>0</v>
      </c>
      <c r="V9" s="208" t="e">
        <f t="shared" si="9"/>
        <v>#DIV/0!</v>
      </c>
      <c r="W9" s="190">
        <f>SUMIF('MVTO E'!$C$3:$C$240,"Vda_Prazo",'MVTO E'!$Q$3:$Q$240)</f>
        <v>0</v>
      </c>
      <c r="X9" s="208" t="e">
        <f t="shared" si="10"/>
        <v>#DIV/0!</v>
      </c>
      <c r="Y9" s="190">
        <f>SUMIF('MVTO E'!$C$3:$C$240,"Vda_Prazo",'MVTO E'!$R$3:$R$240)</f>
        <v>0</v>
      </c>
      <c r="Z9" s="208" t="e">
        <f t="shared" si="11"/>
        <v>#DIV/0!</v>
      </c>
      <c r="AA9" s="190" t="e">
        <f>SUM(#REF!,#REF!,#REF!,#REF!,#REF!,#REF!,#REF!,#REF!,#REF!,#REF!,#REF!,#REF!)</f>
        <v>#REF!</v>
      </c>
      <c r="AB9" s="201" t="e">
        <f t="shared" si="0"/>
        <v>#REF!</v>
      </c>
    </row>
    <row r="10" spans="2:28" s="176" customFormat="1" ht="10.35" customHeight="1" thickBot="1">
      <c r="B10" s="178" t="s">
        <v>227</v>
      </c>
      <c r="C10" s="190">
        <f>SUM(C4:C9)</f>
        <v>32901007.66</v>
      </c>
      <c r="D10" s="209">
        <f t="shared" ref="D10:H10" si="13">SUM(D4:D9)</f>
        <v>1</v>
      </c>
      <c r="E10" s="190">
        <f t="shared" si="13"/>
        <v>21230022.91</v>
      </c>
      <c r="F10" s="209">
        <f t="shared" si="13"/>
        <v>1</v>
      </c>
      <c r="G10" s="190">
        <f t="shared" si="13"/>
        <v>23807319.700000003</v>
      </c>
      <c r="H10" s="209">
        <f t="shared" si="13"/>
        <v>1</v>
      </c>
      <c r="I10" s="190">
        <f>SUM(I4:I9)</f>
        <v>22198995.469999999</v>
      </c>
      <c r="J10" s="208">
        <f t="shared" si="3"/>
        <v>1</v>
      </c>
      <c r="K10" s="190">
        <f>SUM(K4:K9)</f>
        <v>0</v>
      </c>
      <c r="L10" s="208" t="e">
        <f t="shared" si="4"/>
        <v>#DIV/0!</v>
      </c>
      <c r="M10" s="190">
        <f>SUM(M4:M9)</f>
        <v>0</v>
      </c>
      <c r="N10" s="208" t="e">
        <f t="shared" si="5"/>
        <v>#DIV/0!</v>
      </c>
      <c r="O10" s="190">
        <f>SUM(O4:O9)</f>
        <v>0</v>
      </c>
      <c r="P10" s="208" t="e">
        <f t="shared" si="6"/>
        <v>#DIV/0!</v>
      </c>
      <c r="Q10" s="190">
        <f>SUM(Q4:Q9)</f>
        <v>0</v>
      </c>
      <c r="R10" s="208" t="e">
        <f t="shared" si="7"/>
        <v>#DIV/0!</v>
      </c>
      <c r="S10" s="190">
        <f>SUM(S4:S9)</f>
        <v>0</v>
      </c>
      <c r="T10" s="208" t="e">
        <f t="shared" si="8"/>
        <v>#DIV/0!</v>
      </c>
      <c r="U10" s="190">
        <f>SUM(U4:U9)</f>
        <v>0</v>
      </c>
      <c r="V10" s="208" t="e">
        <f t="shared" si="9"/>
        <v>#DIV/0!</v>
      </c>
      <c r="W10" s="190">
        <f>SUM(W4:W9)</f>
        <v>0</v>
      </c>
      <c r="X10" s="208" t="e">
        <f t="shared" si="10"/>
        <v>#DIV/0!</v>
      </c>
      <c r="Y10" s="190">
        <f>SUM(Y4:Y9)</f>
        <v>0</v>
      </c>
      <c r="Z10" s="208" t="e">
        <f t="shared" si="11"/>
        <v>#DIV/0!</v>
      </c>
      <c r="AA10" s="190" t="e">
        <f>SUM(#REF!,#REF!,#REF!,#REF!,#REF!,#REF!,#REF!,#REF!,#REF!,#REF!,#REF!,#REF!)</f>
        <v>#REF!</v>
      </c>
      <c r="AB10" s="201" t="e">
        <f t="shared" si="0"/>
        <v>#REF!</v>
      </c>
    </row>
    <row r="11" spans="2:28" s="176" customFormat="1" ht="10.35" customHeight="1" thickBot="1">
      <c r="B11" s="178" t="s">
        <v>12</v>
      </c>
      <c r="C11" s="190">
        <f>SUMIF('MVTO E'!$C$3:$C$240,"S_Deduções",'MVTO E'!$G$3:$G$240)</f>
        <v>65385</v>
      </c>
      <c r="D11" s="209">
        <f>C11/$C$10</f>
        <v>1.9873251505148582E-3</v>
      </c>
      <c r="E11" s="190">
        <f>SUMIF('MVTO E'!$C$3:$C$240,"S_Deduções",'MVTO E'!$H$3:$H$240)</f>
        <v>43517.619999999995</v>
      </c>
      <c r="F11" s="209">
        <f>E11/$E$10</f>
        <v>2.0498150277314039E-3</v>
      </c>
      <c r="G11" s="190">
        <f>SUMIF('MVTO E'!$C$3:$C$240,"S_Deduções",'MVTO E'!$I$3:$I$240)</f>
        <v>372509.19</v>
      </c>
      <c r="H11" s="209">
        <f>G11/$G$10</f>
        <v>1.5646834448146633E-2</v>
      </c>
      <c r="I11" s="190">
        <f>SUMIF('MVTO E'!$C$3:$C$240,"S_Deduções",'MVTO E'!$J$3:$J$240)</f>
        <v>64143.509999999995</v>
      </c>
      <c r="J11" s="208">
        <f t="shared" si="3"/>
        <v>2.8894780435756357E-3</v>
      </c>
      <c r="K11" s="190">
        <f>SUMIF('MVTO E'!$C$3:$C$240,"S_Deduções",'MVTO E'!$K$3:$K$240)</f>
        <v>0</v>
      </c>
      <c r="L11" s="208" t="e">
        <f t="shared" si="4"/>
        <v>#DIV/0!</v>
      </c>
      <c r="M11" s="190">
        <f>SUMIF('MVTO E'!$C$3:$C$240,"S_Deduções",'MVTO E'!$L$3:$L$240)</f>
        <v>0</v>
      </c>
      <c r="N11" s="208" t="e">
        <f t="shared" si="5"/>
        <v>#DIV/0!</v>
      </c>
      <c r="O11" s="190">
        <f>SUMIF('MVTO E'!$C$3:$C$240,"S_Deduções",'MVTO E'!$M$3:$M$240)</f>
        <v>0</v>
      </c>
      <c r="P11" s="208" t="e">
        <f t="shared" si="6"/>
        <v>#DIV/0!</v>
      </c>
      <c r="Q11" s="190">
        <f>SUMIF('MVTO E'!$C$3:$C$240,"S_Deduções",'MVTO E'!$N$3:$N$240)</f>
        <v>0</v>
      </c>
      <c r="R11" s="208" t="e">
        <f t="shared" si="7"/>
        <v>#DIV/0!</v>
      </c>
      <c r="S11" s="190">
        <f>SUMIF('MVTO E'!$C$3:$C$240,"S_Deduções",'MVTO E'!$O$3:$O$240)</f>
        <v>0</v>
      </c>
      <c r="T11" s="208" t="e">
        <f t="shared" si="8"/>
        <v>#DIV/0!</v>
      </c>
      <c r="U11" s="190">
        <f>SUMIF('MVTO E'!$C$3:$C$240,"S_Deduções",'MVTO E'!$P$3:$P$240)</f>
        <v>0</v>
      </c>
      <c r="V11" s="208" t="e">
        <f t="shared" si="9"/>
        <v>#DIV/0!</v>
      </c>
      <c r="W11" s="190">
        <f>SUMIF('MVTO E'!$C$3:$C$240,"S_Deduções",'MVTO E'!$Q$3:$Q$240)</f>
        <v>0</v>
      </c>
      <c r="X11" s="208" t="e">
        <f t="shared" si="10"/>
        <v>#DIV/0!</v>
      </c>
      <c r="Y11" s="190">
        <f>SUMIF('MVTO E'!$C$3:$C$240,"S_Deduções",'MVTO E'!$R$3:$R$240)</f>
        <v>0</v>
      </c>
      <c r="Z11" s="208" t="e">
        <f t="shared" si="11"/>
        <v>#DIV/0!</v>
      </c>
      <c r="AA11" s="190" t="e">
        <f>SUM(#REF!,#REF!,#REF!,#REF!,#REF!,#REF!,#REF!,#REF!,#REF!,#REF!,#REF!,#REF!)</f>
        <v>#REF!</v>
      </c>
      <c r="AB11" s="201" t="e">
        <f t="shared" si="0"/>
        <v>#REF!</v>
      </c>
    </row>
    <row r="12" spans="2:28" s="176" customFormat="1" ht="10.35" customHeight="1" thickBot="1">
      <c r="B12" s="178" t="s">
        <v>230</v>
      </c>
      <c r="C12" s="220">
        <f>SUMIF('MVTO E'!$C$3:$C$240,"Compras",'MVTO E'!$G$3:$G$240)+SUMIF('DESP E'!$D$3:$D$237,"Compras",'DESP E'!$G$3:$G$237)</f>
        <v>22556749.009999998</v>
      </c>
      <c r="D12" s="209">
        <f>C12/$C$10</f>
        <v>0.68559447306605681</v>
      </c>
      <c r="E12" s="220">
        <f>SUMIF('MVTO E'!$C$3:$C$240,"Compras",'MVTO E'!$H$3:$H$240)+SUMIF('DESP E'!$D$3:$D$146,"Compras",'DESP E'!$H$3:$H$146)</f>
        <v>12804108.17</v>
      </c>
      <c r="F12" s="209">
        <f>E12/$E$10</f>
        <v>0.60311325259893467</v>
      </c>
      <c r="G12" s="220">
        <f>SUMIF('MVTO E'!$C$3:$C$240,"Compras",'MVTO E'!$I$3:$I$240)+SUMIF('DESP E'!$D$3:$D$146,"Compras",'DESP E'!$I$3:$I$146)</f>
        <v>15196260.689999999</v>
      </c>
      <c r="H12" s="209">
        <f>G12/$G$10</f>
        <v>0.6383020382592669</v>
      </c>
      <c r="I12" s="220">
        <f>SUMIF('MVTO E'!$C$3:$C$240,"Compras",'MVTO E'!$J$3:$J$240)+SUMIF('DESP E'!$D$3:$D$146,"Compras",'DESP E'!$J$3:$J$146)</f>
        <v>14769757.640000001</v>
      </c>
      <c r="J12" s="208">
        <f t="shared" si="3"/>
        <v>0.66533450398510319</v>
      </c>
      <c r="K12" s="220">
        <f>SUMIF('MVTO E'!$C$3:$C$240,"Compras",'MVTO E'!$K$3:$K$240)+SUMIF('DESP E'!$D$3:$D$146,"Compras",'DESP E'!$K$3:$K$146)</f>
        <v>0</v>
      </c>
      <c r="L12" s="208" t="e">
        <f t="shared" si="4"/>
        <v>#DIV/0!</v>
      </c>
      <c r="M12" s="220">
        <f>SUMIF('MVTO E'!$C$3:$C$240,"Compras",'MVTO E'!$L$3:$L$240)+SUMIF('DESP E'!$D$3:$D$146,"Compras",'DESP E'!$L$3:$L$146)</f>
        <v>0</v>
      </c>
      <c r="N12" s="208" t="e">
        <f t="shared" si="5"/>
        <v>#DIV/0!</v>
      </c>
      <c r="O12" s="220">
        <f>SUMIF('MVTO E'!$C$3:$C$240,"Compras",'MVTO E'!$M$3:$M$240)+SUMIF('DESP E'!$D$3:$D$146,"Compras",'DESP E'!$M$3:$M$146)</f>
        <v>0</v>
      </c>
      <c r="P12" s="208" t="e">
        <f t="shared" si="6"/>
        <v>#DIV/0!</v>
      </c>
      <c r="Q12" s="220">
        <f>SUMIF('MVTO E'!$C$3:$C$240,"Compras",'MVTO E'!$N$3:$N$240)+SUMIF('DESP E'!$D$3:$D$146,"Compras",'DESP E'!$N$3:$N$146)</f>
        <v>0</v>
      </c>
      <c r="R12" s="208" t="e">
        <f t="shared" si="7"/>
        <v>#DIV/0!</v>
      </c>
      <c r="S12" s="220">
        <f>SUMIF('MVTO E'!$C$3:$C$240,"Compras",'MVTO E'!$O$3:$O$240)+SUMIF('DESP E'!$D$3:$D$146,"Compras",'DESP E'!$O$3:$O$146)</f>
        <v>0</v>
      </c>
      <c r="T12" s="208" t="e">
        <f t="shared" si="8"/>
        <v>#DIV/0!</v>
      </c>
      <c r="U12" s="220">
        <f>SUMIF('MVTO E'!$C$3:$C$240,"Compras",'MVTO E'!$P$3:$P$240)+SUMIF('DESP E'!$D$3:$D$146,"Compras",'DESP E'!$P$3:$P$146)</f>
        <v>0</v>
      </c>
      <c r="V12" s="208" t="e">
        <f t="shared" si="9"/>
        <v>#DIV/0!</v>
      </c>
      <c r="W12" s="220">
        <f>SUMIF('MVTO E'!$C$3:$C$240,"Compras",'MVTO E'!$Q$3:$Q$240)+SUMIF('DESP E'!$D$3:$D$146,"Compras",'DESP E'!$Q$3:$Q$146)</f>
        <v>0</v>
      </c>
      <c r="X12" s="208" t="e">
        <f t="shared" si="10"/>
        <v>#DIV/0!</v>
      </c>
      <c r="Y12" s="220">
        <f>SUMIF('MVTO E'!$C$3:$C$240,"Compras",'MVTO E'!$R$3:$R$240)+SUMIF('DESP E'!$D$3:$D$146,"Compras",'DESP E'!$R$3:$R$146)</f>
        <v>0</v>
      </c>
      <c r="Z12" s="208" t="e">
        <f t="shared" si="11"/>
        <v>#DIV/0!</v>
      </c>
      <c r="AA12" s="220" t="e">
        <f>SUM(#REF!,#REF!,#REF!,#REF!,#REF!,#REF!,#REF!,#REF!,#REF!,#REF!,#REF!,#REF!)</f>
        <v>#REF!</v>
      </c>
      <c r="AB12" s="201" t="e">
        <f t="shared" si="0"/>
        <v>#REF!</v>
      </c>
    </row>
    <row r="13" spans="2:28" s="176" customFormat="1" ht="10.35" customHeight="1" thickBot="1">
      <c r="B13" s="189" t="s">
        <v>13</v>
      </c>
      <c r="C13" s="191">
        <f>C10-C11-C12</f>
        <v>10278873.650000002</v>
      </c>
      <c r="D13" s="210">
        <f t="shared" ref="D13:H13" si="14">D10-D11-D12</f>
        <v>0.31241820178342838</v>
      </c>
      <c r="E13" s="191">
        <f t="shared" si="14"/>
        <v>8382397.1199999992</v>
      </c>
      <c r="F13" s="210">
        <f t="shared" si="14"/>
        <v>0.39483693237333395</v>
      </c>
      <c r="G13" s="191">
        <f t="shared" si="14"/>
        <v>8238549.8200000022</v>
      </c>
      <c r="H13" s="210">
        <f t="shared" si="14"/>
        <v>0.34605112729258647</v>
      </c>
      <c r="I13" s="191">
        <f>I10-I11-I12</f>
        <v>7365094.3199999966</v>
      </c>
      <c r="J13" s="208">
        <f t="shared" si="3"/>
        <v>0.33177601797132117</v>
      </c>
      <c r="K13" s="191">
        <f>K10-K11-K12</f>
        <v>0</v>
      </c>
      <c r="L13" s="208" t="e">
        <f t="shared" si="4"/>
        <v>#DIV/0!</v>
      </c>
      <c r="M13" s="191">
        <f>M10-M11-M12</f>
        <v>0</v>
      </c>
      <c r="N13" s="208" t="e">
        <f t="shared" si="5"/>
        <v>#DIV/0!</v>
      </c>
      <c r="O13" s="191">
        <f>O10-O11-O12</f>
        <v>0</v>
      </c>
      <c r="P13" s="208" t="e">
        <f t="shared" si="6"/>
        <v>#DIV/0!</v>
      </c>
      <c r="Q13" s="191">
        <f>Q10-Q11-Q12</f>
        <v>0</v>
      </c>
      <c r="R13" s="208" t="e">
        <f t="shared" si="7"/>
        <v>#DIV/0!</v>
      </c>
      <c r="S13" s="191">
        <f>S10-S11-S12</f>
        <v>0</v>
      </c>
      <c r="T13" s="208" t="e">
        <f t="shared" si="8"/>
        <v>#DIV/0!</v>
      </c>
      <c r="U13" s="191">
        <f>U10-U11-U12</f>
        <v>0</v>
      </c>
      <c r="V13" s="208" t="e">
        <f t="shared" si="9"/>
        <v>#DIV/0!</v>
      </c>
      <c r="W13" s="191">
        <f>W10-W11-W12</f>
        <v>0</v>
      </c>
      <c r="X13" s="208" t="e">
        <f t="shared" si="10"/>
        <v>#DIV/0!</v>
      </c>
      <c r="Y13" s="191">
        <f>Y10-Y11-Y12</f>
        <v>0</v>
      </c>
      <c r="Z13" s="208" t="e">
        <f t="shared" si="11"/>
        <v>#DIV/0!</v>
      </c>
      <c r="AA13" s="191" t="e">
        <f>AA10-AA11-AA12</f>
        <v>#REF!</v>
      </c>
      <c r="AB13" s="202" t="e">
        <f t="shared" si="0"/>
        <v>#REF!</v>
      </c>
    </row>
    <row r="14" spans="2:28" s="176" customFormat="1" ht="10.35" customHeight="1" thickBot="1">
      <c r="B14" s="178" t="s">
        <v>14</v>
      </c>
      <c r="C14" s="190">
        <f>SUMIF('MVTO E'!$C$3:$C$240,"Imp_Vda",'MVTO E'!$G$3:$G$240)</f>
        <v>4511859.13</v>
      </c>
      <c r="D14" s="209">
        <f t="shared" ref="D14:D19" si="15">C14/$C$10</f>
        <v>0.13713437523329641</v>
      </c>
      <c r="E14" s="190">
        <f>SUMIF('MVTO E'!$C$3:$C$240,"Imp_Vda",'MVTO E'!$H$3:$H$240)</f>
        <v>2213354.63</v>
      </c>
      <c r="F14" s="209">
        <f>E14/$E$10</f>
        <v>0.1042558757182236</v>
      </c>
      <c r="G14" s="190">
        <f>SUMIF('MVTO E'!$C$3:$C$240,"Imp_Vda",'MVTO E'!$I$3:$I$240)</f>
        <v>2370780.41</v>
      </c>
      <c r="H14" s="209">
        <f>G14/$G$10</f>
        <v>9.9581995784262939E-2</v>
      </c>
      <c r="I14" s="190">
        <f>SUMIF('MVTO E'!$C$3:$C$240,"Imp_Vda",'MVTO E'!$J$3:$J$240)</f>
        <v>2203266.85</v>
      </c>
      <c r="J14" s="208">
        <f>I14/$I$10</f>
        <v>9.9250745511323818E-2</v>
      </c>
      <c r="K14" s="190">
        <f>SUMIF('MVTO E'!$C$3:$C$240,"Imp_Vda",'MVTO E'!$K$3:$K$240)</f>
        <v>0</v>
      </c>
      <c r="L14" s="208" t="e">
        <f t="shared" si="4"/>
        <v>#DIV/0!</v>
      </c>
      <c r="M14" s="190">
        <f>SUMIF('MVTO E'!$C$3:$C$240,"Imp_Vda",'MVTO E'!$L$3:$L$240)</f>
        <v>0</v>
      </c>
      <c r="N14" s="208" t="e">
        <f t="shared" si="5"/>
        <v>#DIV/0!</v>
      </c>
      <c r="O14" s="190">
        <f>SUMIF('MVTO E'!$C$3:$C$240,"Imp_Vda",'MVTO E'!$M$3:$M$240)</f>
        <v>0</v>
      </c>
      <c r="P14" s="208" t="e">
        <f t="shared" si="6"/>
        <v>#DIV/0!</v>
      </c>
      <c r="Q14" s="190">
        <f>SUMIF('MVTO E'!$C$3:$C$240,"Imp_Vda",'MVTO E'!$N$3:$N$240)</f>
        <v>0</v>
      </c>
      <c r="R14" s="208" t="e">
        <f t="shared" si="7"/>
        <v>#DIV/0!</v>
      </c>
      <c r="S14" s="190">
        <f>SUMIF('MVTO E'!$C$3:$C$240,"Imp_Vda",'MVTO E'!$O$3:$O$240)</f>
        <v>0</v>
      </c>
      <c r="T14" s="208" t="e">
        <f t="shared" si="8"/>
        <v>#DIV/0!</v>
      </c>
      <c r="U14" s="190">
        <f>SUMIF('MVTO E'!$C$3:$C$240,"Imp_Vda",'MVTO E'!$P$3:$P$240)</f>
        <v>0</v>
      </c>
      <c r="V14" s="208" t="e">
        <f t="shared" si="9"/>
        <v>#DIV/0!</v>
      </c>
      <c r="W14" s="190">
        <f>SUMIF('MVTO E'!$C$3:$C$240,"Imp_Vda",'MVTO E'!$Q$3:$Q$240)</f>
        <v>0</v>
      </c>
      <c r="X14" s="208" t="e">
        <f t="shared" si="10"/>
        <v>#DIV/0!</v>
      </c>
      <c r="Y14" s="190">
        <f>SUMIF('MVTO E'!$C$3:$C$240,"Imp_Vda",'MVTO E'!$R$3:$R$240)</f>
        <v>0</v>
      </c>
      <c r="Z14" s="208" t="e">
        <f t="shared" si="11"/>
        <v>#DIV/0!</v>
      </c>
      <c r="AA14" s="190" t="e">
        <f>SUM(#REF!,#REF!,#REF!,#REF!,#REF!,#REF!,#REF!,#REF!,#REF!,#REF!,#REF!,#REF!)</f>
        <v>#REF!</v>
      </c>
      <c r="AB14" s="201" t="e">
        <f t="shared" si="0"/>
        <v>#REF!</v>
      </c>
    </row>
    <row r="15" spans="2:28" s="176" customFormat="1" ht="10.35" customHeight="1" thickBot="1">
      <c r="B15" s="178" t="s">
        <v>354</v>
      </c>
      <c r="C15" s="190">
        <f>SUMIF('MVTO E'!$C$3:$C$240,"Outros_Creditos",'MVTO E'!$G$3:$G$240)</f>
        <v>73614.990000000005</v>
      </c>
      <c r="D15" s="209">
        <f>C15/$C$10</f>
        <v>2.2374691608457566E-3</v>
      </c>
      <c r="E15" s="190">
        <f>SUMIF('MVTO E'!$C$3:$C$240,"Outros_Creditos",'MVTO E'!$H$3:$H$240)</f>
        <v>112375.92</v>
      </c>
      <c r="F15" s="209">
        <f>E15/$E$10</f>
        <v>5.2932547683246936E-3</v>
      </c>
      <c r="G15" s="190">
        <f>SUMIF('MVTO E'!$C$3:$C$240,"Outros_Creditos",'MVTO E'!$I$3:$I$240)</f>
        <v>70164.12</v>
      </c>
      <c r="H15" s="209">
        <f>G15/$G$10</f>
        <v>2.9471658668069208E-3</v>
      </c>
      <c r="I15" s="190">
        <f>SUMIF('MVTO E'!$C$3:$C$240,"Outros_Creditos",'MVTO E'!$J$3:$J$240)</f>
        <v>39439.29</v>
      </c>
      <c r="J15" s="208">
        <f>I15/$I$10</f>
        <v>1.7766249852746155E-3</v>
      </c>
      <c r="K15" s="190">
        <f>SUMIF('MVTO E'!$C$3:$C$240,"Outros_Creditos",'MVTO E'!$K$3:$K$240)</f>
        <v>0</v>
      </c>
      <c r="L15" s="208" t="e">
        <f t="shared" si="4"/>
        <v>#DIV/0!</v>
      </c>
      <c r="M15" s="190">
        <f>SUMIF('MVTO E'!$C$3:$C$240,"Outros_Creditos",'MVTO E'!$L$3:$L$240)</f>
        <v>0</v>
      </c>
      <c r="N15" s="208" t="e">
        <f t="shared" si="5"/>
        <v>#DIV/0!</v>
      </c>
      <c r="O15" s="190">
        <f>SUMIF('MVTO E'!$C$3:$C$240,"Outros_Creditos",'MVTO E'!$M$3:$M$240)</f>
        <v>0</v>
      </c>
      <c r="P15" s="208" t="e">
        <f t="shared" si="6"/>
        <v>#DIV/0!</v>
      </c>
      <c r="Q15" s="190">
        <f>SUMIF('MVTO E'!$C$3:$C$240,"Outros_Creditos",'MVTO E'!$N$3:$N$240)</f>
        <v>0</v>
      </c>
      <c r="R15" s="208" t="e">
        <f t="shared" si="7"/>
        <v>#DIV/0!</v>
      </c>
      <c r="S15" s="190">
        <f>SUMIF('MVTO E'!$C$3:$C$240,"Outros_Creditos",'MVTO E'!$O$3:$O$240)</f>
        <v>0</v>
      </c>
      <c r="T15" s="208" t="e">
        <f t="shared" si="8"/>
        <v>#DIV/0!</v>
      </c>
      <c r="U15" s="190">
        <f>SUMIF('MVTO E'!$C$3:$C$240,"Outros_Creditos",'MVTO E'!$P$3:$P$240)</f>
        <v>0</v>
      </c>
      <c r="V15" s="208" t="e">
        <f t="shared" si="9"/>
        <v>#DIV/0!</v>
      </c>
      <c r="W15" s="190">
        <f>SUMIF('MVTO E'!$C$3:$C$240,"Outros_Creditos",'MVTO E'!$Q$3:$Q$240)</f>
        <v>0</v>
      </c>
      <c r="X15" s="208" t="e">
        <f t="shared" si="10"/>
        <v>#DIV/0!</v>
      </c>
      <c r="Y15" s="190">
        <f>SUMIF('MVTO E'!$C$3:$C$240,"Outros_Creditos",'MVTO E'!$R$3:$R$240)</f>
        <v>0</v>
      </c>
      <c r="Z15" s="208" t="e">
        <f t="shared" si="11"/>
        <v>#DIV/0!</v>
      </c>
      <c r="AA15" s="190" t="e">
        <f>SUM(#REF!,#REF!,#REF!,#REF!,#REF!,#REF!,#REF!,#REF!,#REF!,#REF!,#REF!,#REF!)</f>
        <v>#REF!</v>
      </c>
      <c r="AB15" s="201" t="e">
        <f t="shared" si="0"/>
        <v>#REF!</v>
      </c>
    </row>
    <row r="16" spans="2:28" s="176" customFormat="1" ht="10.35" customHeight="1" thickBot="1">
      <c r="B16" s="178" t="s">
        <v>229</v>
      </c>
      <c r="C16" s="190">
        <f>SUMIF('MVTO E'!$C$3:$C$240,"Outros_Debitos",'MVTO E'!$G$3:$G$240)+SUMIF('DESP E'!$D$3:$D$237,"S_Fornec",'DESP E'!$G$3:$G$237)</f>
        <v>1280.29</v>
      </c>
      <c r="D16" s="209">
        <f t="shared" si="15"/>
        <v>3.8913397827524163E-5</v>
      </c>
      <c r="E16" s="190">
        <f>SUMIF('MVTO E'!$C$3:$C$240,"Outros_Debitos",'MVTO E'!$H$3:$H$240)+SUMIF('DESP E'!$D$3:$D$146,"S_Fornec",'DESP E'!$H$3:$H$146)</f>
        <v>688.64</v>
      </c>
      <c r="F16" s="209">
        <f>E16/$E$10</f>
        <v>3.2437082282922508E-5</v>
      </c>
      <c r="G16" s="190">
        <f>SUMIF('MVTO E'!$C$3:$C$240,"Outros_Debitos",'MVTO E'!$I$3:$I$240)+SUMIF('DESP E'!$D$3:$D$146,"S_Fornec",'DESP E'!$I$3:$I$146)</f>
        <v>234.92</v>
      </c>
      <c r="H16" s="209">
        <f>G16/$G$10</f>
        <v>9.8675534650798992E-6</v>
      </c>
      <c r="I16" s="190">
        <f>SUMIF('MVTO E'!$C$3:$C$240,"Outros_Debitos",'MVTO E'!$J$3:$J$240)+SUMIF('DESP E'!$D$3:$D$146,"S_Fornec",'DESP E'!$J$3:$J$146)</f>
        <v>216.79</v>
      </c>
      <c r="J16" s="208">
        <f>I16/$I$10</f>
        <v>9.765757207030954E-6</v>
      </c>
      <c r="K16" s="190">
        <f>SUMIF('MVTO E'!$C$3:$C$240,"Outros_Debitos",'MVTO E'!$K$3:$K$240)+SUMIF('DESP E'!$D$3:$D$146,"S_Fornec",'DESP E'!$K$3:$K$146)</f>
        <v>0</v>
      </c>
      <c r="L16" s="208" t="e">
        <f t="shared" si="4"/>
        <v>#DIV/0!</v>
      </c>
      <c r="M16" s="190">
        <f>SUMIF('MVTO E'!$C$3:$C$240,"Outros_Debitos",'MVTO E'!$L$3:$L$240)+SUMIF('DESP E'!$D$3:$D$146,"S_Fornec",'DESP E'!$L$3:$L$146)</f>
        <v>0</v>
      </c>
      <c r="N16" s="208" t="e">
        <f t="shared" si="5"/>
        <v>#DIV/0!</v>
      </c>
      <c r="O16" s="190">
        <f>SUMIF('MVTO E'!$C$3:$C$240,"Outros_Debitos",'MVTO E'!$M$3:$M$240)+SUMIF('DESP E'!$D$3:$D$146,"S_Fornec",'DESP E'!$M$3:$M$146)</f>
        <v>0</v>
      </c>
      <c r="P16" s="208" t="e">
        <f t="shared" si="6"/>
        <v>#DIV/0!</v>
      </c>
      <c r="Q16" s="190">
        <f>SUMIF('MVTO E'!$C$3:$C$240,"Outros_Debitos",'MVTO E'!$N$3:$N$240)+SUMIF('DESP E'!$D$3:$D$146,"S_Fornec",'DESP E'!$N$3:$N$146)</f>
        <v>0</v>
      </c>
      <c r="R16" s="208" t="e">
        <f t="shared" si="7"/>
        <v>#DIV/0!</v>
      </c>
      <c r="S16" s="190">
        <f>SUMIF('MVTO E'!$C$3:$C$240,"Outros_Debitos",'MVTO E'!$O$3:$O$240)+SUMIF('DESP E'!$D$3:$D$146,"S_Fornec",'DESP E'!$O$3:$O$146)</f>
        <v>0</v>
      </c>
      <c r="T16" s="208" t="e">
        <f t="shared" si="8"/>
        <v>#DIV/0!</v>
      </c>
      <c r="U16" s="190">
        <f>SUMIF('MVTO E'!$C$3:$C$240,"Outros_Debitos",'MVTO E'!$P$3:$P$240)+SUMIF('DESP E'!$D$3:$D$146,"S_Fornec",'DESP E'!$P$3:$P$146)</f>
        <v>0</v>
      </c>
      <c r="V16" s="208" t="e">
        <f t="shared" si="9"/>
        <v>#DIV/0!</v>
      </c>
      <c r="W16" s="190">
        <f>SUMIF('MVTO E'!$C$3:$C$240,"Outros_Debitos",'MVTO E'!$Q$3:$Q$240)+SUMIF('DESP E'!$D$3:$D$146,"S_Fornec",'DESP E'!$Q$3:$Q$146)</f>
        <v>0</v>
      </c>
      <c r="X16" s="208" t="e">
        <f t="shared" si="10"/>
        <v>#DIV/0!</v>
      </c>
      <c r="Y16" s="190">
        <f>SUMIF('MVTO E'!$C$3:$C$240,"Outros_Debitos",'MVTO E'!$R$3:$R$240)+SUMIF('DESP E'!$D$3:$D$146,"S_Fornec",'DESP E'!$R$3:$R$146)</f>
        <v>0</v>
      </c>
      <c r="Z16" s="208" t="e">
        <f t="shared" si="11"/>
        <v>#DIV/0!</v>
      </c>
      <c r="AA16" s="190" t="e">
        <f>SUM(#REF!,#REF!,#REF!,#REF!,#REF!,#REF!,#REF!,#REF!,#REF!,#REF!,#REF!,#REF!)</f>
        <v>#REF!</v>
      </c>
      <c r="AB16" s="201" t="e">
        <f t="shared" si="0"/>
        <v>#REF!</v>
      </c>
    </row>
    <row r="17" spans="2:28" s="176" customFormat="1" ht="10.35" customHeight="1">
      <c r="B17" s="178" t="s">
        <v>15</v>
      </c>
      <c r="C17" s="190">
        <f>SUMIF('MVTO E'!$C$3:$C$240,"E_Fornec",'MVTO E'!$G$3:$G$240)</f>
        <v>796075.4</v>
      </c>
      <c r="D17" s="209">
        <f>C17/$C$10</f>
        <v>2.4196079592049797E-2</v>
      </c>
      <c r="E17" s="190">
        <f>SUMIF('MVTO E'!$C$3:$C$240,"E_Fornec",'MVTO E'!$H$3:$H$240)</f>
        <v>1178828.32</v>
      </c>
      <c r="F17" s="209">
        <f>E17/$E$10</f>
        <v>5.5526474229320562E-2</v>
      </c>
      <c r="G17" s="190">
        <f>SUMIF('MVTO E'!$C$3:$C$240,"E_Fornec",'MVTO E'!$I$3:$I$240)</f>
        <v>660281.49000000011</v>
      </c>
      <c r="H17" s="209">
        <f>G17/$G$10</f>
        <v>2.7734390024593991E-2</v>
      </c>
      <c r="I17" s="190">
        <f>SUMIF('MVTO E'!$C$3:$C$240,"E_Fornec",'MVTO E'!$J$3:$J$240)</f>
        <v>554889.82000000007</v>
      </c>
      <c r="J17" s="208">
        <f>I17/$I$10</f>
        <v>2.4996167991019464E-2</v>
      </c>
      <c r="K17" s="190">
        <f>SUMIF('MVTO E'!$C$3:$C$240,"E_Fornec",'MVTO E'!$K$3:$K$240)</f>
        <v>0</v>
      </c>
      <c r="L17" s="208" t="e">
        <f t="shared" si="4"/>
        <v>#DIV/0!</v>
      </c>
      <c r="M17" s="190">
        <f>SUMIF('MVTO E'!$C$3:$C$240,"E_Fornec",'MVTO E'!$L$3:$L$240)</f>
        <v>0</v>
      </c>
      <c r="N17" s="208" t="e">
        <f t="shared" si="5"/>
        <v>#DIV/0!</v>
      </c>
      <c r="O17" s="190">
        <f>SUMIF('MVTO E'!$C$3:$C$240,"E_Fornec",'MVTO E'!$M$3:$M$240)</f>
        <v>0</v>
      </c>
      <c r="P17" s="208" t="e">
        <f t="shared" si="6"/>
        <v>#DIV/0!</v>
      </c>
      <c r="Q17" s="190">
        <f>SUMIF('MVTO E'!$C$3:$C$240,"E_Fornec",'MVTO E'!$N$3:$N$240)</f>
        <v>0</v>
      </c>
      <c r="R17" s="208" t="e">
        <f t="shared" si="7"/>
        <v>#DIV/0!</v>
      </c>
      <c r="S17" s="190">
        <f>SUMIF('MVTO E'!$C$3:$C$240,"E_Fornec",'MVTO E'!$O$3:$O$240)</f>
        <v>0</v>
      </c>
      <c r="T17" s="208" t="e">
        <f t="shared" si="8"/>
        <v>#DIV/0!</v>
      </c>
      <c r="U17" s="190">
        <f>SUMIF('MVTO E'!$C$3:$C$240,"E_Fornec",'MVTO E'!$P$3:$P$240)</f>
        <v>0</v>
      </c>
      <c r="V17" s="208" t="e">
        <f t="shared" si="9"/>
        <v>#DIV/0!</v>
      </c>
      <c r="W17" s="190">
        <f>SUMIF('MVTO E'!$C$3:$C$240,"E_Fornec",'MVTO E'!$Q$3:$Q$240)</f>
        <v>0</v>
      </c>
      <c r="X17" s="208" t="e">
        <f t="shared" si="10"/>
        <v>#DIV/0!</v>
      </c>
      <c r="Y17" s="190">
        <f>SUMIF('MVTO E'!$C$3:$C$240,"E_Fornec",'MVTO E'!$R$3:$R$240)</f>
        <v>0</v>
      </c>
      <c r="Z17" s="208" t="e">
        <f t="shared" si="11"/>
        <v>#DIV/0!</v>
      </c>
      <c r="AA17" s="190" t="e">
        <f>SUM(#REF!,#REF!,#REF!,#REF!,#REF!,#REF!,#REF!,#REF!,#REF!,#REF!,#REF!,#REF!)</f>
        <v>#REF!</v>
      </c>
      <c r="AB17" s="201" t="e">
        <f t="shared" si="0"/>
        <v>#REF!</v>
      </c>
    </row>
    <row r="18" spans="2:28" s="176" customFormat="1" ht="10.35" customHeight="1">
      <c r="B18" s="178"/>
      <c r="C18" s="190"/>
      <c r="D18" s="209"/>
      <c r="E18" s="190"/>
      <c r="F18" s="209"/>
      <c r="G18" s="190"/>
      <c r="H18" s="209"/>
      <c r="I18" s="190"/>
      <c r="J18" s="209"/>
      <c r="K18" s="190"/>
      <c r="L18" s="209"/>
      <c r="M18" s="190"/>
      <c r="N18" s="209"/>
      <c r="O18" s="190"/>
      <c r="P18" s="209"/>
      <c r="Q18" s="190"/>
      <c r="R18" s="209"/>
      <c r="S18" s="190"/>
      <c r="T18" s="209"/>
      <c r="U18" s="190"/>
      <c r="V18" s="209"/>
      <c r="W18" s="190"/>
      <c r="X18" s="209"/>
      <c r="Y18" s="190"/>
      <c r="Z18" s="209"/>
      <c r="AA18" s="179"/>
      <c r="AB18" s="201"/>
    </row>
    <row r="19" spans="2:28" s="176" customFormat="1" ht="10.35" customHeight="1">
      <c r="B19" s="177" t="s">
        <v>16</v>
      </c>
      <c r="C19" s="192">
        <f>C13-C14+C15-C16+C17</f>
        <v>6635424.6200000029</v>
      </c>
      <c r="D19" s="211">
        <f t="shared" si="15"/>
        <v>0.20167846190519997</v>
      </c>
      <c r="E19" s="192">
        <f>E13-E14+E15-E16+E17</f>
        <v>7459558.0899999999</v>
      </c>
      <c r="F19" s="211">
        <f t="shared" ref="F19:F41" si="16">E19/$E$10</f>
        <v>0.35136834857047261</v>
      </c>
      <c r="G19" s="192">
        <f>G13-G14+G15-G16+G17</f>
        <v>6597980.1000000024</v>
      </c>
      <c r="H19" s="211">
        <f t="shared" ref="H19:H41" si="17">G19/$G$10</f>
        <v>0.27714081984625938</v>
      </c>
      <c r="I19" s="192">
        <f>I13-I14+I15-I16+I17</f>
        <v>5755939.7899999972</v>
      </c>
      <c r="J19" s="211">
        <f>I19/$I$10</f>
        <v>0.2592882996790844</v>
      </c>
      <c r="K19" s="192">
        <f>K13-K14+K15-K16+K17</f>
        <v>0</v>
      </c>
      <c r="L19" s="211" t="e">
        <f>K19/K$10</f>
        <v>#DIV/0!</v>
      </c>
      <c r="M19" s="192">
        <f>M13-M14+M15-M16+M17</f>
        <v>0</v>
      </c>
      <c r="N19" s="211" t="e">
        <f>M19/$M$10</f>
        <v>#DIV/0!</v>
      </c>
      <c r="O19" s="192">
        <f>O13-O14+O15-O16+O17</f>
        <v>0</v>
      </c>
      <c r="P19" s="211" t="e">
        <f>O19/$O$10</f>
        <v>#DIV/0!</v>
      </c>
      <c r="Q19" s="192">
        <f>Q13-Q14+Q15-Q16+Q17</f>
        <v>0</v>
      </c>
      <c r="R19" s="211" t="e">
        <f>Q19/$Q$10</f>
        <v>#DIV/0!</v>
      </c>
      <c r="S19" s="192">
        <f>S13-S14+S15-S16+S17</f>
        <v>0</v>
      </c>
      <c r="T19" s="211" t="e">
        <f>S19/$S$10</f>
        <v>#DIV/0!</v>
      </c>
      <c r="U19" s="192">
        <f>U13-U14+U15-U16+U17</f>
        <v>0</v>
      </c>
      <c r="V19" s="211" t="e">
        <f>U19/$S$10</f>
        <v>#DIV/0!</v>
      </c>
      <c r="W19" s="192">
        <f>W13-W14+W15-W16+W17</f>
        <v>0</v>
      </c>
      <c r="X19" s="211" t="e">
        <f>W19/$S$10</f>
        <v>#DIV/0!</v>
      </c>
      <c r="Y19" s="192">
        <f>Y13-Y14+Y15-Y16+Y17</f>
        <v>0</v>
      </c>
      <c r="Z19" s="211" t="e">
        <f>Y19/$S$10</f>
        <v>#DIV/0!</v>
      </c>
      <c r="AA19" s="192" t="e">
        <f>AA13-AA14+AA15-AA16+AA17</f>
        <v>#REF!</v>
      </c>
      <c r="AB19" s="203" t="e">
        <f t="shared" ref="AB19:AB42" si="18">AA19/$AA$10</f>
        <v>#REF!</v>
      </c>
    </row>
    <row r="20" spans="2:28" s="176" customFormat="1" ht="10.35" customHeight="1">
      <c r="B20" s="180" t="s">
        <v>18</v>
      </c>
      <c r="C20" s="193">
        <f>SUM(C21:C41)</f>
        <v>5596371.0200000005</v>
      </c>
      <c r="D20" s="209">
        <f t="shared" ref="D20:D64" si="19">C20/$C$10</f>
        <v>0.17009725288152466</v>
      </c>
      <c r="E20" s="193">
        <f>SUM(E21:E41)</f>
        <v>4644621.5499999989</v>
      </c>
      <c r="F20" s="209">
        <f t="shared" si="16"/>
        <v>0.21877609693074038</v>
      </c>
      <c r="G20" s="193">
        <f>SUM(G21:G41)</f>
        <v>4747249.9400000004</v>
      </c>
      <c r="H20" s="209">
        <f t="shared" si="17"/>
        <v>0.19940295673015218</v>
      </c>
      <c r="I20" s="193">
        <f>SUM(I21:I41)</f>
        <v>4767282.22</v>
      </c>
      <c r="J20" s="211">
        <f t="shared" ref="J20:J72" si="20">I20/$I$10</f>
        <v>0.21475215968409764</v>
      </c>
      <c r="K20" s="193">
        <f>SUM(K21:K41)</f>
        <v>0</v>
      </c>
      <c r="L20" s="211" t="e">
        <f t="shared" ref="L20:L72" si="21">K20/K$10</f>
        <v>#DIV/0!</v>
      </c>
      <c r="M20" s="193">
        <f>SUM(M21:M41)</f>
        <v>0</v>
      </c>
      <c r="N20" s="211" t="e">
        <f t="shared" ref="N20:N72" si="22">M20/$M$10</f>
        <v>#DIV/0!</v>
      </c>
      <c r="O20" s="193">
        <f>SUM(O21:O41)</f>
        <v>0</v>
      </c>
      <c r="P20" s="211" t="e">
        <f t="shared" ref="P20:P72" si="23">O20/$O$10</f>
        <v>#DIV/0!</v>
      </c>
      <c r="Q20" s="193">
        <f>SUM(Q21:Q41)</f>
        <v>0</v>
      </c>
      <c r="R20" s="211" t="e">
        <f t="shared" ref="R20:R72" si="24">Q20/$Q$10</f>
        <v>#DIV/0!</v>
      </c>
      <c r="S20" s="193">
        <f>SUM(S21:S41)</f>
        <v>0</v>
      </c>
      <c r="T20" s="211" t="e">
        <f t="shared" ref="T20:T72" si="25">S20/$S$10</f>
        <v>#DIV/0!</v>
      </c>
      <c r="U20" s="193">
        <f>SUM(U21:U41)</f>
        <v>0</v>
      </c>
      <c r="V20" s="211" t="e">
        <f t="shared" ref="V20:V72" si="26">U20/$S$10</f>
        <v>#DIV/0!</v>
      </c>
      <c r="W20" s="193">
        <f>SUM(W21:W41)</f>
        <v>0</v>
      </c>
      <c r="X20" s="211" t="e">
        <f t="shared" ref="X20:X72" si="27">W20/$S$10</f>
        <v>#DIV/0!</v>
      </c>
      <c r="Y20" s="193">
        <f>SUM(Y21:Y41)</f>
        <v>0</v>
      </c>
      <c r="Z20" s="211" t="e">
        <f t="shared" ref="Z20:Z72" si="28">Y20/$S$10</f>
        <v>#DIV/0!</v>
      </c>
      <c r="AA20" s="193" t="e">
        <f>IF(SUM(AA21:AA41)=0,"",SUM(AA21:AA41))</f>
        <v>#REF!</v>
      </c>
      <c r="AB20" s="201" t="e">
        <f t="shared" si="18"/>
        <v>#REF!</v>
      </c>
    </row>
    <row r="21" spans="2:28" s="176" customFormat="1" ht="10.35" customHeight="1">
      <c r="B21" s="178" t="s">
        <v>338</v>
      </c>
      <c r="C21" s="190">
        <f>SUMIF('MVTO E'!$C$3:$C$240,"Tributárias",'MVTO E'!$G$3:$G$240)+SUMIF('DESP E'!$D$3:$D$237,"Tributárias",'DESP E'!$G$3:$G$237)</f>
        <v>482658.05</v>
      </c>
      <c r="D21" s="209">
        <f>C21/$C$10</f>
        <v>1.4670008134334448E-2</v>
      </c>
      <c r="E21" s="190">
        <f>SUMIF('MVTO E'!$C$3:$C$240,"Tributárias",'MVTO E'!$H$3:$H$240)+SUMIF('DESP E'!$D$3:$D$146,"Tributárias",'DESP E'!$H$3:$H$146)</f>
        <v>189509.72</v>
      </c>
      <c r="F21" s="209">
        <f t="shared" si="16"/>
        <v>8.9264962550151105E-3</v>
      </c>
      <c r="G21" s="190">
        <f>SUMIF('MVTO E'!$C$3:$C$240,"Tributárias",'MVTO E'!$I$3:$I$240)+SUMIF('DESP E'!$D$3:$D$146,"Tributárias",'DESP E'!$I$3:$I$146)</f>
        <v>234705.18999999997</v>
      </c>
      <c r="H21" s="209">
        <f t="shared" si="17"/>
        <v>9.858530609810727E-3</v>
      </c>
      <c r="I21" s="190">
        <f>SUMIF('MVTO E'!$C$3:$C$240,"Tributárias",'MVTO E'!$J$3:$J$240)+SUMIF('DESP E'!$D$3:$D$146,"Tributárias",'DESP E'!$J$3:$J$146)</f>
        <v>129263.85</v>
      </c>
      <c r="J21" s="211">
        <f t="shared" si="20"/>
        <v>5.822959429614227E-3</v>
      </c>
      <c r="K21" s="190">
        <f>SUMIF('MVTO E'!$C$3:$C$240,"Tributárias",'MVTO E'!$K$3:$K$240)+SUMIF('DESP E'!$D$3:$D$146,"Tributárias",'DESP E'!$K$3:$K$146)</f>
        <v>0</v>
      </c>
      <c r="L21" s="211" t="e">
        <f t="shared" si="21"/>
        <v>#DIV/0!</v>
      </c>
      <c r="M21" s="190">
        <f>SUMIF('MVTO E'!$C$3:$C$240,"Tributárias",'MVTO E'!$L$3:$L$240)+SUMIF('DESP E'!$D$3:$D$146,"Tributárias",'DESP E'!$L$3:$L$146)</f>
        <v>0</v>
      </c>
      <c r="N21" s="211" t="e">
        <f t="shared" si="22"/>
        <v>#DIV/0!</v>
      </c>
      <c r="O21" s="190">
        <f>SUMIF('MVTO E'!$C$3:$C$240,"Tributárias",'MVTO E'!$M$3:$M$240)+SUMIF('DESP E'!$D$3:$D$146,"Tributárias",'DESP E'!$M$3:$M$146)</f>
        <v>0</v>
      </c>
      <c r="P21" s="211" t="e">
        <f t="shared" si="23"/>
        <v>#DIV/0!</v>
      </c>
      <c r="Q21" s="190">
        <f>SUMIF('MVTO E'!$C$3:$C$240,"Tributárias",'MVTO E'!$N$3:$N$240)+SUMIF('DESP E'!$D$3:$D$146,"Tributárias",'DESP E'!$N$3:$N$146)</f>
        <v>0</v>
      </c>
      <c r="R21" s="211" t="e">
        <f t="shared" si="24"/>
        <v>#DIV/0!</v>
      </c>
      <c r="S21" s="190">
        <f>SUMIF('MVTO E'!$C$3:$C$240,"Tributárias",'MVTO E'!$O$3:$O$240)+SUMIF('DESP E'!$D$3:$D$146,"Tributárias",'DESP E'!$O$3:$O$146)</f>
        <v>0</v>
      </c>
      <c r="T21" s="211" t="e">
        <f t="shared" si="25"/>
        <v>#DIV/0!</v>
      </c>
      <c r="U21" s="190">
        <f>SUMIF('MVTO E'!$C$3:$C$240,"Tributárias",'MVTO E'!$P$3:$P$240)+SUMIF('DESP E'!$D$3:$D$146,"Tributárias",'DESP E'!$P$3:$P$146)</f>
        <v>0</v>
      </c>
      <c r="V21" s="211" t="e">
        <f t="shared" si="26"/>
        <v>#DIV/0!</v>
      </c>
      <c r="W21" s="190">
        <f>SUMIF('MVTO E'!$C$3:$C$240,"Tributárias",'MVTO E'!$Q$3:$Q$240)+SUMIF('DESP E'!$D$3:$D$146,"Tributárias",'DESP E'!$Q$3:$Q$146)</f>
        <v>0</v>
      </c>
      <c r="X21" s="211" t="e">
        <f t="shared" si="27"/>
        <v>#DIV/0!</v>
      </c>
      <c r="Y21" s="190">
        <f>SUMIF('MVTO E'!$C$3:$C$240,"Tributárias",'MVTO E'!$R$3:$R$240)+SUMIF('DESP E'!$D$3:$D$146,"Tributárias",'DESP E'!$R$3:$R$146)</f>
        <v>0</v>
      </c>
      <c r="Z21" s="211" t="e">
        <f t="shared" si="28"/>
        <v>#DIV/0!</v>
      </c>
      <c r="AA21" s="190" t="e">
        <f>SUM(#REF!,#REF!,#REF!,#REF!,#REF!,#REF!,#REF!,#REF!,#REF!,#REF!,#REF!,#REF!)</f>
        <v>#REF!</v>
      </c>
      <c r="AB21" s="201" t="e">
        <f t="shared" si="18"/>
        <v>#REF!</v>
      </c>
    </row>
    <row r="22" spans="2:28" s="176" customFormat="1" ht="10.35" customHeight="1">
      <c r="B22" s="178" t="s">
        <v>266</v>
      </c>
      <c r="C22" s="190">
        <f>SUMIF('DESP E'!$D$3:$D$237,"Almoxarifado",'DESP E'!$G$3:$G$237)</f>
        <v>214871.96</v>
      </c>
      <c r="D22" s="209">
        <f t="shared" si="19"/>
        <v>6.5308625869606573E-3</v>
      </c>
      <c r="E22" s="190">
        <f>SUMIF('DESP E'!$D$3:$D$146,"Almoxarifado",'DESP E'!$H$3:$H$146)</f>
        <v>159181.85</v>
      </c>
      <c r="F22" s="209">
        <f t="shared" si="16"/>
        <v>7.4979594075247277E-3</v>
      </c>
      <c r="G22" s="190">
        <f>SUMIF('DESP E'!$D$3:$D$146,"Almoxarifado",'DESP E'!$I$3:$I$146)</f>
        <v>183249.46</v>
      </c>
      <c r="H22" s="209">
        <f t="shared" si="17"/>
        <v>7.6971898688788544E-3</v>
      </c>
      <c r="I22" s="190">
        <f>SUMIF('DESP E'!$D$3:$D$146,"Almoxarifado",'DESP E'!$J$3:$J$146)</f>
        <v>151331.75</v>
      </c>
      <c r="J22" s="211">
        <f t="shared" si="20"/>
        <v>6.817053961045743E-3</v>
      </c>
      <c r="K22" s="190">
        <f>SUMIF('DESP E'!$D$3:$D$146,"Almoxarifado",'DESP E'!$K$3:$K$146)</f>
        <v>0</v>
      </c>
      <c r="L22" s="211" t="e">
        <f t="shared" si="21"/>
        <v>#DIV/0!</v>
      </c>
      <c r="M22" s="190">
        <f>SUMIF('DESP E'!$D$3:$D$146,"Almoxarifado",'DESP E'!$L$3:$L$146)</f>
        <v>0</v>
      </c>
      <c r="N22" s="211" t="e">
        <f t="shared" si="22"/>
        <v>#DIV/0!</v>
      </c>
      <c r="O22" s="190">
        <f>SUMIF('DESP E'!$D$3:$D$146,"Almoxarifado",'DESP E'!$M$3:$M$146)</f>
        <v>0</v>
      </c>
      <c r="P22" s="211" t="e">
        <f t="shared" si="23"/>
        <v>#DIV/0!</v>
      </c>
      <c r="Q22" s="190">
        <f>SUMIF('DESP E'!$D$3:$D$146,"Almoxarifado",'DESP E'!$N$3:$N$146)</f>
        <v>0</v>
      </c>
      <c r="R22" s="211" t="e">
        <f t="shared" si="24"/>
        <v>#DIV/0!</v>
      </c>
      <c r="S22" s="190">
        <f>SUMIF('DESP E'!$D$3:$D$146,"Almoxarifado",'DESP E'!$O$3:$O$146)</f>
        <v>0</v>
      </c>
      <c r="T22" s="211" t="e">
        <f t="shared" si="25"/>
        <v>#DIV/0!</v>
      </c>
      <c r="U22" s="190">
        <f>SUMIF('DESP E'!$D$3:$D$146,"Almoxarifado",'DESP E'!$P$3:$P$146)</f>
        <v>0</v>
      </c>
      <c r="V22" s="211" t="e">
        <f t="shared" si="26"/>
        <v>#DIV/0!</v>
      </c>
      <c r="W22" s="190">
        <f>SUMIF('DESP E'!$D$3:$D$146,"Almoxarifado",'DESP E'!$Q$3:$Q$146)</f>
        <v>0</v>
      </c>
      <c r="X22" s="211" t="e">
        <f t="shared" si="27"/>
        <v>#DIV/0!</v>
      </c>
      <c r="Y22" s="190">
        <f>SUMIF('DESP E'!$D$3:$D$146,"Almoxarifado",'DESP E'!$R$3:$R$146)</f>
        <v>0</v>
      </c>
      <c r="Z22" s="211" t="e">
        <f t="shared" si="28"/>
        <v>#DIV/0!</v>
      </c>
      <c r="AA22" s="190" t="e">
        <f>SUM(#REF!,#REF!,#REF!,#REF!,#REF!,#REF!,#REF!,#REF!,#REF!,#REF!,#REF!,#REF!)</f>
        <v>#REF!</v>
      </c>
      <c r="AB22" s="201" t="e">
        <f t="shared" si="18"/>
        <v>#REF!</v>
      </c>
    </row>
    <row r="23" spans="2:28" s="176" customFormat="1" ht="10.35" customHeight="1">
      <c r="B23" s="178" t="s">
        <v>353</v>
      </c>
      <c r="C23" s="190">
        <f>SUMIF('MVTO E'!$C$3:$C$240,"Outras",'MVTO E'!$G$3:$G$240)+SUMIF('DESP E'!$D$3:$D$237,"Outras",'DESP E'!$G$3:$G$237)</f>
        <v>302265</v>
      </c>
      <c r="D23" s="209">
        <f t="shared" si="19"/>
        <v>9.1871046359313854E-3</v>
      </c>
      <c r="E23" s="190">
        <f>SUMIF('MVTO E'!$C$3:$C$240,"Outras",'MVTO E'!$H$3:$H$240)+SUMIF('DESP E'!$D$3:$D$146,"Outras",'DESP E'!$H$3:$H$146)</f>
        <v>259031.43</v>
      </c>
      <c r="F23" s="209">
        <f t="shared" si="16"/>
        <v>1.2201184666550131E-2</v>
      </c>
      <c r="G23" s="190">
        <f>SUMIF('MVTO E'!$C$3:$C$240,"Outras",'MVTO E'!$I$3:$I$240)+SUMIF('DESP E'!$D$3:$D$146,"Outras",'DESP E'!$I$3:$I$146)</f>
        <v>258353.58999999997</v>
      </c>
      <c r="H23" s="209">
        <f t="shared" si="17"/>
        <v>1.0851855364465909E-2</v>
      </c>
      <c r="I23" s="190">
        <f>SUMIF('MVTO E'!$C$3:$C$240,"Outras",'MVTO E'!$J$3:$J$240)+SUMIF('DESP E'!$D$3:$D$146,"Outras",'DESP E'!$J$3:$J$146)</f>
        <v>390780.4</v>
      </c>
      <c r="J23" s="211">
        <f t="shared" si="20"/>
        <v>1.7603517264017893E-2</v>
      </c>
      <c r="K23" s="190">
        <f>SUMIF('MVTO E'!$C$3:$C$240,"Outras",'MVTO E'!$K$3:$K$240)+SUMIF('DESP E'!$D$3:$D$146,"Outras",'DESP E'!$K$3:$K$146)</f>
        <v>0</v>
      </c>
      <c r="L23" s="211" t="e">
        <f t="shared" si="21"/>
        <v>#DIV/0!</v>
      </c>
      <c r="M23" s="190">
        <f>SUMIF('MVTO E'!$C$3:$C$240,"Outras",'MVTO E'!$L$3:$L$240)+SUMIF('DESP E'!$D$3:$D$146,"Outras",'DESP E'!$L$3:$L$146)</f>
        <v>0</v>
      </c>
      <c r="N23" s="211" t="e">
        <f t="shared" si="22"/>
        <v>#DIV/0!</v>
      </c>
      <c r="O23" s="190">
        <f>SUMIF('MVTO E'!$C$3:$C$240,"Outras",'MVTO E'!$M$3:$M$240)+SUMIF('DESP E'!$D$3:$D$146,"Outras",'DESP E'!$M$3:$M$146)</f>
        <v>0</v>
      </c>
      <c r="P23" s="211" t="e">
        <f t="shared" si="23"/>
        <v>#DIV/0!</v>
      </c>
      <c r="Q23" s="190">
        <f>SUMIF('MVTO E'!$C$3:$C$240,"Outras",'MVTO E'!$N$3:$N$240)+SUMIF('DESP E'!$D$3:$D$146,"Outras",'DESP E'!$N$3:$N$146)</f>
        <v>0</v>
      </c>
      <c r="R23" s="211" t="e">
        <f t="shared" si="24"/>
        <v>#DIV/0!</v>
      </c>
      <c r="S23" s="190">
        <f>SUMIF('MVTO E'!$C$3:$C$240,"Outras",'MVTO E'!$O$3:$O$240)+SUMIF('DESP E'!$D$3:$D$146,"Outras",'DESP E'!$O$3:$O$146)</f>
        <v>0</v>
      </c>
      <c r="T23" s="211" t="e">
        <f t="shared" si="25"/>
        <v>#DIV/0!</v>
      </c>
      <c r="U23" s="190">
        <f>SUMIF('MVTO E'!$C$3:$C$240,"Outras",'MVTO E'!$P$3:$P$240)+SUMIF('DESP E'!$D$3:$D$146,"Outras",'DESP E'!$P$3:$P$146)</f>
        <v>0</v>
      </c>
      <c r="V23" s="211" t="e">
        <f t="shared" si="26"/>
        <v>#DIV/0!</v>
      </c>
      <c r="W23" s="190">
        <f>SUMIF('MVTO E'!$C$3:$C$240,"Outras",'MVTO E'!$Q$3:$Q$240)+SUMIF('DESP E'!$D$3:$D$146,"Outras",'DESP E'!$Q$3:$Q$146)</f>
        <v>0</v>
      </c>
      <c r="X23" s="211" t="e">
        <f t="shared" si="27"/>
        <v>#DIV/0!</v>
      </c>
      <c r="Y23" s="190">
        <f>SUMIF('MVTO E'!$C$3:$C$240,"Outras",'MVTO E'!$R$3:$R$240)+SUMIF('DESP E'!$D$3:$D$146,"Outras",'DESP E'!$R$3:$R$146)</f>
        <v>0</v>
      </c>
      <c r="Z23" s="211" t="e">
        <f t="shared" si="28"/>
        <v>#DIV/0!</v>
      </c>
      <c r="AA23" s="190" t="e">
        <f>SUM(#REF!,#REF!,#REF!,#REF!,#REF!,#REF!,#REF!,#REF!,#REF!,#REF!,#REF!,#REF!)</f>
        <v>#REF!</v>
      </c>
      <c r="AB23" s="201" t="e">
        <f t="shared" si="18"/>
        <v>#REF!</v>
      </c>
    </row>
    <row r="24" spans="2:28" s="176" customFormat="1" ht="10.35" customHeight="1">
      <c r="B24" s="178" t="s">
        <v>340</v>
      </c>
      <c r="C24" s="190">
        <f>SUMIF('MVTO E'!$C$3:$C$240,"Pessoal",'MVTO E'!$G$3:$G$240)-SUMIF('MVTO E'!$C$3:$C$240,"Pessoal_E",'MVTO E'!$G$3:$G$240)+SUMIF('DESP E'!$D$3:$D$146,"Pessoal",'DESP E'!$G$3:$G$146)</f>
        <v>2271896.1300000004</v>
      </c>
      <c r="D24" s="209">
        <f t="shared" si="19"/>
        <v>6.9052478680222906E-2</v>
      </c>
      <c r="E24" s="190">
        <f>SUMIF('MVTO E'!$C$3:$C$240,"Pessoal",'MVTO E'!$H$3:$H$240)-SUMIF('MVTO E'!$C$3:$C$240,"Pessoal_E",'MVTO E'!$H$3:$H$240)+SUMIF('DESP E'!$D$3:$D$146,"Pessoal",'DESP E'!$H$3:$H$146)</f>
        <v>2155740.1</v>
      </c>
      <c r="F24" s="209">
        <f t="shared" si="16"/>
        <v>0.10154205245744599</v>
      </c>
      <c r="G24" s="190">
        <f>SUMIF('MVTO E'!$C$3:$C$240,"Pessoal",'MVTO E'!$I$3:$I$240)-SUMIF('MVTO E'!$C$3:$C$240,"Pessoal_E",'MVTO E'!$I$3:$I$240)+SUMIF('DESP E'!$D$3:$D$146,"Pessoal",'DESP E'!$I$3:$I$146)</f>
        <v>1832505.33</v>
      </c>
      <c r="H24" s="209">
        <f t="shared" si="17"/>
        <v>7.6972349390511188E-2</v>
      </c>
      <c r="I24" s="190">
        <f>SUMIF('MVTO E'!$C$3:$C$240,"Pessoal",'MVTO E'!$J$3:$J$240)-SUMIF('MVTO E'!$C$3:$C$240,"Pessoal_E",'MVTO E'!$J$3:$J$240)+SUMIF('DESP E'!$D$3:$D$146,"Pessoal",'DESP E'!$J$3:$J$146)</f>
        <v>2059975.31</v>
      </c>
      <c r="J24" s="211">
        <f t="shared" si="20"/>
        <v>9.2795879560580857E-2</v>
      </c>
      <c r="K24" s="190">
        <f>SUMIF('MVTO E'!$C$3:$C$240,"Pessoal",'MVTO E'!$K$3:$K$240)+SUMIF('DESP E'!$D$3:$D$146,"Pessoal",'DESP E'!$K$3:$K$146)</f>
        <v>0</v>
      </c>
      <c r="L24" s="211" t="e">
        <f t="shared" si="21"/>
        <v>#DIV/0!</v>
      </c>
      <c r="M24" s="190">
        <f>SUMIF('MVTO E'!$C$3:$C$240,"Pessoal",'MVTO E'!$L$3:$L$240)+SUMIF('DESP E'!$D$3:$D$146,"Pessoal",'DESP E'!$L$3:$L$146)</f>
        <v>0</v>
      </c>
      <c r="N24" s="211" t="e">
        <f t="shared" si="22"/>
        <v>#DIV/0!</v>
      </c>
      <c r="O24" s="190">
        <f>SUMIF('MVTO E'!$C$3:$C$240,"Pessoal",'MVTO E'!$M$3:$M$240)+SUMIF('DESP E'!$D$3:$D$146,"Pessoal",'DESP E'!$M$3:$M$146)</f>
        <v>0</v>
      </c>
      <c r="P24" s="211" t="e">
        <f t="shared" si="23"/>
        <v>#DIV/0!</v>
      </c>
      <c r="Q24" s="190">
        <f>SUMIF('MVTO E'!$C$3:$C$240,"Pessoal",'MVTO E'!$N$3:$N$240)+SUMIF('DESP E'!$D$3:$D$146,"Pessoal",'DESP E'!$N$3:$N$146)</f>
        <v>0</v>
      </c>
      <c r="R24" s="211" t="e">
        <f t="shared" si="24"/>
        <v>#DIV/0!</v>
      </c>
      <c r="S24" s="190">
        <f>SUMIF('MVTO E'!$C$3:$C$240,"Pessoal",'MVTO E'!$O$3:$O$240)+SUMIF('DESP E'!$D$3:$D$146,"Pessoal",'DESP E'!$O$3:$O$146)</f>
        <v>0</v>
      </c>
      <c r="T24" s="211" t="e">
        <f t="shared" si="25"/>
        <v>#DIV/0!</v>
      </c>
      <c r="U24" s="190">
        <f>SUMIF('MVTO E'!$C$3:$C$240,"Pessoal",'MVTO E'!$P$3:$P$240)+SUMIF('DESP E'!$D$3:$D$146,"Pessoal",'DESP E'!$P$3:$P$146)</f>
        <v>0</v>
      </c>
      <c r="V24" s="211" t="e">
        <f t="shared" si="26"/>
        <v>#DIV/0!</v>
      </c>
      <c r="W24" s="190">
        <f>SUMIF('MVTO E'!$C$3:$C$240,"Pessoal",'MVTO E'!$Q$3:$Q$240)+SUMIF('DESP E'!$D$3:$D$146,"Pessoal",'DESP E'!$Q$3:$Q$146)</f>
        <v>0</v>
      </c>
      <c r="X24" s="211" t="e">
        <f t="shared" si="27"/>
        <v>#DIV/0!</v>
      </c>
      <c r="Y24" s="190">
        <f>SUMIF('MVTO E'!$C$3:$C$240,"Pessoal",'MVTO E'!$R$3:$R$240)+SUMIF('DESP E'!$D$3:$D$146,"Pessoal",'DESP E'!$R$3:$R$146)</f>
        <v>0</v>
      </c>
      <c r="Z24" s="211" t="e">
        <f t="shared" si="28"/>
        <v>#DIV/0!</v>
      </c>
      <c r="AA24" s="190" t="e">
        <f>SUM(#REF!,#REF!,#REF!,#REF!,#REF!,#REF!,#REF!,#REF!,#REF!,#REF!,#REF!,#REF!)</f>
        <v>#REF!</v>
      </c>
      <c r="AB24" s="201" t="e">
        <f t="shared" si="18"/>
        <v>#REF!</v>
      </c>
    </row>
    <row r="25" spans="2:28" s="176" customFormat="1" ht="10.35" customHeight="1">
      <c r="B25" s="178" t="s">
        <v>331</v>
      </c>
      <c r="C25" s="190">
        <f>SUMIF('DESP E'!$D$3:$D$237,"Energia Elétrica",'DESP E'!$G$3:$G$237)</f>
        <v>523866.45</v>
      </c>
      <c r="D25" s="209">
        <f t="shared" si="19"/>
        <v>1.5922504727321776E-2</v>
      </c>
      <c r="E25" s="190">
        <f>SUMIF('DESP E'!$D$3:$D$146,"Energia Elétrica",'DESP E'!$H$3:$H$146)</f>
        <v>514813.91</v>
      </c>
      <c r="F25" s="209">
        <f t="shared" si="16"/>
        <v>2.4249333699847615E-2</v>
      </c>
      <c r="G25" s="190">
        <f>SUMIF('DESP E'!$D$3:$D$146,"Energia Elétrica",'DESP E'!$I$3:$I$146)</f>
        <v>454624.44</v>
      </c>
      <c r="H25" s="209">
        <f t="shared" si="17"/>
        <v>1.9095994245836918E-2</v>
      </c>
      <c r="I25" s="190">
        <f>SUMIF('DESP E'!$D$3:$D$146,"Energia Elétrica",'DESP E'!$J$3:$J$146)</f>
        <v>551490.38</v>
      </c>
      <c r="J25" s="211">
        <f t="shared" si="20"/>
        <v>2.4843033133877208E-2</v>
      </c>
      <c r="K25" s="190">
        <f>SUMIF('DESP E'!$D$3:$D$146,"Energia Elétrica",'DESP E'!$K$3:$K$146)</f>
        <v>0</v>
      </c>
      <c r="L25" s="211" t="e">
        <f t="shared" si="21"/>
        <v>#DIV/0!</v>
      </c>
      <c r="M25" s="190">
        <f>SUMIF('DESP E'!$D$3:$D$146,"Energia Elétrica",'DESP E'!$L$3:$L$146)</f>
        <v>0</v>
      </c>
      <c r="N25" s="211" t="e">
        <f t="shared" si="22"/>
        <v>#DIV/0!</v>
      </c>
      <c r="O25" s="190">
        <f>SUMIF('DESP E'!$D$3:$D$146,"Energia Elétrica",'DESP E'!$M$3:$M$146)</f>
        <v>0</v>
      </c>
      <c r="P25" s="211" t="e">
        <f t="shared" si="23"/>
        <v>#DIV/0!</v>
      </c>
      <c r="Q25" s="190">
        <f>SUMIF('DESP E'!$D$3:$D$146,"Energia Elétrica",'DESP E'!$N$3:$N$146)</f>
        <v>0</v>
      </c>
      <c r="R25" s="211" t="e">
        <f t="shared" si="24"/>
        <v>#DIV/0!</v>
      </c>
      <c r="S25" s="190">
        <f>SUMIF('DESP E'!$D$3:$D$146,"Energia Elétrica",'DESP E'!$O$3:$O$146)</f>
        <v>0</v>
      </c>
      <c r="T25" s="211" t="e">
        <f t="shared" si="25"/>
        <v>#DIV/0!</v>
      </c>
      <c r="U25" s="190">
        <f>SUMIF('DESP E'!$D$3:$D$146,"Energia Elétrica",'DESP E'!$P$3:$P$146)</f>
        <v>0</v>
      </c>
      <c r="V25" s="211" t="e">
        <f t="shared" si="26"/>
        <v>#DIV/0!</v>
      </c>
      <c r="W25" s="190">
        <f>SUMIF('DESP E'!$D$3:$D$146,"Energia Elétrica",'DESP E'!$Q$3:$Q$146)</f>
        <v>0</v>
      </c>
      <c r="X25" s="211" t="e">
        <f t="shared" si="27"/>
        <v>#DIV/0!</v>
      </c>
      <c r="Y25" s="190">
        <f>SUMIF('DESP E'!$D$3:$D$146,"Energia Elétrica",'DESP E'!$R$3:$R$146)</f>
        <v>0</v>
      </c>
      <c r="Z25" s="211" t="e">
        <f t="shared" si="28"/>
        <v>#DIV/0!</v>
      </c>
      <c r="AA25" s="190" t="e">
        <f>SUM(#REF!,#REF!,#REF!,#REF!,#REF!,#REF!,#REF!,#REF!,#REF!,#REF!,#REF!,#REF!)</f>
        <v>#REF!</v>
      </c>
      <c r="AB25" s="201" t="e">
        <f t="shared" si="18"/>
        <v>#REF!</v>
      </c>
    </row>
    <row r="26" spans="2:28" s="176" customFormat="1" ht="10.35" customHeight="1">
      <c r="B26" s="178" t="s">
        <v>333</v>
      </c>
      <c r="C26" s="190">
        <f>SUMIF('DESP E'!$D$3:$D$237,"Utilidades",'DESP E'!$G$3:$G$237)</f>
        <v>296970.5</v>
      </c>
      <c r="D26" s="209">
        <f>C26/$C$10</f>
        <v>9.0261825129765647E-3</v>
      </c>
      <c r="E26" s="190">
        <f>SUMIF('DESP E'!$D$3:$D$146,"Utilidades",'DESP E'!$H$3:$H$146)</f>
        <v>171246.62</v>
      </c>
      <c r="F26" s="209">
        <f t="shared" si="16"/>
        <v>8.0662475366118196E-3</v>
      </c>
      <c r="G26" s="190">
        <f>SUMIF('DESP E'!$D$3:$D$146,"Utilidades",'DESP E'!$I$3:$I$146)</f>
        <v>415071.37</v>
      </c>
      <c r="H26" s="209">
        <f t="shared" si="17"/>
        <v>1.7434611507317219E-2</v>
      </c>
      <c r="I26" s="190">
        <f>SUMIF('DESP E'!$D$3:$D$146,"Utilidades",'DESP E'!$J$3:$J$146)</f>
        <v>276058.51</v>
      </c>
      <c r="J26" s="211">
        <f t="shared" si="20"/>
        <v>1.2435630719104787E-2</v>
      </c>
      <c r="K26" s="190">
        <f>SUMIF('DESP E'!$D$3:$D$146,"Utilidades",'DESP E'!$K$3:$K$146)</f>
        <v>0</v>
      </c>
      <c r="L26" s="211" t="e">
        <f t="shared" si="21"/>
        <v>#DIV/0!</v>
      </c>
      <c r="M26" s="190">
        <f>SUMIF('DESP E'!$D$3:$D$146,"Utilidades",'DESP E'!$L$3:$L$146)</f>
        <v>0</v>
      </c>
      <c r="N26" s="211" t="e">
        <f t="shared" si="22"/>
        <v>#DIV/0!</v>
      </c>
      <c r="O26" s="190">
        <f>SUMIF('DESP E'!$D$3:$D$146,"Utilidades",'DESP E'!$M$3:$M$146)</f>
        <v>0</v>
      </c>
      <c r="P26" s="211" t="e">
        <f t="shared" si="23"/>
        <v>#DIV/0!</v>
      </c>
      <c r="Q26" s="190">
        <f>SUMIF('DESP E'!$D$3:$D$146,"Utilidades",'DESP E'!$N$3:$N$146)</f>
        <v>0</v>
      </c>
      <c r="R26" s="211" t="e">
        <f t="shared" si="24"/>
        <v>#DIV/0!</v>
      </c>
      <c r="S26" s="190">
        <f>SUMIF('DESP E'!$D$3:$D$146,"Utilidades",'DESP E'!$O$3:$O$146)</f>
        <v>0</v>
      </c>
      <c r="T26" s="211" t="e">
        <f t="shared" si="25"/>
        <v>#DIV/0!</v>
      </c>
      <c r="U26" s="190">
        <f>SUMIF('DESP E'!$D$3:$D$146,"Utilidades",'DESP E'!$P$3:$P$146)</f>
        <v>0</v>
      </c>
      <c r="V26" s="211" t="e">
        <f t="shared" si="26"/>
        <v>#DIV/0!</v>
      </c>
      <c r="W26" s="190">
        <f>SUMIF('DESP E'!$D$3:$D$146,"Utilidades",'DESP E'!$Q$3:$Q$146)</f>
        <v>0</v>
      </c>
      <c r="X26" s="211" t="e">
        <f t="shared" si="27"/>
        <v>#DIV/0!</v>
      </c>
      <c r="Y26" s="190">
        <f>SUMIF('DESP E'!$D$3:$D$146,"Utilidades",'DESP E'!$R$3:$R$146)</f>
        <v>0</v>
      </c>
      <c r="Z26" s="211" t="e">
        <f t="shared" si="28"/>
        <v>#DIV/0!</v>
      </c>
      <c r="AA26" s="190" t="e">
        <f>SUM(#REF!,#REF!,#REF!,#REF!,#REF!,#REF!,#REF!,#REF!,#REF!,#REF!,#REF!,#REF!)</f>
        <v>#REF!</v>
      </c>
      <c r="AB26" s="201" t="e">
        <f t="shared" si="18"/>
        <v>#REF!</v>
      </c>
    </row>
    <row r="27" spans="2:28" s="176" customFormat="1" ht="10.35" customHeight="1">
      <c r="B27" s="178" t="s">
        <v>330</v>
      </c>
      <c r="C27" s="190">
        <f>SUMIF('DESP E'!$D$3:$D$237,"Manutenção",'DESP E'!$G$3:$G$237)</f>
        <v>75584.77</v>
      </c>
      <c r="D27" s="209">
        <f t="shared" si="19"/>
        <v>2.2973390596754753E-3</v>
      </c>
      <c r="E27" s="190">
        <f>SUMIF('DESP E'!$D$3:$D$146,"Manutenção",'DESP E'!$H$3:$H$146)</f>
        <v>87860</v>
      </c>
      <c r="F27" s="209">
        <f t="shared" si="16"/>
        <v>4.1384788124093456E-3</v>
      </c>
      <c r="G27" s="190">
        <f>SUMIF('DESP E'!$D$3:$D$146,"Manutenção",'DESP E'!$I$3:$I$146)</f>
        <v>79616.109999999986</v>
      </c>
      <c r="H27" s="209">
        <f t="shared" si="17"/>
        <v>3.3441862000114183E-3</v>
      </c>
      <c r="I27" s="190">
        <f>SUMIF('DESP E'!$D$3:$D$146,"Manutenção",'DESP E'!$J$3:$J$146)</f>
        <v>68367.86</v>
      </c>
      <c r="J27" s="211">
        <f t="shared" si="20"/>
        <v>3.0797726902729982E-3</v>
      </c>
      <c r="K27" s="190">
        <f>SUMIF('DESP E'!$D$3:$D$146,"Manutenção",'DESP E'!$K$3:$K$146)</f>
        <v>0</v>
      </c>
      <c r="L27" s="211" t="e">
        <f t="shared" si="21"/>
        <v>#DIV/0!</v>
      </c>
      <c r="M27" s="190">
        <f>SUMIF('DESP E'!$D$3:$D$146,"Manutenção",'DESP E'!$L$3:$L$146)</f>
        <v>0</v>
      </c>
      <c r="N27" s="211" t="e">
        <f t="shared" si="22"/>
        <v>#DIV/0!</v>
      </c>
      <c r="O27" s="190">
        <f>SUMIF('DESP E'!$D$3:$D$146,"Manutenção",'DESP E'!$M$3:$M$146)</f>
        <v>0</v>
      </c>
      <c r="P27" s="211" t="e">
        <f t="shared" si="23"/>
        <v>#DIV/0!</v>
      </c>
      <c r="Q27" s="190">
        <f>SUMIF('DESP E'!$D$3:$D$146,"Manutenção",'DESP E'!$N$3:$N$146)</f>
        <v>0</v>
      </c>
      <c r="R27" s="211" t="e">
        <f t="shared" si="24"/>
        <v>#DIV/0!</v>
      </c>
      <c r="S27" s="190">
        <f>SUMIF('DESP E'!$D$3:$D$146,"Manutenção",'DESP E'!$O$3:$O$146)</f>
        <v>0</v>
      </c>
      <c r="T27" s="211" t="e">
        <f t="shared" si="25"/>
        <v>#DIV/0!</v>
      </c>
      <c r="U27" s="190">
        <f>SUMIF('DESP E'!$D$3:$D$146,"Manutenção",'DESP E'!$P$3:$P$146)</f>
        <v>0</v>
      </c>
      <c r="V27" s="211" t="e">
        <f t="shared" si="26"/>
        <v>#DIV/0!</v>
      </c>
      <c r="W27" s="190">
        <f>SUMIF('DESP E'!$D$3:$D$146,"Manutenção",'DESP E'!$Q$3:$Q$146)</f>
        <v>0</v>
      </c>
      <c r="X27" s="211" t="e">
        <f t="shared" si="27"/>
        <v>#DIV/0!</v>
      </c>
      <c r="Y27" s="190">
        <f>SUMIF('DESP E'!$D$3:$D$146,"Manutenção",'DESP E'!$R$3:$R$146)</f>
        <v>0</v>
      </c>
      <c r="Z27" s="211" t="e">
        <f t="shared" si="28"/>
        <v>#DIV/0!</v>
      </c>
      <c r="AA27" s="190" t="e">
        <f>SUM(#REF!,#REF!,#REF!,#REF!,#REF!,#REF!,#REF!,#REF!,#REF!,#REF!,#REF!,#REF!)</f>
        <v>#REF!</v>
      </c>
      <c r="AB27" s="201" t="e">
        <f t="shared" si="18"/>
        <v>#REF!</v>
      </c>
    </row>
    <row r="28" spans="2:28" s="176" customFormat="1" ht="10.35" customHeight="1">
      <c r="B28" s="178" t="s">
        <v>339</v>
      </c>
      <c r="C28" s="190">
        <f>SUMIF('DESP E'!$D$3:$D$237,"Uso e Consumo",'DESP E'!$G$3:$G$237)</f>
        <v>6736.13</v>
      </c>
      <c r="D28" s="209">
        <f t="shared" si="19"/>
        <v>2.0473932195668197E-4</v>
      </c>
      <c r="E28" s="190">
        <f>SUMIF('DESP E'!$D$3:$D$146,"Uso e Consumo",'DESP E'!$H$3:$H$146)</f>
        <v>2842.13</v>
      </c>
      <c r="F28" s="209">
        <f t="shared" si="16"/>
        <v>1.3387314804362593E-4</v>
      </c>
      <c r="G28" s="190">
        <f>SUMIF('DESP E'!$D$3:$D$146,"Uso e Consumo",'DESP E'!$I$3:$I$146)</f>
        <v>4014.74</v>
      </c>
      <c r="H28" s="209">
        <f t="shared" si="17"/>
        <v>1.6863469095179158E-4</v>
      </c>
      <c r="I28" s="190">
        <f>SUMIF('DESP E'!$D$3:$D$146,"Uso e Consumo",'DESP E'!$J$3:$J$146)</f>
        <v>8589.2800000000007</v>
      </c>
      <c r="J28" s="211">
        <f t="shared" si="20"/>
        <v>3.869220123769862E-4</v>
      </c>
      <c r="K28" s="190">
        <f>SUMIF('DESP E'!$D$3:$D$146,"Uso e Consumo",'DESP E'!$K$3:$K$146)</f>
        <v>0</v>
      </c>
      <c r="L28" s="211" t="e">
        <f t="shared" si="21"/>
        <v>#DIV/0!</v>
      </c>
      <c r="M28" s="190">
        <f>SUMIF('DESP E'!$D$3:$D$146,"Uso e Consumo",'DESP E'!$L$3:$L$146)</f>
        <v>0</v>
      </c>
      <c r="N28" s="211" t="e">
        <f t="shared" si="22"/>
        <v>#DIV/0!</v>
      </c>
      <c r="O28" s="190">
        <f>SUMIF('DESP E'!$D$3:$D$146,"Uso e Consumo",'DESP E'!$M$3:$M$146)</f>
        <v>0</v>
      </c>
      <c r="P28" s="211" t="e">
        <f t="shared" si="23"/>
        <v>#DIV/0!</v>
      </c>
      <c r="Q28" s="190">
        <f>SUMIF('DESP E'!$D$3:$D$146,"Uso e Consumo",'DESP E'!$N$3:$N$146)</f>
        <v>0</v>
      </c>
      <c r="R28" s="211" t="e">
        <f t="shared" si="24"/>
        <v>#DIV/0!</v>
      </c>
      <c r="S28" s="190">
        <f>SUMIF('DESP E'!$D$3:$D$146,"Uso e Consumo",'DESP E'!$O$3:$O$146)</f>
        <v>0</v>
      </c>
      <c r="T28" s="211" t="e">
        <f t="shared" si="25"/>
        <v>#DIV/0!</v>
      </c>
      <c r="U28" s="190">
        <f>SUMIF('DESP E'!$D$3:$D$146,"Uso e Consumo",'DESP E'!$P$3:$P$146)</f>
        <v>0</v>
      </c>
      <c r="V28" s="211" t="e">
        <f t="shared" si="26"/>
        <v>#DIV/0!</v>
      </c>
      <c r="W28" s="190">
        <f>SUMIF('DESP E'!$D$3:$D$146,"Uso e Consumo",'DESP E'!$Q$3:$Q$146)</f>
        <v>0</v>
      </c>
      <c r="X28" s="211" t="e">
        <f t="shared" si="27"/>
        <v>#DIV/0!</v>
      </c>
      <c r="Y28" s="190">
        <f>SUMIF('DESP E'!$D$3:$D$146,"Uso e Consumo",'DESP E'!$R$3:$R$146)</f>
        <v>0</v>
      </c>
      <c r="Z28" s="211" t="e">
        <f t="shared" si="28"/>
        <v>#DIV/0!</v>
      </c>
      <c r="AA28" s="190" t="e">
        <f>SUM(#REF!,#REF!,#REF!,#REF!,#REF!,#REF!,#REF!,#REF!,#REF!,#REF!,#REF!,#REF!)</f>
        <v>#REF!</v>
      </c>
      <c r="AB28" s="201" t="e">
        <f t="shared" si="18"/>
        <v>#REF!</v>
      </c>
    </row>
    <row r="29" spans="2:28" s="176" customFormat="1" ht="10.35" customHeight="1">
      <c r="B29" s="178" t="s">
        <v>341</v>
      </c>
      <c r="C29" s="190">
        <f>SUMIF('DESP E'!$D$3:$D$237,"Informática",'DESP E'!$G$3:$G$237)</f>
        <v>118369.4</v>
      </c>
      <c r="D29" s="209">
        <f t="shared" si="19"/>
        <v>3.5977439117741597E-3</v>
      </c>
      <c r="E29" s="190">
        <f>SUMIF('DESP E'!$D$3:$D$146,"Informática",'DESP E'!$H$3:$H$146)</f>
        <v>119742</v>
      </c>
      <c r="F29" s="209">
        <f t="shared" si="16"/>
        <v>5.6402200085991332E-3</v>
      </c>
      <c r="G29" s="190">
        <f>SUMIF('DESP E'!$D$3:$D$146,"Informática",'DESP E'!$I$3:$I$146)</f>
        <v>113101.91</v>
      </c>
      <c r="H29" s="209">
        <f t="shared" si="17"/>
        <v>4.7507200065028737E-3</v>
      </c>
      <c r="I29" s="190">
        <f>SUMIF('DESP E'!$D$3:$D$146,"Informática",'DESP E'!$J$3:$J$146)</f>
        <v>109747.1</v>
      </c>
      <c r="J29" s="211">
        <f t="shared" si="20"/>
        <v>4.9437867649603159E-3</v>
      </c>
      <c r="K29" s="190">
        <f>SUMIF('DESP E'!$D$3:$D$146,"Informática",'DESP E'!$K$3:$K$146)</f>
        <v>0</v>
      </c>
      <c r="L29" s="211" t="e">
        <f t="shared" si="21"/>
        <v>#DIV/0!</v>
      </c>
      <c r="M29" s="190">
        <f>SUMIF('DESP E'!$D$3:$D$146,"Informática",'DESP E'!$L$3:$L$146)</f>
        <v>0</v>
      </c>
      <c r="N29" s="211" t="e">
        <f t="shared" si="22"/>
        <v>#DIV/0!</v>
      </c>
      <c r="O29" s="190">
        <f>SUMIF('DESP E'!$D$3:$D$146,"Informática",'DESP E'!$M$3:$M$146)</f>
        <v>0</v>
      </c>
      <c r="P29" s="211" t="e">
        <f t="shared" si="23"/>
        <v>#DIV/0!</v>
      </c>
      <c r="Q29" s="190">
        <f>SUMIF('DESP E'!$D$3:$D$146,"Informática",'DESP E'!$N$3:$N$146)</f>
        <v>0</v>
      </c>
      <c r="R29" s="211" t="e">
        <f t="shared" si="24"/>
        <v>#DIV/0!</v>
      </c>
      <c r="S29" s="190">
        <f>SUMIF('DESP E'!$D$3:$D$146,"Informática",'DESP E'!$O$3:$O$146)</f>
        <v>0</v>
      </c>
      <c r="T29" s="211" t="e">
        <f t="shared" si="25"/>
        <v>#DIV/0!</v>
      </c>
      <c r="U29" s="190">
        <f>SUMIF('DESP E'!$D$3:$D$146,"Informática",'DESP E'!$P$3:$P$146)</f>
        <v>0</v>
      </c>
      <c r="V29" s="211" t="e">
        <f t="shared" si="26"/>
        <v>#DIV/0!</v>
      </c>
      <c r="W29" s="190">
        <f>SUMIF('DESP E'!$D$3:$D$146,"Informática",'DESP E'!$Q$3:$Q$146)</f>
        <v>0</v>
      </c>
      <c r="X29" s="211" t="e">
        <f t="shared" si="27"/>
        <v>#DIV/0!</v>
      </c>
      <c r="Y29" s="190">
        <f>SUMIF('DESP E'!$D$3:$D$146,"Informática",'DESP E'!$R$3:$R$146)</f>
        <v>0</v>
      </c>
      <c r="Z29" s="211" t="e">
        <f t="shared" si="28"/>
        <v>#DIV/0!</v>
      </c>
      <c r="AA29" s="190" t="e">
        <f>SUM(#REF!,#REF!,#REF!,#REF!,#REF!,#REF!,#REF!,#REF!,#REF!,#REF!,#REF!,#REF!)</f>
        <v>#REF!</v>
      </c>
      <c r="AB29" s="201" t="e">
        <f t="shared" si="18"/>
        <v>#REF!</v>
      </c>
    </row>
    <row r="30" spans="2:28" s="176" customFormat="1" ht="10.35" customHeight="1">
      <c r="B30" s="178" t="s">
        <v>342</v>
      </c>
      <c r="C30" s="190">
        <f>SUMIF('DESP E'!$D$3:$D$146,"Gerais",'DESP E'!$G$3:$G$146)</f>
        <v>31496.09</v>
      </c>
      <c r="D30" s="209">
        <f t="shared" si="19"/>
        <v>9.5729864341790195E-4</v>
      </c>
      <c r="E30" s="190">
        <f>SUMIF('DESP E'!$D$3:$D$146,"Gerais",'DESP E'!$H$3:$H$146)</f>
        <v>25162.32</v>
      </c>
      <c r="F30" s="209">
        <f t="shared" si="16"/>
        <v>1.1852234030396531E-3</v>
      </c>
      <c r="G30" s="190">
        <f>SUMIF('DESP E'!$D$3:$D$146,"Gerais",'DESP E'!$I$3:$I$146)</f>
        <v>33309.449999999997</v>
      </c>
      <c r="H30" s="209">
        <f t="shared" si="17"/>
        <v>1.3991264207704991E-3</v>
      </c>
      <c r="I30" s="190">
        <f>SUMIF('DESP E'!$D$3:$D$146,"Gerais",'DESP E'!$J$3:$J$146)</f>
        <v>22362.32</v>
      </c>
      <c r="J30" s="211">
        <f t="shared" si="20"/>
        <v>1.0073572937217235E-3</v>
      </c>
      <c r="K30" s="190">
        <f>SUMIF('DESP E'!$D$3:$D$146,"Gerais",'DESP E'!$K$3:$K$146)</f>
        <v>0</v>
      </c>
      <c r="L30" s="211" t="e">
        <f t="shared" si="21"/>
        <v>#DIV/0!</v>
      </c>
      <c r="M30" s="190">
        <f>SUMIF('DESP E'!$D$3:$D$146,"Gerais",'DESP E'!$L$3:$L$146)</f>
        <v>0</v>
      </c>
      <c r="N30" s="211" t="e">
        <f t="shared" si="22"/>
        <v>#DIV/0!</v>
      </c>
      <c r="O30" s="190">
        <f>SUMIF('DESP E'!$D$3:$D$146,"Gerais",'DESP E'!$M$3:$M$146)</f>
        <v>0</v>
      </c>
      <c r="P30" s="211" t="e">
        <f t="shared" si="23"/>
        <v>#DIV/0!</v>
      </c>
      <c r="Q30" s="190">
        <f>SUMIF('DESP E'!$D$3:$D$146,"Gerais",'DESP E'!$N$3:$N$146)</f>
        <v>0</v>
      </c>
      <c r="R30" s="211" t="e">
        <f t="shared" si="24"/>
        <v>#DIV/0!</v>
      </c>
      <c r="S30" s="190">
        <f>SUMIF('DESP E'!$D$3:$D$146,"Gerais",'DESP E'!$O$3:$O$146)</f>
        <v>0</v>
      </c>
      <c r="T30" s="211" t="e">
        <f t="shared" si="25"/>
        <v>#DIV/0!</v>
      </c>
      <c r="U30" s="190">
        <f>SUMIF('DESP E'!$D$3:$D$146,"Gerais",'DESP E'!$P$3:$P$146)</f>
        <v>0</v>
      </c>
      <c r="V30" s="211" t="e">
        <f t="shared" si="26"/>
        <v>#DIV/0!</v>
      </c>
      <c r="W30" s="190">
        <f>SUMIF('DESP E'!$D$3:$D$146,"Gerais",'DESP E'!$Q$3:$Q$146)</f>
        <v>0</v>
      </c>
      <c r="X30" s="211" t="e">
        <f t="shared" si="27"/>
        <v>#DIV/0!</v>
      </c>
      <c r="Y30" s="190">
        <f>SUMIF('DESP E'!$D$3:$D$146,"Gerais",'DESP E'!$R$3:$R$146)</f>
        <v>0</v>
      </c>
      <c r="Z30" s="211" t="e">
        <f t="shared" si="28"/>
        <v>#DIV/0!</v>
      </c>
      <c r="AA30" s="190" t="e">
        <f>SUM(#REF!,#REF!,#REF!,#REF!,#REF!,#REF!,#REF!,#REF!,#REF!,#REF!,#REF!,#REF!)</f>
        <v>#REF!</v>
      </c>
      <c r="AB30" s="201" t="e">
        <f t="shared" si="18"/>
        <v>#REF!</v>
      </c>
    </row>
    <row r="31" spans="2:28" s="176" customFormat="1" ht="10.35" customHeight="1">
      <c r="B31" s="178" t="s">
        <v>351</v>
      </c>
      <c r="C31" s="190">
        <f>SUMIF('DESP E'!$D$3:$D$146,"Vendas",'DESP E'!$G$3:$G$146)</f>
        <v>86972.37000000001</v>
      </c>
      <c r="D31" s="209">
        <f t="shared" si="19"/>
        <v>2.6434561183892934E-3</v>
      </c>
      <c r="E31" s="190">
        <f>SUMIF('DESP E'!$D$3:$D$146,"Vendas",'DESP E'!$H$3:$H$146)</f>
        <v>52192.03</v>
      </c>
      <c r="F31" s="209">
        <f t="shared" si="16"/>
        <v>2.4584066734763595E-3</v>
      </c>
      <c r="G31" s="190">
        <f>SUMIF('DESP E'!$D$3:$D$146,"Vendas",'DESP E'!$I$3:$I$146)</f>
        <v>37850.97</v>
      </c>
      <c r="H31" s="209">
        <f t="shared" si="17"/>
        <v>1.5898879200584683E-3</v>
      </c>
      <c r="I31" s="190">
        <f>SUMIF('DESP E'!$D$3:$D$146,"Vendas",'DESP E'!$J$3:$J$146)</f>
        <v>42986.81</v>
      </c>
      <c r="J31" s="211">
        <f t="shared" si="20"/>
        <v>1.9364304145245181E-3</v>
      </c>
      <c r="K31" s="190">
        <f>SUMIF('DESP E'!$D$3:$D$146,"Vendas",'DESP E'!$K$3:$K$146)</f>
        <v>0</v>
      </c>
      <c r="L31" s="211" t="e">
        <f t="shared" si="21"/>
        <v>#DIV/0!</v>
      </c>
      <c r="M31" s="190">
        <f>SUMIF('DESP E'!$D$3:$D$146,"Vendas",'DESP E'!$L$3:$L$146)</f>
        <v>0</v>
      </c>
      <c r="N31" s="211" t="e">
        <f t="shared" si="22"/>
        <v>#DIV/0!</v>
      </c>
      <c r="O31" s="190">
        <f>SUMIF('DESP E'!$D$3:$D$146,"Vendas",'DESP E'!$M$3:$M$146)</f>
        <v>0</v>
      </c>
      <c r="P31" s="211" t="e">
        <f t="shared" si="23"/>
        <v>#DIV/0!</v>
      </c>
      <c r="Q31" s="190">
        <f>SUMIF('DESP E'!$D$3:$D$146,"Vendas",'DESP E'!$N$3:$N$146)</f>
        <v>0</v>
      </c>
      <c r="R31" s="211" t="e">
        <f t="shared" si="24"/>
        <v>#DIV/0!</v>
      </c>
      <c r="S31" s="190">
        <f>SUMIF('DESP E'!$D$3:$D$146,"Vendas",'DESP E'!$O$3:$O$146)</f>
        <v>0</v>
      </c>
      <c r="T31" s="211" t="e">
        <f t="shared" si="25"/>
        <v>#DIV/0!</v>
      </c>
      <c r="U31" s="190">
        <f>SUMIF('DESP E'!$D$3:$D$146,"Vendas",'DESP E'!$P$3:$P$146)</f>
        <v>0</v>
      </c>
      <c r="V31" s="211" t="e">
        <f t="shared" si="26"/>
        <v>#DIV/0!</v>
      </c>
      <c r="W31" s="190">
        <f>SUMIF('DESP E'!$D$3:$D$146,"Vendas",'DESP E'!$Q$3:$Q$146)</f>
        <v>0</v>
      </c>
      <c r="X31" s="211" t="e">
        <f t="shared" si="27"/>
        <v>#DIV/0!</v>
      </c>
      <c r="Y31" s="190">
        <f>SUMIF('DESP E'!$D$3:$D$146,"Vendas",'DESP E'!$R$3:$R$146)</f>
        <v>0</v>
      </c>
      <c r="Z31" s="211" t="e">
        <f t="shared" si="28"/>
        <v>#DIV/0!</v>
      </c>
      <c r="AA31" s="190" t="e">
        <f>SUM(#REF!,#REF!,#REF!,#REF!,#REF!,#REF!,#REF!,#REF!,#REF!,#REF!,#REF!,#REF!)</f>
        <v>#REF!</v>
      </c>
      <c r="AB31" s="201" t="e">
        <f t="shared" si="18"/>
        <v>#REF!</v>
      </c>
    </row>
    <row r="32" spans="2:28" s="176" customFormat="1" ht="10.35" customHeight="1">
      <c r="B32" s="178" t="s">
        <v>337</v>
      </c>
      <c r="C32" s="190">
        <f>SUMIF('MVTO E'!$C$3:$C$240,"Propaganda",'MVTO E'!$G$3:$G$240)+SUMIF('DESP E'!$D$3:$D$146,"Propaganda",'DESP E'!$G$3:$G$146)</f>
        <v>135091.56999999998</v>
      </c>
      <c r="D32" s="209">
        <f t="shared" si="19"/>
        <v>4.1060009892718279E-3</v>
      </c>
      <c r="E32" s="190">
        <f>SUMIF('MVTO E'!$C$3:$C$240,"Propaganda",'MVTO E'!$H$3:$H$240)+SUMIF('DESP E'!$D$3:$D$146,"Propaganda",'DESP E'!$H$3:$H$146)</f>
        <v>60316.479999999996</v>
      </c>
      <c r="F32" s="209">
        <f t="shared" si="16"/>
        <v>2.8410934955510132E-3</v>
      </c>
      <c r="G32" s="190">
        <f>SUMIF('MVTO E'!$C$3:$C$240,"Propaganda",'MVTO E'!$I$3:$I$240)+SUMIF('DESP E'!$D$3:$D$146,"Propaganda",'DESP E'!$I$3:$I$146)</f>
        <v>187763.16999999998</v>
      </c>
      <c r="H32" s="209">
        <f t="shared" si="17"/>
        <v>7.8867832400301638E-3</v>
      </c>
      <c r="I32" s="190">
        <f>SUMIF('MVTO E'!$C$3:$C$240,"Propaganda",'MVTO E'!$J$3:$J$240)+SUMIF('DESP E'!$D$3:$D$146,"Propaganda",'DESP E'!$J$3:$J$146)</f>
        <v>89648.6</v>
      </c>
      <c r="J32" s="211">
        <f t="shared" si="20"/>
        <v>4.0384079595471899E-3</v>
      </c>
      <c r="K32" s="190">
        <f>SUMIF('MVTO E'!$C$3:$C$240,"Propaganda",'MVTO E'!$K$3:$K$240)+SUMIF('DESP E'!$D$3:$D$146,"Propaganda",'DESP E'!$K$3:$K$146)</f>
        <v>0</v>
      </c>
      <c r="L32" s="211" t="e">
        <f t="shared" si="21"/>
        <v>#DIV/0!</v>
      </c>
      <c r="M32" s="190">
        <f>SUMIF('MVTO E'!$C$3:$C$240,"Propaganda",'MVTO E'!$L$3:$L$240)+SUMIF('DESP E'!$D$3:$D$146,"Propaganda",'DESP E'!$L$3:$L$146)</f>
        <v>0</v>
      </c>
      <c r="N32" s="211" t="e">
        <f t="shared" si="22"/>
        <v>#DIV/0!</v>
      </c>
      <c r="O32" s="190">
        <f>SUMIF('MVTO E'!$C$3:$C$240,"Propaganda",'MVTO E'!$M$3:$M$240)+SUMIF('DESP E'!$D$3:$D$146,"Propaganda",'DESP E'!$M$3:$M$146)</f>
        <v>0</v>
      </c>
      <c r="P32" s="211" t="e">
        <f t="shared" si="23"/>
        <v>#DIV/0!</v>
      </c>
      <c r="Q32" s="190">
        <f>SUMIF('MVTO E'!$C$3:$C$240,"Propaganda",'MVTO E'!$N$3:$N$240)+SUMIF('DESP E'!$D$3:$D$146,"Propaganda",'DESP E'!$N$3:$N$146)</f>
        <v>0</v>
      </c>
      <c r="R32" s="211" t="e">
        <f t="shared" si="24"/>
        <v>#DIV/0!</v>
      </c>
      <c r="S32" s="190">
        <f>SUMIF('MVTO E'!$C$3:$C$240,"Propaganda",'MVTO E'!$O$3:$O$240)+SUMIF('DESP E'!$D$3:$D$146,"Propaganda",'DESP E'!$O$3:$O$146)</f>
        <v>0</v>
      </c>
      <c r="T32" s="211" t="e">
        <f t="shared" si="25"/>
        <v>#DIV/0!</v>
      </c>
      <c r="U32" s="190">
        <f>SUMIF('MVTO E'!$C$3:$C$240,"Propaganda",'MVTO E'!$P$3:$P$240)+SUMIF('DESP E'!$D$3:$D$146,"Propaganda",'DESP E'!$P$3:$P$146)</f>
        <v>0</v>
      </c>
      <c r="V32" s="211" t="e">
        <f t="shared" si="26"/>
        <v>#DIV/0!</v>
      </c>
      <c r="W32" s="190">
        <f>SUMIF('MVTO E'!$C$3:$C$240,"Propaganda",'MVTO E'!$Q$3:$Q$240)+SUMIF('DESP E'!$D$3:$D$146,"Propaganda",'DESP E'!$Q$3:$Q$146)</f>
        <v>0</v>
      </c>
      <c r="X32" s="211" t="e">
        <f t="shared" si="27"/>
        <v>#DIV/0!</v>
      </c>
      <c r="Y32" s="190">
        <f>SUMIF('MVTO E'!$C$3:$C$240,"Propaganda",'MVTO E'!$R$3:$R$240)+SUMIF('DESP E'!$D$3:$D$146,"Propaganda",'DESP E'!$R$3:$R$146)</f>
        <v>0</v>
      </c>
      <c r="Z32" s="211" t="e">
        <f t="shared" si="28"/>
        <v>#DIV/0!</v>
      </c>
      <c r="AA32" s="190" t="e">
        <f>SUM(#REF!,#REF!,#REF!,#REF!,#REF!,#REF!,#REF!,#REF!,#REF!,#REF!,#REF!,#REF!)</f>
        <v>#REF!</v>
      </c>
      <c r="AB32" s="201" t="e">
        <f t="shared" si="18"/>
        <v>#REF!</v>
      </c>
    </row>
    <row r="33" spans="2:28" s="176" customFormat="1" ht="10.35" customHeight="1">
      <c r="B33" s="178" t="s">
        <v>335</v>
      </c>
      <c r="C33" s="190">
        <f>SUMIF('DESP E'!$D$3:$D$146,"Logística",'DESP E'!$G$3:$G$146)</f>
        <v>93430.43</v>
      </c>
      <c r="D33" s="209">
        <f t="shared" si="19"/>
        <v>2.8397437235209589E-3</v>
      </c>
      <c r="E33" s="190">
        <f>SUMIF('DESP E'!$D$3:$D$146,"Logística",'DESP E'!$H$3:$H$146)</f>
        <v>45835.320000000007</v>
      </c>
      <c r="F33" s="209">
        <f t="shared" si="16"/>
        <v>2.1589858943774454E-3</v>
      </c>
      <c r="G33" s="190">
        <f>SUMIF('DESP E'!$D$3:$D$146,"Logística",'DESP E'!$I$3:$I$146)</f>
        <v>78304.06</v>
      </c>
      <c r="H33" s="209">
        <f t="shared" si="17"/>
        <v>3.2890749982241803E-3</v>
      </c>
      <c r="I33" s="190">
        <f>SUMIF('DESP E'!$D$3:$D$146,"Logística",'DESP E'!$J$3:$J$146)</f>
        <v>72558.070000000007</v>
      </c>
      <c r="J33" s="211">
        <f>I33/$I$10</f>
        <v>3.2685294295435978E-3</v>
      </c>
      <c r="K33" s="190">
        <f>SUMIF('DESP E'!$D$3:$D$146,"Logística",'DESP E'!$K$3:$K$146)</f>
        <v>0</v>
      </c>
      <c r="L33" s="211" t="e">
        <f t="shared" si="21"/>
        <v>#DIV/0!</v>
      </c>
      <c r="M33" s="190">
        <f>SUMIF('DESP E'!$D$3:$D$146,"Logística",'DESP E'!$L$3:$L$146)</f>
        <v>0</v>
      </c>
      <c r="N33" s="211" t="e">
        <f t="shared" si="22"/>
        <v>#DIV/0!</v>
      </c>
      <c r="O33" s="190">
        <f>SUMIF('DESP E'!$D$3:$D$146,"Logística",'DESP E'!$M$3:$M$146)</f>
        <v>0</v>
      </c>
      <c r="P33" s="211" t="e">
        <f t="shared" si="23"/>
        <v>#DIV/0!</v>
      </c>
      <c r="Q33" s="190">
        <f>SUMIF('DESP E'!$D$3:$D$146,"Logística",'DESP E'!$N$3:$N$146)</f>
        <v>0</v>
      </c>
      <c r="R33" s="211" t="e">
        <f t="shared" si="24"/>
        <v>#DIV/0!</v>
      </c>
      <c r="S33" s="190">
        <f>SUMIF('DESP E'!$D$3:$D$146,"Logística",'DESP E'!$O$3:$O$146)</f>
        <v>0</v>
      </c>
      <c r="T33" s="211" t="e">
        <f t="shared" si="25"/>
        <v>#DIV/0!</v>
      </c>
      <c r="U33" s="190">
        <f>SUMIF('DESP E'!$D$3:$D$146,"Logística",'DESP E'!$P$3:$P$146)</f>
        <v>0</v>
      </c>
      <c r="V33" s="211" t="e">
        <f t="shared" si="26"/>
        <v>#DIV/0!</v>
      </c>
      <c r="W33" s="190">
        <f>SUMIF('DESP E'!$D$3:$D$146,"Logística",'DESP E'!$Q$3:$Q$146)</f>
        <v>0</v>
      </c>
      <c r="X33" s="211" t="e">
        <f t="shared" si="27"/>
        <v>#DIV/0!</v>
      </c>
      <c r="Y33" s="190">
        <f>SUMIF('DESP E'!$D$3:$D$146,"Logística",'DESP E'!$R$3:$R$146)</f>
        <v>0</v>
      </c>
      <c r="Z33" s="211" t="e">
        <f t="shared" si="28"/>
        <v>#DIV/0!</v>
      </c>
      <c r="AA33" s="190" t="e">
        <f>SUM(#REF!,#REF!,#REF!,#REF!,#REF!,#REF!,#REF!,#REF!,#REF!,#REF!,#REF!,#REF!)</f>
        <v>#REF!</v>
      </c>
      <c r="AB33" s="201" t="e">
        <f t="shared" si="18"/>
        <v>#REF!</v>
      </c>
    </row>
    <row r="34" spans="2:28" s="176" customFormat="1" ht="10.35" customHeight="1">
      <c r="B34" s="178" t="s">
        <v>336</v>
      </c>
      <c r="C34" s="190">
        <f>SUMIF('DESP E'!$D$3:$D$146,"Viagens",'DESP E'!$G$3:$G$146)</f>
        <v>340</v>
      </c>
      <c r="D34" s="209">
        <f t="shared" si="19"/>
        <v>1.0334029994265531E-5</v>
      </c>
      <c r="E34" s="190">
        <f>SUMIF('DESP E'!$D$3:$D$146,"Viagens",'DESP E'!$H$3:$H$146)</f>
        <v>1729.6</v>
      </c>
      <c r="F34" s="209">
        <f t="shared" si="16"/>
        <v>8.1469530547953608E-5</v>
      </c>
      <c r="G34" s="190">
        <f>SUMIF('DESP E'!$D$3:$D$146,"Viagens",'DESP E'!$I$3:$I$146)</f>
        <v>11158.62</v>
      </c>
      <c r="H34" s="209">
        <f t="shared" si="17"/>
        <v>4.6870542928022257E-4</v>
      </c>
      <c r="I34" s="190">
        <f>SUMIF('DESP E'!$D$3:$D$146,"Viagens",'DESP E'!$J$3:$J$146)</f>
        <v>5932.07</v>
      </c>
      <c r="J34" s="211">
        <f t="shared" si="20"/>
        <v>2.6722245193556949E-4</v>
      </c>
      <c r="K34" s="190">
        <f>SUMIF('DESP E'!$D$3:$D$146,"Viagens",'DESP E'!$K$3:$K$146)</f>
        <v>0</v>
      </c>
      <c r="L34" s="211" t="e">
        <f t="shared" si="21"/>
        <v>#DIV/0!</v>
      </c>
      <c r="M34" s="190">
        <f>SUMIF('DESP E'!$D$3:$D$146,"Viagens",'DESP E'!$L$3:$L$146)</f>
        <v>0</v>
      </c>
      <c r="N34" s="211" t="e">
        <f t="shared" si="22"/>
        <v>#DIV/0!</v>
      </c>
      <c r="O34" s="190">
        <f>SUMIF('DESP E'!$D$3:$D$146,"Viagens",'DESP E'!$M$3:$M$146)</f>
        <v>0</v>
      </c>
      <c r="P34" s="211" t="e">
        <f t="shared" si="23"/>
        <v>#DIV/0!</v>
      </c>
      <c r="Q34" s="190">
        <f>SUMIF('DESP E'!$D$3:$D$146,"Viagens",'DESP E'!$N$3:$N$146)</f>
        <v>0</v>
      </c>
      <c r="R34" s="211" t="e">
        <f t="shared" si="24"/>
        <v>#DIV/0!</v>
      </c>
      <c r="S34" s="190">
        <f>SUMIF('DESP E'!$D$3:$D$146,"Viagens",'DESP E'!$O$3:$O$146)</f>
        <v>0</v>
      </c>
      <c r="T34" s="211" t="e">
        <f t="shared" si="25"/>
        <v>#DIV/0!</v>
      </c>
      <c r="U34" s="190">
        <f>SUMIF('DESP E'!$D$3:$D$146,"Viagens",'DESP E'!$P$3:$P$146)</f>
        <v>0</v>
      </c>
      <c r="V34" s="211" t="e">
        <f t="shared" si="26"/>
        <v>#DIV/0!</v>
      </c>
      <c r="W34" s="190">
        <f>SUMIF('DESP E'!$D$3:$D$146,"Viagens",'DESP E'!$Q$3:$Q$146)</f>
        <v>0</v>
      </c>
      <c r="X34" s="211" t="e">
        <f t="shared" si="27"/>
        <v>#DIV/0!</v>
      </c>
      <c r="Y34" s="190">
        <f>SUMIF('DESP E'!$D$3:$D$146,"Viagens",'DESP E'!$R$3:$R$146)</f>
        <v>0</v>
      </c>
      <c r="Z34" s="211" t="e">
        <f t="shared" si="28"/>
        <v>#DIV/0!</v>
      </c>
      <c r="AA34" s="190" t="e">
        <f>SUM(#REF!,#REF!,#REF!,#REF!,#REF!,#REF!,#REF!,#REF!,#REF!,#REF!,#REF!,#REF!)</f>
        <v>#REF!</v>
      </c>
      <c r="AB34" s="201" t="e">
        <f t="shared" si="18"/>
        <v>#REF!</v>
      </c>
    </row>
    <row r="35" spans="2:28" s="176" customFormat="1" ht="10.35" customHeight="1">
      <c r="B35" s="178" t="s">
        <v>38</v>
      </c>
      <c r="C35" s="190">
        <f>SUMIF('DESP E'!$D$3:$D$146,"Comerciais",'DESP E'!$G$3:$G$146)</f>
        <v>28582.04</v>
      </c>
      <c r="D35" s="209">
        <f t="shared" si="19"/>
        <v>8.6872840781557995E-4</v>
      </c>
      <c r="E35" s="190">
        <f>SUMIF('DESP E'!$D$3:$D$146,"Comerciais",'DESP E'!$H$3:$H$146)</f>
        <v>3259.57</v>
      </c>
      <c r="F35" s="209">
        <f t="shared" si="16"/>
        <v>1.5353586822860381E-4</v>
      </c>
      <c r="G35" s="190">
        <f>SUMIF('DESP E'!$D$3:$D$146,"Comerciais",'DESP E'!$I$3:$I$146)</f>
        <v>26042.79</v>
      </c>
      <c r="H35" s="209">
        <f t="shared" si="17"/>
        <v>1.0938984450231917E-3</v>
      </c>
      <c r="I35" s="190">
        <f>SUMIF('DESP E'!$D$3:$D$146,"Comerciais",'DESP E'!$J$3:$J$146)</f>
        <v>16319.84</v>
      </c>
      <c r="J35" s="211">
        <f t="shared" si="20"/>
        <v>7.351611933096179E-4</v>
      </c>
      <c r="K35" s="190">
        <f>SUMIF('DESP E'!$D$3:$D$146,"Comerciais",'DESP E'!$K$3:$K$146)</f>
        <v>0</v>
      </c>
      <c r="L35" s="211" t="e">
        <f t="shared" si="21"/>
        <v>#DIV/0!</v>
      </c>
      <c r="M35" s="190">
        <f>SUMIF('DESP E'!$D$3:$D$146,"Comerciais",'DESP E'!$L$3:$L$146)</f>
        <v>0</v>
      </c>
      <c r="N35" s="211" t="e">
        <f t="shared" si="22"/>
        <v>#DIV/0!</v>
      </c>
      <c r="O35" s="190">
        <f>SUMIF('DESP E'!$D$3:$D$146,"Comerciais",'DESP E'!$M$3:$M$146)</f>
        <v>0</v>
      </c>
      <c r="P35" s="211" t="e">
        <f t="shared" si="23"/>
        <v>#DIV/0!</v>
      </c>
      <c r="Q35" s="190">
        <f>SUMIF('DESP E'!$D$3:$D$146,"Comerciais",'DESP E'!$N$3:$N$146)</f>
        <v>0</v>
      </c>
      <c r="R35" s="211" t="e">
        <f t="shared" si="24"/>
        <v>#DIV/0!</v>
      </c>
      <c r="S35" s="190">
        <f>SUMIF('DESP E'!$D$3:$D$146,"Comerciais",'DESP E'!$O$3:$O$146)</f>
        <v>0</v>
      </c>
      <c r="T35" s="211" t="e">
        <f t="shared" si="25"/>
        <v>#DIV/0!</v>
      </c>
      <c r="U35" s="190">
        <f>SUMIF('DESP E'!$D$3:$D$146,"Comerciais",'DESP E'!$P$3:$P$146)</f>
        <v>0</v>
      </c>
      <c r="V35" s="211" t="e">
        <f t="shared" si="26"/>
        <v>#DIV/0!</v>
      </c>
      <c r="W35" s="190">
        <f>SUMIF('DESP E'!$D$3:$D$146,"Comerciais",'DESP E'!$Q$3:$Q$146)</f>
        <v>0</v>
      </c>
      <c r="X35" s="211" t="e">
        <f t="shared" si="27"/>
        <v>#DIV/0!</v>
      </c>
      <c r="Y35" s="190">
        <f>SUMIF('DESP E'!$D$3:$D$146,"Comerciais",'DESP E'!$R$3:$R$146)</f>
        <v>0</v>
      </c>
      <c r="Z35" s="211" t="e">
        <f t="shared" si="28"/>
        <v>#DIV/0!</v>
      </c>
      <c r="AA35" s="190" t="e">
        <f>SUM(#REF!,#REF!,#REF!,#REF!,#REF!,#REF!,#REF!,#REF!,#REF!,#REF!,#REF!,#REF!)</f>
        <v>#REF!</v>
      </c>
      <c r="AB35" s="201" t="e">
        <f t="shared" si="18"/>
        <v>#REF!</v>
      </c>
    </row>
    <row r="36" spans="2:28" s="176" customFormat="1" ht="10.35" customHeight="1">
      <c r="B36" s="178" t="s">
        <v>345</v>
      </c>
      <c r="C36" s="190">
        <f>SUMIF('DESP E'!$D$3:$D$146,"Administrativas",'DESP E'!$G$3:$G$146)</f>
        <v>0</v>
      </c>
      <c r="D36" s="209">
        <f t="shared" si="19"/>
        <v>0</v>
      </c>
      <c r="E36" s="190">
        <f>SUMIF('DESP E'!$D$3:$D$146,"Administrativas",'DESP E'!$H$3:$H$146)</f>
        <v>0</v>
      </c>
      <c r="F36" s="209">
        <f t="shared" si="16"/>
        <v>0</v>
      </c>
      <c r="G36" s="190">
        <f>SUMIF('DESP E'!$D$3:$D$146,"Administrativas",'DESP E'!$I$3:$I$146)</f>
        <v>0</v>
      </c>
      <c r="H36" s="209">
        <f t="shared" si="17"/>
        <v>0</v>
      </c>
      <c r="I36" s="190">
        <f>SUMIF('DESP E'!$D$3:$D$146,"Administrativas",'DESP E'!$J$3:$J$146)</f>
        <v>0</v>
      </c>
      <c r="J36" s="211">
        <f t="shared" si="20"/>
        <v>0</v>
      </c>
      <c r="K36" s="190">
        <f>SUMIF('DESP E'!$D$3:$D$146,"Administrativas",'DESP E'!$K$3:$K$146)</f>
        <v>0</v>
      </c>
      <c r="L36" s="211" t="e">
        <f t="shared" si="21"/>
        <v>#DIV/0!</v>
      </c>
      <c r="M36" s="190">
        <f>SUMIF('DESP E'!$D$3:$D$146,"Administrativas",'DESP E'!$L$3:$L$146)</f>
        <v>0</v>
      </c>
      <c r="N36" s="211" t="e">
        <f t="shared" si="22"/>
        <v>#DIV/0!</v>
      </c>
      <c r="O36" s="190">
        <f>SUMIF('DESP E'!$D$3:$D$146,"Administrativas",'DESP E'!$M$3:$M$146)</f>
        <v>0</v>
      </c>
      <c r="P36" s="211" t="e">
        <f t="shared" si="23"/>
        <v>#DIV/0!</v>
      </c>
      <c r="Q36" s="190">
        <f>SUMIF('DESP E'!$D$3:$D$146,"Administrativas",'DESP E'!$N$3:$N$146)</f>
        <v>0</v>
      </c>
      <c r="R36" s="211" t="e">
        <f t="shared" si="24"/>
        <v>#DIV/0!</v>
      </c>
      <c r="S36" s="190">
        <f>SUMIF('DESP E'!$D$3:$D$146,"Administrativas",'DESP E'!$O$3:$O$146)</f>
        <v>0</v>
      </c>
      <c r="T36" s="211" t="e">
        <f t="shared" si="25"/>
        <v>#DIV/0!</v>
      </c>
      <c r="U36" s="190">
        <f>SUMIF('DESP E'!$D$3:$D$146,"Administrativas",'DESP E'!$P$3:$P$146)</f>
        <v>0</v>
      </c>
      <c r="V36" s="211" t="e">
        <f t="shared" si="26"/>
        <v>#DIV/0!</v>
      </c>
      <c r="W36" s="190">
        <f>SUMIF('DESP E'!$D$3:$D$146,"Administrativas",'DESP E'!$Q$3:$Q$146)</f>
        <v>0</v>
      </c>
      <c r="X36" s="211" t="e">
        <f t="shared" si="27"/>
        <v>#DIV/0!</v>
      </c>
      <c r="Y36" s="190">
        <f>SUMIF('DESP E'!$D$3:$D$146,"Administrativas",'DESP E'!$R$3:$R$146)</f>
        <v>0</v>
      </c>
      <c r="Z36" s="211" t="e">
        <f t="shared" si="28"/>
        <v>#DIV/0!</v>
      </c>
      <c r="AA36" s="190" t="e">
        <f>SUM(#REF!,#REF!,#REF!,#REF!,#REF!,#REF!,#REF!,#REF!,#REF!,#REF!,#REF!,#REF!)</f>
        <v>#REF!</v>
      </c>
      <c r="AB36" s="201" t="e">
        <f t="shared" si="18"/>
        <v>#REF!</v>
      </c>
    </row>
    <row r="37" spans="2:28" s="176" customFormat="1" ht="10.35" customHeight="1">
      <c r="B37" s="178" t="s">
        <v>377</v>
      </c>
      <c r="C37" s="190">
        <f>SUMIF('DESP E'!$D$3:$D$146,"Indedutíveis",'DESP E'!$G$3:$G$146)</f>
        <v>0</v>
      </c>
      <c r="D37" s="209">
        <f t="shared" si="19"/>
        <v>0</v>
      </c>
      <c r="E37" s="190">
        <f>SUMIF('DESP E'!$D$3:$D$146,"Indedutíveis",'DESP E'!$H$3:$H$146)</f>
        <v>157.38999999999999</v>
      </c>
      <c r="F37" s="209">
        <f t="shared" si="16"/>
        <v>7.4135577086854868E-6</v>
      </c>
      <c r="G37" s="190">
        <f>SUMIF('DESP E'!$D$3:$D$146,"Indedutíveis",'DESP E'!$I$3:$I$146)</f>
        <v>0</v>
      </c>
      <c r="H37" s="209">
        <f>G37/$G$10</f>
        <v>0</v>
      </c>
      <c r="I37" s="190">
        <f>SUMIF('DESP E'!$D$3:$D$146,"Indedutíveis",'DESP E'!$J$3:$J$146)</f>
        <v>0</v>
      </c>
      <c r="J37" s="211">
        <f t="shared" si="20"/>
        <v>0</v>
      </c>
      <c r="K37" s="190">
        <f>SUMIF('DESP E'!$D$3:$D$146,"Indedutíveis",'DESP E'!$K$3:$K$146)</f>
        <v>0</v>
      </c>
      <c r="L37" s="211" t="e">
        <f t="shared" si="21"/>
        <v>#DIV/0!</v>
      </c>
      <c r="M37" s="190">
        <f>SUMIF('DESP E'!$D$3:$D$146,"Indedutíveis",'DESP E'!$L$3:$L$146)</f>
        <v>0</v>
      </c>
      <c r="N37" s="211" t="e">
        <f>M37/$M$10</f>
        <v>#DIV/0!</v>
      </c>
      <c r="O37" s="190">
        <f>SUMIF('DESP E'!$D$3:$D$146,"Indedutíveis",'DESP E'!$M$3:$M$146)</f>
        <v>0</v>
      </c>
      <c r="P37" s="211" t="e">
        <f t="shared" si="23"/>
        <v>#DIV/0!</v>
      </c>
      <c r="Q37" s="190">
        <f>SUMIF('DESP E'!$D$3:$D$146,"Indedutíveis",'DESP E'!$N$3:$N$146)</f>
        <v>0</v>
      </c>
      <c r="R37" s="211" t="e">
        <f t="shared" si="24"/>
        <v>#DIV/0!</v>
      </c>
      <c r="S37" s="190">
        <f>SUMIF('DESP E'!$D$3:$D$146,"Indedutíveis",'DESP E'!$O$3:$O$146)</f>
        <v>0</v>
      </c>
      <c r="T37" s="211" t="e">
        <f t="shared" si="25"/>
        <v>#DIV/0!</v>
      </c>
      <c r="U37" s="190">
        <f>SUMIF('DESP E'!$D$3:$D$146,"Indedutíveis",'DESP E'!$P$3:$P$146)</f>
        <v>0</v>
      </c>
      <c r="V37" s="211" t="e">
        <f t="shared" si="26"/>
        <v>#DIV/0!</v>
      </c>
      <c r="W37" s="190">
        <f>SUMIF('DESP E'!$D$3:$D$146,"Indedutíveis",'DESP E'!$Q$3:$Q$146)</f>
        <v>0</v>
      </c>
      <c r="X37" s="211" t="e">
        <f t="shared" si="27"/>
        <v>#DIV/0!</v>
      </c>
      <c r="Y37" s="190">
        <f>SUMIF('DESP E'!$D$3:$D$146,"Indedutíveis",'DESP E'!$R$3:$R$146)</f>
        <v>0</v>
      </c>
      <c r="Z37" s="211" t="e">
        <f t="shared" si="28"/>
        <v>#DIV/0!</v>
      </c>
      <c r="AA37" s="190" t="e">
        <f>SUM(#REF!,#REF!,#REF!,#REF!,#REF!,#REF!,#REF!,#REF!,#REF!,#REF!,#REF!,#REF!)</f>
        <v>#REF!</v>
      </c>
      <c r="AB37" s="201" t="e">
        <f t="shared" si="18"/>
        <v>#REF!</v>
      </c>
    </row>
    <row r="38" spans="2:28" s="176" customFormat="1" ht="10.35" customHeight="1">
      <c r="B38" s="178" t="s">
        <v>334</v>
      </c>
      <c r="C38" s="190">
        <f>SUMIF('MVTO E'!$C$3:$C$240,"Desp_Aluguel",'MVTO E'!$G$3:$G$240)</f>
        <v>529678.4</v>
      </c>
      <c r="D38" s="209">
        <f t="shared" si="19"/>
        <v>1.6099154332101694E-2</v>
      </c>
      <c r="E38" s="190">
        <f>SUMIF('MVTO E'!$C$3:$C$240,"Desp_Aluguel",'MVTO E'!$H$3:$H$240)</f>
        <v>565211.64</v>
      </c>
      <c r="F38" s="209">
        <f t="shared" si="16"/>
        <v>2.6623223271877289E-2</v>
      </c>
      <c r="G38" s="190">
        <f>SUMIF('MVTO E'!$C$3:$C$240,"Desp_Aluguel",'MVTO E'!$I$3:$I$240)</f>
        <v>520594.89</v>
      </c>
      <c r="H38" s="209">
        <f t="shared" si="17"/>
        <v>2.1867009665938998E-2</v>
      </c>
      <c r="I38" s="190">
        <f>SUMIF('MVTO E'!$C$3:$C$240,"Desp_Aluguel",'MVTO E'!$J$3:$J$240)</f>
        <v>542205.63</v>
      </c>
      <c r="J38" s="211">
        <f t="shared" si="20"/>
        <v>2.4424782226418466E-2</v>
      </c>
      <c r="K38" s="190">
        <f>SUMIF('MVTO E'!$C$3:$C$240,"Desp_Aluguel",'MVTO E'!$K$3:$K$240)</f>
        <v>0</v>
      </c>
      <c r="L38" s="211" t="e">
        <f t="shared" si="21"/>
        <v>#DIV/0!</v>
      </c>
      <c r="M38" s="190">
        <f>SUMIF('MVTO E'!$C$3:$C$240,"Desp_Aluguel",'MVTO E'!$L$3:$L$240)</f>
        <v>0</v>
      </c>
      <c r="N38" s="211" t="e">
        <f t="shared" si="22"/>
        <v>#DIV/0!</v>
      </c>
      <c r="O38" s="190">
        <f>SUMIF('MVTO E'!$C$3:$C$240,"Desp_Aluguel",'MVTO E'!$M$3:$M$240)</f>
        <v>0</v>
      </c>
      <c r="P38" s="211" t="e">
        <f t="shared" si="23"/>
        <v>#DIV/0!</v>
      </c>
      <c r="Q38" s="190">
        <f>SUMIF('MVTO E'!$C$3:$C$240,"Desp_Aluguel",'MVTO E'!$N$3:$N$240)</f>
        <v>0</v>
      </c>
      <c r="R38" s="211" t="e">
        <f t="shared" si="24"/>
        <v>#DIV/0!</v>
      </c>
      <c r="S38" s="190">
        <f>SUMIF('MVTO E'!$C$3:$C$240,"Desp_Aluguel",'MVTO E'!$O$3:$O$240)</f>
        <v>0</v>
      </c>
      <c r="T38" s="211" t="e">
        <f t="shared" si="25"/>
        <v>#DIV/0!</v>
      </c>
      <c r="U38" s="190">
        <f>SUMIF('MVTO E'!$C$3:$C$240,"Desp_Aluguel",'MVTO E'!$P$3:$P$240)</f>
        <v>0</v>
      </c>
      <c r="V38" s="211" t="e">
        <f t="shared" si="26"/>
        <v>#DIV/0!</v>
      </c>
      <c r="W38" s="190">
        <f>SUMIF('MVTO E'!$C$3:$C$240,"Desp_Aluguel",'MVTO E'!$Q$3:$Q$240)</f>
        <v>0</v>
      </c>
      <c r="X38" s="211" t="e">
        <f t="shared" si="27"/>
        <v>#DIV/0!</v>
      </c>
      <c r="Y38" s="190">
        <f>SUMIF('MVTO E'!$C$3:$C$240,"Desp_Aluguel",'MVTO E'!$R$3:$R$240)</f>
        <v>0</v>
      </c>
      <c r="Z38" s="211" t="e">
        <f t="shared" si="28"/>
        <v>#DIV/0!</v>
      </c>
      <c r="AA38" s="190" t="e">
        <f>SUM(#REF!,#REF!,#REF!,#REF!,#REF!,#REF!,#REF!,#REF!,#REF!,#REF!,#REF!,#REF!)</f>
        <v>#REF!</v>
      </c>
      <c r="AB38" s="201" t="e">
        <f t="shared" si="18"/>
        <v>#REF!</v>
      </c>
    </row>
    <row r="39" spans="2:28" s="176" customFormat="1" ht="10.35" customHeight="1">
      <c r="B39" s="178" t="s">
        <v>17</v>
      </c>
      <c r="C39" s="190">
        <f>SUMIF('MVTO E'!$C$3:$C$240,"Desp_Seguros",'MVTO E'!$G$3:$G$240)</f>
        <v>43169.59</v>
      </c>
      <c r="D39" s="209">
        <f t="shared" si="19"/>
        <v>1.3121054055886627E-3</v>
      </c>
      <c r="E39" s="190">
        <f>SUMIF('MVTO E'!$C$3:$C$240,"Desp_Seguros",'MVTO E'!$H$3:$H$240)</f>
        <v>9843.09</v>
      </c>
      <c r="F39" s="209">
        <f t="shared" si="16"/>
        <v>4.6364010259092087E-4</v>
      </c>
      <c r="G39" s="190">
        <f>SUMIF('MVTO E'!$C$3:$C$240,"Desp_Seguros",'MVTO E'!$I$3:$I$240)</f>
        <v>10158.49</v>
      </c>
      <c r="H39" s="209">
        <f t="shared" si="17"/>
        <v>4.2669608036556919E-4</v>
      </c>
      <c r="I39" s="190">
        <f>SUMIF('MVTO E'!$C$3:$C$240,"Desp_Seguros",'MVTO E'!$J$3:$J$240)</f>
        <v>10036.08</v>
      </c>
      <c r="J39" s="211">
        <f t="shared" si="20"/>
        <v>4.5209613261838289E-4</v>
      </c>
      <c r="K39" s="190">
        <f>SUMIF('MVTO E'!$C$3:$C$240,"Desp_Seguros",'MVTO E'!$K$3:$K$240)</f>
        <v>0</v>
      </c>
      <c r="L39" s="211" t="e">
        <f t="shared" si="21"/>
        <v>#DIV/0!</v>
      </c>
      <c r="M39" s="190">
        <f>SUMIF('MVTO E'!$C$3:$C$240,"Desp_Seguros",'MVTO E'!$L$3:$L$240)</f>
        <v>0</v>
      </c>
      <c r="N39" s="211" t="e">
        <f t="shared" si="22"/>
        <v>#DIV/0!</v>
      </c>
      <c r="O39" s="190">
        <f>SUMIF('MVTO E'!$C$3:$C$240,"Desp_Seguros",'MVTO E'!$M$3:$M$240)</f>
        <v>0</v>
      </c>
      <c r="P39" s="211" t="e">
        <f t="shared" si="23"/>
        <v>#DIV/0!</v>
      </c>
      <c r="Q39" s="190">
        <f>SUMIF('MVTO E'!$C$3:$C$240,"Desp_Seguros",'MVTO E'!$N$3:$N$240)</f>
        <v>0</v>
      </c>
      <c r="R39" s="211" t="e">
        <f t="shared" si="24"/>
        <v>#DIV/0!</v>
      </c>
      <c r="S39" s="190">
        <f>SUMIF('MVTO E'!$C$3:$C$240,"Desp_Seguros",'MVTO E'!$O$3:$O$240)</f>
        <v>0</v>
      </c>
      <c r="T39" s="211" t="e">
        <f t="shared" si="25"/>
        <v>#DIV/0!</v>
      </c>
      <c r="U39" s="190">
        <f>SUMIF('MVTO E'!$C$3:$C$240,"Desp_Seguros",'MVTO E'!$P$3:$P$240)</f>
        <v>0</v>
      </c>
      <c r="V39" s="211" t="e">
        <f t="shared" si="26"/>
        <v>#DIV/0!</v>
      </c>
      <c r="W39" s="190">
        <f>SUMIF('MVTO E'!$C$3:$C$240,"Desp_Seguros",'MVTO E'!$Q$3:$Q$240)</f>
        <v>0</v>
      </c>
      <c r="X39" s="211" t="e">
        <f t="shared" si="27"/>
        <v>#DIV/0!</v>
      </c>
      <c r="Y39" s="190">
        <f>SUMIF('MVTO E'!$C$3:$C$240,"Desp_Seguros",'MVTO E'!$R$3:$R$240)</f>
        <v>0</v>
      </c>
      <c r="Z39" s="211" t="e">
        <f t="shared" si="28"/>
        <v>#DIV/0!</v>
      </c>
      <c r="AA39" s="190" t="e">
        <f>SUM(#REF!,#REF!,#REF!,#REF!,#REF!,#REF!,#REF!,#REF!,#REF!,#REF!,#REF!,#REF!)</f>
        <v>#REF!</v>
      </c>
      <c r="AB39" s="201" t="e">
        <f t="shared" si="18"/>
        <v>#REF!</v>
      </c>
    </row>
    <row r="40" spans="2:28" s="176" customFormat="1" ht="10.35" customHeight="1">
      <c r="B40" s="178" t="s">
        <v>41</v>
      </c>
      <c r="C40" s="190">
        <f>SUMIF('MVTO E'!$C$3:$C$240,"Desp_TAXA",'MVTO E'!$G$3:$G$240)</f>
        <v>376072.93999999994</v>
      </c>
      <c r="D40" s="209">
        <f t="shared" si="19"/>
        <v>1.1430438358798886E-2</v>
      </c>
      <c r="E40" s="190">
        <f>SUMIF('MVTO E'!$C$3:$C$240,"Desp_TAXA",'MVTO E'!$H$3:$H$240)</f>
        <v>221272.42000000007</v>
      </c>
      <c r="F40" s="209">
        <f t="shared" si="16"/>
        <v>1.0422618050768748E-2</v>
      </c>
      <c r="G40" s="190">
        <f>SUMIF('MVTO E'!$C$3:$C$240,"Desp_TAXA",'MVTO E'!$I$3:$I$240)</f>
        <v>270488.09999999992</v>
      </c>
      <c r="H40" s="209">
        <f t="shared" si="17"/>
        <v>1.1361551968405745E-2</v>
      </c>
      <c r="I40" s="190">
        <f>SUMIF('MVTO E'!$C$3:$C$240,"Desp_TAXA",'MVTO E'!$J$3:$J$240)</f>
        <v>220776.19999999995</v>
      </c>
      <c r="J40" s="211">
        <f t="shared" si="20"/>
        <v>9.9453238908201805E-3</v>
      </c>
      <c r="K40" s="190">
        <f>SUMIF('MVTO E'!$C$3:$C$240,"Desp_TAXA",'MVTO E'!$K$3:$K$240)</f>
        <v>0</v>
      </c>
      <c r="L40" s="211" t="e">
        <f t="shared" si="21"/>
        <v>#DIV/0!</v>
      </c>
      <c r="M40" s="190">
        <f>SUMIF('MVTO E'!$C$3:$C$240,"Desp_TAXA",'MVTO E'!$L$3:$L$240)</f>
        <v>0</v>
      </c>
      <c r="N40" s="211" t="e">
        <f t="shared" si="22"/>
        <v>#DIV/0!</v>
      </c>
      <c r="O40" s="190">
        <f>SUMIF('MVTO E'!$C$3:$C$240,"Desp_TAXA",'MVTO E'!$M$3:$M$240)</f>
        <v>0</v>
      </c>
      <c r="P40" s="211" t="e">
        <f t="shared" si="23"/>
        <v>#DIV/0!</v>
      </c>
      <c r="Q40" s="190">
        <f>SUMIF('MVTO E'!$C$3:$C$240,"Desp_TAXA",'MVTO E'!$N$3:$N$240)</f>
        <v>0</v>
      </c>
      <c r="R40" s="211" t="e">
        <f t="shared" si="24"/>
        <v>#DIV/0!</v>
      </c>
      <c r="S40" s="190">
        <f>SUMIF('MVTO E'!$C$3:$C$240,"Desp_TAXA",'MVTO E'!$O$3:$O$240)</f>
        <v>0</v>
      </c>
      <c r="T40" s="211" t="e">
        <f t="shared" si="25"/>
        <v>#DIV/0!</v>
      </c>
      <c r="U40" s="190">
        <f>SUMIF('MVTO E'!$C$3:$C$240,"Desp_TAXA",'MVTO E'!$P$3:$P$240)</f>
        <v>0</v>
      </c>
      <c r="V40" s="211" t="e">
        <f t="shared" si="26"/>
        <v>#DIV/0!</v>
      </c>
      <c r="W40" s="190">
        <f>SUMIF('MVTO E'!$C$3:$C$240,"Desp_TAXA",'MVTO E'!$Q$3:$Q$240)</f>
        <v>0</v>
      </c>
      <c r="X40" s="211" t="e">
        <f t="shared" si="27"/>
        <v>#DIV/0!</v>
      </c>
      <c r="Y40" s="190">
        <f>SUMIF('MVTO E'!$C$3:$C$240,"Desp_TAXA",'MVTO E'!$R$3:$R$240)</f>
        <v>0</v>
      </c>
      <c r="Z40" s="211" t="e">
        <f t="shared" si="28"/>
        <v>#DIV/0!</v>
      </c>
      <c r="AA40" s="190" t="e">
        <f>SUM(#REF!,#REF!,#REF!,#REF!,#REF!,#REF!,#REF!,#REF!,#REF!,#REF!,#REF!,#REF!)</f>
        <v>#REF!</v>
      </c>
      <c r="AB40" s="201" t="e">
        <f t="shared" si="18"/>
        <v>#REF!</v>
      </c>
    </row>
    <row r="41" spans="2:28" s="176" customFormat="1" ht="10.35" customHeight="1">
      <c r="B41" s="178" t="s">
        <v>260</v>
      </c>
      <c r="C41" s="190">
        <f>SUMIF('MVTO E'!$C$3:$C$240,"Rec_Desp",'MVTO E'!$G$3:$G$240)*-1</f>
        <v>-21680.799999999999</v>
      </c>
      <c r="D41" s="209">
        <f t="shared" si="19"/>
        <v>-6.5897069852844737E-4</v>
      </c>
      <c r="E41" s="190">
        <f>SUMIF('MVTO E'!$C$3:$C$240,"Rec_Desp",'MVTO E'!$H$3:$H$240)*-1</f>
        <v>-326.07000000000005</v>
      </c>
      <c r="F41" s="209">
        <f t="shared" si="16"/>
        <v>-1.5358909473734527E-5</v>
      </c>
      <c r="G41" s="190">
        <f>SUMIF('MVTO E'!$C$3:$C$240,"Rec_Desp",'MVTO E'!$I$3:$I$240)*-1</f>
        <v>-3662.74</v>
      </c>
      <c r="H41" s="209">
        <f t="shared" si="17"/>
        <v>-1.5384932223176721E-4</v>
      </c>
      <c r="I41" s="190">
        <f>SUMIF('MVTO E'!$C$3:$C$240,"Rec_Desp",'MVTO E'!$J$3:$J$240)*-1</f>
        <v>-1147.8399999999999</v>
      </c>
      <c r="J41" s="211">
        <f t="shared" si="20"/>
        <v>-5.1706844192621477E-5</v>
      </c>
      <c r="K41" s="190">
        <f>SUMIF('MVTO E'!$C$3:$C$240,"Rec_Desp",'MVTO E'!$K$3:$K$240)*-1</f>
        <v>0</v>
      </c>
      <c r="L41" s="211" t="e">
        <f t="shared" si="21"/>
        <v>#DIV/0!</v>
      </c>
      <c r="M41" s="190">
        <f>SUMIF('MVTO E'!$C$3:$C$240,"Rec_Desp",'MVTO E'!$L$3:$L$240)*-1</f>
        <v>0</v>
      </c>
      <c r="N41" s="211" t="e">
        <f t="shared" si="22"/>
        <v>#DIV/0!</v>
      </c>
      <c r="O41" s="190">
        <f>SUMIF('MVTO E'!$C$3:$C$240,"Rec_Desp",'MVTO E'!$M$3:$M$240)*-1</f>
        <v>0</v>
      </c>
      <c r="P41" s="211" t="e">
        <f t="shared" si="23"/>
        <v>#DIV/0!</v>
      </c>
      <c r="Q41" s="190">
        <f>SUMIF('MVTO E'!$C$3:$C$240,"Rec_Desp",'MVTO E'!$N$3:$N$240)*-1</f>
        <v>0</v>
      </c>
      <c r="R41" s="211" t="e">
        <f t="shared" si="24"/>
        <v>#DIV/0!</v>
      </c>
      <c r="S41" s="190">
        <f>SUMIF('MVTO E'!$C$3:$C$240,"Rec_Desp",'MVTO E'!$O$3:$O$240)*-1</f>
        <v>0</v>
      </c>
      <c r="T41" s="211" t="e">
        <f t="shared" si="25"/>
        <v>#DIV/0!</v>
      </c>
      <c r="U41" s="190">
        <f>SUMIF('MVTO E'!$C$3:$C$240,"Rec_Desp",'MVTO E'!$P$3:$P$240)*-1</f>
        <v>0</v>
      </c>
      <c r="V41" s="211" t="e">
        <f t="shared" si="26"/>
        <v>#DIV/0!</v>
      </c>
      <c r="W41" s="190">
        <f>SUMIF('MVTO E'!$C$3:$C$240,"Rec_Desp",'MVTO E'!$Q$3:$Q$240)*-1</f>
        <v>0</v>
      </c>
      <c r="X41" s="211" t="e">
        <f t="shared" si="27"/>
        <v>#DIV/0!</v>
      </c>
      <c r="Y41" s="190">
        <f>SUMIF('MVTO E'!$C$3:$C$240,"Rec_Desp",'MVTO E'!$R$3:$R$240)*-1</f>
        <v>0</v>
      </c>
      <c r="Z41" s="211" t="e">
        <f t="shared" si="28"/>
        <v>#DIV/0!</v>
      </c>
      <c r="AA41" s="190" t="e">
        <f>SUM(#REF!,#REF!,#REF!,#REF!,#REF!,#REF!,#REF!,#REF!,#REF!,#REF!,#REF!,#REF!)</f>
        <v>#REF!</v>
      </c>
      <c r="AB41" s="201" t="e">
        <f t="shared" si="18"/>
        <v>#REF!</v>
      </c>
    </row>
    <row r="42" spans="2:28" s="176" customFormat="1" ht="10.35" customHeight="1">
      <c r="B42" s="181" t="s">
        <v>19</v>
      </c>
      <c r="C42" s="194">
        <f>IFERROR(C19-C20,"")</f>
        <v>1039053.6000000024</v>
      </c>
      <c r="D42" s="212">
        <f>D19-D20</f>
        <v>3.1581209023675311E-2</v>
      </c>
      <c r="E42" s="194">
        <f>IFERROR(E19-E20,"")</f>
        <v>2814936.540000001</v>
      </c>
      <c r="F42" s="212">
        <f>F19-F20</f>
        <v>0.13259225163973223</v>
      </c>
      <c r="G42" s="194">
        <f>IFERROR(G19-G20,"")</f>
        <v>1850730.160000002</v>
      </c>
      <c r="H42" s="212">
        <f>H19-H20</f>
        <v>7.7737863116107198E-2</v>
      </c>
      <c r="I42" s="194">
        <f>IFERROR(I19-I20,"")</f>
        <v>988657.5699999975</v>
      </c>
      <c r="J42" s="211">
        <f t="shared" si="20"/>
        <v>4.453613999498679E-2</v>
      </c>
      <c r="K42" s="194">
        <f>IFERROR(K19-K20,"")</f>
        <v>0</v>
      </c>
      <c r="L42" s="211" t="e">
        <f t="shared" si="21"/>
        <v>#DIV/0!</v>
      </c>
      <c r="M42" s="194">
        <f>IFERROR(M19-M20,"")</f>
        <v>0</v>
      </c>
      <c r="N42" s="211" t="e">
        <f t="shared" si="22"/>
        <v>#DIV/0!</v>
      </c>
      <c r="O42" s="194">
        <f>IFERROR(O19-O20,"")</f>
        <v>0</v>
      </c>
      <c r="P42" s="211" t="e">
        <f t="shared" si="23"/>
        <v>#DIV/0!</v>
      </c>
      <c r="Q42" s="194">
        <f>IFERROR(Q19-Q20,"")</f>
        <v>0</v>
      </c>
      <c r="R42" s="211" t="e">
        <f t="shared" si="24"/>
        <v>#DIV/0!</v>
      </c>
      <c r="S42" s="194">
        <f>IFERROR(S19-S20,"")</f>
        <v>0</v>
      </c>
      <c r="T42" s="211" t="e">
        <f t="shared" si="25"/>
        <v>#DIV/0!</v>
      </c>
      <c r="U42" s="194">
        <f>IFERROR(U19-U20,"")</f>
        <v>0</v>
      </c>
      <c r="V42" s="211" t="e">
        <f t="shared" si="26"/>
        <v>#DIV/0!</v>
      </c>
      <c r="W42" s="194">
        <f>IFERROR(W19-W20,"")</f>
        <v>0</v>
      </c>
      <c r="X42" s="211" t="e">
        <f t="shared" si="27"/>
        <v>#DIV/0!</v>
      </c>
      <c r="Y42" s="194">
        <f>IFERROR(Y19-Y20,"")</f>
        <v>0</v>
      </c>
      <c r="Z42" s="211" t="e">
        <f t="shared" si="28"/>
        <v>#DIV/0!</v>
      </c>
      <c r="AA42" s="194" t="str">
        <f>IFERROR(AA19-AA20,"")</f>
        <v/>
      </c>
      <c r="AB42" s="204" t="e">
        <f t="shared" si="18"/>
        <v>#VALUE!</v>
      </c>
    </row>
    <row r="43" spans="2:28" s="176" customFormat="1" ht="10.35" customHeight="1">
      <c r="B43" s="180" t="s">
        <v>20</v>
      </c>
      <c r="C43" s="195">
        <f>IFERROR(C45-C44,"")</f>
        <v>-103329.57</v>
      </c>
      <c r="D43" s="209">
        <f t="shared" si="19"/>
        <v>-3.1406202225722347E-3</v>
      </c>
      <c r="E43" s="195">
        <f>IFERROR(E45-E44,"")</f>
        <v>-13822.530000000002</v>
      </c>
      <c r="F43" s="209">
        <f t="shared" ref="F43:F72" si="29">E43/$E$10</f>
        <v>-6.5108408307412431E-4</v>
      </c>
      <c r="G43" s="195">
        <f>IFERROR(G45-G44,"")</f>
        <v>-332694.98</v>
      </c>
      <c r="H43" s="209">
        <f t="shared" ref="H43:H72" si="30">G43/$G$10</f>
        <v>-1.3974482814207764E-2</v>
      </c>
      <c r="I43" s="195">
        <f>IFERROR(I45-I44,"")</f>
        <v>-1801685.73</v>
      </c>
      <c r="J43" s="211">
        <f t="shared" si="20"/>
        <v>-8.1160687312848034E-2</v>
      </c>
      <c r="K43" s="195">
        <f>IFERROR(K45-K44,"")</f>
        <v>0</v>
      </c>
      <c r="L43" s="211" t="e">
        <f t="shared" si="21"/>
        <v>#DIV/0!</v>
      </c>
      <c r="M43" s="195">
        <f>IFERROR(M45-M44,"")</f>
        <v>0</v>
      </c>
      <c r="N43" s="211" t="e">
        <f t="shared" si="22"/>
        <v>#DIV/0!</v>
      </c>
      <c r="O43" s="195">
        <f>IFERROR(O45-O44,"")</f>
        <v>0</v>
      </c>
      <c r="P43" s="211" t="e">
        <f t="shared" si="23"/>
        <v>#DIV/0!</v>
      </c>
      <c r="Q43" s="195">
        <f>IFERROR(Q45-Q44,"")</f>
        <v>0</v>
      </c>
      <c r="R43" s="211" t="e">
        <f t="shared" si="24"/>
        <v>#DIV/0!</v>
      </c>
      <c r="S43" s="195">
        <f>IFERROR(S45-S44,"")</f>
        <v>0</v>
      </c>
      <c r="T43" s="211" t="e">
        <f t="shared" si="25"/>
        <v>#DIV/0!</v>
      </c>
      <c r="U43" s="195">
        <f>IFERROR(U45-U44,"")</f>
        <v>0</v>
      </c>
      <c r="V43" s="211" t="e">
        <f t="shared" si="26"/>
        <v>#DIV/0!</v>
      </c>
      <c r="W43" s="195">
        <f>IFERROR(W45-W44,"")</f>
        <v>0</v>
      </c>
      <c r="X43" s="211" t="e">
        <f t="shared" si="27"/>
        <v>#DIV/0!</v>
      </c>
      <c r="Y43" s="195">
        <f>IFERROR(Y45-Y44,"")</f>
        <v>0</v>
      </c>
      <c r="Z43" s="211" t="e">
        <f t="shared" si="28"/>
        <v>#DIV/0!</v>
      </c>
      <c r="AA43" s="190" t="str">
        <f>IFERROR(AA44-AA45,"")</f>
        <v/>
      </c>
      <c r="AB43" s="201" t="e">
        <f>AA43/$AA$4</f>
        <v>#VALUE!</v>
      </c>
    </row>
    <row r="44" spans="2:28" s="176" customFormat="1" ht="10.35" customHeight="1">
      <c r="B44" s="178" t="s">
        <v>21</v>
      </c>
      <c r="C44" s="190">
        <f>SUMIF('MVTO E'!$C$3:$C$240,"EFIN",'MVTO E'!$G$3:$G$240)</f>
        <v>115863.02</v>
      </c>
      <c r="D44" s="209">
        <f t="shared" si="19"/>
        <v>3.5215644820770211E-3</v>
      </c>
      <c r="E44" s="190">
        <f>SUMIF('MVTO E'!$C$3:$C$240,"EFIN",'MVTO E'!$H$3:$H$240)</f>
        <v>27467.08</v>
      </c>
      <c r="F44" s="209">
        <f t="shared" si="29"/>
        <v>1.2937847555059469E-3</v>
      </c>
      <c r="G44" s="190">
        <f>SUMIF('MVTO E'!$C$3:$C$240,"EFIN",'MVTO E'!$I$3:$I$240)</f>
        <v>344331.37</v>
      </c>
      <c r="H44" s="209">
        <f t="shared" si="30"/>
        <v>1.4463256441253231E-2</v>
      </c>
      <c r="I44" s="190">
        <f>SUMIF('MVTO E'!$C$3:$C$240,"EFIN",'MVTO E'!$J$3:$J$240)</f>
        <v>1810170.13</v>
      </c>
      <c r="J44" s="211">
        <f t="shared" si="20"/>
        <v>8.1542884787119602E-2</v>
      </c>
      <c r="K44" s="190">
        <f>SUMIF('MVTO E'!$C$3:$C$240,"EFIN",'MVTO E'!$K$3:$K$240)</f>
        <v>0</v>
      </c>
      <c r="L44" s="211" t="e">
        <f t="shared" si="21"/>
        <v>#DIV/0!</v>
      </c>
      <c r="M44" s="190">
        <f>SUMIF('MVTO E'!$C$3:$C$240,"EFIN",'MVTO E'!$L$3:$L$240)</f>
        <v>0</v>
      </c>
      <c r="N44" s="211" t="e">
        <f t="shared" si="22"/>
        <v>#DIV/0!</v>
      </c>
      <c r="O44" s="190">
        <f>SUMIF('MVTO E'!$C$3:$C$240,"EFIN",'MVTO E'!$M$3:$M$240)</f>
        <v>0</v>
      </c>
      <c r="P44" s="211" t="e">
        <f t="shared" si="23"/>
        <v>#DIV/0!</v>
      </c>
      <c r="Q44" s="190">
        <f>SUMIF('MVTO E'!$C$3:$C$240,"EFIN",'MVTO E'!$N$3:$N$240)</f>
        <v>0</v>
      </c>
      <c r="R44" s="211" t="e">
        <f t="shared" si="24"/>
        <v>#DIV/0!</v>
      </c>
      <c r="S44" s="190">
        <f>SUMIF('MVTO E'!$C$3:$C$240,"EFIN",'MVTO E'!$O$3:$O$240)</f>
        <v>0</v>
      </c>
      <c r="T44" s="211" t="e">
        <f t="shared" si="25"/>
        <v>#DIV/0!</v>
      </c>
      <c r="U44" s="190">
        <f>SUMIF('MVTO E'!$C$3:$C$240,"EFIN",'MVTO E'!$P$3:$P$240)</f>
        <v>0</v>
      </c>
      <c r="V44" s="211" t="e">
        <f t="shared" si="26"/>
        <v>#DIV/0!</v>
      </c>
      <c r="W44" s="190">
        <f>SUMIF('MVTO E'!$C$3:$C$240,"EFIN",'MVTO E'!$Q$3:$Q$240)</f>
        <v>0</v>
      </c>
      <c r="X44" s="211" t="e">
        <f t="shared" si="27"/>
        <v>#DIV/0!</v>
      </c>
      <c r="Y44" s="190">
        <f>SUMIF('MVTO E'!$C$3:$C$240,"EFIN",'MVTO E'!$R$3:$R$240)</f>
        <v>0</v>
      </c>
      <c r="Z44" s="211" t="e">
        <f t="shared" si="28"/>
        <v>#DIV/0!</v>
      </c>
      <c r="AA44" s="190" t="e">
        <f>SUM(#REF!,#REF!,#REF!,#REF!,#REF!,#REF!,#REF!,#REF!,#REF!,#REF!,#REF!,#REF!)</f>
        <v>#REF!</v>
      </c>
      <c r="AB44" s="201" t="e">
        <f>AA44/$AA$4</f>
        <v>#REF!</v>
      </c>
    </row>
    <row r="45" spans="2:28" s="176" customFormat="1" ht="10.35" customHeight="1">
      <c r="B45" s="178" t="s">
        <v>22</v>
      </c>
      <c r="C45" s="190">
        <f>SUMIF('MVTO E'!$C$3:$C$240,"SFIN",'MVTO E'!$G$3:$G$240)+SUMIF('DESP E'!$D$3:$D$146,"SFIN",'DESP E'!$G$3:$G$146)</f>
        <v>12533.449999999999</v>
      </c>
      <c r="D45" s="209">
        <f t="shared" si="19"/>
        <v>3.8094425950478623E-4</v>
      </c>
      <c r="E45" s="190">
        <f>SUMIF('MVTO E'!$C$3:$C$240,"SFIN",'MVTO E'!$H$3:$H$240)+SUMIF('DESP E'!$D$3:$D$146,"SFIN",'DESP E'!$H$3:$H$146)</f>
        <v>13644.55</v>
      </c>
      <c r="F45" s="209">
        <f t="shared" si="29"/>
        <v>6.4270067243182264E-4</v>
      </c>
      <c r="G45" s="190">
        <f>SUMIF('MVTO E'!$C$3:$C$240,"SFIN",'MVTO E'!$I$3:$I$240)+SUMIF('DESP E'!$D$3:$D$146,"SFIN",'DESP E'!$I$3:$I$146)</f>
        <v>11636.390000000001</v>
      </c>
      <c r="H45" s="209">
        <f t="shared" si="30"/>
        <v>4.8877362704546705E-4</v>
      </c>
      <c r="I45" s="190">
        <f>SUMIF('MVTO E'!$C$3:$C$240,"SFIN",'MVTO E'!$J$3:$J$240)+SUMIF('DESP E'!$D$3:$D$146,"SFIN",'DESP E'!$J$3:$J$146)</f>
        <v>8484.4000000000015</v>
      </c>
      <c r="J45" s="211">
        <f t="shared" si="20"/>
        <v>3.8219747427156898E-4</v>
      </c>
      <c r="K45" s="190">
        <f>SUMIF('MVTO E'!$C$3:$C$240,"SFIN",'MVTO E'!$K$3:$K$240)+SUMIF('DESP E'!$D$3:$D$146,"SFIN",'DESP E'!$K$3:$K$146)</f>
        <v>0</v>
      </c>
      <c r="L45" s="211" t="e">
        <f t="shared" si="21"/>
        <v>#DIV/0!</v>
      </c>
      <c r="M45" s="190">
        <f>SUMIF('MVTO E'!$C$3:$C$240,"SFIN",'MVTO E'!$L$3:$L$240)+SUMIF('DESP E'!$D$3:$D$146,"SFIN",'DESP E'!$L$3:$L$146)</f>
        <v>0</v>
      </c>
      <c r="N45" s="211" t="e">
        <f t="shared" si="22"/>
        <v>#DIV/0!</v>
      </c>
      <c r="O45" s="190">
        <f>SUMIF('MVTO E'!$C$3:$C$240,"SFIN",'MVTO E'!$M$3:$M$240)+SUMIF('DESP E'!$D$3:$D$146,"SFIN",'DESP E'!$M$3:$M$146)</f>
        <v>0</v>
      </c>
      <c r="P45" s="211" t="e">
        <f t="shared" si="23"/>
        <v>#DIV/0!</v>
      </c>
      <c r="Q45" s="190">
        <f>SUMIF('MVTO E'!$C$3:$C$240,"SFIN",'MVTO E'!$N$3:$N$240)+SUMIF('DESP E'!$D$3:$D$146,"SFIN",'DESP E'!$N$3:$N$146)</f>
        <v>0</v>
      </c>
      <c r="R45" s="211" t="e">
        <f t="shared" si="24"/>
        <v>#DIV/0!</v>
      </c>
      <c r="S45" s="190">
        <f>SUMIF('MVTO E'!$C$3:$C$240,"SFIN",'MVTO E'!$O$3:$O$240)+SUMIF('DESP E'!$D$3:$D$146,"SFIN",'DESP E'!$O$3:$O$146)</f>
        <v>0</v>
      </c>
      <c r="T45" s="211" t="e">
        <f t="shared" si="25"/>
        <v>#DIV/0!</v>
      </c>
      <c r="U45" s="190">
        <f>SUMIF('MVTO E'!$C$3:$C$240,"SFIN",'MVTO E'!$P$3:$P$240)+SUMIF('DESP E'!$D$3:$D$146,"SFIN",'DESP E'!$P$3:$P$146)</f>
        <v>0</v>
      </c>
      <c r="V45" s="211" t="e">
        <f t="shared" si="26"/>
        <v>#DIV/0!</v>
      </c>
      <c r="W45" s="190">
        <f>SUMIF('MVTO E'!$C$3:$C$240,"SFIN",'MVTO E'!$Q$3:$Q$240)+SUMIF('DESP E'!$D$3:$D$146,"SFIN",'DESP E'!$Q$3:$Q$146)</f>
        <v>0</v>
      </c>
      <c r="X45" s="211" t="e">
        <f t="shared" si="27"/>
        <v>#DIV/0!</v>
      </c>
      <c r="Y45" s="190">
        <f>SUMIF('MVTO E'!$C$3:$C$240,"SFIN",'MVTO E'!$R$3:$R$240)+SUMIF('DESP E'!$D$3:$D$146,"SFIN",'DESP E'!$R$3:$R$146)</f>
        <v>0</v>
      </c>
      <c r="Z45" s="211" t="e">
        <f t="shared" si="28"/>
        <v>#DIV/0!</v>
      </c>
      <c r="AA45" s="190" t="e">
        <f>SUM(#REF!,#REF!,#REF!,#REF!,#REF!,#REF!,#REF!,#REF!,#REF!,#REF!,#REF!,#REF!)</f>
        <v>#REF!</v>
      </c>
      <c r="AB45" s="201" t="e">
        <f>AA45/$AA$4</f>
        <v>#REF!</v>
      </c>
    </row>
    <row r="46" spans="2:28" s="176" customFormat="1" ht="10.35" customHeight="1">
      <c r="B46" s="180" t="s">
        <v>23</v>
      </c>
      <c r="C46" s="195">
        <f>C42+C44-C45</f>
        <v>1142383.1700000025</v>
      </c>
      <c r="D46" s="209">
        <f t="shared" si="19"/>
        <v>3.4721829246247546E-2</v>
      </c>
      <c r="E46" s="195">
        <f>E42+E44-E45</f>
        <v>2828759.0700000012</v>
      </c>
      <c r="F46" s="209">
        <f t="shared" si="29"/>
        <v>0.13324333572280639</v>
      </c>
      <c r="G46" s="195">
        <f>G42+G44-G45</f>
        <v>2183425.140000002</v>
      </c>
      <c r="H46" s="209">
        <f t="shared" si="30"/>
        <v>9.1712345930314937E-2</v>
      </c>
      <c r="I46" s="195">
        <f>I42+I44-I45</f>
        <v>2790343.2999999975</v>
      </c>
      <c r="J46" s="211">
        <f t="shared" si="20"/>
        <v>0.12569682730783482</v>
      </c>
      <c r="K46" s="195">
        <f>K42+K44-K45</f>
        <v>0</v>
      </c>
      <c r="L46" s="211" t="e">
        <f t="shared" si="21"/>
        <v>#DIV/0!</v>
      </c>
      <c r="M46" s="195">
        <f>M42+M44-M45</f>
        <v>0</v>
      </c>
      <c r="N46" s="211" t="e">
        <f t="shared" si="22"/>
        <v>#DIV/0!</v>
      </c>
      <c r="O46" s="195">
        <f>O42+O44-O45</f>
        <v>0</v>
      </c>
      <c r="P46" s="211" t="e">
        <f t="shared" si="23"/>
        <v>#DIV/0!</v>
      </c>
      <c r="Q46" s="195">
        <f>Q42+Q44-Q45</f>
        <v>0</v>
      </c>
      <c r="R46" s="211" t="e">
        <f t="shared" si="24"/>
        <v>#DIV/0!</v>
      </c>
      <c r="S46" s="195">
        <f>S42+S44-S45</f>
        <v>0</v>
      </c>
      <c r="T46" s="211" t="e">
        <f t="shared" si="25"/>
        <v>#DIV/0!</v>
      </c>
      <c r="U46" s="195">
        <f>U42+U44-U45</f>
        <v>0</v>
      </c>
      <c r="V46" s="211" t="e">
        <f t="shared" si="26"/>
        <v>#DIV/0!</v>
      </c>
      <c r="W46" s="195">
        <f>W42+W44-W45</f>
        <v>0</v>
      </c>
      <c r="X46" s="211" t="e">
        <f t="shared" si="27"/>
        <v>#DIV/0!</v>
      </c>
      <c r="Y46" s="195">
        <f>Y42+Y44-Y45</f>
        <v>0</v>
      </c>
      <c r="Z46" s="211" t="e">
        <f t="shared" si="28"/>
        <v>#DIV/0!</v>
      </c>
      <c r="AA46" s="190" t="str">
        <f>IFERROR(AA42+AA43,"")</f>
        <v/>
      </c>
      <c r="AB46" s="201" t="e">
        <f>AA46/$AA$4</f>
        <v>#VALUE!</v>
      </c>
    </row>
    <row r="47" spans="2:28" s="176" customFormat="1" ht="10.35" customHeight="1">
      <c r="B47" s="178" t="s">
        <v>24</v>
      </c>
      <c r="C47" s="190"/>
      <c r="D47" s="209">
        <f t="shared" si="19"/>
        <v>0</v>
      </c>
      <c r="E47" s="190"/>
      <c r="F47" s="209">
        <f t="shared" si="29"/>
        <v>0</v>
      </c>
      <c r="G47" s="190"/>
      <c r="H47" s="209">
        <f t="shared" si="30"/>
        <v>0</v>
      </c>
      <c r="I47" s="190"/>
      <c r="J47" s="211">
        <f t="shared" si="20"/>
        <v>0</v>
      </c>
      <c r="K47" s="190"/>
      <c r="L47" s="211" t="e">
        <f t="shared" si="21"/>
        <v>#DIV/0!</v>
      </c>
      <c r="M47" s="190"/>
      <c r="N47" s="211" t="e">
        <f t="shared" si="22"/>
        <v>#DIV/0!</v>
      </c>
      <c r="O47" s="190"/>
      <c r="P47" s="211" t="e">
        <f t="shared" si="23"/>
        <v>#DIV/0!</v>
      </c>
      <c r="Q47" s="190"/>
      <c r="R47" s="211" t="e">
        <f t="shared" si="24"/>
        <v>#DIV/0!</v>
      </c>
      <c r="S47" s="190"/>
      <c r="T47" s="211" t="e">
        <f t="shared" si="25"/>
        <v>#DIV/0!</v>
      </c>
      <c r="U47" s="190"/>
      <c r="V47" s="211" t="e">
        <f t="shared" si="26"/>
        <v>#DIV/0!</v>
      </c>
      <c r="W47" s="190"/>
      <c r="X47" s="211" t="e">
        <f t="shared" si="27"/>
        <v>#DIV/0!</v>
      </c>
      <c r="Y47" s="190"/>
      <c r="Z47" s="211" t="e">
        <f t="shared" si="28"/>
        <v>#DIV/0!</v>
      </c>
      <c r="AA47" s="179" t="e">
        <f>SUM(#REF!,#REF!,#REF!,#REF!,#REF!,#REF!,#REF!,#REF!,#REF!,#REF!,#REF!,#REF!)</f>
        <v>#REF!</v>
      </c>
      <c r="AB47" s="201" t="e">
        <f>AA47/$AA$4</f>
        <v>#REF!</v>
      </c>
    </row>
    <row r="48" spans="2:28" s="176" customFormat="1" ht="10.35" customHeight="1">
      <c r="B48" s="182" t="s">
        <v>25</v>
      </c>
      <c r="C48" s="196">
        <f>C42+C44-C45</f>
        <v>1142383.1700000025</v>
      </c>
      <c r="D48" s="213">
        <f>C48/$C$10</f>
        <v>3.4721829246247546E-2</v>
      </c>
      <c r="E48" s="196">
        <f>E42+E44-E45</f>
        <v>2828759.0700000012</v>
      </c>
      <c r="F48" s="213">
        <f t="shared" si="29"/>
        <v>0.13324333572280639</v>
      </c>
      <c r="G48" s="196">
        <f>G42+G44-G45</f>
        <v>2183425.140000002</v>
      </c>
      <c r="H48" s="213">
        <f t="shared" si="30"/>
        <v>9.1712345930314937E-2</v>
      </c>
      <c r="I48" s="196">
        <f>I42+I44-I45</f>
        <v>2790343.2999999975</v>
      </c>
      <c r="J48" s="211">
        <f t="shared" si="20"/>
        <v>0.12569682730783482</v>
      </c>
      <c r="K48" s="196">
        <f>K42+K44-K45</f>
        <v>0</v>
      </c>
      <c r="L48" s="211" t="e">
        <f t="shared" si="21"/>
        <v>#DIV/0!</v>
      </c>
      <c r="M48" s="196">
        <f>M42+M44-M45</f>
        <v>0</v>
      </c>
      <c r="N48" s="211" t="e">
        <f t="shared" si="22"/>
        <v>#DIV/0!</v>
      </c>
      <c r="O48" s="196">
        <f>O42+O44-O45</f>
        <v>0</v>
      </c>
      <c r="P48" s="211" t="e">
        <f t="shared" si="23"/>
        <v>#DIV/0!</v>
      </c>
      <c r="Q48" s="196">
        <f>Q42+Q44-Q45</f>
        <v>0</v>
      </c>
      <c r="R48" s="211" t="e">
        <f t="shared" si="24"/>
        <v>#DIV/0!</v>
      </c>
      <c r="S48" s="196">
        <f>S42+S44-S45</f>
        <v>0</v>
      </c>
      <c r="T48" s="211" t="e">
        <f t="shared" si="25"/>
        <v>#DIV/0!</v>
      </c>
      <c r="U48" s="196">
        <f>U42+U44-U45</f>
        <v>0</v>
      </c>
      <c r="V48" s="211" t="e">
        <f t="shared" si="26"/>
        <v>#DIV/0!</v>
      </c>
      <c r="W48" s="196">
        <f>W42+W44-W45</f>
        <v>0</v>
      </c>
      <c r="X48" s="211" t="e">
        <f t="shared" si="27"/>
        <v>#DIV/0!</v>
      </c>
      <c r="Y48" s="196">
        <f>Y42+Y44-Y45</f>
        <v>0</v>
      </c>
      <c r="Z48" s="211" t="e">
        <f t="shared" si="28"/>
        <v>#DIV/0!</v>
      </c>
      <c r="AA48" s="196" t="e">
        <f>AA42+AA44-AA45</f>
        <v>#VALUE!</v>
      </c>
      <c r="AB48" s="205" t="e">
        <f t="shared" ref="AB48:AB72" si="31">AA48/$AA$10</f>
        <v>#VALUE!</v>
      </c>
    </row>
    <row r="49" spans="2:89" s="176" customFormat="1" ht="10.35" customHeight="1">
      <c r="B49" s="182" t="s">
        <v>26</v>
      </c>
      <c r="C49" s="196">
        <f>IFERROR(C50-C57,"")</f>
        <v>7647475.4799999986</v>
      </c>
      <c r="D49" s="213">
        <f>C49/$C$10</f>
        <v>0.23243894409038288</v>
      </c>
      <c r="E49" s="196">
        <f>IFERROR(E50-E57,"")</f>
        <v>2674807.5699999994</v>
      </c>
      <c r="F49" s="213">
        <f t="shared" si="29"/>
        <v>0.12599174204094155</v>
      </c>
      <c r="G49" s="196">
        <f>IFERROR(G50-G57,"")</f>
        <v>6846239.0300000003</v>
      </c>
      <c r="H49" s="213">
        <f t="shared" si="30"/>
        <v>0.28756866023855676</v>
      </c>
      <c r="I49" s="196">
        <f>IFERROR(I50-I57,"")</f>
        <v>5549732.1499999994</v>
      </c>
      <c r="J49" s="211">
        <f t="shared" si="20"/>
        <v>0.2499992469253835</v>
      </c>
      <c r="K49" s="196">
        <f>IFERROR(K50-K57,"")</f>
        <v>0</v>
      </c>
      <c r="L49" s="211" t="e">
        <f t="shared" si="21"/>
        <v>#DIV/0!</v>
      </c>
      <c r="M49" s="196">
        <f>IFERROR(M50-M57,"")</f>
        <v>0</v>
      </c>
      <c r="N49" s="211" t="e">
        <f t="shared" si="22"/>
        <v>#DIV/0!</v>
      </c>
      <c r="O49" s="196">
        <f>IFERROR(O50-O57,"")</f>
        <v>0</v>
      </c>
      <c r="P49" s="211" t="e">
        <f t="shared" si="23"/>
        <v>#DIV/0!</v>
      </c>
      <c r="Q49" s="196">
        <f>IFERROR(Q50-Q57,"")</f>
        <v>0</v>
      </c>
      <c r="R49" s="211" t="e">
        <f t="shared" si="24"/>
        <v>#DIV/0!</v>
      </c>
      <c r="S49" s="196">
        <f>IFERROR(S50-S57,"")</f>
        <v>0</v>
      </c>
      <c r="T49" s="211" t="e">
        <f t="shared" si="25"/>
        <v>#DIV/0!</v>
      </c>
      <c r="U49" s="196">
        <f>IFERROR(U50-U57,"")</f>
        <v>0</v>
      </c>
      <c r="V49" s="211" t="e">
        <f t="shared" si="26"/>
        <v>#DIV/0!</v>
      </c>
      <c r="W49" s="196">
        <f>IFERROR(W50-W57,"")</f>
        <v>0</v>
      </c>
      <c r="X49" s="211" t="e">
        <f t="shared" si="27"/>
        <v>#DIV/0!</v>
      </c>
      <c r="Y49" s="196">
        <f>IFERROR(Y50-Y57,"")</f>
        <v>0</v>
      </c>
      <c r="Z49" s="211" t="e">
        <f t="shared" si="28"/>
        <v>#DIV/0!</v>
      </c>
      <c r="AA49" s="196" t="str">
        <f>IFERROR(AA50-AA57,"")</f>
        <v/>
      </c>
      <c r="AB49" s="205" t="e">
        <f t="shared" si="31"/>
        <v>#VALUE!</v>
      </c>
    </row>
    <row r="50" spans="2:89" s="176" customFormat="1" ht="10.35" customHeight="1">
      <c r="B50" s="180" t="s">
        <v>27</v>
      </c>
      <c r="C50" s="195">
        <f>SUM(C51:C56)</f>
        <v>8586436.2199999988</v>
      </c>
      <c r="D50" s="209">
        <f t="shared" si="19"/>
        <v>0.26097791012155275</v>
      </c>
      <c r="E50" s="195">
        <f>SUM(E51:E56)</f>
        <v>4902049.8499999996</v>
      </c>
      <c r="F50" s="209">
        <f t="shared" si="29"/>
        <v>0.23090176919644217</v>
      </c>
      <c r="G50" s="195">
        <f>SUM(G51:G56)</f>
        <v>8810884.2300000004</v>
      </c>
      <c r="H50" s="209">
        <f t="shared" si="30"/>
        <v>0.37009139798294888</v>
      </c>
      <c r="I50" s="195">
        <f>SUM(I51:I56)</f>
        <v>6282130.1899999995</v>
      </c>
      <c r="J50" s="211">
        <f t="shared" si="20"/>
        <v>0.28299164250426329</v>
      </c>
      <c r="K50" s="195">
        <f>SUM(K51:K56)</f>
        <v>0</v>
      </c>
      <c r="L50" s="211" t="e">
        <f t="shared" si="21"/>
        <v>#DIV/0!</v>
      </c>
      <c r="M50" s="195">
        <f>SUM(M51:M56)</f>
        <v>0</v>
      </c>
      <c r="N50" s="211" t="e">
        <f t="shared" si="22"/>
        <v>#DIV/0!</v>
      </c>
      <c r="O50" s="195">
        <f>SUM(O51:O56)</f>
        <v>0</v>
      </c>
      <c r="P50" s="211" t="e">
        <f t="shared" si="23"/>
        <v>#DIV/0!</v>
      </c>
      <c r="Q50" s="195">
        <f>SUM(Q51:Q56)</f>
        <v>0</v>
      </c>
      <c r="R50" s="211" t="e">
        <f t="shared" si="24"/>
        <v>#DIV/0!</v>
      </c>
      <c r="S50" s="195">
        <f>SUM(S51:S56)</f>
        <v>0</v>
      </c>
      <c r="T50" s="211" t="e">
        <f t="shared" si="25"/>
        <v>#DIV/0!</v>
      </c>
      <c r="U50" s="195">
        <f>SUM(U51:U56)</f>
        <v>0</v>
      </c>
      <c r="V50" s="211" t="e">
        <f t="shared" si="26"/>
        <v>#DIV/0!</v>
      </c>
      <c r="W50" s="195">
        <f>SUM(W51:W56)</f>
        <v>0</v>
      </c>
      <c r="X50" s="211" t="e">
        <f t="shared" si="27"/>
        <v>#DIV/0!</v>
      </c>
      <c r="Y50" s="195">
        <f>SUM(Y51:Y56)</f>
        <v>0</v>
      </c>
      <c r="Z50" s="211" t="e">
        <f t="shared" si="28"/>
        <v>#DIV/0!</v>
      </c>
      <c r="AA50" s="190" t="e">
        <f>IF(SUM(AA51:AA54)=0,"",SUM(AA51:AA54))</f>
        <v>#REF!</v>
      </c>
      <c r="AB50" s="201" t="e">
        <f t="shared" si="31"/>
        <v>#REF!</v>
      </c>
    </row>
    <row r="51" spans="2:89" s="176" customFormat="1" ht="10.35" customHeight="1">
      <c r="B51" s="178" t="s">
        <v>28</v>
      </c>
      <c r="C51" s="190">
        <f>SUMIF('MVTO E'!$C$3:$C$240,"Empres_S",'MVTO E'!$G$3:$G$240)</f>
        <v>5825866.4000000004</v>
      </c>
      <c r="D51" s="209">
        <f t="shared" si="19"/>
        <v>0.17707258270642282</v>
      </c>
      <c r="E51" s="190">
        <f>SUMIF('MVTO E'!$C$3:$C$240,"Empres_S",'MVTO E'!$H$3:$H$240)</f>
        <v>2365724.1599999997</v>
      </c>
      <c r="F51" s="209">
        <f t="shared" si="29"/>
        <v>0.1114329537009435</v>
      </c>
      <c r="G51" s="190">
        <f>SUMIF('MVTO E'!$C$3:$C$240,"Empres_S",'MVTO E'!$I$3:$I$240)</f>
        <v>5328894.2</v>
      </c>
      <c r="H51" s="209">
        <f t="shared" si="30"/>
        <v>0.22383427732102071</v>
      </c>
      <c r="I51" s="190">
        <f>SUMIF('MVTO E'!$C$3:$C$240,"Empres_S",'MVTO E'!$J$3:$J$240)</f>
        <v>3080492.7899999996</v>
      </c>
      <c r="J51" s="211">
        <f t="shared" si="20"/>
        <v>0.13876721557797586</v>
      </c>
      <c r="K51" s="190">
        <f>SUMIF('MVTO E'!$C$3:$C$240,"Empres_S",'MVTO E'!$K$3:$K$240)</f>
        <v>0</v>
      </c>
      <c r="L51" s="211" t="e">
        <f t="shared" si="21"/>
        <v>#DIV/0!</v>
      </c>
      <c r="M51" s="190">
        <f>SUMIF('MVTO E'!$C$3:$C$240,"Empres_S",'MVTO E'!$L$3:$L$240)</f>
        <v>0</v>
      </c>
      <c r="N51" s="211" t="e">
        <f t="shared" si="22"/>
        <v>#DIV/0!</v>
      </c>
      <c r="O51" s="190">
        <f>SUMIF('MVTO E'!$C$3:$C$240,"Empres_S",'MVTO E'!$M$3:$M$240)</f>
        <v>0</v>
      </c>
      <c r="P51" s="211" t="e">
        <f t="shared" si="23"/>
        <v>#DIV/0!</v>
      </c>
      <c r="Q51" s="190">
        <f>SUMIF('MVTO E'!$C$3:$C$240,"Empres_S",'MVTO E'!$N$3:$N$240)</f>
        <v>0</v>
      </c>
      <c r="R51" s="211" t="e">
        <f t="shared" si="24"/>
        <v>#DIV/0!</v>
      </c>
      <c r="S51" s="190">
        <f>SUMIF('MVTO E'!$C$3:$C$240,"Empres_S",'MVTO E'!$O$3:$O$240)</f>
        <v>0</v>
      </c>
      <c r="T51" s="211" t="e">
        <f t="shared" si="25"/>
        <v>#DIV/0!</v>
      </c>
      <c r="U51" s="190">
        <f>SUMIF('MVTO E'!$C$3:$C$240,"Empres_S",'MVTO E'!$P$3:$P$240)</f>
        <v>0</v>
      </c>
      <c r="V51" s="211" t="e">
        <f t="shared" si="26"/>
        <v>#DIV/0!</v>
      </c>
      <c r="W51" s="190">
        <f>SUMIF('MVTO E'!$C$3:$C$240,"Empres_S",'MVTO E'!$Q$3:$Q$240)</f>
        <v>0</v>
      </c>
      <c r="X51" s="211" t="e">
        <f t="shared" si="27"/>
        <v>#DIV/0!</v>
      </c>
      <c r="Y51" s="190">
        <f>SUMIF('MVTO E'!$C$3:$C$240,"Empres_S",'MVTO E'!$R$3:$R$240)</f>
        <v>0</v>
      </c>
      <c r="Z51" s="211" t="e">
        <f t="shared" si="28"/>
        <v>#DIV/0!</v>
      </c>
      <c r="AA51" s="190" t="e">
        <f>SUM(#REF!,#REF!,#REF!,#REF!,#REF!,#REF!,#REF!,#REF!,#REF!,#REF!,#REF!,#REF!)</f>
        <v>#REF!</v>
      </c>
      <c r="AB51" s="201" t="e">
        <f t="shared" si="31"/>
        <v>#REF!</v>
      </c>
    </row>
    <row r="52" spans="2:89" s="176" customFormat="1" ht="10.35" customHeight="1">
      <c r="B52" s="178" t="s">
        <v>29</v>
      </c>
      <c r="C52" s="190">
        <f>SUMIF('MVTO E'!$C$3:$C$240,"Investimentos",'MVTO E'!$G$3:$G$240)</f>
        <v>600</v>
      </c>
      <c r="D52" s="209">
        <f t="shared" si="19"/>
        <v>1.8236523519292116E-5</v>
      </c>
      <c r="E52" s="190">
        <f>SUMIF('MVTO E'!$C$3:$C$240,"Investimentos",'MVTO E'!$H$3:$H$240)</f>
        <v>200</v>
      </c>
      <c r="F52" s="209">
        <f t="shared" si="29"/>
        <v>9.4206210161833505E-6</v>
      </c>
      <c r="G52" s="190">
        <f>SUMIF('MVTO E'!$C$3:$C$240,"Investimentos",'MVTO E'!$I$3:$I$240)</f>
        <v>200</v>
      </c>
      <c r="H52" s="209">
        <f t="shared" si="30"/>
        <v>8.4007776818320285E-6</v>
      </c>
      <c r="I52" s="190">
        <f>SUMIF('MVTO E'!$C$3:$C$240,"Investimentos",'MVTO E'!$J$3:$J$240)</f>
        <v>200</v>
      </c>
      <c r="J52" s="211">
        <f t="shared" si="20"/>
        <v>9.0094166769970522E-6</v>
      </c>
      <c r="K52" s="190">
        <f>SUMIF('MVTO E'!$C$3:$C$240,"Investimentos",'MVTO E'!$K$3:$K$240)</f>
        <v>0</v>
      </c>
      <c r="L52" s="211" t="e">
        <f t="shared" si="21"/>
        <v>#DIV/0!</v>
      </c>
      <c r="M52" s="190">
        <f>SUMIF('MVTO E'!$C$3:$C$240,"Investimentos",'MVTO E'!$L$3:$L$240)</f>
        <v>0</v>
      </c>
      <c r="N52" s="211" t="e">
        <f t="shared" si="22"/>
        <v>#DIV/0!</v>
      </c>
      <c r="O52" s="190">
        <f>SUMIF('MVTO E'!$C$3:$C$240,"Investimentos",'MVTO E'!$M$3:$M$240)</f>
        <v>0</v>
      </c>
      <c r="P52" s="211" t="e">
        <f t="shared" si="23"/>
        <v>#DIV/0!</v>
      </c>
      <c r="Q52" s="190">
        <f>SUMIF('MVTO E'!$C$3:$C$240,"Investimentos",'MVTO E'!$N$3:$N$240)</f>
        <v>0</v>
      </c>
      <c r="R52" s="211" t="e">
        <f t="shared" si="24"/>
        <v>#DIV/0!</v>
      </c>
      <c r="S52" s="190">
        <f>SUMIF('MVTO E'!$C$3:$C$240,"Investimentos",'MVTO E'!$O$3:$O$240)</f>
        <v>0</v>
      </c>
      <c r="T52" s="211" t="e">
        <f t="shared" si="25"/>
        <v>#DIV/0!</v>
      </c>
      <c r="U52" s="190">
        <f>SUMIF('MVTO E'!$C$3:$C$240,"Investimentos",'MVTO E'!$P$3:$P$240)</f>
        <v>0</v>
      </c>
      <c r="V52" s="211" t="e">
        <f t="shared" si="26"/>
        <v>#DIV/0!</v>
      </c>
      <c r="W52" s="190">
        <f>SUMIF('MVTO E'!$C$3:$C$240,"Investimentos",'MVTO E'!$Q$3:$Q$240)</f>
        <v>0</v>
      </c>
      <c r="X52" s="211" t="e">
        <f t="shared" si="27"/>
        <v>#DIV/0!</v>
      </c>
      <c r="Y52" s="190">
        <f>SUMIF('MVTO E'!$C$3:$C$240,"Investimentos",'MVTO E'!$R$3:$R$240)</f>
        <v>0</v>
      </c>
      <c r="Z52" s="211" t="e">
        <f t="shared" si="28"/>
        <v>#DIV/0!</v>
      </c>
      <c r="AA52" s="190" t="e">
        <f>SUM(#REF!,#REF!,#REF!,#REF!,#REF!,#REF!,#REF!,#REF!,#REF!,#REF!,#REF!,#REF!)</f>
        <v>#REF!</v>
      </c>
      <c r="AB52" s="201" t="e">
        <f t="shared" si="31"/>
        <v>#REF!</v>
      </c>
    </row>
    <row r="53" spans="2:89" s="176" customFormat="1" ht="10.35" customHeight="1">
      <c r="B53" s="178" t="s">
        <v>359</v>
      </c>
      <c r="C53" s="190">
        <f>SUMIF('MVTO E'!$C$3:$C$240,"Imobilizado",'MVTO E'!$G$3:$G$240)+SUMIF('DESP E'!$D$3:$D$146,"Imobilizado",'DESP E'!$G$3:$G$146)</f>
        <v>494732.47000000003</v>
      </c>
      <c r="D53" s="209">
        <f t="shared" si="19"/>
        <v>1.50370005415208E-2</v>
      </c>
      <c r="E53" s="190">
        <f>SUMIF('MVTO E'!$C$3:$C$240,"Imobilizado",'MVTO E'!$H$3:$H$240)+SUMIF('DESP E'!$D$3:$D$146,"Imobilizado",'DESP E'!$H$3:$H$146)</f>
        <v>704588.90999999992</v>
      </c>
      <c r="F53" s="209">
        <f t="shared" si="29"/>
        <v>3.3188325466578593E-2</v>
      </c>
      <c r="G53" s="190">
        <f>SUMIF('MVTO E'!$C$3:$C$240,"Imobilizado",'MVTO E'!$I$3:$I$240)+SUMIF('DESP E'!$D$3:$D$146,"Imobilizado",'DESP E'!$I$3:$I$146)</f>
        <v>1384396.14</v>
      </c>
      <c r="H53" s="209">
        <f t="shared" si="30"/>
        <v>5.8150020978632033E-2</v>
      </c>
      <c r="I53" s="190">
        <f>SUMIF('MVTO E'!$C$3:$C$240,"Imobilizado",'MVTO E'!$J$3:$J$240)+SUMIF('DESP E'!$D$3:$D$146,"Imobilizado",'DESP E'!$J$3:$J$146)</f>
        <v>1155208.47</v>
      </c>
      <c r="J53" s="211">
        <f t="shared" si="20"/>
        <v>5.2038772275131241E-2</v>
      </c>
      <c r="K53" s="190">
        <f>SUMIF('MVTO E'!$C$3:$C$240,"Imobilizado",'MVTO E'!$K$3:$K$240)+SUMIF('DESP E'!$D$3:$D$146,"Imobilizado",'DESP E'!$K$3:$K$146)</f>
        <v>0</v>
      </c>
      <c r="L53" s="211" t="e">
        <f t="shared" si="21"/>
        <v>#DIV/0!</v>
      </c>
      <c r="M53" s="190">
        <f>SUMIF('MVTO E'!$C$3:$C$240,"Imobilizado",'MVTO E'!$L$3:$L$240)+SUMIF('DESP E'!$D$3:$D$146,"Imobilizado",'DESP E'!$L$3:$L$146)</f>
        <v>0</v>
      </c>
      <c r="N53" s="211" t="e">
        <f t="shared" si="22"/>
        <v>#DIV/0!</v>
      </c>
      <c r="O53" s="190">
        <f>SUMIF('MVTO E'!$C$3:$C$240,"Imobilizado",'MVTO E'!$M$3:$M$240)+SUMIF('DESP E'!$D$3:$D$146,"Imobilizado",'DESP E'!$M$3:$M$146)</f>
        <v>0</v>
      </c>
      <c r="P53" s="211" t="e">
        <f t="shared" si="23"/>
        <v>#DIV/0!</v>
      </c>
      <c r="Q53" s="190">
        <f>SUMIF('MVTO E'!$C$3:$C$240,"Imobilizado",'MVTO E'!$N$3:$N$240)+SUMIF('DESP E'!$D$3:$D$146,"Imobilizado",'DESP E'!$N$3:$N$146)</f>
        <v>0</v>
      </c>
      <c r="R53" s="211" t="e">
        <f t="shared" si="24"/>
        <v>#DIV/0!</v>
      </c>
      <c r="S53" s="190">
        <f>SUMIF('MVTO E'!$C$3:$C$240,"Imobilizado",'MVTO E'!$O$3:$O$240)+SUMIF('DESP E'!$D$3:$D$146,"Imobilizado",'DESP E'!$O$3:$O$146)</f>
        <v>0</v>
      </c>
      <c r="T53" s="211" t="e">
        <f t="shared" si="25"/>
        <v>#DIV/0!</v>
      </c>
      <c r="U53" s="190">
        <f>SUMIF('MVTO E'!$C$3:$C$240,"Imobilizado",'MVTO E'!$P$3:$P$240)+SUMIF('DESP E'!$D$3:$D$146,"Imobilizado",'DESP E'!$P$3:$P$146)</f>
        <v>0</v>
      </c>
      <c r="V53" s="211" t="e">
        <f t="shared" si="26"/>
        <v>#DIV/0!</v>
      </c>
      <c r="W53" s="190">
        <f>SUMIF('MVTO E'!$C$3:$C$240,"Imobilizado",'MVTO E'!$Q$3:$Q$240)+SUMIF('DESP E'!$D$3:$D$146,"Imobilizado",'DESP E'!$Q$3:$Q$146)</f>
        <v>0</v>
      </c>
      <c r="X53" s="211" t="e">
        <f t="shared" si="27"/>
        <v>#DIV/0!</v>
      </c>
      <c r="Y53" s="190">
        <f>SUMIF('MVTO E'!$C$3:$C$240,"Imobilizado",'MVTO E'!$R$3:$R$240)+SUMIF('DESP E'!$D$3:$D$146,"Imobilizado",'DESP E'!$R$3:$R$146)</f>
        <v>0</v>
      </c>
      <c r="Z53" s="211" t="e">
        <f t="shared" si="28"/>
        <v>#DIV/0!</v>
      </c>
      <c r="AA53" s="190" t="e">
        <f>SUM(#REF!,#REF!,#REF!,#REF!,#REF!,#REF!,#REF!,#REF!,#REF!,#REF!,#REF!,#REF!)</f>
        <v>#REF!</v>
      </c>
      <c r="AB53" s="201" t="e">
        <f t="shared" si="31"/>
        <v>#REF!</v>
      </c>
    </row>
    <row r="54" spans="2:89" s="176" customFormat="1" ht="10.35" customHeight="1">
      <c r="B54" s="178" t="s">
        <v>39</v>
      </c>
      <c r="C54" s="190">
        <f>SUMIF('MVTO E'!$C$3:$C$240,"Parcela",'MVTO E'!$G$3:$G$240)</f>
        <v>466788.02</v>
      </c>
      <c r="D54" s="209">
        <f t="shared" si="19"/>
        <v>1.4187651175422996E-2</v>
      </c>
      <c r="E54" s="190">
        <f>SUMIF('MVTO E'!$C$3:$C$240,"Parcela",'MVTO E'!$H$3:$H$240)</f>
        <v>462854.1</v>
      </c>
      <c r="F54" s="209">
        <f t="shared" si="29"/>
        <v>2.1801865309433149E-2</v>
      </c>
      <c r="G54" s="190">
        <f>SUMIF('MVTO E'!$C$3:$C$240,"Parcela",'MVTO E'!$I$3:$I$240)</f>
        <v>438430.66</v>
      </c>
      <c r="H54" s="209">
        <f t="shared" si="30"/>
        <v>1.8415792517794429E-2</v>
      </c>
      <c r="I54" s="190">
        <f>SUMIF('MVTO E'!$C$3:$C$240,"Parcela",'MVTO E'!$J$3:$J$240)</f>
        <v>474980.09</v>
      </c>
      <c r="J54" s="211">
        <f t="shared" si="20"/>
        <v>2.1396467720437806E-2</v>
      </c>
      <c r="K54" s="190">
        <f>SUMIF('MVTO E'!$C$3:$C$240,"Parcela",'MVTO E'!$K$3:$K$240)</f>
        <v>0</v>
      </c>
      <c r="L54" s="211" t="e">
        <f t="shared" si="21"/>
        <v>#DIV/0!</v>
      </c>
      <c r="M54" s="190">
        <f>SUMIF('MVTO E'!$C$3:$C$240,"Parcela",'MVTO E'!$L$3:$L$240)</f>
        <v>0</v>
      </c>
      <c r="N54" s="211" t="e">
        <f t="shared" si="22"/>
        <v>#DIV/0!</v>
      </c>
      <c r="O54" s="190">
        <f>SUMIF('MVTO E'!$C$3:$C$240,"Parcela",'MVTO E'!$M$3:$M$240)</f>
        <v>0</v>
      </c>
      <c r="P54" s="211" t="e">
        <f t="shared" si="23"/>
        <v>#DIV/0!</v>
      </c>
      <c r="Q54" s="190">
        <f>SUMIF('MVTO E'!$C$3:$C$240,"Parcela",'MVTO E'!$N$3:$N$240)</f>
        <v>0</v>
      </c>
      <c r="R54" s="211" t="e">
        <f t="shared" si="24"/>
        <v>#DIV/0!</v>
      </c>
      <c r="S54" s="190">
        <f>SUMIF('MVTO E'!$C$3:$C$240,"Parcela",'MVTO E'!$O$3:$O$240)</f>
        <v>0</v>
      </c>
      <c r="T54" s="211" t="e">
        <f t="shared" si="25"/>
        <v>#DIV/0!</v>
      </c>
      <c r="U54" s="190">
        <f>SUMIF('MVTO E'!$C$3:$C$240,"Parcela",'MVTO E'!$P$3:$P$240)</f>
        <v>0</v>
      </c>
      <c r="V54" s="211" t="e">
        <f t="shared" si="26"/>
        <v>#DIV/0!</v>
      </c>
      <c r="W54" s="190">
        <f>SUMIF('MVTO E'!$C$3:$C$240,"Parcela",'MVTO E'!$Q$3:$Q$240)</f>
        <v>0</v>
      </c>
      <c r="X54" s="211" t="e">
        <f t="shared" si="27"/>
        <v>#DIV/0!</v>
      </c>
      <c r="Y54" s="190">
        <f>SUMIF('MVTO E'!$C$3:$C$240,"Parcela",'MVTO E'!$R$3:$R$240)</f>
        <v>0</v>
      </c>
      <c r="Z54" s="211" t="e">
        <f t="shared" si="28"/>
        <v>#DIV/0!</v>
      </c>
      <c r="AA54" s="190" t="e">
        <f>SUM(#REF!,#REF!,#REF!,#REF!,#REF!,#REF!,#REF!,#REF!,#REF!,#REF!,#REF!,#REF!)</f>
        <v>#REF!</v>
      </c>
      <c r="AB54" s="201" t="e">
        <f t="shared" si="31"/>
        <v>#REF!</v>
      </c>
    </row>
    <row r="55" spans="2:89" s="176" customFormat="1" ht="10.35" customHeight="1">
      <c r="B55" s="178" t="s">
        <v>381</v>
      </c>
      <c r="C55" s="190">
        <f>SUMIF('MVTO E'!$C$3:$C$240,"Desp_emp",'MVTO E'!$G$3:$G$240)</f>
        <v>1795129.2199999997</v>
      </c>
      <c r="D55" s="209">
        <f t="shared" si="19"/>
        <v>5.4561527067830837E-2</v>
      </c>
      <c r="E55" s="190">
        <f>SUMIF('MVTO E'!$C$3:$C$240,"Desp_emp",'MVTO E'!$H$3:$H$240)</f>
        <v>1366229.73</v>
      </c>
      <c r="F55" s="209">
        <f t="shared" si="29"/>
        <v>6.4353662536862519E-2</v>
      </c>
      <c r="G55" s="190">
        <f>SUMIF('MVTO E'!$C$3:$C$240,"Desp_emp",'MVTO E'!$I$3:$I$240)</f>
        <v>1656239.26</v>
      </c>
      <c r="H55" s="209">
        <f t="shared" si="30"/>
        <v>6.9568489055909968E-2</v>
      </c>
      <c r="I55" s="190">
        <f>SUMIF('MVTO E'!$C$3:$C$240,"Desp_emp",'MVTO E'!$J$3:$J$240)</f>
        <v>1570944.29</v>
      </c>
      <c r="J55" s="211">
        <f t="shared" si="20"/>
        <v>7.0766458424796466E-2</v>
      </c>
      <c r="K55" s="190">
        <f>SUMIF('MVTO E'!$C$3:$C$240,"Desp_emp",'MVTO E'!$K$3:$K$240)</f>
        <v>0</v>
      </c>
      <c r="L55" s="211" t="e">
        <f t="shared" si="21"/>
        <v>#DIV/0!</v>
      </c>
      <c r="M55" s="190">
        <f>SUMIF('MVTO E'!$C$3:$C$240,"Desp_emp",'MVTO E'!$L$3:$L$240)</f>
        <v>0</v>
      </c>
      <c r="N55" s="211" t="e">
        <f t="shared" si="22"/>
        <v>#DIV/0!</v>
      </c>
      <c r="O55" s="190">
        <f>SUMIF('MVTO E'!$C$3:$C$240,"Desp_emp",'MVTO E'!$M$3:$M$240)</f>
        <v>0</v>
      </c>
      <c r="P55" s="211" t="e">
        <f t="shared" si="23"/>
        <v>#DIV/0!</v>
      </c>
      <c r="Q55" s="190">
        <f>SUMIF('MVTO E'!$C$3:$C$240,"Desp_emp",'MVTO E'!$N$3:$N$240)</f>
        <v>0</v>
      </c>
      <c r="R55" s="211" t="e">
        <f t="shared" si="24"/>
        <v>#DIV/0!</v>
      </c>
      <c r="S55" s="190">
        <f>SUMIF('MVTO E'!$C$3:$C$240,"Desp_emp",'MVTO E'!$O$3:$O$240)</f>
        <v>0</v>
      </c>
      <c r="T55" s="211" t="e">
        <f t="shared" si="25"/>
        <v>#DIV/0!</v>
      </c>
      <c r="U55" s="190">
        <f>SUMIF('MVTO E'!$C$3:$C$240,"Desp_emp",'MVTO E'!$P$3:$P$240)</f>
        <v>0</v>
      </c>
      <c r="V55" s="211" t="e">
        <f t="shared" si="26"/>
        <v>#DIV/0!</v>
      </c>
      <c r="W55" s="190">
        <f>SUMIF('MVTO E'!$C$3:$C$240,"Desp_emp",'MVTO E'!$Q$3:$Q$240)</f>
        <v>0</v>
      </c>
      <c r="X55" s="211" t="e">
        <f t="shared" si="27"/>
        <v>#DIV/0!</v>
      </c>
      <c r="Y55" s="190">
        <f>SUMIF('MVTO E'!$C$3:$C$240,"Desp_emp",'MVTO E'!$R$3:$R$240)</f>
        <v>0</v>
      </c>
      <c r="Z55" s="211" t="e">
        <f t="shared" si="28"/>
        <v>#DIV/0!</v>
      </c>
      <c r="AA55" s="190" t="e">
        <f>SUM(#REF!,#REF!,#REF!,#REF!,#REF!,#REF!,#REF!,#REF!,#REF!,#REF!,#REF!,#REF!)</f>
        <v>#REF!</v>
      </c>
      <c r="AB55" s="201" t="e">
        <f t="shared" si="31"/>
        <v>#REF!</v>
      </c>
    </row>
    <row r="56" spans="2:89" s="176" customFormat="1" ht="10.35" customHeight="1">
      <c r="B56" s="178" t="s">
        <v>358</v>
      </c>
      <c r="C56" s="190">
        <f>SUMIF('MVTO E'!$C$3:$C$240,"IOF_EMP",'MVTO E'!$G$3:$G$240)</f>
        <v>3320.1099999999997</v>
      </c>
      <c r="D56" s="209">
        <f t="shared" si="19"/>
        <v>1.0091210683606156E-4</v>
      </c>
      <c r="E56" s="190">
        <f>SUMIF('MVTO E'!$C$3:$C$240,"IOF_EMP",'MVTO E'!$H$3:$H$240)</f>
        <v>2452.9499999999998</v>
      </c>
      <c r="F56" s="209">
        <f t="shared" si="29"/>
        <v>1.1554156160823473E-4</v>
      </c>
      <c r="G56" s="190">
        <f>SUMIF('MVTO E'!$C$3:$C$240,"IOF_EMP",'MVTO E'!$I$3:$I$240)</f>
        <v>2723.97</v>
      </c>
      <c r="H56" s="209">
        <f t="shared" si="30"/>
        <v>1.1441733190989994E-4</v>
      </c>
      <c r="I56" s="190">
        <f>SUMIF('MVTO E'!$C$3:$C$240,"IOF_EMP",'MVTO E'!$J$3:$J$240)</f>
        <v>304.55</v>
      </c>
      <c r="J56" s="211">
        <f t="shared" si="20"/>
        <v>1.3719089244897261E-5</v>
      </c>
      <c r="K56" s="190">
        <f>SUMIF('MVTO E'!$C$3:$C$240,"IOF_EMP",'MVTO E'!$K$3:$K$240)</f>
        <v>0</v>
      </c>
      <c r="L56" s="211" t="e">
        <f t="shared" si="21"/>
        <v>#DIV/0!</v>
      </c>
      <c r="M56" s="190">
        <f>SUMIF('MVTO E'!$C$3:$C$240,"IOF_EMP",'MVTO E'!$L$3:$L$240)</f>
        <v>0</v>
      </c>
      <c r="N56" s="211" t="e">
        <f t="shared" si="22"/>
        <v>#DIV/0!</v>
      </c>
      <c r="O56" s="190">
        <f>SUMIF('MVTO E'!$C$3:$C$240,"IOF_EMP",'MVTO E'!$M$3:$M$240)</f>
        <v>0</v>
      </c>
      <c r="P56" s="211" t="e">
        <f t="shared" si="23"/>
        <v>#DIV/0!</v>
      </c>
      <c r="Q56" s="190">
        <f>SUMIF('MVTO E'!$C$3:$C$240,"IOF_EMP",'MVTO E'!$N$3:$N$240)</f>
        <v>0</v>
      </c>
      <c r="R56" s="211" t="e">
        <f t="shared" si="24"/>
        <v>#DIV/0!</v>
      </c>
      <c r="S56" s="190">
        <f>SUMIF('MVTO E'!$C$3:$C$240,"IOF_EMP",'MVTO E'!$O$3:$O$240)</f>
        <v>0</v>
      </c>
      <c r="T56" s="211" t="e">
        <f t="shared" si="25"/>
        <v>#DIV/0!</v>
      </c>
      <c r="U56" s="190">
        <f>SUMIF('MVTO E'!$C$3:$C$240,"IOF_EMP",'MVTO E'!$P$3:$P$240)</f>
        <v>0</v>
      </c>
      <c r="V56" s="211" t="e">
        <f t="shared" si="26"/>
        <v>#DIV/0!</v>
      </c>
      <c r="W56" s="190">
        <f>SUMIF('MVTO E'!$C$3:$C$240,"IOF_EMP",'MVTO E'!$Q$3:$Q$240)</f>
        <v>0</v>
      </c>
      <c r="X56" s="211" t="e">
        <f t="shared" si="27"/>
        <v>#DIV/0!</v>
      </c>
      <c r="Y56" s="190">
        <f>SUMIF('MVTO E'!$C$3:$C$240,"IOF_EMP",'MVTO E'!$R$3:$R$240)</f>
        <v>0</v>
      </c>
      <c r="Z56" s="211" t="e">
        <f t="shared" si="28"/>
        <v>#DIV/0!</v>
      </c>
      <c r="AA56" s="190" t="e">
        <f>SUM(#REF!,#REF!,#REF!,#REF!,#REF!,#REF!,#REF!,#REF!,#REF!,#REF!,#REF!,#REF!)</f>
        <v>#REF!</v>
      </c>
      <c r="AB56" s="201" t="e">
        <f t="shared" si="31"/>
        <v>#REF!</v>
      </c>
    </row>
    <row r="57" spans="2:89" s="176" customFormat="1" ht="10.35" customHeight="1">
      <c r="B57" s="290" t="s">
        <v>30</v>
      </c>
      <c r="C57" s="292">
        <f>IF(SUM(C58:C61)=0,0,SUM(C58:C61))</f>
        <v>938960.74</v>
      </c>
      <c r="D57" s="291">
        <f t="shared" si="19"/>
        <v>2.8538966031169878E-2</v>
      </c>
      <c r="E57" s="292">
        <f>IF(SUM(E58:E61)=0,0,SUM(E58:E61))</f>
        <v>2227242.2800000003</v>
      </c>
      <c r="F57" s="293">
        <f t="shared" si="29"/>
        <v>0.10491002715550062</v>
      </c>
      <c r="G57" s="294">
        <f>IF(SUM(G58:G61)=0,0,SUM(G58:G61))</f>
        <v>1964645.2</v>
      </c>
      <c r="H57" s="295">
        <f t="shared" si="30"/>
        <v>8.2522737744392102E-2</v>
      </c>
      <c r="I57" s="292">
        <f>IF(SUM(I58:I61)=0,0,SUM(I58:I61))</f>
        <v>732398.04</v>
      </c>
      <c r="J57" s="291">
        <f t="shared" si="20"/>
        <v>3.2992395578879771E-2</v>
      </c>
      <c r="K57" s="292">
        <f>IF(SUM(K58:K61)=0,0,SUM(K58:K61))</f>
        <v>0</v>
      </c>
      <c r="L57" s="293" t="e">
        <f t="shared" si="21"/>
        <v>#DIV/0!</v>
      </c>
      <c r="M57" s="292">
        <f>IF(SUM(M58:M61)=0,0,SUM(M58:M61))</f>
        <v>0</v>
      </c>
      <c r="N57" s="295" t="e">
        <f t="shared" si="22"/>
        <v>#DIV/0!</v>
      </c>
      <c r="O57" s="292">
        <f>IF(SUM(O58:O61)=0,0,SUM(O58:O61))</f>
        <v>0</v>
      </c>
      <c r="P57" s="292" t="e">
        <f t="shared" si="23"/>
        <v>#DIV/0!</v>
      </c>
      <c r="Q57" s="292">
        <f>IF(SUM(Q58:Q61)=0,0,SUM(Q58:Q61))</f>
        <v>0</v>
      </c>
      <c r="R57" s="292" t="e">
        <f t="shared" si="24"/>
        <v>#DIV/0!</v>
      </c>
      <c r="S57" s="292">
        <f>IF(SUM(S58:S61)=0,0,SUM(S58:S61))</f>
        <v>0</v>
      </c>
      <c r="T57" s="294" t="e">
        <f t="shared" si="25"/>
        <v>#DIV/0!</v>
      </c>
      <c r="U57" s="292">
        <f>IF(SUM(U58:U61)=0,0,SUM(U58:U61))</f>
        <v>0</v>
      </c>
      <c r="V57" s="294" t="e">
        <f t="shared" si="26"/>
        <v>#DIV/0!</v>
      </c>
      <c r="W57" s="292">
        <f>IF(SUM(W58:W61)=0,0,SUM(W58:W61))</f>
        <v>0</v>
      </c>
      <c r="X57" s="294" t="e">
        <f t="shared" si="27"/>
        <v>#DIV/0!</v>
      </c>
      <c r="Y57" s="292">
        <f>IF(SUM(Y58:Y61)=0,0,SUM(Y58:Y61))</f>
        <v>0</v>
      </c>
      <c r="Z57" s="294" t="e">
        <f t="shared" si="28"/>
        <v>#DIV/0!</v>
      </c>
      <c r="AA57" s="294" t="e">
        <f>IF(SUM(AA58:AA61)=0,0,SUM(AA58:AA61))</f>
        <v>#REF!</v>
      </c>
      <c r="AB57" s="295" t="e">
        <f t="shared" si="31"/>
        <v>#REF!</v>
      </c>
      <c r="AC57" s="296"/>
      <c r="AD57" s="292"/>
      <c r="AE57" s="291"/>
      <c r="AF57" s="292"/>
      <c r="AG57" s="293"/>
      <c r="AH57" s="294"/>
      <c r="AI57" s="295"/>
      <c r="AJ57" s="296"/>
      <c r="AK57" s="292"/>
      <c r="AL57" s="291"/>
      <c r="AM57" s="292"/>
      <c r="AN57" s="293"/>
      <c r="AO57" s="294"/>
      <c r="AP57" s="295"/>
      <c r="AQ57" s="296"/>
      <c r="AR57" s="292"/>
      <c r="AS57" s="291"/>
      <c r="AT57" s="292"/>
      <c r="AU57" s="293"/>
      <c r="AV57" s="294"/>
      <c r="AW57" s="295"/>
      <c r="AX57" s="296"/>
      <c r="AY57" s="292"/>
      <c r="AZ57" s="291"/>
      <c r="BA57" s="292"/>
      <c r="BB57" s="293"/>
      <c r="BC57" s="294"/>
      <c r="BD57" s="295"/>
      <c r="BE57" s="296"/>
      <c r="BF57" s="292"/>
      <c r="BG57" s="291"/>
      <c r="BH57" s="292"/>
      <c r="BI57" s="293"/>
      <c r="BJ57" s="294"/>
      <c r="BK57" s="295"/>
      <c r="BL57" s="296"/>
      <c r="BM57" s="292"/>
      <c r="BN57" s="291"/>
      <c r="BO57" s="292"/>
      <c r="BP57" s="293"/>
      <c r="BQ57" s="294"/>
      <c r="BR57" s="295"/>
      <c r="BS57" s="297"/>
      <c r="BT57" s="292"/>
      <c r="BU57" s="291"/>
      <c r="BV57" s="292"/>
      <c r="BW57" s="293"/>
      <c r="BX57" s="294"/>
      <c r="BY57" s="295"/>
      <c r="BZ57" s="297"/>
      <c r="CA57" s="292"/>
      <c r="CB57" s="291"/>
      <c r="CC57" s="292"/>
      <c r="CD57" s="293"/>
      <c r="CE57" s="294"/>
      <c r="CF57" s="295"/>
      <c r="CG57" s="297"/>
      <c r="CH57" s="292"/>
      <c r="CI57" s="291"/>
      <c r="CJ57" s="292"/>
      <c r="CK57" s="293"/>
    </row>
    <row r="58" spans="2:89" s="176" customFormat="1" ht="10.35" customHeight="1">
      <c r="B58" s="178" t="s">
        <v>366</v>
      </c>
      <c r="C58" s="190">
        <f>SUMIF('MVTO E'!$C$3:$C$240,"Empres_E",'MVTO E'!$G$3:$G$240)</f>
        <v>351003.33</v>
      </c>
      <c r="D58" s="209">
        <f t="shared" si="19"/>
        <v>1.066846747149142E-2</v>
      </c>
      <c r="E58" s="190">
        <f>SUMIF('MVTO E'!$C$3:$C$240,"Empres_E",'MVTO E'!$H$3:$H$240)</f>
        <v>1846500</v>
      </c>
      <c r="F58" s="209">
        <f t="shared" si="29"/>
        <v>8.6975883531912782E-2</v>
      </c>
      <c r="G58" s="190">
        <f>SUMIF('MVTO E'!$C$3:$C$240,"Empres_E",'MVTO E'!$I$3:$I$240)</f>
        <v>1533825</v>
      </c>
      <c r="H58" s="209">
        <f t="shared" si="30"/>
        <v>6.442661413918005E-2</v>
      </c>
      <c r="I58" s="190">
        <f>SUMIF('MVTO E'!$C$3:$C$240,"Empres_E",'MVTO E'!$J$3:$J$240)</f>
        <v>330000</v>
      </c>
      <c r="J58" s="211">
        <f t="shared" si="20"/>
        <v>1.4865537517045136E-2</v>
      </c>
      <c r="K58" s="190">
        <f>SUMIF('MVTO E'!$C$3:$C$240,"Empres_E",'MVTO E'!$K$3:$K$240)</f>
        <v>0</v>
      </c>
      <c r="L58" s="211" t="e">
        <f t="shared" si="21"/>
        <v>#DIV/0!</v>
      </c>
      <c r="M58" s="190">
        <f>SUMIF('MVTO E'!$C$3:$C$240,"Empres_E",'MVTO E'!$L$3:$L$240)</f>
        <v>0</v>
      </c>
      <c r="N58" s="211" t="e">
        <f t="shared" si="22"/>
        <v>#DIV/0!</v>
      </c>
      <c r="O58" s="190">
        <f>SUMIF('MVTO E'!$C$3:$C$240,"Empres_E",'MVTO E'!$M$3:$M$240)</f>
        <v>0</v>
      </c>
      <c r="P58" s="211" t="e">
        <f t="shared" si="23"/>
        <v>#DIV/0!</v>
      </c>
      <c r="Q58" s="190">
        <f>SUMIF('MVTO E'!$C$3:$C$240,"Empres_E",'MVTO E'!$N$3:$N$240)</f>
        <v>0</v>
      </c>
      <c r="R58" s="211" t="e">
        <f t="shared" si="24"/>
        <v>#DIV/0!</v>
      </c>
      <c r="S58" s="190">
        <f>SUMIF('MVTO E'!$C$3:$C$240,"Empres_E",'MVTO E'!$O$3:$O$240)</f>
        <v>0</v>
      </c>
      <c r="T58" s="211" t="e">
        <f t="shared" si="25"/>
        <v>#DIV/0!</v>
      </c>
      <c r="U58" s="190">
        <f>SUMIF('MVTO E'!$C$3:$C$240,"Empres_E",'MVTO E'!$P$3:$P$240)</f>
        <v>0</v>
      </c>
      <c r="V58" s="211" t="e">
        <f t="shared" si="26"/>
        <v>#DIV/0!</v>
      </c>
      <c r="W58" s="190">
        <f>SUMIF('MVTO E'!$C$3:$C$240,"Empres_E",'MVTO E'!$Q$3:$Q$240)</f>
        <v>0</v>
      </c>
      <c r="X58" s="211" t="e">
        <f t="shared" si="27"/>
        <v>#DIV/0!</v>
      </c>
      <c r="Y58" s="190">
        <f>SUMIF('MVTO E'!$C$3:$C$240,"Empres_E",'MVTO E'!$R$3:$R$240)</f>
        <v>0</v>
      </c>
      <c r="Z58" s="211" t="e">
        <f t="shared" si="28"/>
        <v>#DIV/0!</v>
      </c>
      <c r="AA58" s="190" t="e">
        <f>SUM(#REF!,#REF!,#REF!,#REF!,#REF!,#REF!,#REF!,#REF!,#REF!,#REF!,#REF!,#REF!)</f>
        <v>#REF!</v>
      </c>
      <c r="AB58" s="201" t="e">
        <f t="shared" si="31"/>
        <v>#REF!</v>
      </c>
    </row>
    <row r="59" spans="2:89" s="176" customFormat="1" ht="10.35" customHeight="1">
      <c r="B59" s="178" t="s">
        <v>31</v>
      </c>
      <c r="C59" s="197"/>
      <c r="D59" s="209">
        <f t="shared" si="19"/>
        <v>0</v>
      </c>
      <c r="E59" s="197"/>
      <c r="F59" s="209">
        <f t="shared" si="29"/>
        <v>0</v>
      </c>
      <c r="G59" s="197"/>
      <c r="H59" s="209">
        <f t="shared" si="30"/>
        <v>0</v>
      </c>
      <c r="I59" s="197"/>
      <c r="J59" s="211">
        <f t="shared" si="20"/>
        <v>0</v>
      </c>
      <c r="K59" s="197"/>
      <c r="L59" s="211" t="e">
        <f t="shared" si="21"/>
        <v>#DIV/0!</v>
      </c>
      <c r="M59" s="197"/>
      <c r="N59" s="211" t="e">
        <f t="shared" si="22"/>
        <v>#DIV/0!</v>
      </c>
      <c r="O59" s="197"/>
      <c r="P59" s="211" t="e">
        <f t="shared" si="23"/>
        <v>#DIV/0!</v>
      </c>
      <c r="Q59" s="197"/>
      <c r="R59" s="211" t="e">
        <f t="shared" si="24"/>
        <v>#DIV/0!</v>
      </c>
      <c r="S59" s="197"/>
      <c r="T59" s="211" t="e">
        <f t="shared" si="25"/>
        <v>#DIV/0!</v>
      </c>
      <c r="U59" s="197"/>
      <c r="V59" s="211" t="e">
        <f t="shared" si="26"/>
        <v>#DIV/0!</v>
      </c>
      <c r="W59" s="197"/>
      <c r="X59" s="211" t="e">
        <f t="shared" si="27"/>
        <v>#DIV/0!</v>
      </c>
      <c r="Y59" s="197"/>
      <c r="Z59" s="211" t="e">
        <f t="shared" si="28"/>
        <v>#DIV/0!</v>
      </c>
      <c r="AA59" s="190" t="e">
        <f>SUM(#REF!,#REF!,#REF!,#REF!,#REF!,#REF!,#REF!,#REF!,#REF!,#REF!,#REF!,#REF!)</f>
        <v>#REF!</v>
      </c>
      <c r="AB59" s="201" t="e">
        <f t="shared" si="31"/>
        <v>#REF!</v>
      </c>
    </row>
    <row r="60" spans="2:89" s="176" customFormat="1" ht="10.35" customHeight="1">
      <c r="B60" s="178" t="s">
        <v>32</v>
      </c>
      <c r="C60" s="197"/>
      <c r="D60" s="209">
        <f t="shared" si="19"/>
        <v>0</v>
      </c>
      <c r="E60" s="197"/>
      <c r="F60" s="209">
        <f t="shared" si="29"/>
        <v>0</v>
      </c>
      <c r="G60" s="197"/>
      <c r="H60" s="209">
        <f t="shared" si="30"/>
        <v>0</v>
      </c>
      <c r="I60" s="197"/>
      <c r="J60" s="211">
        <f t="shared" si="20"/>
        <v>0</v>
      </c>
      <c r="K60" s="197"/>
      <c r="L60" s="211" t="e">
        <f t="shared" si="21"/>
        <v>#DIV/0!</v>
      </c>
      <c r="M60" s="197"/>
      <c r="N60" s="211" t="e">
        <f t="shared" si="22"/>
        <v>#DIV/0!</v>
      </c>
      <c r="O60" s="197"/>
      <c r="P60" s="211" t="e">
        <f t="shared" si="23"/>
        <v>#DIV/0!</v>
      </c>
      <c r="Q60" s="197"/>
      <c r="R60" s="211" t="e">
        <f t="shared" si="24"/>
        <v>#DIV/0!</v>
      </c>
      <c r="S60" s="197"/>
      <c r="T60" s="211" t="e">
        <f t="shared" si="25"/>
        <v>#DIV/0!</v>
      </c>
      <c r="U60" s="197"/>
      <c r="V60" s="211" t="e">
        <f t="shared" si="26"/>
        <v>#DIV/0!</v>
      </c>
      <c r="W60" s="197"/>
      <c r="X60" s="211" t="e">
        <f t="shared" si="27"/>
        <v>#DIV/0!</v>
      </c>
      <c r="Y60" s="197"/>
      <c r="Z60" s="211" t="e">
        <f t="shared" si="28"/>
        <v>#DIV/0!</v>
      </c>
      <c r="AA60" s="190" t="e">
        <f>SUM(#REF!,#REF!,#REF!,#REF!,#REF!,#REF!,#REF!,#REF!,#REF!,#REF!,#REF!,#REF!)</f>
        <v>#REF!</v>
      </c>
      <c r="AB60" s="201" t="e">
        <f t="shared" si="31"/>
        <v>#REF!</v>
      </c>
    </row>
    <row r="61" spans="2:89" s="176" customFormat="1" ht="10.35" customHeight="1">
      <c r="B61" s="178" t="s">
        <v>368</v>
      </c>
      <c r="C61" s="190">
        <f>SUMIF('MVTO E'!$C$3:$C$240,"Juros_E",'MVTO E'!$G$3:$G$240)</f>
        <v>587957.41</v>
      </c>
      <c r="D61" s="209">
        <f t="shared" si="19"/>
        <v>1.7870498559678462E-2</v>
      </c>
      <c r="E61" s="190">
        <f>SUMIF('MVTO E'!$C$3:$C$240,"Juros_E",'MVTO E'!$H$3:$H$240)</f>
        <v>380742.28</v>
      </c>
      <c r="F61" s="209">
        <f t="shared" si="29"/>
        <v>1.793414362358783E-2</v>
      </c>
      <c r="G61" s="190">
        <f>SUMIF('MVTO E'!$C$3:$C$240,"Juros_E",'MVTO E'!$I$3:$I$240)</f>
        <v>430820.2</v>
      </c>
      <c r="H61" s="209">
        <f t="shared" si="30"/>
        <v>1.8096123605212053E-2</v>
      </c>
      <c r="I61" s="190">
        <f>SUMIF('MVTO E'!$C$3:$C$240,"Juros_E",'MVTO E'!$J$3:$J$240)</f>
        <v>402398.04000000004</v>
      </c>
      <c r="J61" s="211">
        <f t="shared" si="20"/>
        <v>1.8126858061834637E-2</v>
      </c>
      <c r="K61" s="190">
        <f>SUMIF('MVTO E'!$C$3:$C$240,"Juros_E",'MVTO E'!$K$3:$K$240)</f>
        <v>0</v>
      </c>
      <c r="L61" s="211" t="e">
        <f t="shared" si="21"/>
        <v>#DIV/0!</v>
      </c>
      <c r="M61" s="190">
        <f>SUMIF('MVTO E'!$C$3:$C$240,"Juros_E",'MVTO E'!$L$3:$L$240)</f>
        <v>0</v>
      </c>
      <c r="N61" s="211" t="e">
        <f t="shared" si="22"/>
        <v>#DIV/0!</v>
      </c>
      <c r="O61" s="190">
        <f>SUMIF('MVTO E'!$C$3:$C$240,"Juros_E",'MVTO E'!$M$3:$M$240)</f>
        <v>0</v>
      </c>
      <c r="P61" s="211" t="e">
        <f t="shared" si="23"/>
        <v>#DIV/0!</v>
      </c>
      <c r="Q61" s="190">
        <f>SUMIF('MVTO E'!$C$3:$C$240,"Juros_E",'MVTO E'!$N$3:$N$240)</f>
        <v>0</v>
      </c>
      <c r="R61" s="211" t="e">
        <f t="shared" si="24"/>
        <v>#DIV/0!</v>
      </c>
      <c r="S61" s="190">
        <f>SUMIF('MVTO E'!$C$3:$C$240,"Juros_E",'MVTO E'!$O$3:$O$240)</f>
        <v>0</v>
      </c>
      <c r="T61" s="211" t="e">
        <f t="shared" si="25"/>
        <v>#DIV/0!</v>
      </c>
      <c r="U61" s="190">
        <f>SUMIF('MVTO E'!$C$3:$C$240,"Juros_E",'MVTO E'!$P$3:$P$240)</f>
        <v>0</v>
      </c>
      <c r="V61" s="211" t="e">
        <f t="shared" si="26"/>
        <v>#DIV/0!</v>
      </c>
      <c r="W61" s="190">
        <f>SUMIF('MVTO E'!$C$3:$C$240,"Juros_E",'MVTO E'!$Q$3:$Q$240)</f>
        <v>0</v>
      </c>
      <c r="X61" s="211" t="e">
        <f t="shared" si="27"/>
        <v>#DIV/0!</v>
      </c>
      <c r="Y61" s="190">
        <f>SUMIF('MVTO E'!$C$3:$C$240,"Juros_E",'MVTO E'!$R$3:$R$240)</f>
        <v>0</v>
      </c>
      <c r="Z61" s="211" t="e">
        <f t="shared" si="28"/>
        <v>#DIV/0!</v>
      </c>
      <c r="AA61" s="190" t="e">
        <f>SUM(#REF!,#REF!,#REF!,#REF!,#REF!,#REF!,#REF!,#REF!,#REF!,#REF!,#REF!,#REF!)</f>
        <v>#REF!</v>
      </c>
      <c r="AB61" s="201" t="e">
        <f t="shared" si="31"/>
        <v>#REF!</v>
      </c>
    </row>
    <row r="62" spans="2:89" s="176" customFormat="1" ht="10.35" customHeight="1">
      <c r="B62" s="177" t="s">
        <v>369</v>
      </c>
      <c r="C62" s="192">
        <f>C63-C64</f>
        <v>675985.40000000014</v>
      </c>
      <c r="D62" s="211">
        <f t="shared" si="19"/>
        <v>2.0546039409663482E-2</v>
      </c>
      <c r="E62" s="192">
        <f>E63-E64</f>
        <v>1029682.4100000001</v>
      </c>
      <c r="F62" s="211">
        <f t="shared" si="29"/>
        <v>4.8501238758201608E-2</v>
      </c>
      <c r="G62" s="192">
        <f>G63-G64</f>
        <v>-593346.33000000007</v>
      </c>
      <c r="H62" s="211">
        <f t="shared" si="30"/>
        <v>-2.4922853033304711E-2</v>
      </c>
      <c r="I62" s="192">
        <f>I63-I64</f>
        <v>1198016.1099999999</v>
      </c>
      <c r="J62" s="211">
        <f t="shared" si="20"/>
        <v>5.3967131603725668E-2</v>
      </c>
      <c r="K62" s="192">
        <f>K63-K64</f>
        <v>0</v>
      </c>
      <c r="L62" s="211" t="e">
        <f t="shared" si="21"/>
        <v>#DIV/0!</v>
      </c>
      <c r="M62" s="192">
        <f>M63-M64</f>
        <v>0</v>
      </c>
      <c r="N62" s="211" t="e">
        <f t="shared" si="22"/>
        <v>#DIV/0!</v>
      </c>
      <c r="O62" s="192">
        <f>O63-O64</f>
        <v>0</v>
      </c>
      <c r="P62" s="211" t="e">
        <f t="shared" si="23"/>
        <v>#DIV/0!</v>
      </c>
      <c r="Q62" s="192">
        <f>Q63-Q64</f>
        <v>0</v>
      </c>
      <c r="R62" s="211" t="e">
        <f t="shared" si="24"/>
        <v>#DIV/0!</v>
      </c>
      <c r="S62" s="192">
        <f>S63-S64</f>
        <v>0</v>
      </c>
      <c r="T62" s="211" t="e">
        <f t="shared" si="25"/>
        <v>#DIV/0!</v>
      </c>
      <c r="U62" s="192">
        <f>U63-U64</f>
        <v>0</v>
      </c>
      <c r="V62" s="211" t="e">
        <f t="shared" si="26"/>
        <v>#DIV/0!</v>
      </c>
      <c r="W62" s="192">
        <f>W63-W64</f>
        <v>0</v>
      </c>
      <c r="X62" s="211" t="e">
        <f t="shared" si="27"/>
        <v>#DIV/0!</v>
      </c>
      <c r="Y62" s="192">
        <f>Y63-Y64</f>
        <v>0</v>
      </c>
      <c r="Z62" s="211" t="e">
        <f t="shared" si="28"/>
        <v>#DIV/0!</v>
      </c>
      <c r="AA62" s="192" t="e">
        <f>AA63-AA64</f>
        <v>#REF!</v>
      </c>
      <c r="AB62" s="203" t="e">
        <f t="shared" si="31"/>
        <v>#REF!</v>
      </c>
    </row>
    <row r="63" spans="2:89" s="176" customFormat="1" ht="10.35" customHeight="1">
      <c r="B63" s="178" t="s">
        <v>370</v>
      </c>
      <c r="C63" s="190">
        <f>SUMIF('MVTO E'!$C$3:$C$240,"E_Ligadas",'MVTO E'!$G$3:$G$240)</f>
        <v>2097478.35</v>
      </c>
      <c r="D63" s="209">
        <f t="shared" si="19"/>
        <v>6.37511887683017E-2</v>
      </c>
      <c r="E63" s="190">
        <f>SUMIF('MVTO E'!$C$3:$C$240,"E_Ligadas",'MVTO E'!$H$3:$H$240)</f>
        <v>1882980.86</v>
      </c>
      <c r="F63" s="209">
        <f t="shared" si="29"/>
        <v>8.8694245313934994E-2</v>
      </c>
      <c r="G63" s="190">
        <f>SUMIF('MVTO E'!$C$3:$C$240,"E_Ligadas",'MVTO E'!$I$3:$I$240)</f>
        <v>3672790.5999999996</v>
      </c>
      <c r="H63" s="209">
        <f t="shared" si="30"/>
        <v>0.1542714865126123</v>
      </c>
      <c r="I63" s="190">
        <f>SUMIF('MVTO E'!$C$3:$C$240,"E_Ligadas",'MVTO E'!$J$3:$J$240)</f>
        <v>1977550.01</v>
      </c>
      <c r="J63" s="211">
        <f t="shared" si="20"/>
        <v>8.9082860198448438E-2</v>
      </c>
      <c r="K63" s="190">
        <f>SUMIF('MVTO E'!$C$3:$C$240,"E_Ligadas",'MVTO E'!$K$3:$K$240)</f>
        <v>0</v>
      </c>
      <c r="L63" s="211" t="e">
        <f t="shared" si="21"/>
        <v>#DIV/0!</v>
      </c>
      <c r="M63" s="190">
        <f>SUMIF('MVTO E'!$C$3:$C$240,"E_Ligadas",'MVTO E'!$L$3:$L$240)</f>
        <v>0</v>
      </c>
      <c r="N63" s="211" t="e">
        <f t="shared" si="22"/>
        <v>#DIV/0!</v>
      </c>
      <c r="O63" s="190">
        <f>SUMIF('MVTO E'!$C$3:$C$240,"E_Ligadas",'MVTO E'!$M$3:$M$240)</f>
        <v>0</v>
      </c>
      <c r="P63" s="211" t="e">
        <f t="shared" si="23"/>
        <v>#DIV/0!</v>
      </c>
      <c r="Q63" s="190">
        <f>SUMIF('MVTO E'!$C$3:$C$240,"E_Ligadas",'MVTO E'!$N$3:$N$240)</f>
        <v>0</v>
      </c>
      <c r="R63" s="211" t="e">
        <f t="shared" si="24"/>
        <v>#DIV/0!</v>
      </c>
      <c r="S63" s="190">
        <f>SUMIF('MVTO E'!$C$3:$C$240,"E_Ligadas",'MVTO E'!$O$3:$O$240)</f>
        <v>0</v>
      </c>
      <c r="T63" s="211" t="e">
        <f t="shared" si="25"/>
        <v>#DIV/0!</v>
      </c>
      <c r="U63" s="190">
        <f>SUMIF('MVTO E'!$C$3:$C$240,"E_Ligadas",'MVTO E'!$P$3:$P$240)</f>
        <v>0</v>
      </c>
      <c r="V63" s="211" t="e">
        <f t="shared" si="26"/>
        <v>#DIV/0!</v>
      </c>
      <c r="W63" s="190">
        <f>SUMIF('MVTO E'!$C$3:$C$240,"E_Ligadas",'MVTO E'!$Q$3:$Q$240)</f>
        <v>0</v>
      </c>
      <c r="X63" s="211" t="e">
        <f t="shared" si="27"/>
        <v>#DIV/0!</v>
      </c>
      <c r="Y63" s="190">
        <f>SUMIF('MVTO E'!$C$3:$C$240,"E_Ligadas",'MVTO E'!$R$3:$R$240)</f>
        <v>0</v>
      </c>
      <c r="Z63" s="211" t="e">
        <f t="shared" si="28"/>
        <v>#DIV/0!</v>
      </c>
      <c r="AA63" s="190" t="e">
        <f>SUM(#REF!,#REF!,#REF!,#REF!,#REF!,#REF!,#REF!,#REF!,#REF!,#REF!,#REF!,#REF!)</f>
        <v>#REF!</v>
      </c>
      <c r="AB63" s="201" t="e">
        <f t="shared" si="31"/>
        <v>#REF!</v>
      </c>
    </row>
    <row r="64" spans="2:89" s="176" customFormat="1" ht="10.35" customHeight="1">
      <c r="B64" s="178" t="s">
        <v>371</v>
      </c>
      <c r="C64" s="190">
        <f>SUMIF('MVTO E'!$C$3:$C$240,"S_Ligadas",'MVTO E'!$G$3:$G$240)</f>
        <v>1421492.95</v>
      </c>
      <c r="D64" s="209">
        <f t="shared" si="19"/>
        <v>4.3205149358638215E-2</v>
      </c>
      <c r="E64" s="190">
        <f>SUMIF('MVTO E'!$C$3:$C$240,"S_Ligadas",'MVTO E'!$H$3:$H$240)</f>
        <v>853298.45</v>
      </c>
      <c r="F64" s="209">
        <f t="shared" si="29"/>
        <v>4.0193006555733386E-2</v>
      </c>
      <c r="G64" s="190">
        <f>SUMIF('MVTO E'!$C$3:$C$240,"S_Ligadas",'MVTO E'!$I$3:$I$240)</f>
        <v>4266136.93</v>
      </c>
      <c r="H64" s="209">
        <f t="shared" si="30"/>
        <v>0.17919433954591701</v>
      </c>
      <c r="I64" s="190">
        <f>SUMIF('MVTO E'!$C$3:$C$240,"S_Ligadas",'MVTO E'!$J$3:$J$240)</f>
        <v>779533.9</v>
      </c>
      <c r="J64" s="211">
        <f t="shared" si="20"/>
        <v>3.5115728594722763E-2</v>
      </c>
      <c r="K64" s="190">
        <f>SUMIF('MVTO E'!$C$3:$C$240,"S_Ligadas",'MVTO E'!$K$3:$K$240)</f>
        <v>0</v>
      </c>
      <c r="L64" s="211" t="e">
        <f t="shared" si="21"/>
        <v>#DIV/0!</v>
      </c>
      <c r="M64" s="190">
        <f>SUMIF('MVTO E'!$C$3:$C$240,"S_Ligadas",'MVTO E'!$L$3:$L$240)</f>
        <v>0</v>
      </c>
      <c r="N64" s="211" t="e">
        <f t="shared" si="22"/>
        <v>#DIV/0!</v>
      </c>
      <c r="O64" s="190">
        <f>SUMIF('MVTO E'!$C$3:$C$240,"S_Ligadas",'MVTO E'!$M$3:$M$240)</f>
        <v>0</v>
      </c>
      <c r="P64" s="211" t="e">
        <f t="shared" si="23"/>
        <v>#DIV/0!</v>
      </c>
      <c r="Q64" s="190">
        <f>SUMIF('MVTO E'!$C$3:$C$240,"S_Ligadas",'MVTO E'!$N$3:$N$240)</f>
        <v>0</v>
      </c>
      <c r="R64" s="211" t="e">
        <f t="shared" si="24"/>
        <v>#DIV/0!</v>
      </c>
      <c r="S64" s="190">
        <f>SUMIF('MVTO E'!$C$3:$C$240,"S_Ligadas",'MVTO E'!$O$3:$O$240)</f>
        <v>0</v>
      </c>
      <c r="T64" s="211" t="e">
        <f t="shared" si="25"/>
        <v>#DIV/0!</v>
      </c>
      <c r="U64" s="190">
        <f>SUMIF('MVTO E'!$C$3:$C$240,"S_Ligadas",'MVTO E'!$P$3:$P$240)</f>
        <v>0</v>
      </c>
      <c r="V64" s="211" t="e">
        <f t="shared" si="26"/>
        <v>#DIV/0!</v>
      </c>
      <c r="W64" s="190">
        <f>SUMIF('MVTO E'!$C$3:$C$240,"S_Ligadas",'MVTO E'!$Q$3:$Q$240)</f>
        <v>0</v>
      </c>
      <c r="X64" s="211" t="e">
        <f t="shared" si="27"/>
        <v>#DIV/0!</v>
      </c>
      <c r="Y64" s="190">
        <f>SUMIF('MVTO E'!$C$3:$C$240,"S_Ligadas",'MVTO E'!$R$3:$R$240)</f>
        <v>0</v>
      </c>
      <c r="Z64" s="211" t="e">
        <f t="shared" si="28"/>
        <v>#DIV/0!</v>
      </c>
      <c r="AA64" s="190" t="e">
        <f>SUM(#REF!,#REF!,#REF!,#REF!,#REF!,#REF!,#REF!,#REF!,#REF!,#REF!,#REF!,#REF!)</f>
        <v>#REF!</v>
      </c>
      <c r="AB64" s="201" t="e">
        <f t="shared" si="31"/>
        <v>#REF!</v>
      </c>
    </row>
    <row r="65" spans="2:28" s="176" customFormat="1" ht="10.35" customHeight="1">
      <c r="B65" s="177" t="s">
        <v>379</v>
      </c>
      <c r="C65" s="192">
        <f>C66-C67</f>
        <v>-841604.19</v>
      </c>
      <c r="D65" s="211">
        <f t="shared" ref="D65:D72" si="32">C65/$C$10</f>
        <v>-2.5579891008116314E-2</v>
      </c>
      <c r="E65" s="192">
        <f>E66-E67</f>
        <v>-1551388.46</v>
      </c>
      <c r="F65" s="211">
        <f t="shared" si="29"/>
        <v>-7.3075213652701615E-2</v>
      </c>
      <c r="G65" s="192">
        <f>G66-G67</f>
        <v>-1197861.9099999999</v>
      </c>
      <c r="H65" s="211">
        <f t="shared" si="30"/>
        <v>-5.0314857997223426E-2</v>
      </c>
      <c r="I65" s="192">
        <f>I66-I67</f>
        <v>-1968180.53</v>
      </c>
      <c r="J65" s="211">
        <f t="shared" si="20"/>
        <v>-8.8660792451614484E-2</v>
      </c>
      <c r="K65" s="192">
        <f>K66-K67</f>
        <v>0</v>
      </c>
      <c r="L65" s="211" t="e">
        <f t="shared" si="21"/>
        <v>#DIV/0!</v>
      </c>
      <c r="M65" s="192">
        <f>M66-M67</f>
        <v>0</v>
      </c>
      <c r="N65" s="211" t="e">
        <f t="shared" si="22"/>
        <v>#DIV/0!</v>
      </c>
      <c r="O65" s="192">
        <f>O66-O67</f>
        <v>0</v>
      </c>
      <c r="P65" s="211" t="e">
        <f t="shared" si="23"/>
        <v>#DIV/0!</v>
      </c>
      <c r="Q65" s="192">
        <f>Q66-Q67</f>
        <v>0</v>
      </c>
      <c r="R65" s="211" t="e">
        <f t="shared" si="24"/>
        <v>#DIV/0!</v>
      </c>
      <c r="S65" s="192">
        <f>S66-S67</f>
        <v>0</v>
      </c>
      <c r="T65" s="211" t="e">
        <f t="shared" si="25"/>
        <v>#DIV/0!</v>
      </c>
      <c r="U65" s="192">
        <f>U66-U67</f>
        <v>0</v>
      </c>
      <c r="V65" s="211" t="e">
        <f t="shared" si="26"/>
        <v>#DIV/0!</v>
      </c>
      <c r="W65" s="192">
        <f>W66-W67</f>
        <v>0</v>
      </c>
      <c r="X65" s="211" t="e">
        <f t="shared" si="27"/>
        <v>#DIV/0!</v>
      </c>
      <c r="Y65" s="192">
        <f>Y66-Y67</f>
        <v>0</v>
      </c>
      <c r="Z65" s="211" t="e">
        <f t="shared" si="28"/>
        <v>#DIV/0!</v>
      </c>
      <c r="AA65" s="192" t="e">
        <f>AA66-AA67</f>
        <v>#REF!</v>
      </c>
      <c r="AB65" s="203" t="e">
        <f t="shared" si="31"/>
        <v>#REF!</v>
      </c>
    </row>
    <row r="66" spans="2:28" s="176" customFormat="1" ht="10.35" customHeight="1">
      <c r="B66" s="178" t="s">
        <v>370</v>
      </c>
      <c r="C66" s="190"/>
      <c r="D66" s="209">
        <f t="shared" si="32"/>
        <v>0</v>
      </c>
      <c r="E66" s="190"/>
      <c r="F66" s="209">
        <f t="shared" si="29"/>
        <v>0</v>
      </c>
      <c r="G66" s="190"/>
      <c r="H66" s="209">
        <f t="shared" si="30"/>
        <v>0</v>
      </c>
      <c r="I66" s="190"/>
      <c r="J66" s="211">
        <f t="shared" si="20"/>
        <v>0</v>
      </c>
      <c r="K66" s="190"/>
      <c r="L66" s="211" t="e">
        <f t="shared" si="21"/>
        <v>#DIV/0!</v>
      </c>
      <c r="M66" s="190"/>
      <c r="N66" s="211" t="e">
        <f t="shared" si="22"/>
        <v>#DIV/0!</v>
      </c>
      <c r="O66" s="190"/>
      <c r="P66" s="211" t="e">
        <f t="shared" si="23"/>
        <v>#DIV/0!</v>
      </c>
      <c r="Q66" s="190"/>
      <c r="R66" s="211" t="e">
        <f t="shared" si="24"/>
        <v>#DIV/0!</v>
      </c>
      <c r="S66" s="190"/>
      <c r="T66" s="211" t="e">
        <f t="shared" si="25"/>
        <v>#DIV/0!</v>
      </c>
      <c r="U66" s="190"/>
      <c r="V66" s="211" t="e">
        <f t="shared" si="26"/>
        <v>#DIV/0!</v>
      </c>
      <c r="W66" s="190"/>
      <c r="X66" s="211" t="e">
        <f t="shared" si="27"/>
        <v>#DIV/0!</v>
      </c>
      <c r="Y66" s="190"/>
      <c r="Z66" s="211" t="e">
        <f t="shared" si="28"/>
        <v>#DIV/0!</v>
      </c>
      <c r="AA66" s="190" t="e">
        <f>SUM(#REF!,#REF!,#REF!,#REF!,#REF!,#REF!,#REF!,#REF!,#REF!,#REF!,#REF!,#REF!)</f>
        <v>#REF!</v>
      </c>
      <c r="AB66" s="201" t="e">
        <f t="shared" si="31"/>
        <v>#REF!</v>
      </c>
    </row>
    <row r="67" spans="2:28" s="176" customFormat="1" ht="10.35" customHeight="1">
      <c r="B67" s="178" t="s">
        <v>371</v>
      </c>
      <c r="C67" s="190">
        <f>SUMIF('MVTO E'!$C$3:$C$240,"Adto_S",'MVTO E'!$G$3:$G$240)</f>
        <v>841604.19</v>
      </c>
      <c r="D67" s="209">
        <f t="shared" si="32"/>
        <v>2.5579891008116314E-2</v>
      </c>
      <c r="E67" s="190">
        <f>SUMIF('MVTO E'!$C$3:$C$240,"Adto_S",'MVTO E'!$H$3:$H$240)</f>
        <v>1551388.46</v>
      </c>
      <c r="F67" s="209">
        <f t="shared" si="29"/>
        <v>7.3075213652701615E-2</v>
      </c>
      <c r="G67" s="190">
        <f>SUMIF('MVTO E'!$C$3:$C$240,"Adto_S",'MVTO E'!$I$3:$I$240)</f>
        <v>1197861.9099999999</v>
      </c>
      <c r="H67" s="209">
        <f t="shared" si="30"/>
        <v>5.0314857997223426E-2</v>
      </c>
      <c r="I67" s="190">
        <f>SUMIF('MVTO E'!$C$3:$C$240,"Adto_S",'MVTO E'!$J$3:$J$240)</f>
        <v>1968180.53</v>
      </c>
      <c r="J67" s="211">
        <f t="shared" si="20"/>
        <v>8.8660792451614484E-2</v>
      </c>
      <c r="K67" s="190">
        <f>SUMIF('MVTO E'!$C$3:$C$240,"Adto_S",'MVTO E'!$K$3:$K$240)</f>
        <v>0</v>
      </c>
      <c r="L67" s="211" t="e">
        <f t="shared" si="21"/>
        <v>#DIV/0!</v>
      </c>
      <c r="M67" s="190">
        <f>SUMIF('MVTO E'!$C$3:$C$240,"Adto_S",'MVTO E'!$L$3:$L$240)</f>
        <v>0</v>
      </c>
      <c r="N67" s="211" t="e">
        <f t="shared" si="22"/>
        <v>#DIV/0!</v>
      </c>
      <c r="O67" s="190">
        <f>SUMIF('MVTO E'!$C$3:$C$240,"Adto_S",'MVTO E'!$M$3:$M$240)</f>
        <v>0</v>
      </c>
      <c r="P67" s="211" t="e">
        <f t="shared" si="23"/>
        <v>#DIV/0!</v>
      </c>
      <c r="Q67" s="190">
        <f>SUMIF('MVTO E'!$C$3:$C$240,"Adto_S",'MVTO E'!$N$3:$N$240)</f>
        <v>0</v>
      </c>
      <c r="R67" s="211" t="e">
        <f t="shared" si="24"/>
        <v>#DIV/0!</v>
      </c>
      <c r="S67" s="190">
        <f>SUMIF('MVTO E'!$C$3:$C$240,"Adto_S",'MVTO E'!$O$3:$O$240)</f>
        <v>0</v>
      </c>
      <c r="T67" s="211" t="e">
        <f t="shared" si="25"/>
        <v>#DIV/0!</v>
      </c>
      <c r="U67" s="190">
        <f>SUMIF('MVTO E'!$C$3:$C$240,"Adto_S",'MVTO E'!$P$3:$P$240)</f>
        <v>0</v>
      </c>
      <c r="V67" s="211" t="e">
        <f t="shared" si="26"/>
        <v>#DIV/0!</v>
      </c>
      <c r="W67" s="190">
        <f>SUMIF('MVTO E'!$C$3:$C$240,"Adto_S",'MVTO E'!$Q$3:$Q$240)</f>
        <v>0</v>
      </c>
      <c r="X67" s="211" t="e">
        <f t="shared" si="27"/>
        <v>#DIV/0!</v>
      </c>
      <c r="Y67" s="190">
        <f>SUMIF('MVTO E'!$C$3:$C$240,"Adto_S",'MVTO E'!$R$3:$R$240)</f>
        <v>0</v>
      </c>
      <c r="Z67" s="211" t="e">
        <f t="shared" si="28"/>
        <v>#DIV/0!</v>
      </c>
      <c r="AA67" s="190" t="e">
        <f>SUM(#REF!,#REF!,#REF!,#REF!,#REF!,#REF!,#REF!,#REF!,#REF!,#REF!,#REF!,#REF!)</f>
        <v>#REF!</v>
      </c>
      <c r="AB67" s="201" t="e">
        <f t="shared" si="31"/>
        <v>#REF!</v>
      </c>
    </row>
    <row r="68" spans="2:28" s="176" customFormat="1" ht="10.35" customHeight="1">
      <c r="B68" s="177" t="s">
        <v>33</v>
      </c>
      <c r="C68" s="198">
        <f>C48+C57-C50+C63-C64+C66-C67</f>
        <v>-6670711.0999999978</v>
      </c>
      <c r="D68" s="211">
        <f t="shared" si="32"/>
        <v>-0.20275096644258822</v>
      </c>
      <c r="E68" s="198">
        <f>E48+E57-E50+E63-E64+E66-E67</f>
        <v>-367754.54999999795</v>
      </c>
      <c r="F68" s="211">
        <f>E68/$E$10</f>
        <v>-1.7322381212635157E-2</v>
      </c>
      <c r="G68" s="198">
        <f>G48+G57-G50+G63-G64+G66-G67</f>
        <v>-6454022.129999999</v>
      </c>
      <c r="H68" s="211">
        <f t="shared" si="30"/>
        <v>-0.27109402533876997</v>
      </c>
      <c r="I68" s="198">
        <f>I48+I57-I50+I63-I64+I66-I67</f>
        <v>-3529553.2700000023</v>
      </c>
      <c r="J68" s="211">
        <f t="shared" si="20"/>
        <v>-0.15899608046543751</v>
      </c>
      <c r="K68" s="198">
        <f>K48+K57-K50+K63-K64+K66-K67</f>
        <v>0</v>
      </c>
      <c r="L68" s="211" t="e">
        <f t="shared" si="21"/>
        <v>#DIV/0!</v>
      </c>
      <c r="M68" s="198">
        <f>M48+M57-M50+M63-M64+M66-M67</f>
        <v>0</v>
      </c>
      <c r="N68" s="211" t="e">
        <f t="shared" si="22"/>
        <v>#DIV/0!</v>
      </c>
      <c r="O68" s="198">
        <f>O48+O57-O50+O63-O64+O66-O67</f>
        <v>0</v>
      </c>
      <c r="P68" s="211" t="e">
        <f t="shared" si="23"/>
        <v>#DIV/0!</v>
      </c>
      <c r="Q68" s="198">
        <f>Q48+Q57-Q50+Q63-Q64+Q66-Q67</f>
        <v>0</v>
      </c>
      <c r="R68" s="211" t="e">
        <f t="shared" si="24"/>
        <v>#DIV/0!</v>
      </c>
      <c r="S68" s="198">
        <f>S48+S57-S50+S63-S64+S66-S67</f>
        <v>0</v>
      </c>
      <c r="T68" s="211" t="e">
        <f t="shared" si="25"/>
        <v>#DIV/0!</v>
      </c>
      <c r="U68" s="198">
        <f>U48+U57-U50+U63-U64+U66-U67</f>
        <v>0</v>
      </c>
      <c r="V68" s="211" t="e">
        <f t="shared" si="26"/>
        <v>#DIV/0!</v>
      </c>
      <c r="W68" s="198">
        <f>W48+W57-W50+W63-W64+W66-W67</f>
        <v>0</v>
      </c>
      <c r="X68" s="211" t="e">
        <f t="shared" si="27"/>
        <v>#DIV/0!</v>
      </c>
      <c r="Y68" s="198">
        <f>Y48+Y57-Y50+Y63-Y64+Y66-Y67</f>
        <v>0</v>
      </c>
      <c r="Z68" s="211" t="e">
        <f t="shared" si="28"/>
        <v>#DIV/0!</v>
      </c>
      <c r="AA68" s="198" t="e">
        <f>AA48+AA57-AA50+AA63-AA64+AA66-AA67</f>
        <v>#VALUE!</v>
      </c>
      <c r="AB68" s="203" t="e">
        <f t="shared" si="31"/>
        <v>#VALUE!</v>
      </c>
    </row>
    <row r="69" spans="2:28" s="176" customFormat="1" ht="10.35" customHeight="1">
      <c r="B69" s="183" t="s">
        <v>34</v>
      </c>
      <c r="C69" s="190">
        <f>SUMIF('MVTO E'!$C$3:$C$240,"Acionistas",'MVTO E'!$G$3:$G$240)</f>
        <v>143580.62</v>
      </c>
      <c r="D69" s="209">
        <f t="shared" si="32"/>
        <v>4.3640189225742391E-3</v>
      </c>
      <c r="E69" s="190">
        <f>SUMIF('MVTO E'!$C$3:$C$240,"Acionistas",'MVTO E'!$H$3:$H$240)</f>
        <v>2718.65</v>
      </c>
      <c r="F69" s="209">
        <f t="shared" si="29"/>
        <v>1.2805685662823431E-4</v>
      </c>
      <c r="G69" s="190">
        <f>SUMIF('MVTO E'!$C$3:$C$240,"Acionistas",'MVTO E'!$I$3:$I$240)</f>
        <v>71642.8</v>
      </c>
      <c r="H69" s="209">
        <f t="shared" si="30"/>
        <v>3.0092761765197784E-3</v>
      </c>
      <c r="I69" s="190">
        <f>SUMIF('MVTO E'!$C$3:$C$240,"Acionistas",'MVTO E'!$J$3:$J$240)</f>
        <v>1666.49</v>
      </c>
      <c r="J69" s="211">
        <f t="shared" si="20"/>
        <v>7.5070513990244082E-5</v>
      </c>
      <c r="K69" s="190">
        <f>SUMIF('MVTO E'!$C$3:$C$240,"Acionistas",'MVTO E'!$K$3:$K$240)</f>
        <v>0</v>
      </c>
      <c r="L69" s="211" t="e">
        <f t="shared" si="21"/>
        <v>#DIV/0!</v>
      </c>
      <c r="M69" s="190">
        <f>SUMIF('MVTO E'!$C$3:$C$240,"Acionistas",'MVTO E'!$J$3:$J$240)</f>
        <v>1666.49</v>
      </c>
      <c r="N69" s="211" t="e">
        <f t="shared" si="22"/>
        <v>#DIV/0!</v>
      </c>
      <c r="O69" s="190">
        <f>SUMIF('MVTO E'!$C$3:$C$240,"Acionistas",'MVTO E'!$M$3:$M$240)</f>
        <v>0</v>
      </c>
      <c r="P69" s="211" t="e">
        <f t="shared" si="23"/>
        <v>#DIV/0!</v>
      </c>
      <c r="Q69" s="190">
        <f>SUMIF('MVTO E'!$C$3:$C$240,"Acionistas",'MVTO E'!$N$3:$N$240)</f>
        <v>0</v>
      </c>
      <c r="R69" s="211" t="e">
        <f t="shared" si="24"/>
        <v>#DIV/0!</v>
      </c>
      <c r="S69" s="190">
        <f>SUMIF('MVTO E'!$C$3:$C$240,"Acionistas",'MVTO E'!$O$3:$O$240)</f>
        <v>0</v>
      </c>
      <c r="T69" s="211" t="e">
        <f t="shared" si="25"/>
        <v>#DIV/0!</v>
      </c>
      <c r="U69" s="190">
        <f>SUMIF('MVTO E'!$C$3:$C$240,"Acionistas",'MVTO E'!$P$3:$P$240)</f>
        <v>0</v>
      </c>
      <c r="V69" s="211" t="e">
        <f t="shared" si="26"/>
        <v>#DIV/0!</v>
      </c>
      <c r="W69" s="190">
        <f>SUMIF('MVTO E'!$C$3:$C$240,"Acionistas",'MVTO E'!$Q$3:$Q$240)</f>
        <v>0</v>
      </c>
      <c r="X69" s="211" t="e">
        <f t="shared" si="27"/>
        <v>#DIV/0!</v>
      </c>
      <c r="Y69" s="190">
        <f>SUMIF('MVTO E'!$C$3:$C$240,"Acionistas",'MVTO E'!$R$3:$R$240)</f>
        <v>0</v>
      </c>
      <c r="Z69" s="211" t="e">
        <f t="shared" si="28"/>
        <v>#DIV/0!</v>
      </c>
      <c r="AA69" s="190" t="e">
        <f>SUM(#REF!,#REF!,#REF!,#REF!,#REF!,#REF!,#REF!,#REF!,#REF!,#REF!,#REF!,#REF!)</f>
        <v>#REF!</v>
      </c>
      <c r="AB69" s="201" t="e">
        <f t="shared" si="31"/>
        <v>#REF!</v>
      </c>
    </row>
    <row r="70" spans="2:28" s="176" customFormat="1" ht="10.35" customHeight="1">
      <c r="B70" s="183" t="s">
        <v>35</v>
      </c>
      <c r="C70" s="197"/>
      <c r="D70" s="209">
        <f t="shared" si="32"/>
        <v>0</v>
      </c>
      <c r="E70" s="197"/>
      <c r="F70" s="209">
        <f t="shared" si="29"/>
        <v>0</v>
      </c>
      <c r="G70" s="197"/>
      <c r="H70" s="209">
        <f t="shared" si="30"/>
        <v>0</v>
      </c>
      <c r="I70" s="197"/>
      <c r="J70" s="211">
        <f t="shared" si="20"/>
        <v>0</v>
      </c>
      <c r="K70" s="197"/>
      <c r="L70" s="211" t="e">
        <f t="shared" si="21"/>
        <v>#DIV/0!</v>
      </c>
      <c r="M70" s="197"/>
      <c r="N70" s="211" t="e">
        <f t="shared" si="22"/>
        <v>#DIV/0!</v>
      </c>
      <c r="O70" s="197"/>
      <c r="P70" s="211" t="e">
        <f t="shared" si="23"/>
        <v>#DIV/0!</v>
      </c>
      <c r="Q70" s="197"/>
      <c r="R70" s="211" t="e">
        <f t="shared" si="24"/>
        <v>#DIV/0!</v>
      </c>
      <c r="S70" s="197"/>
      <c r="T70" s="211" t="e">
        <f t="shared" si="25"/>
        <v>#DIV/0!</v>
      </c>
      <c r="U70" s="197"/>
      <c r="V70" s="211" t="e">
        <f t="shared" si="26"/>
        <v>#DIV/0!</v>
      </c>
      <c r="W70" s="197"/>
      <c r="X70" s="211" t="e">
        <f t="shared" si="27"/>
        <v>#DIV/0!</v>
      </c>
      <c r="Y70" s="197"/>
      <c r="Z70" s="211" t="e">
        <f t="shared" si="28"/>
        <v>#DIV/0!</v>
      </c>
      <c r="AA70" s="190" t="e">
        <f>SUM(#REF!,#REF!,#REF!,#REF!,#REF!,#REF!,#REF!,#REF!,#REF!,#REF!,#REF!,#REF!)</f>
        <v>#REF!</v>
      </c>
      <c r="AB70" s="201" t="e">
        <f t="shared" si="31"/>
        <v>#REF!</v>
      </c>
    </row>
    <row r="71" spans="2:28" s="176" customFormat="1" ht="10.35" customHeight="1">
      <c r="B71" s="183" t="s">
        <v>36</v>
      </c>
      <c r="C71" s="197"/>
      <c r="D71" s="209">
        <f t="shared" si="32"/>
        <v>0</v>
      </c>
      <c r="E71" s="197"/>
      <c r="F71" s="209">
        <f t="shared" si="29"/>
        <v>0</v>
      </c>
      <c r="G71" s="197"/>
      <c r="H71" s="209">
        <f t="shared" si="30"/>
        <v>0</v>
      </c>
      <c r="I71" s="197"/>
      <c r="J71" s="211">
        <f t="shared" si="20"/>
        <v>0</v>
      </c>
      <c r="K71" s="197"/>
      <c r="L71" s="211" t="e">
        <f t="shared" si="21"/>
        <v>#DIV/0!</v>
      </c>
      <c r="M71" s="197"/>
      <c r="N71" s="211" t="e">
        <f t="shared" si="22"/>
        <v>#DIV/0!</v>
      </c>
      <c r="O71" s="197"/>
      <c r="P71" s="211" t="e">
        <f t="shared" si="23"/>
        <v>#DIV/0!</v>
      </c>
      <c r="Q71" s="197"/>
      <c r="R71" s="211" t="e">
        <f t="shared" si="24"/>
        <v>#DIV/0!</v>
      </c>
      <c r="S71" s="197"/>
      <c r="T71" s="211" t="e">
        <f t="shared" si="25"/>
        <v>#DIV/0!</v>
      </c>
      <c r="U71" s="197"/>
      <c r="V71" s="211" t="e">
        <f t="shared" si="26"/>
        <v>#DIV/0!</v>
      </c>
      <c r="W71" s="197"/>
      <c r="X71" s="211" t="e">
        <f t="shared" si="27"/>
        <v>#DIV/0!</v>
      </c>
      <c r="Y71" s="197"/>
      <c r="Z71" s="211" t="e">
        <f t="shared" si="28"/>
        <v>#DIV/0!</v>
      </c>
      <c r="AA71" s="190" t="e">
        <f>SUM(#REF!,#REF!,#REF!,#REF!,#REF!,#REF!,#REF!,#REF!,#REF!,#REF!,#REF!,#REF!)</f>
        <v>#REF!</v>
      </c>
      <c r="AB71" s="201" t="e">
        <f t="shared" si="31"/>
        <v>#REF!</v>
      </c>
    </row>
    <row r="72" spans="2:28" s="176" customFormat="1" ht="10.35" customHeight="1">
      <c r="B72" s="183" t="s">
        <v>37</v>
      </c>
      <c r="C72" s="190">
        <f>SUMIF('MVTO E'!$C$3:$C$240,"Trans_S",'MVTO E'!$G$3:$G$240)-SUMIF('MVTO E'!$C$3:$C$240,"Trans_E",'MVTO E'!$G$3:$G$240)</f>
        <v>53.5</v>
      </c>
      <c r="D72" s="209">
        <f t="shared" si="32"/>
        <v>1.6260900138035468E-6</v>
      </c>
      <c r="E72" s="190">
        <f>SUMIF('MVTO E'!$C$3:$C$240,"Trans_S",'MVTO E'!$H$3:$H$240)-SUMIF('MVTO E'!$C$3:$C$240,"Trans_E",'MVTO E'!$H$3:$H$240)</f>
        <v>-42.84</v>
      </c>
      <c r="F72" s="209">
        <f t="shared" si="29"/>
        <v>-2.0178970216664738E-6</v>
      </c>
      <c r="G72" s="190">
        <f>SUMIF('MVTO E'!$C$3:$C$240,"Trans_S",'MVTO E'!$I$3:$I$240)-SUMIF('MVTO E'!$C$3:$C$240,"Trans_E",'MVTO E'!$I$3:$I$240)</f>
        <v>-910.49</v>
      </c>
      <c r="H72" s="209">
        <f t="shared" si="30"/>
        <v>-3.8244120357656216E-5</v>
      </c>
      <c r="I72" s="190">
        <f>SUMIF('MVTO E'!$C$3:$C$240,"Trans_S",'MVTO E'!$J$3:$J$240)-SUMIF('MVTO E'!$C$3:$C$240,"Trans_E",'MVTO E'!$J$3:$J$240)</f>
        <v>-1072.67</v>
      </c>
      <c r="J72" s="211">
        <f t="shared" si="20"/>
        <v>-4.8320654934572143E-5</v>
      </c>
      <c r="K72" s="190">
        <f>SUMIF('MVTO E'!$C$3:$C$240,"Trans_S",'MVTO E'!$K$3:$K$240)-SUMIF('MVTO E'!$C$3:$C$240,"Trans_E",'MVTO E'!$K$3:$K$240)</f>
        <v>0</v>
      </c>
      <c r="L72" s="211" t="e">
        <f t="shared" si="21"/>
        <v>#DIV/0!</v>
      </c>
      <c r="M72" s="190">
        <f>SUMIF('MVTO E'!$C$3:$C$240,"Trans_S",'MVTO E'!$L$3:$L$240)-SUMIF('MVTO E'!$C$3:$C$240,"Trans_E",'MVTO E'!$L$3:$L$240)</f>
        <v>0</v>
      </c>
      <c r="N72" s="211" t="e">
        <f t="shared" si="22"/>
        <v>#DIV/0!</v>
      </c>
      <c r="O72" s="190">
        <f>SUMIF('MVTO E'!$C$3:$C$240,"Trans_S",'MVTO E'!$M$3:$M$240)-SUMIF('MVTO E'!$C$3:$C$240,"Trans_E",'MVTO E'!$M$3:$M$240)</f>
        <v>0</v>
      </c>
      <c r="P72" s="211" t="e">
        <f t="shared" si="23"/>
        <v>#DIV/0!</v>
      </c>
      <c r="Q72" s="190">
        <f>SUMIF('MVTO E'!$C$3:$C$240,"Trans_S",'MVTO E'!$N$3:$N$240)-SUMIF('MVTO E'!$C$3:$C$240,"Trans_E",'MVTO E'!$N$3:$N$240)</f>
        <v>0</v>
      </c>
      <c r="R72" s="211" t="e">
        <f t="shared" si="24"/>
        <v>#DIV/0!</v>
      </c>
      <c r="S72" s="190">
        <f>SUMIF('MVTO E'!$C$3:$C$240,"Trans_S",'MVTO E'!$O$3:$O$240)-SUMIF('MVTO E'!$C$3:$C$240,"Trans_E",'MVTO E'!$O$3:$O$240)</f>
        <v>0</v>
      </c>
      <c r="T72" s="211" t="e">
        <f t="shared" si="25"/>
        <v>#DIV/0!</v>
      </c>
      <c r="U72" s="190">
        <f>SUMIF('MVTO E'!$C$3:$C$240,"Trans_S",'MVTO E'!$P$3:$P$240)-SUMIF('MVTO E'!$C$3:$C$240,"Trans_E",'MVTO E'!$P$3:$P$240)</f>
        <v>0</v>
      </c>
      <c r="V72" s="211" t="e">
        <f t="shared" si="26"/>
        <v>#DIV/0!</v>
      </c>
      <c r="W72" s="190">
        <f>SUMIF('MVTO E'!$C$3:$C$240,"Trans_S",'MVTO E'!$Q$3:$Q$240)-SUMIF('MVTO E'!$C$3:$C$240,"Trans_E",'MVTO E'!$Q$3:$Q$240)</f>
        <v>0</v>
      </c>
      <c r="X72" s="211" t="e">
        <f t="shared" si="27"/>
        <v>#DIV/0!</v>
      </c>
      <c r="Y72" s="190">
        <f>SUMIF('MVTO E'!$C$3:$C$240,"Trans_S",'MVTO E'!$R$3:$R$240)-SUMIF('MVTO E'!$C$3:$C$240,"Trans_E",'MVTO E'!$R$3:$R$240)</f>
        <v>0</v>
      </c>
      <c r="Z72" s="211" t="e">
        <f t="shared" si="28"/>
        <v>#DIV/0!</v>
      </c>
      <c r="AA72" s="190" t="e">
        <f>SUM(#REF!,#REF!,#REF!,#REF!,#REF!,#REF!,#REF!,#REF!,#REF!,#REF!,#REF!,#REF!)</f>
        <v>#REF!</v>
      </c>
      <c r="AB72" s="201" t="e">
        <f t="shared" si="31"/>
        <v>#REF!</v>
      </c>
    </row>
    <row r="73" spans="2:28" s="176" customFormat="1" ht="10.35" customHeight="1" thickBot="1">
      <c r="B73" s="221" t="s">
        <v>42</v>
      </c>
      <c r="C73" s="223">
        <f>C68-C69+C70-C71-C72</f>
        <v>-6814345.2199999979</v>
      </c>
      <c r="D73" s="222"/>
      <c r="E73" s="223">
        <f>E68-E69+E70-E71-E72</f>
        <v>-370430.35999999795</v>
      </c>
      <c r="F73" s="222"/>
      <c r="G73" s="223">
        <f>G68-G69+G70-G71-G72</f>
        <v>-6524754.4399999985</v>
      </c>
      <c r="H73" s="222"/>
      <c r="I73" s="223">
        <f>I68-I69+I70-I71-I72</f>
        <v>-3530147.0900000026</v>
      </c>
      <c r="J73" s="222"/>
      <c r="K73" s="223">
        <f>K68-K69+K70-K71-K72</f>
        <v>0</v>
      </c>
      <c r="L73" s="222"/>
      <c r="M73" s="223">
        <f>M68-M69+M70-M71-M72</f>
        <v>-1666.49</v>
      </c>
      <c r="N73" s="222"/>
      <c r="O73" s="223">
        <f>O68-O69+O70-O71-O72</f>
        <v>0</v>
      </c>
      <c r="P73" s="222"/>
      <c r="Q73" s="223">
        <f>Q68-Q69+Q70-Q71-Q72</f>
        <v>0</v>
      </c>
      <c r="R73" s="222"/>
      <c r="S73" s="223">
        <f>S68-S69+S70-S71-S72</f>
        <v>0</v>
      </c>
      <c r="T73" s="222"/>
      <c r="U73" s="223">
        <f>U68-U69+U70-U71-U72</f>
        <v>0</v>
      </c>
      <c r="V73" s="222"/>
      <c r="W73" s="223">
        <f>W68-W69+W70-W71-W72</f>
        <v>0</v>
      </c>
      <c r="X73" s="222"/>
      <c r="Y73" s="223">
        <f>Y68-Y69+Y70-Y71-Y72</f>
        <v>0</v>
      </c>
      <c r="Z73" s="222"/>
      <c r="AA73" s="199" t="e">
        <f>AA68-AA69+AA70-AA71-AA72</f>
        <v>#VALUE!</v>
      </c>
      <c r="AB73" s="184"/>
    </row>
    <row r="74" spans="2:28">
      <c r="B74" s="185"/>
      <c r="C74" s="186"/>
      <c r="D74" s="214"/>
      <c r="E74" s="186"/>
      <c r="F74" s="185"/>
      <c r="G74" s="186"/>
      <c r="H74" s="185"/>
      <c r="AA74" s="185"/>
      <c r="AB74" s="185"/>
    </row>
    <row r="75" spans="2:28" s="176" customFormat="1">
      <c r="B75" s="185"/>
      <c r="C75" s="187"/>
      <c r="D75" s="214"/>
      <c r="E75" s="187"/>
      <c r="F75" s="185"/>
      <c r="G75" s="186"/>
      <c r="H75" s="185"/>
      <c r="I75" s="187"/>
      <c r="J75" s="185"/>
      <c r="K75" s="187"/>
      <c r="L75" s="185"/>
      <c r="M75" s="187"/>
      <c r="N75" s="185"/>
      <c r="O75" s="187"/>
      <c r="P75" s="185"/>
      <c r="Q75" s="187"/>
      <c r="R75" s="185"/>
      <c r="S75" s="187"/>
      <c r="T75" s="185"/>
      <c r="U75" s="187"/>
      <c r="V75" s="185"/>
      <c r="W75" s="187"/>
      <c r="X75" s="185"/>
      <c r="Y75" s="187"/>
      <c r="Z75" s="185"/>
      <c r="AA75" s="187"/>
      <c r="AB75" s="187"/>
    </row>
    <row r="76" spans="2:28" s="176" customFormat="1">
      <c r="B76" s="185" t="s">
        <v>424</v>
      </c>
      <c r="C76" s="225">
        <f>'MVTO E'!G245</f>
        <v>20778063.890000001</v>
      </c>
      <c r="D76" s="214"/>
      <c r="E76" s="225">
        <f>'MVTO E'!H245</f>
        <v>13963718.67</v>
      </c>
      <c r="F76" s="185"/>
      <c r="G76" s="226">
        <f>'MVTO E'!I245</f>
        <v>13593288.310000001</v>
      </c>
      <c r="H76" s="185"/>
      <c r="I76" s="227">
        <f>'MVTO E'!J245</f>
        <v>7068533.8700000001</v>
      </c>
      <c r="J76" s="185"/>
      <c r="K76" s="207">
        <f>'MVTO E'!K245</f>
        <v>0</v>
      </c>
      <c r="L76" s="185"/>
      <c r="M76" s="207">
        <f>'MVTO E'!L245</f>
        <v>0</v>
      </c>
      <c r="N76" s="185"/>
      <c r="O76" s="207">
        <f>'MVTO E'!M245</f>
        <v>0</v>
      </c>
      <c r="P76" s="185"/>
      <c r="Q76" s="207">
        <f>'MVTO E'!N245</f>
        <v>0</v>
      </c>
      <c r="R76" s="185"/>
      <c r="S76" s="207">
        <f>'MVTO E'!O245</f>
        <v>0</v>
      </c>
      <c r="T76" s="185"/>
      <c r="U76" s="207"/>
      <c r="V76" s="185"/>
      <c r="W76" s="207"/>
      <c r="X76" s="185"/>
      <c r="Y76" s="207"/>
      <c r="Z76" s="185"/>
      <c r="AA76" s="207"/>
      <c r="AB76" s="207"/>
    </row>
    <row r="77" spans="2:28" s="176" customFormat="1">
      <c r="B77" s="185" t="s">
        <v>423</v>
      </c>
      <c r="C77" s="225">
        <f>'MVTO E'!G246</f>
        <v>13963718.67</v>
      </c>
      <c r="D77" s="214"/>
      <c r="E77" s="225">
        <f>'MVTO E'!H246</f>
        <v>13593288.310000001</v>
      </c>
      <c r="F77" s="185"/>
      <c r="G77" s="226">
        <f>'MVTO E'!I246</f>
        <v>7068533.8700000001</v>
      </c>
      <c r="H77" s="185"/>
      <c r="I77" s="227">
        <f>'MVTO E'!J246</f>
        <v>3538386.78</v>
      </c>
      <c r="J77" s="185"/>
      <c r="K77" s="207">
        <f>'MVTO E'!K246</f>
        <v>0</v>
      </c>
      <c r="L77" s="185"/>
      <c r="M77" s="207">
        <f>'MVTO E'!L246</f>
        <v>0</v>
      </c>
      <c r="N77" s="185"/>
      <c r="O77" s="207">
        <f>'MVTO E'!M246</f>
        <v>0</v>
      </c>
      <c r="P77" s="185"/>
      <c r="Q77" s="308">
        <f>'MVTO E'!N246</f>
        <v>0</v>
      </c>
      <c r="R77" s="185"/>
      <c r="S77" s="207">
        <f>'MVTO E'!O246</f>
        <v>0</v>
      </c>
      <c r="T77" s="185"/>
      <c r="U77" s="207"/>
      <c r="V77" s="185"/>
      <c r="W77" s="207"/>
      <c r="X77" s="185"/>
      <c r="Y77" s="207"/>
      <c r="Z77" s="185"/>
      <c r="AA77" s="207"/>
      <c r="AB77" s="207"/>
    </row>
    <row r="78" spans="2:28" s="176" customFormat="1">
      <c r="B78" s="185" t="s">
        <v>425</v>
      </c>
      <c r="C78" s="225">
        <f>C77-C76</f>
        <v>-6814345.2200000007</v>
      </c>
      <c r="D78" s="214"/>
      <c r="E78" s="225">
        <f>E77-E76</f>
        <v>-370430.3599999994</v>
      </c>
      <c r="F78" s="185"/>
      <c r="G78" s="225">
        <f>G77-G76</f>
        <v>-6524754.4400000004</v>
      </c>
      <c r="H78" s="185"/>
      <c r="I78" s="225">
        <f>I77-I76</f>
        <v>-3530147.0900000003</v>
      </c>
      <c r="J78" s="185"/>
      <c r="K78" s="308">
        <f>K77-K76</f>
        <v>0</v>
      </c>
      <c r="L78" s="185"/>
      <c r="M78" s="308">
        <f>M77-M76</f>
        <v>0</v>
      </c>
      <c r="N78" s="185"/>
      <c r="O78" s="308">
        <f>O77-O76</f>
        <v>0</v>
      </c>
      <c r="P78" s="185"/>
      <c r="Q78" s="308">
        <f>Q77-Q76</f>
        <v>0</v>
      </c>
      <c r="R78" s="185"/>
      <c r="S78" s="308">
        <f>S77-S76</f>
        <v>0</v>
      </c>
      <c r="T78" s="185"/>
      <c r="U78" s="185"/>
      <c r="V78" s="185"/>
      <c r="W78" s="185"/>
      <c r="X78" s="185"/>
      <c r="Y78" s="185"/>
      <c r="Z78" s="185"/>
      <c r="AA78" s="185"/>
      <c r="AB78" s="185"/>
    </row>
    <row r="79" spans="2:28" s="176" customFormat="1">
      <c r="C79" s="206"/>
      <c r="E79" s="206"/>
      <c r="G79" s="206"/>
      <c r="I79" s="207"/>
      <c r="J79" s="185"/>
      <c r="K79" s="207"/>
      <c r="L79" s="185"/>
      <c r="M79" s="207"/>
      <c r="N79" s="185"/>
      <c r="O79" s="207"/>
      <c r="P79" s="185"/>
      <c r="Q79" s="207"/>
      <c r="R79" s="185"/>
      <c r="S79" s="207"/>
      <c r="T79" s="185"/>
      <c r="U79" s="207"/>
      <c r="V79" s="185"/>
      <c r="W79" s="207"/>
      <c r="X79" s="185"/>
      <c r="Y79" s="207"/>
      <c r="Z79" s="185"/>
      <c r="AA79" s="206"/>
    </row>
    <row r="80" spans="2:28" s="176" customFormat="1">
      <c r="G80" s="467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spans="3:26" s="176" customFormat="1">
      <c r="C81" s="206"/>
      <c r="E81" s="206"/>
      <c r="G81" s="206"/>
      <c r="I81" s="207"/>
      <c r="J81" s="185"/>
      <c r="K81" s="207"/>
      <c r="L81" s="185"/>
      <c r="M81" s="207"/>
      <c r="N81" s="185"/>
      <c r="O81" s="207"/>
      <c r="P81" s="185"/>
      <c r="Q81" s="207"/>
      <c r="R81" s="185"/>
      <c r="S81" s="207"/>
      <c r="T81" s="185"/>
      <c r="U81" s="207"/>
      <c r="V81" s="185"/>
      <c r="W81" s="207"/>
      <c r="X81" s="185"/>
      <c r="Y81" s="207"/>
      <c r="Z81" s="185"/>
    </row>
    <row r="82" spans="3:26" s="176" customFormat="1">
      <c r="C82" s="206"/>
      <c r="E82" s="206"/>
      <c r="G82" s="206"/>
      <c r="I82" s="207"/>
      <c r="J82" s="185"/>
      <c r="K82" s="207"/>
      <c r="L82" s="185"/>
      <c r="M82" s="207"/>
      <c r="N82" s="185"/>
      <c r="O82" s="207"/>
      <c r="P82" s="185"/>
      <c r="Q82" s="207"/>
      <c r="R82" s="185"/>
      <c r="S82" s="207"/>
      <c r="T82" s="185"/>
      <c r="U82" s="207"/>
      <c r="V82" s="185"/>
      <c r="W82" s="207"/>
      <c r="X82" s="185"/>
      <c r="Y82" s="207"/>
      <c r="Z82" s="185"/>
    </row>
    <row r="84" spans="3:26" s="176" customFormat="1">
      <c r="C84" s="206"/>
      <c r="E84" s="206"/>
      <c r="G84" s="206"/>
      <c r="I84" s="207"/>
      <c r="J84" s="185"/>
      <c r="K84" s="207"/>
      <c r="L84" s="185"/>
      <c r="M84" s="207"/>
      <c r="N84" s="185"/>
      <c r="O84" s="207"/>
      <c r="P84" s="185"/>
      <c r="Q84" s="207"/>
      <c r="R84" s="185"/>
      <c r="S84" s="207"/>
      <c r="T84" s="185"/>
      <c r="U84" s="207"/>
      <c r="V84" s="185"/>
      <c r="W84" s="207"/>
      <c r="X84" s="185"/>
      <c r="Y84" s="207"/>
      <c r="Z84" s="185"/>
    </row>
    <row r="88" spans="3:26" s="176" customFormat="1">
      <c r="I88" s="207"/>
      <c r="J88" s="185"/>
      <c r="K88" s="207"/>
      <c r="L88" s="185"/>
      <c r="M88" s="207"/>
      <c r="N88" s="185"/>
      <c r="O88" s="207"/>
      <c r="P88" s="185"/>
      <c r="Q88" s="207"/>
      <c r="R88" s="185"/>
      <c r="S88" s="207"/>
      <c r="T88" s="185"/>
      <c r="U88" s="207"/>
      <c r="V88" s="185"/>
      <c r="W88" s="207"/>
      <c r="X88" s="185"/>
      <c r="Y88" s="207"/>
      <c r="Z88" s="185"/>
    </row>
    <row r="90" spans="3:26" s="176" customFormat="1">
      <c r="I90" s="187"/>
      <c r="J90" s="185"/>
      <c r="K90" s="187"/>
      <c r="L90" s="185"/>
      <c r="M90" s="187"/>
      <c r="N90" s="185"/>
      <c r="O90" s="187"/>
      <c r="P90" s="185"/>
      <c r="Q90" s="187"/>
      <c r="R90" s="185"/>
      <c r="S90" s="187"/>
      <c r="T90" s="185"/>
      <c r="U90" s="187"/>
      <c r="V90" s="185"/>
      <c r="W90" s="187"/>
      <c r="X90" s="185"/>
      <c r="Y90" s="187"/>
      <c r="Z90" s="185"/>
    </row>
  </sheetData>
  <dataConsolidate/>
  <mergeCells count="26">
    <mergeCell ref="C3:D3"/>
    <mergeCell ref="C2:D2"/>
    <mergeCell ref="W2:X2"/>
    <mergeCell ref="Y2:Z2"/>
    <mergeCell ref="AA2:AB2"/>
    <mergeCell ref="K2:L2"/>
    <mergeCell ref="M2:N2"/>
    <mergeCell ref="O2:P2"/>
    <mergeCell ref="Q2:R2"/>
    <mergeCell ref="S2:T2"/>
    <mergeCell ref="O3:P3"/>
    <mergeCell ref="Q3:R3"/>
    <mergeCell ref="S3:T3"/>
    <mergeCell ref="U3:V3"/>
    <mergeCell ref="U2:V2"/>
    <mergeCell ref="I2:J2"/>
    <mergeCell ref="G2:H2"/>
    <mergeCell ref="G3:H3"/>
    <mergeCell ref="E3:F3"/>
    <mergeCell ref="E2:F2"/>
    <mergeCell ref="Y3:Z3"/>
    <mergeCell ref="AA3:AB3"/>
    <mergeCell ref="W3:X3"/>
    <mergeCell ref="I3:J3"/>
    <mergeCell ref="K3:L3"/>
    <mergeCell ref="M3:N3"/>
  </mergeCells>
  <conditionalFormatting sqref="K78">
    <cfRule type="cellIs" dxfId="6" priority="5" operator="equal">
      <formula>$K$73</formula>
    </cfRule>
  </conditionalFormatting>
  <conditionalFormatting sqref="M78">
    <cfRule type="cellIs" dxfId="5" priority="3" operator="equal">
      <formula>$K$73</formula>
    </cfRule>
  </conditionalFormatting>
  <conditionalFormatting sqref="O78">
    <cfRule type="cellIs" dxfId="4" priority="2" operator="equal">
      <formula>$K$73</formula>
    </cfRule>
  </conditionalFormatting>
  <conditionalFormatting sqref="Q77">
    <cfRule type="cellIs" dxfId="3" priority="1" operator="equal">
      <formula>$K$73</formula>
    </cfRule>
  </conditionalFormatting>
  <conditionalFormatting sqref="AC57">
    <cfRule type="iconSet" priority="16">
      <iconSet iconSet="3Arrows" reverse="1">
        <cfvo type="percent" val="0"/>
        <cfvo type="num" val="0"/>
        <cfvo type="num" val="0"/>
      </iconSet>
    </cfRule>
    <cfRule type="iconSet" priority="17">
      <iconSet iconSet="3Arrows">
        <cfvo type="percent" val="0"/>
        <cfvo type="num" val="0"/>
        <cfvo type="num" val="0"/>
      </iconSet>
    </cfRule>
  </conditionalFormatting>
  <conditionalFormatting sqref="AJ57">
    <cfRule type="iconSet" priority="14">
      <iconSet iconSet="3Arrows" reverse="1">
        <cfvo type="percent" val="0"/>
        <cfvo type="num" val="0"/>
        <cfvo type="num" val="0"/>
      </iconSet>
    </cfRule>
    <cfRule type="iconSet" priority="15">
      <iconSet iconSet="3Arrows">
        <cfvo type="percent" val="0"/>
        <cfvo type="num" val="0"/>
        <cfvo type="num" val="0"/>
      </iconSet>
    </cfRule>
  </conditionalFormatting>
  <conditionalFormatting sqref="AQ57">
    <cfRule type="iconSet" priority="12">
      <iconSet iconSet="3Arrows" reverse="1">
        <cfvo type="percent" val="0"/>
        <cfvo type="num" val="0"/>
        <cfvo type="num" val="0"/>
      </iconSet>
    </cfRule>
    <cfRule type="iconSet" priority="13">
      <iconSet iconSet="3Arrows">
        <cfvo type="percent" val="0"/>
        <cfvo type="num" val="0"/>
        <cfvo type="num" val="0"/>
      </iconSet>
    </cfRule>
  </conditionalFormatting>
  <conditionalFormatting sqref="AX57">
    <cfRule type="iconSet" priority="10">
      <iconSet iconSet="3Arrows" reverse="1">
        <cfvo type="percent" val="0"/>
        <cfvo type="num" val="0"/>
        <cfvo type="num" val="0"/>
      </iconSet>
    </cfRule>
    <cfRule type="iconSet" priority="11">
      <iconSet iconSet="3Arrows">
        <cfvo type="percent" val="0"/>
        <cfvo type="num" val="0"/>
        <cfvo type="num" val="0"/>
      </iconSet>
    </cfRule>
  </conditionalFormatting>
  <conditionalFormatting sqref="BE57">
    <cfRule type="iconSet" priority="8">
      <iconSet iconSet="3Arrows" reverse="1">
        <cfvo type="percent" val="0"/>
        <cfvo type="num" val="0"/>
        <cfvo type="num" val="0"/>
      </iconSet>
    </cfRule>
    <cfRule type="iconSet" priority="9">
      <iconSet iconSet="3Arrows">
        <cfvo type="percent" val="0"/>
        <cfvo type="num" val="0"/>
        <cfvo type="num" val="0"/>
      </iconSet>
    </cfRule>
  </conditionalFormatting>
  <conditionalFormatting sqref="BL57">
    <cfRule type="iconSet" priority="6">
      <iconSet iconSet="3Arrows" reverse="1">
        <cfvo type="percent" val="0"/>
        <cfvo type="num" val="0"/>
        <cfvo type="num" val="0"/>
      </iconSet>
    </cfRule>
    <cfRule type="iconSet" priority="7">
      <iconSet iconSet="3Arrows">
        <cfvo type="percent" val="0"/>
        <cfvo type="num" val="0"/>
        <cfvo type="num" val="0"/>
      </iconSet>
    </cfRule>
  </conditionalFormatting>
  <conditionalFormatting sqref="BS57 BZ57 CG57">
    <cfRule type="iconSet" priority="20">
      <iconSet iconSet="3Arrows" reverse="1">
        <cfvo type="percent" val="0"/>
        <cfvo type="num" val="0"/>
        <cfvo type="num" val="0"/>
      </iconSet>
    </cfRule>
    <cfRule type="iconSet" priority="21">
      <iconSet iconSet="3Arrows">
        <cfvo type="percent" val="0"/>
        <cfvo type="num" val="0"/>
        <cfvo type="num" val="0"/>
      </iconSet>
    </cfRule>
  </conditionalFormatting>
  <pageMargins left="0.78740157480314965" right="0.78740157480314965" top="1.0629921259842521" bottom="1.0629921259842521" header="0.78740157480314965" footer="0.78740157480314965"/>
  <pageSetup paperSize="9" scale="80" firstPageNumber="0" fitToWidth="0" orientation="landscape" useFirstPageNumber="1" horizontalDpi="300" verticalDpi="300" r:id="rId1"/>
  <headerFooter>
    <oddHeader>&amp;C&amp;"Times New Roman,Normal"&amp;12&amp;A</oddHeader>
    <oddFooter>&amp;C&amp;"Times New Roman,Normal"&amp;12Página &amp;P</oddFooter>
  </headerFooter>
  <ignoredErrors>
    <ignoredError sqref="E10:E17 D73 E69:E71 E47:E48 E50:E67 F10:F13 D5:D9 D13:D16 D22:D25 D27:D67 D18:D20 D10 E19:E23 E25:E4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G90"/>
  <sheetViews>
    <sheetView zoomScale="140" zoomScaleNormal="140" workbookViewId="0">
      <pane xSplit="2" ySplit="3" topLeftCell="C55" activePane="bottomRight" state="frozen"/>
      <selection pane="topRight"/>
      <selection pane="bottomLeft"/>
      <selection pane="bottomRight" activeCell="G72" sqref="G72"/>
    </sheetView>
  </sheetViews>
  <sheetFormatPr defaultColWidth="9" defaultRowHeight="10.199999999999999"/>
  <cols>
    <col min="1" max="1" width="0.44140625" style="176" customWidth="1"/>
    <col min="2" max="2" width="30.5546875" style="176" bestFit="1" customWidth="1"/>
    <col min="3" max="3" width="10" style="176" customWidth="1"/>
    <col min="4" max="4" width="5.6640625" style="176" customWidth="1"/>
    <col min="5" max="5" width="8.109375" style="176" customWidth="1"/>
    <col min="6" max="6" width="7" style="176" customWidth="1"/>
    <col min="7" max="7" width="8" style="176" customWidth="1"/>
    <col min="8" max="8" width="5.6640625" style="176" customWidth="1"/>
    <col min="9" max="9" width="6.88671875" style="185" customWidth="1"/>
    <col min="10" max="10" width="5.33203125" style="185" customWidth="1"/>
    <col min="11" max="11" width="6.88671875" style="185" customWidth="1"/>
    <col min="12" max="12" width="4.5546875" style="185" customWidth="1"/>
    <col min="13" max="13" width="6.88671875" style="185" customWidth="1"/>
    <col min="14" max="14" width="4.5546875" style="185" customWidth="1"/>
    <col min="15" max="15" width="6.88671875" style="185" customWidth="1"/>
    <col min="16" max="16" width="4.5546875" style="185" customWidth="1"/>
    <col min="17" max="17" width="6.88671875" style="185" customWidth="1"/>
    <col min="18" max="18" width="4.5546875" style="185" customWidth="1"/>
    <col min="19" max="19" width="6.88671875" style="185" customWidth="1"/>
    <col min="20" max="20" width="6" style="185" customWidth="1"/>
    <col min="21" max="21" width="6.88671875" style="185" customWidth="1"/>
    <col min="22" max="22" width="4.5546875" style="185" customWidth="1"/>
    <col min="23" max="23" width="6.88671875" style="185" customWidth="1"/>
    <col min="24" max="24" width="7.44140625" style="185" customWidth="1"/>
    <col min="25" max="25" width="6.88671875" style="185" customWidth="1"/>
    <col min="26" max="26" width="5.6640625" style="185" customWidth="1"/>
    <col min="27" max="27" width="9.44140625" style="176" hidden="1" customWidth="1"/>
    <col min="28" max="28" width="6.5546875" style="176" hidden="1" customWidth="1"/>
    <col min="29" max="995" width="9.109375" style="176" customWidth="1"/>
    <col min="996" max="16384" width="9" style="188"/>
  </cols>
  <sheetData>
    <row r="1" spans="2:28" ht="5.25" customHeight="1" thickBot="1"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spans="2:28" ht="19.5" customHeight="1" thickBot="1">
      <c r="C2" s="481" t="s">
        <v>58</v>
      </c>
      <c r="D2" s="482"/>
      <c r="E2" s="481" t="s">
        <v>59</v>
      </c>
      <c r="F2" s="482"/>
      <c r="G2" s="481" t="s">
        <v>60</v>
      </c>
      <c r="H2" s="482"/>
      <c r="I2" s="481" t="s">
        <v>61</v>
      </c>
      <c r="J2" s="482"/>
      <c r="K2" s="481" t="s">
        <v>11</v>
      </c>
      <c r="L2" s="482"/>
      <c r="M2" s="481" t="s">
        <v>62</v>
      </c>
      <c r="N2" s="482"/>
      <c r="O2" s="481" t="s">
        <v>63</v>
      </c>
      <c r="P2" s="482"/>
      <c r="Q2" s="481" t="s">
        <v>64</v>
      </c>
      <c r="R2" s="482"/>
      <c r="S2" s="481" t="s">
        <v>65</v>
      </c>
      <c r="T2" s="482"/>
      <c r="U2" s="481" t="s">
        <v>66</v>
      </c>
      <c r="V2" s="482"/>
      <c r="W2" s="481" t="s">
        <v>67</v>
      </c>
      <c r="X2" s="482"/>
      <c r="Y2" s="481" t="s">
        <v>68</v>
      </c>
      <c r="Z2" s="482"/>
      <c r="AA2" s="498"/>
      <c r="AB2" s="495"/>
    </row>
    <row r="3" spans="2:28" ht="17.399999999999999" customHeight="1" thickBot="1">
      <c r="B3" s="283" t="s">
        <v>45</v>
      </c>
      <c r="C3" s="496" t="s">
        <v>461</v>
      </c>
      <c r="D3" s="497"/>
      <c r="E3" s="496" t="s">
        <v>461</v>
      </c>
      <c r="F3" s="497"/>
      <c r="G3" s="496" t="s">
        <v>461</v>
      </c>
      <c r="H3" s="497"/>
      <c r="I3" s="496" t="s">
        <v>461</v>
      </c>
      <c r="J3" s="497"/>
      <c r="K3" s="496" t="s">
        <v>461</v>
      </c>
      <c r="L3" s="497"/>
      <c r="M3" s="496" t="s">
        <v>461</v>
      </c>
      <c r="N3" s="497"/>
      <c r="O3" s="496" t="s">
        <v>461</v>
      </c>
      <c r="P3" s="497"/>
      <c r="Q3" s="496" t="s">
        <v>461</v>
      </c>
      <c r="R3" s="497"/>
      <c r="S3" s="496" t="s">
        <v>461</v>
      </c>
      <c r="T3" s="497"/>
      <c r="U3" s="496" t="s">
        <v>461</v>
      </c>
      <c r="V3" s="497"/>
      <c r="W3" s="496" t="s">
        <v>461</v>
      </c>
      <c r="X3" s="497"/>
      <c r="Y3" s="496" t="s">
        <v>461</v>
      </c>
      <c r="Z3" s="497"/>
      <c r="AA3" s="494" t="s">
        <v>462</v>
      </c>
      <c r="AB3" s="495"/>
    </row>
    <row r="4" spans="2:28" s="176" customFormat="1" ht="10.35" customHeight="1" thickBot="1">
      <c r="B4" s="178" t="s">
        <v>215</v>
      </c>
      <c r="C4" s="190">
        <f>SUMIF('MVTO A'!$C$3:$C$184,"Vda_Din",'MVTO A'!$G$3:$G$184)</f>
        <v>0</v>
      </c>
      <c r="D4" s="208">
        <f>C4/$C$10</f>
        <v>0</v>
      </c>
      <c r="E4" s="190">
        <f>SUMIF('MVTO A'!$C$3:$C$184,"Vda_Din",'MVTO A'!$H$3:$H$184)</f>
        <v>0</v>
      </c>
      <c r="F4" s="208">
        <f t="shared" ref="F4:F9" si="0">E4/$E$10</f>
        <v>0</v>
      </c>
      <c r="G4" s="190">
        <f>SUMIF('MVTO A'!$C$3:$C$184,"Vda_Din",'MVTO A'!$I$3:$I$184)-SUMIF('MVTO A'!$C$3:$C$184,"Vda_S_Din",'MVTO A'!$I$3:$I$184)</f>
        <v>0</v>
      </c>
      <c r="H4" s="208">
        <f t="shared" ref="H4:H9" si="1">G4/$G$10</f>
        <v>0</v>
      </c>
      <c r="I4" s="219">
        <f>SUMIF('MVTO A'!$C$3:$C$184,"Vda_Din",'MVTO A'!$J$3:$J$184)</f>
        <v>0</v>
      </c>
      <c r="J4" s="208">
        <f>I4/$I$10</f>
        <v>0</v>
      </c>
      <c r="K4" s="219">
        <f>SUMIF('MVTO A'!$C$3:$C$184,"Vda_Din",'MVTO A'!$K$3:$K$184)</f>
        <v>0</v>
      </c>
      <c r="L4" s="208" t="e">
        <f>K4/$K$10</f>
        <v>#DIV/0!</v>
      </c>
      <c r="M4" s="219">
        <f>SUMIF('MVTO A'!$C$3:$C$184,"Vda_Din",'MVTO A'!$L$3:$L$184)</f>
        <v>0</v>
      </c>
      <c r="N4" s="208" t="e">
        <f>M4/$M$10</f>
        <v>#DIV/0!</v>
      </c>
      <c r="O4" s="219">
        <f>SUMIF('MVTO A'!$C$3:$C$184,"Vda_Din",'MVTO A'!$M$3:$M$189)</f>
        <v>0</v>
      </c>
      <c r="P4" s="208" t="e">
        <f>O4/$O$10</f>
        <v>#DIV/0!</v>
      </c>
      <c r="Q4" s="219">
        <f>SUMIF('MVTO A'!$C$3:$C$184,"Vda_Din",'MVTO A'!$N$3:$N$189)</f>
        <v>0</v>
      </c>
      <c r="R4" s="208" t="e">
        <f>Q4/$Q$10</f>
        <v>#DIV/0!</v>
      </c>
      <c r="S4" s="219">
        <f>SUMIF('MVTO A'!$C$3:$C$184,"Vda_Din",'MVTO A'!$O$3:$O$189)</f>
        <v>0</v>
      </c>
      <c r="T4" s="208" t="e">
        <f>S4/$S$10</f>
        <v>#DIV/0!</v>
      </c>
      <c r="U4" s="219">
        <f>SUMIF('MVTO A'!$C$3:$C$184,"Vda_Din",'MVTO A'!$P$3:$P$189)</f>
        <v>0</v>
      </c>
      <c r="V4" s="208" t="e">
        <f>U4/$S$10</f>
        <v>#DIV/0!</v>
      </c>
      <c r="W4" s="219">
        <f>SUMIF('MVTO A'!$C$3:$C$184,"Vda_Din",'MVTO A'!$Q$3:$Q$189)</f>
        <v>0</v>
      </c>
      <c r="X4" s="208" t="e">
        <f>W4/$S$10</f>
        <v>#DIV/0!</v>
      </c>
      <c r="Y4" s="219">
        <f>SUMIF('MVTO A'!$C$3:$C$184,"Vda_Din",'MVTO A'!$R$3:$R$189)</f>
        <v>0</v>
      </c>
      <c r="Z4" s="208" t="e">
        <f>Y4/$S$10</f>
        <v>#DIV/0!</v>
      </c>
      <c r="AA4" s="190" t="e">
        <f>SUM(#REF!,#REF!,#REF!,#REF!,#REF!,#REF!,#REF!,#REF!,#REF!,#REF!,#REF!,#REF!)</f>
        <v>#REF!</v>
      </c>
      <c r="AB4" s="200" t="e">
        <f t="shared" ref="AB4:AB17" si="2">AA4/$AA$10</f>
        <v>#REF!</v>
      </c>
    </row>
    <row r="5" spans="2:28" s="176" customFormat="1" ht="10.35" customHeight="1" thickBot="1">
      <c r="B5" s="178" t="s">
        <v>218</v>
      </c>
      <c r="C5" s="190">
        <f>SUMIF('MVTO A'!$C$3:$C$184,"Vda_PIX",'MVTO A'!$G$3:$G$184)</f>
        <v>230404.64</v>
      </c>
      <c r="D5" s="209">
        <f t="shared" ref="D5:D8" si="3">C5/$C$10</f>
        <v>5.830478594661484E-2</v>
      </c>
      <c r="E5" s="190">
        <f>SUMIF('MVTO A'!$C$3:$C$184,"Vda_PIX",'MVTO A'!$H$3:$H$184)</f>
        <v>185954.55</v>
      </c>
      <c r="F5" s="209">
        <f t="shared" si="0"/>
        <v>5.4384848421481481E-2</v>
      </c>
      <c r="G5" s="190">
        <f>SUMIF('MVTO A'!$C$3:$C$184,"Vda_PIX",'MVTO A'!$I$3:$I$184)-SUMIF('MVTO A'!$C$3:$C$184,"Vda_S_PIX",'MVTO A'!$I$3:$I$184)</f>
        <v>208795.25</v>
      </c>
      <c r="H5" s="209">
        <f t="shared" si="1"/>
        <v>5.719501841751623E-2</v>
      </c>
      <c r="I5" s="190">
        <f>SUMIF('MVTO A'!$C$3:$C$184,"Vda_PIX",'MVTO A'!$J$3:$J$184)</f>
        <v>164338.74</v>
      </c>
      <c r="J5" s="208">
        <f t="shared" ref="J5:J17" si="4">I5/$I$10</f>
        <v>5.2058748757905129E-2</v>
      </c>
      <c r="K5" s="190">
        <f>SUMIF('MVTO A'!$C$3:$C$184,"Vda_PIX",'MVTO A'!$K$3:$K$184)</f>
        <v>0</v>
      </c>
      <c r="L5" s="208" t="e">
        <f t="shared" ref="L5:L17" si="5">K5/$K$10</f>
        <v>#DIV/0!</v>
      </c>
      <c r="M5" s="190">
        <f>SUMIF('MVTO A'!$C$3:$C$184,"Vda_PIX",'MVTO A'!$L$3:$L$184)</f>
        <v>0</v>
      </c>
      <c r="N5" s="208" t="e">
        <f t="shared" ref="N5:N17" si="6">M5/$M$10</f>
        <v>#DIV/0!</v>
      </c>
      <c r="O5" s="190">
        <f>SUMIF('MVTO A'!$C$3:$C$184,"Vda_PIX",'MVTO A'!$M$3:$M$189)</f>
        <v>0</v>
      </c>
      <c r="P5" s="208" t="e">
        <f t="shared" ref="P5:P17" si="7">O5/$O$10</f>
        <v>#DIV/0!</v>
      </c>
      <c r="Q5" s="190">
        <f>SUMIF('MVTO A'!$C$3:$C$184,"Vda_PIX",'MVTO A'!$N$3:$N$189)</f>
        <v>0</v>
      </c>
      <c r="R5" s="208" t="e">
        <f t="shared" ref="R5:R17" si="8">Q5/$Q$10</f>
        <v>#DIV/0!</v>
      </c>
      <c r="S5" s="190">
        <f>SUMIF('MVTO A'!$C$3:$C$184,"Vda_PIX",'MVTO A'!$O$3:$O$189)</f>
        <v>0</v>
      </c>
      <c r="T5" s="208" t="e">
        <f t="shared" ref="T5:T17" si="9">S5/$S$10</f>
        <v>#DIV/0!</v>
      </c>
      <c r="U5" s="190">
        <f>SUMIF('MVTO A'!$C$3:$C$184,"Vda_PIX",'MVTO A'!$P$3:$P$189)</f>
        <v>0</v>
      </c>
      <c r="V5" s="208" t="e">
        <f t="shared" ref="V5:V17" si="10">U5/$S$10</f>
        <v>#DIV/0!</v>
      </c>
      <c r="W5" s="190">
        <f>SUMIF('MVTO A'!$C$3:$C$184,"Vda_PIX",'MVTO A'!$Q$3:$Q$189)</f>
        <v>0</v>
      </c>
      <c r="X5" s="208" t="e">
        <f t="shared" ref="X5:X17" si="11">W5/$S$10</f>
        <v>#DIV/0!</v>
      </c>
      <c r="Y5" s="190">
        <f>SUMIF('MVTO A'!$C$3:$C$184,"Vda_PIX",'MVTO A'!$R$3:$R$189)</f>
        <v>0</v>
      </c>
      <c r="Z5" s="208" t="e">
        <f t="shared" ref="Z5:Z17" si="12">Y5/$S$10</f>
        <v>#DIV/0!</v>
      </c>
      <c r="AA5" s="190" t="e">
        <f>SUM(#REF!,#REF!,#REF!,#REF!,#REF!,#REF!,#REF!,#REF!,#REF!,#REF!,#REF!,#REF!)</f>
        <v>#REF!</v>
      </c>
      <c r="AB5" s="201" t="e">
        <f t="shared" si="2"/>
        <v>#REF!</v>
      </c>
    </row>
    <row r="6" spans="2:28" s="176" customFormat="1" ht="10.35" customHeight="1" thickBot="1">
      <c r="B6" s="178" t="s">
        <v>221</v>
      </c>
      <c r="C6" s="190">
        <f>SUMIF('MVTO A'!$C$3:$C$184,"Vda_Debito",'MVTO A'!$G$3:$G$184)</f>
        <v>991436.74</v>
      </c>
      <c r="D6" s="209">
        <f>C6/$C$10</f>
        <v>0.25088690447080247</v>
      </c>
      <c r="E6" s="190">
        <f>SUMIF('MVTO A'!$C$3:$C$184,"Vda_Debito",'MVTO A'!$H$3:$H$184)</f>
        <v>776917.09</v>
      </c>
      <c r="F6" s="209">
        <f t="shared" si="0"/>
        <v>0.22721959842181053</v>
      </c>
      <c r="G6" s="190">
        <f>SUMIF('MVTO A'!$C$3:$C$184,"Vda_Debito",'MVTO A'!$I$3:$I$184)</f>
        <v>903793.71</v>
      </c>
      <c r="H6" s="209">
        <f t="shared" si="1"/>
        <v>0.24757506643032023</v>
      </c>
      <c r="I6" s="190">
        <f>SUMIF('MVTO A'!$C$3:$C$184,"Vda_Debito",'MVTO A'!$J$3:$J$184)</f>
        <v>770320.33000000007</v>
      </c>
      <c r="J6" s="208">
        <f t="shared" si="4"/>
        <v>0.24401983684782161</v>
      </c>
      <c r="K6" s="190">
        <f>SUMIF('MVTO A'!$C$3:$C$184,"Vda_Debito",'MVTO A'!$K$3:$K$184)</f>
        <v>0</v>
      </c>
      <c r="L6" s="208" t="e">
        <f t="shared" si="5"/>
        <v>#DIV/0!</v>
      </c>
      <c r="M6" s="190">
        <f>SUMIF('MVTO A'!$C$3:$C$184,"Vda_Debito",'MVTO A'!$L$3:$L$184)</f>
        <v>0</v>
      </c>
      <c r="N6" s="208" t="e">
        <f t="shared" si="6"/>
        <v>#DIV/0!</v>
      </c>
      <c r="O6" s="190">
        <f>SUMIF('MVTO A'!$C$3:$C$184,"Vda_Debito",'MVTO A'!$M$3:$M$189)</f>
        <v>0</v>
      </c>
      <c r="P6" s="208" t="e">
        <f t="shared" si="7"/>
        <v>#DIV/0!</v>
      </c>
      <c r="Q6" s="190">
        <f>SUMIF('MVTO A'!$C$3:$C$184,"Vda_Debito",'MVTO A'!$N$3:$N$189)</f>
        <v>0</v>
      </c>
      <c r="R6" s="208" t="e">
        <f t="shared" si="8"/>
        <v>#DIV/0!</v>
      </c>
      <c r="S6" s="190">
        <f>SUMIF('MVTO A'!$C$3:$C$184,"Vda_Debito",'MVTO A'!$O$3:$O$189)</f>
        <v>0</v>
      </c>
      <c r="T6" s="208" t="e">
        <f t="shared" si="9"/>
        <v>#DIV/0!</v>
      </c>
      <c r="U6" s="190">
        <f>SUMIF('MVTO A'!$C$3:$C$184,"Vda_Debito",'MVTO A'!$P$3:$P$189)</f>
        <v>0</v>
      </c>
      <c r="V6" s="208" t="e">
        <f t="shared" si="10"/>
        <v>#DIV/0!</v>
      </c>
      <c r="W6" s="190">
        <f>SUMIF('MVTO A'!$C$3:$C$184,"Vda_Debito",'MVTO A'!$Q$3:$Q$189)</f>
        <v>0</v>
      </c>
      <c r="X6" s="208" t="e">
        <f t="shared" si="11"/>
        <v>#DIV/0!</v>
      </c>
      <c r="Y6" s="190">
        <f>SUMIF('MVTO A'!$C$3:$C$184,"Vda_Debito",'MVTO A'!$R$3:$R$189)</f>
        <v>0</v>
      </c>
      <c r="Z6" s="208" t="e">
        <f t="shared" si="12"/>
        <v>#DIV/0!</v>
      </c>
      <c r="AA6" s="190" t="e">
        <f>SUM(#REF!,#REF!,#REF!,#REF!,#REF!,#REF!,#REF!,#REF!,#REF!,#REF!,#REF!,#REF!)</f>
        <v>#REF!</v>
      </c>
      <c r="AB6" s="201" t="e">
        <f t="shared" si="2"/>
        <v>#REF!</v>
      </c>
    </row>
    <row r="7" spans="2:28" s="176" customFormat="1" ht="10.35" customHeight="1" thickBot="1">
      <c r="B7" s="178" t="s">
        <v>220</v>
      </c>
      <c r="C7" s="190">
        <f>SUMIF('MVTO A'!$C$3:$C$184,"Vda_Credito",'MVTO A'!$G$3:$G$184)</f>
        <v>2297155.77</v>
      </c>
      <c r="D7" s="209">
        <f t="shared" si="3"/>
        <v>0.5813041588740625</v>
      </c>
      <c r="E7" s="190">
        <f>SUMIF('MVTO A'!$C$3:$C$184,"Vda_Credito",'MVTO A'!$H$3:$H$184)</f>
        <v>2042355.7000000002</v>
      </c>
      <c r="F7" s="209">
        <f t="shared" si="0"/>
        <v>0.5973137262156194</v>
      </c>
      <c r="G7" s="190">
        <f>SUMIF('MVTO A'!$C$3:$C$184,"Vda_Credito",'MVTO A'!$I$3:$I$184)</f>
        <v>2074024.67</v>
      </c>
      <c r="H7" s="209">
        <f t="shared" si="1"/>
        <v>0.5681349513412447</v>
      </c>
      <c r="I7" s="190">
        <f>SUMIF('MVTO A'!$C$3:$C$184,"Vda_Credito",'MVTO A'!$J$3:$J$184)</f>
        <v>1957630.3699999999</v>
      </c>
      <c r="J7" s="208">
        <f t="shared" si="4"/>
        <v>0.62013246294011293</v>
      </c>
      <c r="K7" s="190">
        <f>SUMIF('MVTO A'!$C$3:$C$184,"Vda_Credito",'MVTO A'!$K$3:$K$184)</f>
        <v>0</v>
      </c>
      <c r="L7" s="208" t="e">
        <f t="shared" si="5"/>
        <v>#DIV/0!</v>
      </c>
      <c r="M7" s="190">
        <f>SUMIF('MVTO A'!$C$3:$C$184,"Vda_Credito",'MVTO A'!$L$3:$L$184)</f>
        <v>0</v>
      </c>
      <c r="N7" s="208" t="e">
        <f t="shared" si="6"/>
        <v>#DIV/0!</v>
      </c>
      <c r="O7" s="190">
        <f>SUMIF('MVTO A'!$C$3:$C$184,"Vda_Credito",'MVTO A'!$M$3:$M$189)</f>
        <v>0</v>
      </c>
      <c r="P7" s="208" t="e">
        <f t="shared" si="7"/>
        <v>#DIV/0!</v>
      </c>
      <c r="Q7" s="190">
        <f>SUMIF('MVTO A'!$C$3:$C$184,"Vda_Credito",'MVTO A'!$N$3:$N$189)</f>
        <v>0</v>
      </c>
      <c r="R7" s="208" t="e">
        <f t="shared" si="8"/>
        <v>#DIV/0!</v>
      </c>
      <c r="S7" s="190">
        <f>SUMIF('MVTO A'!$C$3:$C$184,"Vda_Credito",'MVTO A'!$O$3:$O$189)</f>
        <v>0</v>
      </c>
      <c r="T7" s="208" t="e">
        <f t="shared" si="9"/>
        <v>#DIV/0!</v>
      </c>
      <c r="U7" s="190">
        <f>SUMIF('MVTO A'!$C$3:$C$184,"Vda_Credito",'MVTO A'!$P$3:$P$189)</f>
        <v>0</v>
      </c>
      <c r="V7" s="208" t="e">
        <f t="shared" si="10"/>
        <v>#DIV/0!</v>
      </c>
      <c r="W7" s="190">
        <f>SUMIF('MVTO A'!$C$3:$C$184,"Vda_Credito",'MVTO A'!$Q$3:$Q$189)</f>
        <v>0</v>
      </c>
      <c r="X7" s="208" t="e">
        <f t="shared" si="11"/>
        <v>#DIV/0!</v>
      </c>
      <c r="Y7" s="190">
        <f>SUMIF('MVTO A'!$C$3:$C$184,"Vda_Credito",'MVTO A'!$R$3:$R$189)</f>
        <v>0</v>
      </c>
      <c r="Z7" s="208" t="e">
        <f t="shared" si="12"/>
        <v>#DIV/0!</v>
      </c>
      <c r="AA7" s="190" t="e">
        <f>SUM(#REF!,#REF!,#REF!,#REF!,#REF!,#REF!,#REF!,#REF!,#REF!,#REF!,#REF!,#REF!)</f>
        <v>#REF!</v>
      </c>
      <c r="AB7" s="201" t="e">
        <f t="shared" si="2"/>
        <v>#REF!</v>
      </c>
    </row>
    <row r="8" spans="2:28" s="176" customFormat="1" ht="10.35" customHeight="1" thickBot="1">
      <c r="B8" s="178" t="s">
        <v>222</v>
      </c>
      <c r="C8" s="190">
        <f>SUMIF('MVTO A'!$C$3:$C$184,"Vda_Ticket",'MVTO A'!$G$3:$G$184)</f>
        <v>11369.36</v>
      </c>
      <c r="D8" s="209">
        <f t="shared" si="3"/>
        <v>2.8770605537718551E-3</v>
      </c>
      <c r="E8" s="190">
        <f>SUMIF('MVTO A'!$C$3:$C$184,"Vda_Ticket",'MVTO A'!$H$3:$H$184)</f>
        <v>7082.82</v>
      </c>
      <c r="F8" s="209">
        <f t="shared" si="0"/>
        <v>2.0714636565582153E-3</v>
      </c>
      <c r="G8" s="190">
        <f>SUMIF('MVTO A'!$C$3:$C$184,"Vda_Ticket",'MVTO A'!$I$3:$I$184)</f>
        <v>15070.529999999999</v>
      </c>
      <c r="H8" s="209">
        <f t="shared" si="1"/>
        <v>4.1282511978205007E-3</v>
      </c>
      <c r="I8" s="190">
        <f>SUMIF('MVTO A'!$C$3:$C$184,"Vda_Ticket",'MVTO A'!$J$3:$J$184)</f>
        <v>10029.76</v>
      </c>
      <c r="J8" s="208">
        <f t="shared" si="4"/>
        <v>3.1771982427398838E-3</v>
      </c>
      <c r="K8" s="190">
        <f>SUMIF('MVTO A'!$C$3:$C$184,"Vda_Ticket",'MVTO A'!$K$3:$K$184)</f>
        <v>0</v>
      </c>
      <c r="L8" s="208" t="e">
        <f t="shared" si="5"/>
        <v>#DIV/0!</v>
      </c>
      <c r="M8" s="190">
        <f>SUMIF('MVTO A'!$C$3:$C$184,"Vda_Ticket",'MVTO A'!$L$3:$L$184)</f>
        <v>0</v>
      </c>
      <c r="N8" s="208" t="e">
        <f t="shared" si="6"/>
        <v>#DIV/0!</v>
      </c>
      <c r="O8" s="190">
        <f>SUMIF('MVTO A'!$C$3:$C$184,"Vda_Ticket",'MVTO A'!$M$3:$M$189)</f>
        <v>0</v>
      </c>
      <c r="P8" s="208" t="e">
        <f t="shared" si="7"/>
        <v>#DIV/0!</v>
      </c>
      <c r="Q8" s="190">
        <f>SUMIF('MVTO A'!$C$3:$C$184,"Vda_Ticket",'MVTO A'!$N$3:$N$189)</f>
        <v>0</v>
      </c>
      <c r="R8" s="208" t="e">
        <f t="shared" si="8"/>
        <v>#DIV/0!</v>
      </c>
      <c r="S8" s="190">
        <f>SUMIF('MVTO A'!$C$3:$C$184,"Vda_Ticket",'MVTO A'!$O$3:$O$189)</f>
        <v>0</v>
      </c>
      <c r="T8" s="208" t="e">
        <f t="shared" si="9"/>
        <v>#DIV/0!</v>
      </c>
      <c r="U8" s="190">
        <f>SUMIF('MVTO A'!$C$3:$C$184,"Vda_Ticket",'MVTO A'!$P$3:$P$189)</f>
        <v>0</v>
      </c>
      <c r="V8" s="208" t="e">
        <f t="shared" si="10"/>
        <v>#DIV/0!</v>
      </c>
      <c r="W8" s="190">
        <f>SUMIF('MVTO A'!$C$3:$C$184,"Vda_Ticket",'MVTO A'!$Q$3:$Q$189)</f>
        <v>0</v>
      </c>
      <c r="X8" s="208" t="e">
        <f t="shared" si="11"/>
        <v>#DIV/0!</v>
      </c>
      <c r="Y8" s="190">
        <f>SUMIF('MVTO A'!$C$3:$C$184,"Vda_Ticket",'MVTO A'!$R$3:$R$189)</f>
        <v>0</v>
      </c>
      <c r="Z8" s="208" t="e">
        <f t="shared" si="12"/>
        <v>#DIV/0!</v>
      </c>
      <c r="AA8" s="190" t="e">
        <f>SUM(#REF!,#REF!,#REF!,#REF!,#REF!,#REF!,#REF!,#REF!,#REF!,#REF!,#REF!,#REF!)</f>
        <v>#REF!</v>
      </c>
      <c r="AB8" s="201" t="e">
        <f t="shared" si="2"/>
        <v>#REF!</v>
      </c>
    </row>
    <row r="9" spans="2:28" s="176" customFormat="1" ht="10.35" customHeight="1" thickBot="1">
      <c r="B9" s="178" t="s">
        <v>223</v>
      </c>
      <c r="C9" s="190">
        <f>SUMIF('MVTO A'!$C$3:$C$184,"Vda_Prazo",'MVTO A'!$G$3:$G$184)</f>
        <v>421361.23</v>
      </c>
      <c r="D9" s="209">
        <f>C9/$C$10</f>
        <v>0.10662709015474836</v>
      </c>
      <c r="E9" s="190">
        <f>SUMIF('MVTO A'!$C$3:$C$184,"Vda_Prazo",'MVTO A'!$H$3:$H$184)</f>
        <v>406924.34</v>
      </c>
      <c r="F9" s="209">
        <f t="shared" si="0"/>
        <v>0.11901036328453052</v>
      </c>
      <c r="G9" s="190">
        <f>SUMIF('MVTO A'!$C$3:$C$184,"Vda_Prazo",'MVTO A'!$I$3:$I$184)</f>
        <v>448900.38</v>
      </c>
      <c r="H9" s="209">
        <f t="shared" si="1"/>
        <v>0.12296671261309841</v>
      </c>
      <c r="I9" s="190">
        <f>SUMIF('MVTO A'!$C$3:$C$184,"Vda_Prazo",'MVTO A'!$J$3:$J$184)</f>
        <v>254474.69</v>
      </c>
      <c r="J9" s="208">
        <f t="shared" si="4"/>
        <v>8.0611753211420473E-2</v>
      </c>
      <c r="K9" s="190">
        <f>SUMIF('MVTO A'!$C$3:$C$184,"Vda_Prazo",'MVTO A'!$K$3:$K$184)</f>
        <v>0</v>
      </c>
      <c r="L9" s="208" t="e">
        <f t="shared" si="5"/>
        <v>#DIV/0!</v>
      </c>
      <c r="M9" s="190">
        <f>SUMIF('MVTO A'!$C$3:$C$184,"Vda_Prazo",'MVTO A'!$L$3:$L$184)</f>
        <v>0</v>
      </c>
      <c r="N9" s="208" t="e">
        <f t="shared" si="6"/>
        <v>#DIV/0!</v>
      </c>
      <c r="O9" s="190">
        <f>SUMIF('MVTO A'!$C$3:$C$184,"Vda_Prazo",'MVTO A'!$M$3:$M$189)</f>
        <v>0</v>
      </c>
      <c r="P9" s="208" t="e">
        <f t="shared" si="7"/>
        <v>#DIV/0!</v>
      </c>
      <c r="Q9" s="190">
        <f>SUMIF('MVTO A'!$C$3:$C$184,"Vda_Prazo",'MVTO A'!$N$3:$N$189)</f>
        <v>0</v>
      </c>
      <c r="R9" s="208" t="e">
        <f t="shared" si="8"/>
        <v>#DIV/0!</v>
      </c>
      <c r="S9" s="190">
        <f>SUMIF('MVTO A'!$C$3:$C$184,"Vda_Prazo",'MVTO A'!$O$3:$O$189)</f>
        <v>0</v>
      </c>
      <c r="T9" s="208" t="e">
        <f t="shared" si="9"/>
        <v>#DIV/0!</v>
      </c>
      <c r="U9" s="190">
        <f>SUMIF('MVTO A'!$C$3:$C$184,"Vda_Prazo",'MVTO A'!$P$3:$P$189)</f>
        <v>0</v>
      </c>
      <c r="V9" s="208" t="e">
        <f t="shared" si="10"/>
        <v>#DIV/0!</v>
      </c>
      <c r="W9" s="190">
        <f>SUMIF('MVTO A'!$C$3:$C$184,"Vda_Prazo",'MVTO A'!$Q$3:$Q$189)</f>
        <v>0</v>
      </c>
      <c r="X9" s="208" t="e">
        <f t="shared" si="11"/>
        <v>#DIV/0!</v>
      </c>
      <c r="Y9" s="190">
        <f>SUMIF('MVTO A'!$C$3:$C$184,"Vda_Prazo",'MVTO A'!$R$3:$R$189)</f>
        <v>0</v>
      </c>
      <c r="Z9" s="208" t="e">
        <f t="shared" si="12"/>
        <v>#DIV/0!</v>
      </c>
      <c r="AA9" s="190" t="e">
        <f>SUM(#REF!,#REF!,#REF!,#REF!,#REF!,#REF!,#REF!,#REF!,#REF!,#REF!,#REF!,#REF!)</f>
        <v>#REF!</v>
      </c>
      <c r="AB9" s="201" t="e">
        <f t="shared" si="2"/>
        <v>#REF!</v>
      </c>
    </row>
    <row r="10" spans="2:28" s="176" customFormat="1" ht="10.35" customHeight="1" thickBot="1">
      <c r="B10" s="178" t="s">
        <v>227</v>
      </c>
      <c r="C10" s="190">
        <f>SUM(C4:C9)</f>
        <v>3951727.7399999998</v>
      </c>
      <c r="D10" s="209">
        <f t="shared" ref="D10:H10" si="13">SUM(D4:D9)</f>
        <v>1</v>
      </c>
      <c r="E10" s="190">
        <f t="shared" si="13"/>
        <v>3419234.4999999995</v>
      </c>
      <c r="F10" s="209">
        <f t="shared" si="13"/>
        <v>1</v>
      </c>
      <c r="G10" s="190">
        <f t="shared" si="13"/>
        <v>3650584.5399999996</v>
      </c>
      <c r="H10" s="209">
        <f t="shared" si="13"/>
        <v>1</v>
      </c>
      <c r="I10" s="190">
        <f>SUM(I4:I9)</f>
        <v>3156793.8899999997</v>
      </c>
      <c r="J10" s="208">
        <f t="shared" si="4"/>
        <v>1</v>
      </c>
      <c r="K10" s="190">
        <f>SUM(K4:K9)</f>
        <v>0</v>
      </c>
      <c r="L10" s="208" t="e">
        <f t="shared" si="5"/>
        <v>#DIV/0!</v>
      </c>
      <c r="M10" s="190">
        <f>SUM(M4:M9)</f>
        <v>0</v>
      </c>
      <c r="N10" s="208" t="e">
        <f t="shared" si="6"/>
        <v>#DIV/0!</v>
      </c>
      <c r="O10" s="190">
        <f>SUM(O4:O9)</f>
        <v>0</v>
      </c>
      <c r="P10" s="208" t="e">
        <f t="shared" si="7"/>
        <v>#DIV/0!</v>
      </c>
      <c r="Q10" s="190">
        <f>SUM(Q4:Q9)</f>
        <v>0</v>
      </c>
      <c r="R10" s="208" t="e">
        <f t="shared" si="8"/>
        <v>#DIV/0!</v>
      </c>
      <c r="S10" s="190">
        <f>SUM(S4:S9)</f>
        <v>0</v>
      </c>
      <c r="T10" s="208" t="e">
        <f t="shared" si="9"/>
        <v>#DIV/0!</v>
      </c>
      <c r="U10" s="190">
        <f>SUM(U4:U9)</f>
        <v>0</v>
      </c>
      <c r="V10" s="208" t="e">
        <f t="shared" si="10"/>
        <v>#DIV/0!</v>
      </c>
      <c r="W10" s="190">
        <f>SUM(W4:W9)</f>
        <v>0</v>
      </c>
      <c r="X10" s="208" t="e">
        <f t="shared" si="11"/>
        <v>#DIV/0!</v>
      </c>
      <c r="Y10" s="190">
        <f>SUM(Y4:Y9)</f>
        <v>0</v>
      </c>
      <c r="Z10" s="208" t="e">
        <f t="shared" si="12"/>
        <v>#DIV/0!</v>
      </c>
      <c r="AA10" s="190" t="e">
        <f>SUM(#REF!,#REF!,#REF!,#REF!,#REF!,#REF!,#REF!,#REF!,#REF!,#REF!,#REF!,#REF!)</f>
        <v>#REF!</v>
      </c>
      <c r="AB10" s="201" t="e">
        <f t="shared" si="2"/>
        <v>#REF!</v>
      </c>
    </row>
    <row r="11" spans="2:28" s="176" customFormat="1" ht="10.35" customHeight="1" thickBot="1">
      <c r="B11" s="178" t="s">
        <v>12</v>
      </c>
      <c r="C11" s="190">
        <f>SUMIF('MVTO A'!$C$3:$C$184,"S_Deduções",'MVTO A'!$G$3:$G$184)</f>
        <v>185.5</v>
      </c>
      <c r="D11" s="209">
        <f>C11/$C$10</f>
        <v>4.6941492988583268E-5</v>
      </c>
      <c r="E11" s="190">
        <f>SUMIF('MVTO A'!$C$3:$C$184,"S_Deduções",'MVTO A'!$H$3:$H$184)</f>
        <v>0</v>
      </c>
      <c r="F11" s="209">
        <f>E11/$E$10</f>
        <v>0</v>
      </c>
      <c r="G11" s="190">
        <f>SUMIF('MVTO A'!$C$3:$C$184,"S_Deduções",'MVTO A'!$I$3:$I$184)</f>
        <v>0</v>
      </c>
      <c r="H11" s="209">
        <f>G11/$G$10</f>
        <v>0</v>
      </c>
      <c r="I11" s="190">
        <f>SUMIF('MVTO A'!$C$3:$C$184,"S_Deduções",'MVTO A'!$J$3:$J$184)</f>
        <v>0</v>
      </c>
      <c r="J11" s="208">
        <f t="shared" si="4"/>
        <v>0</v>
      </c>
      <c r="K11" s="190">
        <f>SUMIF('MVTO A'!$C$3:$C$184,"S_Deduções",'MVTO A'!$K$3:$K$184)</f>
        <v>0</v>
      </c>
      <c r="L11" s="208" t="e">
        <f t="shared" si="5"/>
        <v>#DIV/0!</v>
      </c>
      <c r="M11" s="190">
        <f>SUMIF('MVTO A'!$C$3:$C$184,"S_Deduções",'MVTO A'!$L$3:$L$184)</f>
        <v>0</v>
      </c>
      <c r="N11" s="208" t="e">
        <f t="shared" si="6"/>
        <v>#DIV/0!</v>
      </c>
      <c r="O11" s="190">
        <f>SUMIF('MVTO A'!$C$3:$C$184,"S_Deduções",'MVTO A'!$M$3:$M$189)</f>
        <v>0</v>
      </c>
      <c r="P11" s="208" t="e">
        <f t="shared" si="7"/>
        <v>#DIV/0!</v>
      </c>
      <c r="Q11" s="190">
        <f>SUMIF('MVTO A'!$C$3:$C$184,"S_Deduções",'MVTO A'!$N$3:$N$189)</f>
        <v>0</v>
      </c>
      <c r="R11" s="208" t="e">
        <f t="shared" si="8"/>
        <v>#DIV/0!</v>
      </c>
      <c r="S11" s="190">
        <f>SUMIF('MVTO A'!$C$3:$C$184,"S_Deduções",'MVTO A'!$O$3:$O$189)</f>
        <v>0</v>
      </c>
      <c r="T11" s="208" t="e">
        <f t="shared" si="9"/>
        <v>#DIV/0!</v>
      </c>
      <c r="U11" s="190">
        <f>SUMIF('MVTO A'!$C$3:$C$184,"S_Deduções",'MVTO A'!$P$3:$P$189)</f>
        <v>0</v>
      </c>
      <c r="V11" s="208" t="e">
        <f t="shared" si="10"/>
        <v>#DIV/0!</v>
      </c>
      <c r="W11" s="190">
        <f>SUMIF('MVTO A'!$C$3:$C$184,"S_Deduções",'MVTO A'!$Q$3:$Q$189)</f>
        <v>0</v>
      </c>
      <c r="X11" s="208" t="e">
        <f t="shared" si="11"/>
        <v>#DIV/0!</v>
      </c>
      <c r="Y11" s="190">
        <f>SUMIF('MVTO A'!$C$3:$C$184,"S_Deduções",'MVTO A'!$R$3:$R$189)</f>
        <v>0</v>
      </c>
      <c r="Z11" s="208" t="e">
        <f t="shared" si="12"/>
        <v>#DIV/0!</v>
      </c>
      <c r="AA11" s="190" t="e">
        <f>SUM(#REF!,#REF!,#REF!,#REF!,#REF!,#REF!,#REF!,#REF!,#REF!,#REF!,#REF!,#REF!)</f>
        <v>#REF!</v>
      </c>
      <c r="AB11" s="201" t="e">
        <f t="shared" si="2"/>
        <v>#REF!</v>
      </c>
    </row>
    <row r="12" spans="2:28" s="176" customFormat="1" ht="10.35" customHeight="1" thickBot="1">
      <c r="B12" s="178" t="s">
        <v>230</v>
      </c>
      <c r="C12" s="220">
        <f>SUMIF('MVTO A'!$C$3:$C$184,"Compras",'MVTO A'!$G$3:$G$184)+SUMIF('DESP A'!$D$3:$D$129,"Compras",'DESP A'!$G$3:$G$129)</f>
        <v>182167.49</v>
      </c>
      <c r="D12" s="209">
        <f>C12/$C$10</f>
        <v>4.6098188434408695E-2</v>
      </c>
      <c r="E12" s="220">
        <f>SUMIF('MVTO A'!$C$3:$C$184,"Compras",'MVTO A'!$H$3:$H$184)+SUMIF('DESP A'!$D$3:$D$129,"Compras",'DESP A'!$H$3:$H$129)</f>
        <v>121690.06000000001</v>
      </c>
      <c r="F12" s="209">
        <f>E12/$E$10</f>
        <v>3.5589854980698173E-2</v>
      </c>
      <c r="G12" s="220">
        <f>SUMIF('MVTO A'!$C$3:$C$184,"Compras",'MVTO A'!$I$3:$I$184)+SUMIF('DESP A'!$D$3:$D$129,"Compras",'DESP A'!$I$3:$I$129)</f>
        <v>141505.60000000001</v>
      </c>
      <c r="H12" s="209">
        <f>G12/$G$10</f>
        <v>3.8762449807558767E-2</v>
      </c>
      <c r="I12" s="220">
        <f>SUMIF('MVTO A'!$C$3:$C$184,"Compras",'MVTO A'!$J$3:$J$184)+SUMIF('DESP A'!$D$3:$D$129,"Compras",'DESP A'!$J$3:$J$129)</f>
        <v>112457.25</v>
      </c>
      <c r="J12" s="208">
        <f t="shared" si="4"/>
        <v>3.56238810383658E-2</v>
      </c>
      <c r="K12" s="220">
        <f>SUMIF('MVTO A'!$C$3:$C$184,"Compras",'MVTO A'!$K$3:$K$184)+SUMIF('DESP A'!$D$3:$D$129,"Compras",'DESP A'!$K$3:$K$129)</f>
        <v>0</v>
      </c>
      <c r="L12" s="208" t="e">
        <f t="shared" si="5"/>
        <v>#DIV/0!</v>
      </c>
      <c r="M12" s="220">
        <f>SUMIF('MVTO A'!$C$3:$C$184,"Compras",'MVTO A'!$L$3:$L$184)+SUMIF('DESP A'!$D$3:$D$129,"Compras",'DESP A'!$L$3:$L$129)</f>
        <v>0</v>
      </c>
      <c r="N12" s="208" t="e">
        <f t="shared" si="6"/>
        <v>#DIV/0!</v>
      </c>
      <c r="O12" s="220">
        <f>SUMIF('MVTO A'!$C$3:$C$184,"Compras",'MVTO A'!$M$3:$M$189)+SUMIF('DESP A'!$D$3:$D$129,"Compras",'DESP A'!$M$3:$M$129)</f>
        <v>0</v>
      </c>
      <c r="P12" s="208" t="e">
        <f t="shared" si="7"/>
        <v>#DIV/0!</v>
      </c>
      <c r="Q12" s="220">
        <f>SUMIF('MVTO A'!$C$3:$C$184,"Compras",'MVTO A'!$N$3:$N$189)+SUMIF('DESP A'!$D$3:$D$129,"Compras",'DESP A'!$N$3:$N$129)</f>
        <v>0</v>
      </c>
      <c r="R12" s="208" t="e">
        <f t="shared" si="8"/>
        <v>#DIV/0!</v>
      </c>
      <c r="S12" s="220">
        <f>SUMIF('MVTO A'!$C$3:$C$184,"Compras",'MVTO A'!$O$3:$O$189)+SUMIF('DESP A'!$D$3:$D$129,"Compras",'DESP A'!$O$3:$O$129)</f>
        <v>0</v>
      </c>
      <c r="T12" s="208" t="e">
        <f t="shared" si="9"/>
        <v>#DIV/0!</v>
      </c>
      <c r="U12" s="220">
        <f>SUMIF('MVTO A'!$C$3:$C$184,"Compras",'MVTO A'!$P$3:$P$189)+SUMIF('DESP A'!$D$3:$D$129,"Compras",'DESP A'!$P$3:$P$129)</f>
        <v>0</v>
      </c>
      <c r="V12" s="208" t="e">
        <f t="shared" si="10"/>
        <v>#DIV/0!</v>
      </c>
      <c r="W12" s="220">
        <f>SUMIF('MVTO A'!$C$3:$C$184,"Compras",'MVTO A'!$Q$3:$Q$189)+SUMIF('DESP A'!$D$3:$D$129,"Compras",'DESP A'!$Q$3:$Q$129)</f>
        <v>0</v>
      </c>
      <c r="X12" s="208" t="e">
        <f t="shared" si="11"/>
        <v>#DIV/0!</v>
      </c>
      <c r="Y12" s="220">
        <f>SUMIF('MVTO A'!$C$3:$C$184,"Compras",'MVTO A'!$R$3:$R$189)+SUMIF('DESP A'!$D$3:$D$129,"Compras",'DESP A'!$R$3:$R$129)</f>
        <v>0</v>
      </c>
      <c r="Z12" s="208" t="e">
        <f t="shared" si="12"/>
        <v>#DIV/0!</v>
      </c>
      <c r="AA12" s="220" t="e">
        <f>SUM(#REF!,#REF!,#REF!,#REF!,#REF!,#REF!,#REF!,#REF!,#REF!,#REF!,#REF!,#REF!)</f>
        <v>#REF!</v>
      </c>
      <c r="AB12" s="201" t="e">
        <f t="shared" si="2"/>
        <v>#REF!</v>
      </c>
    </row>
    <row r="13" spans="2:28" s="176" customFormat="1" ht="10.35" customHeight="1" thickBot="1">
      <c r="B13" s="189" t="s">
        <v>13</v>
      </c>
      <c r="C13" s="191">
        <f>C10-C11-C12</f>
        <v>3769374.75</v>
      </c>
      <c r="D13" s="210">
        <f t="shared" ref="D13:H13" si="14">D10-D11-D12</f>
        <v>0.95385487007260272</v>
      </c>
      <c r="E13" s="191">
        <f t="shared" si="14"/>
        <v>3297544.4399999995</v>
      </c>
      <c r="F13" s="210">
        <f t="shared" si="14"/>
        <v>0.96441014501930178</v>
      </c>
      <c r="G13" s="191">
        <f t="shared" si="14"/>
        <v>3509078.9399999995</v>
      </c>
      <c r="H13" s="210">
        <f t="shared" si="14"/>
        <v>0.96123755019244128</v>
      </c>
      <c r="I13" s="191">
        <f>I10-I11-I12</f>
        <v>3044336.6399999997</v>
      </c>
      <c r="J13" s="208">
        <f t="shared" si="4"/>
        <v>0.96437611896163422</v>
      </c>
      <c r="K13" s="191">
        <f>K10-K11-K12</f>
        <v>0</v>
      </c>
      <c r="L13" s="208" t="e">
        <f t="shared" si="5"/>
        <v>#DIV/0!</v>
      </c>
      <c r="M13" s="191">
        <f>M10-M11-M12</f>
        <v>0</v>
      </c>
      <c r="N13" s="208" t="e">
        <f t="shared" si="6"/>
        <v>#DIV/0!</v>
      </c>
      <c r="O13" s="191">
        <f>O10-O11-O12</f>
        <v>0</v>
      </c>
      <c r="P13" s="208" t="e">
        <f t="shared" si="7"/>
        <v>#DIV/0!</v>
      </c>
      <c r="Q13" s="191">
        <f>Q10-Q11-Q12</f>
        <v>0</v>
      </c>
      <c r="R13" s="208" t="e">
        <f t="shared" si="8"/>
        <v>#DIV/0!</v>
      </c>
      <c r="S13" s="191">
        <f>S10-S11-S12</f>
        <v>0</v>
      </c>
      <c r="T13" s="208" t="e">
        <f t="shared" si="9"/>
        <v>#DIV/0!</v>
      </c>
      <c r="U13" s="191">
        <f>U10-U11-U12</f>
        <v>0</v>
      </c>
      <c r="V13" s="208" t="e">
        <f t="shared" si="10"/>
        <v>#DIV/0!</v>
      </c>
      <c r="W13" s="191">
        <f>W10-W11-W12</f>
        <v>0</v>
      </c>
      <c r="X13" s="208" t="e">
        <f t="shared" si="11"/>
        <v>#DIV/0!</v>
      </c>
      <c r="Y13" s="191">
        <f>Y10-Y11-Y12</f>
        <v>0</v>
      </c>
      <c r="Z13" s="208" t="e">
        <f t="shared" si="12"/>
        <v>#DIV/0!</v>
      </c>
      <c r="AA13" s="191" t="e">
        <f>AA10-AA11-AA12</f>
        <v>#REF!</v>
      </c>
      <c r="AB13" s="202" t="e">
        <f t="shared" si="2"/>
        <v>#REF!</v>
      </c>
    </row>
    <row r="14" spans="2:28" s="176" customFormat="1" ht="10.35" customHeight="1" thickBot="1">
      <c r="B14" s="178" t="s">
        <v>14</v>
      </c>
      <c r="C14" s="190">
        <f>SUMIF('MVTO A'!$C$3:$C$184,"Imp_Vda",'MVTO A'!$G$3:$G$184)</f>
        <v>295759.72000000003</v>
      </c>
      <c r="D14" s="209">
        <f>C14/$C$10</f>
        <v>7.4843141901268742E-2</v>
      </c>
      <c r="E14" s="190">
        <f>SUMIF('MVTO A'!$C$3:$C$184,"Imp_Vda",'MVTO A'!$H$3:$H$184)</f>
        <v>282321.15999999997</v>
      </c>
      <c r="F14" s="209">
        <f>E14/$E$10</f>
        <v>8.256852813107729E-2</v>
      </c>
      <c r="G14" s="190">
        <f>SUMIF('MVTO A'!$C$3:$C$184,"Imp_Vda",'MVTO A'!$I$3:$I$184)</f>
        <v>144833.21</v>
      </c>
      <c r="H14" s="209">
        <f>G14/$G$10</f>
        <v>3.967397780082639E-2</v>
      </c>
      <c r="I14" s="190">
        <f>SUMIF('MVTO A'!$C$3:$C$184,"Imp_Vda",'MVTO A'!$J$3:$J$184)</f>
        <v>248869.95</v>
      </c>
      <c r="J14" s="208">
        <f t="shared" si="4"/>
        <v>7.8836299952417879E-2</v>
      </c>
      <c r="K14" s="190">
        <f>SUMIF('MVTO A'!$C$3:$C$184,"Imp_Vda",'MVTO A'!$K$3:$K$184)</f>
        <v>0</v>
      </c>
      <c r="L14" s="208" t="e">
        <f t="shared" si="5"/>
        <v>#DIV/0!</v>
      </c>
      <c r="M14" s="190">
        <f>SUMIF('MVTO A'!$C$3:$C$184,"Imp_Vda",'MVTO A'!$L$3:$L$184)</f>
        <v>0</v>
      </c>
      <c r="N14" s="208" t="e">
        <f t="shared" si="6"/>
        <v>#DIV/0!</v>
      </c>
      <c r="O14" s="190">
        <f>SUMIF('MVTO A'!$C$3:$C$184,"Imp_Vda",'MVTO A'!$M$3:$M$189)</f>
        <v>0</v>
      </c>
      <c r="P14" s="208" t="e">
        <f t="shared" si="7"/>
        <v>#DIV/0!</v>
      </c>
      <c r="Q14" s="190">
        <f>SUMIF('MVTO A'!$C$3:$C$184,"Imp_Vda",'MVTO A'!$N$3:$N$189)</f>
        <v>0</v>
      </c>
      <c r="R14" s="208" t="e">
        <f t="shared" si="8"/>
        <v>#DIV/0!</v>
      </c>
      <c r="S14" s="190">
        <f>SUMIF('MVTO A'!$C$3:$C$184,"Imp_Vda",'MVTO A'!$O$3:$O$189)</f>
        <v>0</v>
      </c>
      <c r="T14" s="208" t="e">
        <f t="shared" si="9"/>
        <v>#DIV/0!</v>
      </c>
      <c r="U14" s="190">
        <f>SUMIF('MVTO A'!$C$3:$C$184,"Imp_Vda",'MVTO A'!$P$3:$P$189)</f>
        <v>0</v>
      </c>
      <c r="V14" s="208" t="e">
        <f t="shared" si="10"/>
        <v>#DIV/0!</v>
      </c>
      <c r="W14" s="190">
        <f>SUMIF('MVTO A'!$C$3:$C$184,"Imp_Vda",'MVTO A'!$Q$3:$Q$189)</f>
        <v>0</v>
      </c>
      <c r="X14" s="208" t="e">
        <f t="shared" si="11"/>
        <v>#DIV/0!</v>
      </c>
      <c r="Y14" s="190">
        <f>SUMIF('MVTO A'!$C$3:$C$184,"Imp_Vda",'MVTO A'!$R$3:$R$189)</f>
        <v>0</v>
      </c>
      <c r="Z14" s="208" t="e">
        <f t="shared" si="12"/>
        <v>#DIV/0!</v>
      </c>
      <c r="AA14" s="190" t="e">
        <f>SUM(#REF!,#REF!,#REF!,#REF!,#REF!,#REF!,#REF!,#REF!,#REF!,#REF!,#REF!,#REF!)</f>
        <v>#REF!</v>
      </c>
      <c r="AB14" s="201" t="e">
        <f t="shared" si="2"/>
        <v>#REF!</v>
      </c>
    </row>
    <row r="15" spans="2:28" s="176" customFormat="1" ht="10.35" customHeight="1" thickBot="1">
      <c r="B15" s="178" t="s">
        <v>354</v>
      </c>
      <c r="C15" s="190">
        <f>SUMIF('MVTO A'!$C$3:$C$184,"Outros_Creditos",'MVTO A'!$G$3:$G$184)</f>
        <v>4773.84</v>
      </c>
      <c r="D15" s="209">
        <f>C15/$C$10</f>
        <v>1.2080386894265142E-3</v>
      </c>
      <c r="E15" s="190">
        <f>SUMIF('MVTO A'!$C$3:$C$184,"Outros_Creditos",'MVTO A'!$H$3:$H$184)</f>
        <v>12404.57</v>
      </c>
      <c r="F15" s="209">
        <f>E15/$E$10</f>
        <v>3.6278792811665888E-3</v>
      </c>
      <c r="G15" s="190">
        <f>SUMIF('MVTO A'!$C$3:$C$184,"Outros_Creditos",'MVTO A'!$I$3:$I$184)</f>
        <v>21701.73</v>
      </c>
      <c r="H15" s="209">
        <f>G15/$G$10</f>
        <v>5.9447274161742881E-3</v>
      </c>
      <c r="I15" s="190">
        <f>SUMIF('MVTO A'!$C$3:$C$184,"Outros_Creditos",'MVTO A'!$J$3:$J$184)</f>
        <v>16268.44</v>
      </c>
      <c r="J15" s="208">
        <f t="shared" si="4"/>
        <v>5.1534691737508409E-3</v>
      </c>
      <c r="K15" s="190">
        <f>SUMIF('MVTO A'!$C$3:$C$184,"Outros_Creditos",'MVTO A'!$K$3:$K$184)</f>
        <v>0</v>
      </c>
      <c r="L15" s="208" t="e">
        <f t="shared" si="5"/>
        <v>#DIV/0!</v>
      </c>
      <c r="M15" s="190">
        <f>SUMIF('MVTO A'!$C$3:$C$184,"Outros_Creditos",'MVTO A'!$L$3:$L$184)</f>
        <v>0</v>
      </c>
      <c r="N15" s="208" t="e">
        <f t="shared" si="6"/>
        <v>#DIV/0!</v>
      </c>
      <c r="O15" s="190">
        <f>SUMIF('MVTO A'!$C$3:$C$184,"Outros_Creditos",'MVTO A'!$M$3:$M$189)</f>
        <v>0</v>
      </c>
      <c r="P15" s="208" t="e">
        <f t="shared" si="7"/>
        <v>#DIV/0!</v>
      </c>
      <c r="Q15" s="190">
        <f>SUMIF('MVTO A'!$C$3:$C$184,"Outros_Creditos",'MVTO A'!$N$3:$N$189)</f>
        <v>0</v>
      </c>
      <c r="R15" s="208" t="e">
        <f t="shared" si="8"/>
        <v>#DIV/0!</v>
      </c>
      <c r="S15" s="190">
        <f>SUMIF('MVTO A'!$C$3:$C$184,"Outros_Creditos",'MVTO A'!$O$3:$O$189)</f>
        <v>0</v>
      </c>
      <c r="T15" s="208" t="e">
        <f t="shared" si="9"/>
        <v>#DIV/0!</v>
      </c>
      <c r="U15" s="190">
        <f>SUMIF('MVTO A'!$C$3:$C$184,"Outros_Creditos",'MVTO A'!$P$3:$P$189)</f>
        <v>0</v>
      </c>
      <c r="V15" s="208" t="e">
        <f t="shared" si="10"/>
        <v>#DIV/0!</v>
      </c>
      <c r="W15" s="190">
        <f>SUMIF('MVTO A'!$C$3:$C$184,"Outros_Creditos",'MVTO A'!$Q$3:$Q$189)</f>
        <v>0</v>
      </c>
      <c r="X15" s="208" t="e">
        <f t="shared" si="11"/>
        <v>#DIV/0!</v>
      </c>
      <c r="Y15" s="190">
        <f>SUMIF('MVTO A'!$C$3:$C$184,"Outros_Creditos",'MVTO A'!$R$3:$R$189)</f>
        <v>0</v>
      </c>
      <c r="Z15" s="208" t="e">
        <f t="shared" si="12"/>
        <v>#DIV/0!</v>
      </c>
      <c r="AA15" s="190" t="e">
        <f>SUM(#REF!,#REF!,#REF!,#REF!,#REF!,#REF!,#REF!,#REF!,#REF!,#REF!,#REF!,#REF!)</f>
        <v>#REF!</v>
      </c>
      <c r="AB15" s="201" t="e">
        <f t="shared" si="2"/>
        <v>#REF!</v>
      </c>
    </row>
    <row r="16" spans="2:28" s="176" customFormat="1" ht="10.35" customHeight="1" thickBot="1">
      <c r="B16" s="178" t="s">
        <v>229</v>
      </c>
      <c r="C16" s="190">
        <f>SUMIF('MVTO A'!$C$3:$C$184,"Outros_Debitos",'MVTO A'!$G$3:$G$184)+SUMIF('DESP A'!$D$3:$D$129,"S_Fornec",'DESP A'!$G$3:$G$129)</f>
        <v>0</v>
      </c>
      <c r="D16" s="209">
        <f>C16/$C$10</f>
        <v>0</v>
      </c>
      <c r="E16" s="190">
        <f>SUMIF('MVTO A'!$C$3:$C$184,"Outros_Debitos",'MVTO A'!$H$3:$H$184)+SUMIF('DESP A'!$D$3:$D$129,"S_Fornec",'DESP A'!$H$3:$H$129)</f>
        <v>0</v>
      </c>
      <c r="F16" s="209">
        <f>E16/$E$10</f>
        <v>0</v>
      </c>
      <c r="G16" s="190">
        <f>SUMIF('MVTO A'!$C$3:$C$184,"Outros_Debitos",'MVTO A'!$I$3:$I$184)+SUMIF('DESP A'!$D$3:$D$129,"S_Fornec",'DESP A'!$I$3:$I$129)</f>
        <v>166.98</v>
      </c>
      <c r="H16" s="209">
        <f>G16/$G$10</f>
        <v>4.5740619939183768E-5</v>
      </c>
      <c r="I16" s="190">
        <f>SUMIF('MVTO A'!$C$3:$C$184,"Outros_Debitos",'MVTO A'!$J$3:$J$184)+SUMIF('DESP A'!$D$3:$D$129,"S_Fornec",'DESP A'!$J$3:$J$129)</f>
        <v>0</v>
      </c>
      <c r="J16" s="208">
        <f t="shared" si="4"/>
        <v>0</v>
      </c>
      <c r="K16" s="190">
        <f>SUMIF('MVTO A'!$C$3:$C$184,"Outros_Debitos",'MVTO A'!$K$3:$K$184)+SUMIF('DESP A'!$D$3:$D$129,"S_Fornec",'DESP A'!$K$3:$K$129)</f>
        <v>0</v>
      </c>
      <c r="L16" s="208" t="e">
        <f t="shared" si="5"/>
        <v>#DIV/0!</v>
      </c>
      <c r="M16" s="190">
        <f>SUMIF('MVTO A'!$C$3:$C$184,"Outros_Debitos",'MVTO A'!$L$3:$L$184)+SUMIF('DESP A'!$D$3:$D$129,"S_Fornec",'DESP A'!$L$3:$L$129)</f>
        <v>0</v>
      </c>
      <c r="N16" s="208" t="e">
        <f t="shared" si="6"/>
        <v>#DIV/0!</v>
      </c>
      <c r="O16" s="190">
        <f>SUMIF('MVTO A'!$C$3:$C$184,"Outros_Debitos",'MVTO A'!$M$3:$M$189)+SUMIF('DESP A'!$D$3:$D$129,"S_Fornec",'DESP A'!$M$3:$M$129)</f>
        <v>0</v>
      </c>
      <c r="P16" s="208" t="e">
        <f t="shared" si="7"/>
        <v>#DIV/0!</v>
      </c>
      <c r="Q16" s="190">
        <f>SUMIF('MVTO A'!$C$3:$C$184,"Outros_Debitos",'MVTO A'!$N$3:$N$189)+SUMIF('DESP A'!$D$3:$D$129,"S_Fornec",'DESP A'!$N$3:$N$129)</f>
        <v>0</v>
      </c>
      <c r="R16" s="208" t="e">
        <f t="shared" si="8"/>
        <v>#DIV/0!</v>
      </c>
      <c r="S16" s="190">
        <f>SUMIF('MVTO A'!$C$3:$C$184,"Outros_Debitos",'MVTO A'!$O$3:$O$189)+SUMIF('DESP A'!$D$3:$D$129,"S_Fornec",'DESP A'!$O$3:$O$129)</f>
        <v>0</v>
      </c>
      <c r="T16" s="208" t="e">
        <f t="shared" si="9"/>
        <v>#DIV/0!</v>
      </c>
      <c r="U16" s="190">
        <f>SUMIF('MVTO A'!$C$3:$C$184,"Outros_Debitos",'MVTO A'!$P$3:$P$189)+SUMIF('DESP A'!$D$3:$D$129,"S_Fornec",'DESP A'!$P$3:$P$129)</f>
        <v>0</v>
      </c>
      <c r="V16" s="208" t="e">
        <f t="shared" si="10"/>
        <v>#DIV/0!</v>
      </c>
      <c r="W16" s="190">
        <f>SUMIF('MVTO A'!$C$3:$C$184,"Outros_Debitos",'MVTO A'!$Q$3:$Q$189)+SUMIF('DESP A'!$D$3:$D$129,"S_Fornec",'DESP A'!$Q$3:$Q$129)</f>
        <v>0</v>
      </c>
      <c r="X16" s="208" t="e">
        <f t="shared" si="11"/>
        <v>#DIV/0!</v>
      </c>
      <c r="Y16" s="190">
        <f>SUMIF('MVTO A'!$C$3:$C$184,"Outros_Debitos",'MVTO A'!$R$3:$R$189)+SUMIF('DESP A'!$D$3:$D$129,"S_Fornec",'DESP A'!$R$3:$R$129)</f>
        <v>0</v>
      </c>
      <c r="Z16" s="208" t="e">
        <f t="shared" si="12"/>
        <v>#DIV/0!</v>
      </c>
      <c r="AA16" s="190" t="e">
        <f>SUM(#REF!,#REF!,#REF!,#REF!,#REF!,#REF!,#REF!,#REF!,#REF!,#REF!,#REF!,#REF!)</f>
        <v>#REF!</v>
      </c>
      <c r="AB16" s="201" t="e">
        <f t="shared" si="2"/>
        <v>#REF!</v>
      </c>
    </row>
    <row r="17" spans="2:28" s="176" customFormat="1" ht="10.35" customHeight="1">
      <c r="B17" s="178" t="s">
        <v>15</v>
      </c>
      <c r="C17" s="190">
        <f>SUMIF('MVTO A'!$C$3:$C$177,"E_Fornec",'MVTO A'!$G$3:$G$177)</f>
        <v>0</v>
      </c>
      <c r="D17" s="209">
        <f>C17/$C$10</f>
        <v>0</v>
      </c>
      <c r="E17" s="190">
        <f>SUMIF('MVTO A'!$C$3:$C$177,"E_Fornec",'MVTO A'!$H$3:$H$177)</f>
        <v>0</v>
      </c>
      <c r="F17" s="209">
        <f>E17/$E$10</f>
        <v>0</v>
      </c>
      <c r="G17" s="190">
        <f>SUMIF('MVTO A'!$C$3:$C$177,"E_Fornec",'MVTO A'!$I$3:$I$177)</f>
        <v>0</v>
      </c>
      <c r="H17" s="209">
        <f>G17/$G$10</f>
        <v>0</v>
      </c>
      <c r="I17" s="190">
        <f>SUMIF('MVTO A'!$C$3:$C$177,"E_Fornec",'MVTO A'!$J$3:$J$184)</f>
        <v>0</v>
      </c>
      <c r="J17" s="208">
        <f t="shared" si="4"/>
        <v>0</v>
      </c>
      <c r="K17" s="190">
        <f>SUMIF('MVTO A'!$C$3:$C$177,"E_Fornec",'MVTO A'!$K$3:$K$177)</f>
        <v>0</v>
      </c>
      <c r="L17" s="208" t="e">
        <f t="shared" si="5"/>
        <v>#DIV/0!</v>
      </c>
      <c r="M17" s="190">
        <f>SUMIF('MVTO A'!$C$3:$C$177,"E_Fornec",'MVTO A'!$I$3:$I$177)</f>
        <v>0</v>
      </c>
      <c r="N17" s="208" t="e">
        <f t="shared" si="6"/>
        <v>#DIV/0!</v>
      </c>
      <c r="O17" s="190">
        <f>SUMIF('MVTO A'!$C$3:$C$177,"E_Fornec",'MVTO A'!$M$3:$M$189)</f>
        <v>0</v>
      </c>
      <c r="P17" s="208" t="e">
        <f t="shared" si="7"/>
        <v>#DIV/0!</v>
      </c>
      <c r="Q17" s="190">
        <f>SUMIF('MVTO A'!$C$3:$C$177,"E_Fornec",'MVTO A'!$I$3:$I$177)</f>
        <v>0</v>
      </c>
      <c r="R17" s="208" t="e">
        <f t="shared" si="8"/>
        <v>#DIV/0!</v>
      </c>
      <c r="S17" s="190">
        <f>SUMIF('MVTO A'!$C$3:$C$177,"E_Fornec",'MVTO A'!$I$3:$I$177)</f>
        <v>0</v>
      </c>
      <c r="T17" s="208" t="e">
        <f t="shared" si="9"/>
        <v>#DIV/0!</v>
      </c>
      <c r="U17" s="190">
        <f>SUMIF('MVTO A'!$C$3:$C$177,"E_Fornec",'MVTO A'!$I$3:$I$177)</f>
        <v>0</v>
      </c>
      <c r="V17" s="208" t="e">
        <f t="shared" si="10"/>
        <v>#DIV/0!</v>
      </c>
      <c r="W17" s="190">
        <f>SUMIF('MVTO A'!$C$3:$C$177,"E_Fornec",'MVTO A'!$I$3:$I$177)</f>
        <v>0</v>
      </c>
      <c r="X17" s="208" t="e">
        <f t="shared" si="11"/>
        <v>#DIV/0!</v>
      </c>
      <c r="Y17" s="190">
        <f>SUMIF('MVTO A'!$C$3:$C$177,"E_Fornec",'MVTO A'!$I$3:$I$177)</f>
        <v>0</v>
      </c>
      <c r="Z17" s="208" t="e">
        <f t="shared" si="12"/>
        <v>#DIV/0!</v>
      </c>
      <c r="AA17" s="190" t="e">
        <f>SUM(#REF!,#REF!,#REF!,#REF!,#REF!,#REF!,#REF!,#REF!,#REF!,#REF!,#REF!,#REF!)</f>
        <v>#REF!</v>
      </c>
      <c r="AB17" s="201" t="e">
        <f t="shared" si="2"/>
        <v>#REF!</v>
      </c>
    </row>
    <row r="18" spans="2:28" s="176" customFormat="1" ht="10.35" customHeight="1">
      <c r="B18" s="178"/>
      <c r="C18" s="190"/>
      <c r="D18" s="209"/>
      <c r="E18" s="190"/>
      <c r="F18" s="209"/>
      <c r="G18" s="190"/>
      <c r="H18" s="209"/>
      <c r="I18" s="190"/>
      <c r="J18" s="209"/>
      <c r="K18" s="190"/>
      <c r="L18" s="209"/>
      <c r="M18" s="190"/>
      <c r="N18" s="209"/>
      <c r="O18" s="190"/>
      <c r="P18" s="209"/>
      <c r="Q18" s="190"/>
      <c r="R18" s="209"/>
      <c r="S18" s="190"/>
      <c r="T18" s="209"/>
      <c r="U18" s="190"/>
      <c r="V18" s="209"/>
      <c r="W18" s="190"/>
      <c r="X18" s="209"/>
      <c r="Y18" s="190"/>
      <c r="Z18" s="209"/>
      <c r="AA18" s="179"/>
      <c r="AB18" s="201"/>
    </row>
    <row r="19" spans="2:28" s="176" customFormat="1" ht="10.35" customHeight="1">
      <c r="B19" s="177" t="s">
        <v>16</v>
      </c>
      <c r="C19" s="192">
        <f>C13-C14+C15-C16+C17</f>
        <v>3478388.8699999996</v>
      </c>
      <c r="D19" s="211" t="e">
        <f>C19/#REF!</f>
        <v>#REF!</v>
      </c>
      <c r="E19" s="192">
        <f>E13-E14+E15-E16+E17</f>
        <v>3027627.8499999992</v>
      </c>
      <c r="F19" s="211">
        <f t="shared" ref="F19:F41" si="15">E19/$E$10</f>
        <v>0.88546949616939097</v>
      </c>
      <c r="G19" s="192">
        <f>G13-G14+G15-G16+G17</f>
        <v>3385780.4799999995</v>
      </c>
      <c r="H19" s="211" t="e">
        <f>G19/#REF!</f>
        <v>#REF!</v>
      </c>
      <c r="I19" s="192">
        <f>I13-I14+I15-I16+I17</f>
        <v>2811735.1299999994</v>
      </c>
      <c r="J19" s="211">
        <f>I19/$I$10</f>
        <v>0.89069328818296711</v>
      </c>
      <c r="K19" s="192">
        <f>K13-K14+K15-K16+K17</f>
        <v>0</v>
      </c>
      <c r="L19" s="211" t="e">
        <f>K19/$K$10</f>
        <v>#DIV/0!</v>
      </c>
      <c r="M19" s="192">
        <f>M13-M14+M15-M16+M17</f>
        <v>0</v>
      </c>
      <c r="N19" s="211" t="e">
        <f>M19/$M$10</f>
        <v>#DIV/0!</v>
      </c>
      <c r="O19" s="192">
        <f>O13-O14+O15-O16+O17</f>
        <v>0</v>
      </c>
      <c r="P19" s="211" t="e">
        <f>O19/$O$10</f>
        <v>#DIV/0!</v>
      </c>
      <c r="Q19" s="192">
        <f>Q13-Q14+Q15-Q16+Q17</f>
        <v>0</v>
      </c>
      <c r="R19" s="211" t="e">
        <f>Q19/$Q$10</f>
        <v>#DIV/0!</v>
      </c>
      <c r="S19" s="192">
        <f>S13-S14+S15-S16+S17</f>
        <v>0</v>
      </c>
      <c r="T19" s="211" t="e">
        <f>S19/$S$10</f>
        <v>#DIV/0!</v>
      </c>
      <c r="U19" s="192">
        <f>U13-U14+U15-U16+U17</f>
        <v>0</v>
      </c>
      <c r="V19" s="211" t="e">
        <f>U19/$S$10</f>
        <v>#DIV/0!</v>
      </c>
      <c r="W19" s="192">
        <f>W13-W14+W15-W16+W17</f>
        <v>0</v>
      </c>
      <c r="X19" s="211" t="e">
        <f>W19/$S$10</f>
        <v>#DIV/0!</v>
      </c>
      <c r="Y19" s="192">
        <f>Y13-Y14+Y15-Y16+Y17</f>
        <v>0</v>
      </c>
      <c r="Z19" s="211" t="e">
        <f>Y19/$S$10</f>
        <v>#DIV/0!</v>
      </c>
      <c r="AA19" s="192" t="e">
        <f>AA13-AA14+AA15-AA16+AA17</f>
        <v>#REF!</v>
      </c>
      <c r="AB19" s="203" t="e">
        <f t="shared" ref="AB19:AB42" si="16">AA19/$AA$10</f>
        <v>#REF!</v>
      </c>
    </row>
    <row r="20" spans="2:28" s="176" customFormat="1" ht="10.35" customHeight="1">
      <c r="B20" s="180" t="s">
        <v>18</v>
      </c>
      <c r="C20" s="193">
        <f>SUM(C21:C41)</f>
        <v>1195319.4900000002</v>
      </c>
      <c r="D20" s="209">
        <f t="shared" ref="D20:D41" si="17">C20/$C$10</f>
        <v>0.30248022349839321</v>
      </c>
      <c r="E20" s="193">
        <f>SUM(E21:E41)</f>
        <v>1207389.8299999998</v>
      </c>
      <c r="F20" s="209">
        <f t="shared" si="15"/>
        <v>0.35311700031103455</v>
      </c>
      <c r="G20" s="193">
        <f>SUM(G21:G41)</f>
        <v>1143000.83</v>
      </c>
      <c r="H20" s="209">
        <f t="shared" ref="H20:H41" si="18">G20/$G$10</f>
        <v>0.31310076988382801</v>
      </c>
      <c r="I20" s="193">
        <f>SUM(I21:I41)</f>
        <v>981211.61999999988</v>
      </c>
      <c r="J20" s="211">
        <f t="shared" ref="J20:J72" si="19">I20/$I$10</f>
        <v>0.3108253671892402</v>
      </c>
      <c r="K20" s="193">
        <f>SUM(K21:K41)</f>
        <v>0</v>
      </c>
      <c r="L20" s="211" t="e">
        <f t="shared" ref="L20:L72" si="20">K20/$K$10</f>
        <v>#DIV/0!</v>
      </c>
      <c r="M20" s="193">
        <f>SUM(M21:M41)</f>
        <v>0</v>
      </c>
      <c r="N20" s="211" t="e">
        <f t="shared" ref="N20:N72" si="21">M20/$M$10</f>
        <v>#DIV/0!</v>
      </c>
      <c r="O20" s="193">
        <f>SUM(O21:O41)</f>
        <v>0</v>
      </c>
      <c r="P20" s="211" t="e">
        <f t="shared" ref="P20:P72" si="22">O20/$O$10</f>
        <v>#DIV/0!</v>
      </c>
      <c r="Q20" s="193">
        <f>SUM(Q21:Q41)</f>
        <v>0</v>
      </c>
      <c r="R20" s="211" t="e">
        <f t="shared" ref="R20:R72" si="23">Q20/$Q$10</f>
        <v>#DIV/0!</v>
      </c>
      <c r="S20" s="193">
        <f>SUM(S21:S41)</f>
        <v>0</v>
      </c>
      <c r="T20" s="211" t="e">
        <f t="shared" ref="T20:T72" si="24">S20/$S$10</f>
        <v>#DIV/0!</v>
      </c>
      <c r="U20" s="193">
        <f>SUM(U21:U41)</f>
        <v>0</v>
      </c>
      <c r="V20" s="211" t="e">
        <f t="shared" ref="V20:V72" si="25">U20/$S$10</f>
        <v>#DIV/0!</v>
      </c>
      <c r="W20" s="193">
        <f>SUM(W21:W41)</f>
        <v>0</v>
      </c>
      <c r="X20" s="211" t="e">
        <f t="shared" ref="X20:X72" si="26">W20/$S$10</f>
        <v>#DIV/0!</v>
      </c>
      <c r="Y20" s="193">
        <f>SUM(Y21:Y41)</f>
        <v>0</v>
      </c>
      <c r="Z20" s="211" t="e">
        <f t="shared" ref="Z20:Z72" si="27">Y20/$S$10</f>
        <v>#DIV/0!</v>
      </c>
      <c r="AA20" s="193" t="e">
        <f>IF(SUM(AA21:AA41)=0,"",SUM(AA21:AA41))</f>
        <v>#REF!</v>
      </c>
      <c r="AB20" s="201" t="e">
        <f t="shared" si="16"/>
        <v>#REF!</v>
      </c>
    </row>
    <row r="21" spans="2:28" s="176" customFormat="1" ht="10.35" customHeight="1">
      <c r="B21" s="178" t="s">
        <v>338</v>
      </c>
      <c r="C21" s="190">
        <f>SUMIF('MVTO A'!$C$3:$C$184,"Tributárias",'MVTO A'!$G$3:$G$184)+SUMIF('DESP A'!$D$3:$D$129,"Tributárias",'DESP A'!$G$3:$G$129)</f>
        <v>128279.22</v>
      </c>
      <c r="D21" s="209">
        <f t="shared" si="17"/>
        <v>3.2461553133212563E-2</v>
      </c>
      <c r="E21" s="190">
        <f>SUMIF('MVTO A'!$C$3:$C$184,"Tributárias",'MVTO A'!$H$3:$H$184)+SUMIF('DESP A'!$D$3:$D$129,"Tributárias",'DESP A'!$H$3:$H$129)</f>
        <v>131214.43</v>
      </c>
      <c r="F21" s="209">
        <f t="shared" si="15"/>
        <v>3.8375381975117535E-2</v>
      </c>
      <c r="G21" s="190">
        <f>SUMIF('MVTO A'!$C$3:$C$184,"Tributárias",'MVTO A'!$I$3:$I$184)+SUMIF('DESP A'!$D$3:$D$129,"Tributárias",'DESP A'!$I$3:$I$129)</f>
        <v>113935.58</v>
      </c>
      <c r="H21" s="209">
        <f t="shared" si="18"/>
        <v>3.1210229143193602E-2</v>
      </c>
      <c r="I21" s="190">
        <f>SUMIF('MVTO A'!$C$3:$C$184,"Tributárias",'MVTO A'!$J$3:$J$184)+SUMIF('DESP A'!$D$3:$D$129,"Tributárias",'DESP A'!$J$3:$J$129)</f>
        <v>115962.81000000001</v>
      </c>
      <c r="J21" s="211">
        <f t="shared" si="19"/>
        <v>3.6734362153748347E-2</v>
      </c>
      <c r="K21" s="190">
        <f>SUMIF('MVTO A'!$C$3:$C$184,"Tributárias",'MVTO A'!$K$3:$K$184)+SUMIF('DESP A'!$D$3:$D$129,"Tributárias",'DESP A'!$K$3:$K$129)</f>
        <v>0</v>
      </c>
      <c r="L21" s="211" t="e">
        <f t="shared" si="20"/>
        <v>#DIV/0!</v>
      </c>
      <c r="M21" s="190">
        <f>SUMIF('MVTO A'!$C$3:$C$184,"Tributárias",'MVTO A'!$L$3:$L$184)+SUMIF('DESP A'!$D$3:$D$129,"Tributárias",'DESP A'!$L$3:$L$129)</f>
        <v>0</v>
      </c>
      <c r="N21" s="211" t="e">
        <f t="shared" si="21"/>
        <v>#DIV/0!</v>
      </c>
      <c r="O21" s="190">
        <f>SUMIF('MVTO A'!$C$3:$C$184,"Tributárias",'MVTO A'!$M$3:$M$189)+SUMIF('DESP A'!$D$3:$D$129,"Tributárias",'DESP A'!$M$3:$M$129)</f>
        <v>0</v>
      </c>
      <c r="P21" s="211" t="e">
        <f t="shared" si="22"/>
        <v>#DIV/0!</v>
      </c>
      <c r="Q21" s="190">
        <f>SUMIF('MVTO A'!$C$3:$C$184,"Tributárias",'MVTO A'!$N$3:$N$189)+SUMIF('DESP A'!$D$3:$D$129,"Tributárias",'DESP A'!$N$3:$N$129)</f>
        <v>0</v>
      </c>
      <c r="R21" s="211" t="e">
        <f t="shared" si="23"/>
        <v>#DIV/0!</v>
      </c>
      <c r="S21" s="190">
        <f>SUMIF('MVTO A'!$C$3:$C$184,"Tributárias",'MVTO A'!$O$3:$O$189)+SUMIF('DESP A'!$D$3:$D$129,"Tributárias",'DESP A'!$O$3:$O$129)</f>
        <v>0</v>
      </c>
      <c r="T21" s="211" t="e">
        <f t="shared" si="24"/>
        <v>#DIV/0!</v>
      </c>
      <c r="U21" s="190">
        <f>SUMIF('MVTO A'!$C$3:$C$184,"Tributárias",'MVTO A'!$P$3:$P$189)+SUMIF('DESP A'!$D$3:$D$129,"Tributárias",'DESP A'!$P$3:$P$129)</f>
        <v>0</v>
      </c>
      <c r="V21" s="211" t="e">
        <f t="shared" si="25"/>
        <v>#DIV/0!</v>
      </c>
      <c r="W21" s="190">
        <f>SUMIF('MVTO A'!$C$3:$C$184,"Tributárias",'MVTO A'!$Q$3:$Q$189)+SUMIF('DESP A'!$D$3:$D$129,"Tributárias",'DESP A'!$Q$3:$Q$129)</f>
        <v>0</v>
      </c>
      <c r="X21" s="211" t="e">
        <f t="shared" si="26"/>
        <v>#DIV/0!</v>
      </c>
      <c r="Y21" s="190">
        <f>SUMIF('MVTO A'!$C$3:$C$184,"Tributárias",'MVTO A'!$R$3:$R$189)+SUMIF('DESP A'!$D$3:$D$129,"Tributárias",'DESP A'!$R$3:$R$129)</f>
        <v>0</v>
      </c>
      <c r="Z21" s="211" t="e">
        <f t="shared" si="27"/>
        <v>#DIV/0!</v>
      </c>
      <c r="AA21" s="190" t="e">
        <f>SUM(#REF!,#REF!,#REF!,#REF!,#REF!,#REF!,#REF!,#REF!,#REF!,#REF!,#REF!,#REF!)</f>
        <v>#REF!</v>
      </c>
      <c r="AB21" s="201" t="e">
        <f t="shared" si="16"/>
        <v>#REF!</v>
      </c>
    </row>
    <row r="22" spans="2:28" s="176" customFormat="1" ht="10.35" customHeight="1">
      <c r="B22" s="178" t="s">
        <v>266</v>
      </c>
      <c r="C22" s="190">
        <f>SUMIF('DESP A'!$D$3:$D$129,"Almoxarifado",'DESP A'!$G$3:$G$129)</f>
        <v>0</v>
      </c>
      <c r="D22" s="209">
        <f t="shared" si="17"/>
        <v>0</v>
      </c>
      <c r="E22" s="190">
        <f>SUMIF('DESP A'!$D$3:$D$129,"Almoxarifado",'DESP A'!$H$3:$H$129)</f>
        <v>0</v>
      </c>
      <c r="F22" s="209">
        <f t="shared" si="15"/>
        <v>0</v>
      </c>
      <c r="G22" s="190">
        <f>SUMIF('DESP A'!$D$3:$D$129,"Almoxarifado",'DESP A'!$I$3:$I$129)</f>
        <v>0</v>
      </c>
      <c r="H22" s="209">
        <f t="shared" si="18"/>
        <v>0</v>
      </c>
      <c r="I22" s="190">
        <f>SUMIF('DESP A'!$D$3:$D$129,"Almoxarifado",'DESP A'!$J$3:$J$129)</f>
        <v>0</v>
      </c>
      <c r="J22" s="211">
        <f t="shared" si="19"/>
        <v>0</v>
      </c>
      <c r="K22" s="190">
        <f>SUMIF('DESP A'!$D$3:$D$129,"Almoxarifado",'DESP A'!$K$3:$K$129)</f>
        <v>0</v>
      </c>
      <c r="L22" s="211" t="e">
        <f t="shared" si="20"/>
        <v>#DIV/0!</v>
      </c>
      <c r="M22" s="190">
        <f>SUMIF('DESP A'!$D$3:$D$129,"Almoxarifado",'DESP A'!$L$3:$L$129)</f>
        <v>0</v>
      </c>
      <c r="N22" s="211" t="e">
        <f t="shared" si="21"/>
        <v>#DIV/0!</v>
      </c>
      <c r="O22" s="190">
        <f>SUMIF('DESP A'!$D$3:$D$129,"Almoxarifado",'DESP A'!$M$3:$M$129)</f>
        <v>0</v>
      </c>
      <c r="P22" s="211" t="e">
        <f t="shared" si="22"/>
        <v>#DIV/0!</v>
      </c>
      <c r="Q22" s="190">
        <f>SUMIF('DESP A'!$D$3:$D$129,"Almoxarifado",'DESP A'!$N$3:$N$129)</f>
        <v>0</v>
      </c>
      <c r="R22" s="211" t="e">
        <f t="shared" si="23"/>
        <v>#DIV/0!</v>
      </c>
      <c r="S22" s="190">
        <f>SUMIF('DESP A'!$D$3:$D$129,"Almoxarifado",'DESP A'!$O$3:$O$129)</f>
        <v>0</v>
      </c>
      <c r="T22" s="211" t="e">
        <f t="shared" si="24"/>
        <v>#DIV/0!</v>
      </c>
      <c r="U22" s="190">
        <f>SUMIF('DESP A'!$D$3:$D$129,"Almoxarifado",'DESP A'!$P$3:$P$129)</f>
        <v>0</v>
      </c>
      <c r="V22" s="211" t="e">
        <f t="shared" si="25"/>
        <v>#DIV/0!</v>
      </c>
      <c r="W22" s="190">
        <f>SUMIF('DESP A'!$D$3:$D$129,"Almoxarifado",'DESP A'!$Q$3:$Q$129)</f>
        <v>0</v>
      </c>
      <c r="X22" s="211" t="e">
        <f t="shared" si="26"/>
        <v>#DIV/0!</v>
      </c>
      <c r="Y22" s="190">
        <f>SUMIF('DESP A'!$D$3:$D$129,"Almoxarifado",'DESP A'!$R$3:$R$129)</f>
        <v>0</v>
      </c>
      <c r="Z22" s="211" t="e">
        <f t="shared" si="27"/>
        <v>#DIV/0!</v>
      </c>
      <c r="AA22" s="190" t="e">
        <f>SUM(#REF!,#REF!,#REF!,#REF!,#REF!,#REF!,#REF!,#REF!,#REF!,#REF!,#REF!,#REF!)</f>
        <v>#REF!</v>
      </c>
      <c r="AB22" s="201" t="e">
        <f t="shared" si="16"/>
        <v>#REF!</v>
      </c>
    </row>
    <row r="23" spans="2:28" s="176" customFormat="1" ht="10.35" customHeight="1">
      <c r="B23" s="178" t="s">
        <v>353</v>
      </c>
      <c r="C23" s="190">
        <f>SUMIF('MVTO A'!$C$3:$C$184,"Outras",'MVTO A'!$G$3:$G$184)+SUMIF('DESP A'!$D$3:$D$129,"Outras",'DESP A'!$G$3:$G$129)</f>
        <v>65091.75</v>
      </c>
      <c r="D23" s="209">
        <f t="shared" si="17"/>
        <v>1.6471719278919758E-2</v>
      </c>
      <c r="E23" s="190">
        <f>SUMIF('MVTO A'!$C$3:$C$184,"Outras",'MVTO A'!$H$3:$H$184)+SUMIF('DESP A'!$D$3:$D$129,"Outras",'DESP A'!$H$3:$H$129)</f>
        <v>87615.2</v>
      </c>
      <c r="F23" s="209">
        <f>E23/$E$10</f>
        <v>2.5624215010699034E-2</v>
      </c>
      <c r="G23" s="190">
        <f>SUMIF('MVTO A'!$C$3:$C$184,"Outras",'MVTO A'!$I$3:$I$184)+SUMIF('DESP A'!$D$3:$D$129,"Outras",'DESP A'!$I$3:$I$129)</f>
        <v>100073.98</v>
      </c>
      <c r="H23" s="209">
        <f t="shared" si="18"/>
        <v>2.7413138609303375E-2</v>
      </c>
      <c r="I23" s="190">
        <f>SUMIF('MVTO A'!$C$3:$C$184,"Outras",'MVTO A'!$J$3:$J$184)+SUMIF('DESP A'!$D$3:$D$129,"Outras",'DESP A'!$J$3:$J$129)</f>
        <v>120705.18</v>
      </c>
      <c r="J23" s="211">
        <f t="shared" si="19"/>
        <v>3.8236636348786143E-2</v>
      </c>
      <c r="K23" s="190">
        <f>SUMIF('MVTO A'!$C$3:$C$184,"Outras",'MVTO A'!$K$3:$K$184)+SUMIF('DESP A'!$D$3:$D$129,"Outras",'DESP A'!$K$3:$K$129)</f>
        <v>0</v>
      </c>
      <c r="L23" s="211" t="e">
        <f t="shared" si="20"/>
        <v>#DIV/0!</v>
      </c>
      <c r="M23" s="190">
        <f>SUMIF('MVTO A'!$C$3:$C$184,"Outras",'MVTO A'!$L$3:$L$184)+SUMIF('DESP A'!$D$3:$D$129,"Outras",'DESP A'!$L$3:$L$129)</f>
        <v>0</v>
      </c>
      <c r="N23" s="211" t="e">
        <f t="shared" si="21"/>
        <v>#DIV/0!</v>
      </c>
      <c r="O23" s="190">
        <f>SUMIF('MVTO A'!$C$3:$C$184,"Outras",'MVTO A'!$M$3:$M$189)+SUMIF('DESP A'!$D$3:$D$129,"Outras",'DESP A'!$M$3:$M$129)</f>
        <v>0</v>
      </c>
      <c r="P23" s="211" t="e">
        <f t="shared" si="22"/>
        <v>#DIV/0!</v>
      </c>
      <c r="Q23" s="190">
        <f>SUMIF('MVTO A'!$C$3:$C$184,"Outras",'MVTO A'!$N$3:$N$189)+SUMIF('DESP A'!$D$3:$D$129,"Outras",'DESP A'!$N$3:$N$129)</f>
        <v>0</v>
      </c>
      <c r="R23" s="211" t="e">
        <f t="shared" si="23"/>
        <v>#DIV/0!</v>
      </c>
      <c r="S23" s="190">
        <f>SUMIF('MVTO A'!$C$3:$C$184,"Outras",'MVTO A'!$O$3:$O$189)+SUMIF('DESP A'!$D$3:$D$129,"Outras",'DESP A'!$O$3:$O$129)</f>
        <v>0</v>
      </c>
      <c r="T23" s="211" t="e">
        <f t="shared" si="24"/>
        <v>#DIV/0!</v>
      </c>
      <c r="U23" s="190">
        <f>SUMIF('MVTO A'!$C$3:$C$184,"Outras",'MVTO A'!$P$3:$P$189)+SUMIF('DESP A'!$D$3:$D$129,"Outras",'DESP A'!$P$3:$P$129)</f>
        <v>0</v>
      </c>
      <c r="V23" s="211" t="e">
        <f t="shared" si="25"/>
        <v>#DIV/0!</v>
      </c>
      <c r="W23" s="190">
        <f>SUMIF('MVTO A'!$C$3:$C$184,"Outras",'MVTO A'!$Q$3:$Q$189)+SUMIF('DESP A'!$D$3:$D$129,"Outras",'DESP A'!$Q$3:$Q$129)</f>
        <v>0</v>
      </c>
      <c r="X23" s="211" t="e">
        <f t="shared" si="26"/>
        <v>#DIV/0!</v>
      </c>
      <c r="Y23" s="190">
        <f>SUMIF('MVTO A'!$C$3:$C$184,"Outras",'MVTO A'!$R$3:$R$189)+SUMIF('DESP A'!$D$3:$D$129,"Outras",'DESP A'!$R$3:$R$129)</f>
        <v>0</v>
      </c>
      <c r="Z23" s="211" t="e">
        <f t="shared" si="27"/>
        <v>#DIV/0!</v>
      </c>
      <c r="AA23" s="190" t="e">
        <f>SUM(#REF!,#REF!,#REF!,#REF!,#REF!,#REF!,#REF!,#REF!,#REF!,#REF!,#REF!,#REF!)</f>
        <v>#REF!</v>
      </c>
      <c r="AB23" s="201" t="e">
        <f t="shared" si="16"/>
        <v>#REF!</v>
      </c>
    </row>
    <row r="24" spans="2:28" s="176" customFormat="1" ht="10.35" customHeight="1">
      <c r="B24" s="178" t="s">
        <v>340</v>
      </c>
      <c r="C24" s="190">
        <f>SUMIF('MVTO A'!$C$3:$C$184,"Pessoal",'MVTO A'!$G$3:$G$184)+SUMIF('DESP A'!$D$3:$D$129,"Pessoal",'DESP A'!$G$3:$G$129)</f>
        <v>944623.16</v>
      </c>
      <c r="D24" s="215">
        <f t="shared" si="17"/>
        <v>0.23904054685710713</v>
      </c>
      <c r="E24" s="190">
        <f>SUMIF('MVTO A'!$C$3:$C$184,"Pessoal",'MVTO A'!$H$3:$H$184)+SUMIF('DESP A'!$D$3:$D$129,"Pessoal",'DESP A'!$H$3:$H$129)</f>
        <v>937575.5</v>
      </c>
      <c r="F24" s="215">
        <f t="shared" si="15"/>
        <v>0.2742062587400777</v>
      </c>
      <c r="G24" s="190">
        <f>SUMIF('MVTO A'!$C$3:$C$184,"Pessoal",'MVTO A'!$I$3:$I$184)+SUMIF('DESP A'!$D$3:$D$129,"Pessoal",'DESP A'!$I$3:$I$129)</f>
        <v>875086.23</v>
      </c>
      <c r="H24" s="215">
        <f t="shared" si="18"/>
        <v>0.23971126278861635</v>
      </c>
      <c r="I24" s="190">
        <f>SUMIF('MVTO A'!$C$3:$C$184,"Pessoal",'MVTO A'!$J$3:$J$184)+SUMIF('DESP A'!$D$3:$D$129,"Pessoal",'DESP A'!$J$3:$J$129)</f>
        <v>696399.58999999985</v>
      </c>
      <c r="J24" s="211">
        <f t="shared" si="19"/>
        <v>0.22060343952325628</v>
      </c>
      <c r="K24" s="190">
        <f>SUMIF('MVTO A'!$C$3:$C$184,"Pessoal",'MVTO A'!$K$3:$K$184)+SUMIF('DESP A'!$D$3:$D$129,"Pessoal",'DESP A'!$K$3:$K$129)</f>
        <v>0</v>
      </c>
      <c r="L24" s="211" t="e">
        <f t="shared" si="20"/>
        <v>#DIV/0!</v>
      </c>
      <c r="M24" s="190">
        <f>SUMIF('MVTO A'!$C$3:$C$184,"Pessoal",'MVTO A'!$L$3:$L$184)+SUMIF('DESP A'!$D$3:$D$129,"Pessoal",'DESP A'!$L$3:$L$129)</f>
        <v>0</v>
      </c>
      <c r="N24" s="211" t="e">
        <f t="shared" si="21"/>
        <v>#DIV/0!</v>
      </c>
      <c r="O24" s="190">
        <f>SUMIF('MVTO A'!$C$3:$C$184,"Pessoal",'MVTO A'!$M$3:$M$189)+SUMIF('DESP A'!$D$3:$D$129,"Pessoal",'DESP A'!$M$3:$M$129)</f>
        <v>0</v>
      </c>
      <c r="P24" s="211" t="e">
        <f t="shared" si="22"/>
        <v>#DIV/0!</v>
      </c>
      <c r="Q24" s="190">
        <f>SUMIF('MVTO A'!$C$3:$C$184,"Pessoal",'MVTO A'!$N$3:$N$189)+SUMIF('DESP A'!$D$3:$D$129,"Pessoal",'DESP A'!$N$3:$N$129)</f>
        <v>0</v>
      </c>
      <c r="R24" s="211" t="e">
        <f t="shared" si="23"/>
        <v>#DIV/0!</v>
      </c>
      <c r="S24" s="190">
        <f>SUMIF('MVTO A'!$C$3:$C$184,"Pessoal",'MVTO A'!$O$3:$O$189)+SUMIF('DESP A'!$D$3:$D$129,"Pessoal",'DESP A'!$O$3:$O$129)</f>
        <v>0</v>
      </c>
      <c r="T24" s="211" t="e">
        <f t="shared" si="24"/>
        <v>#DIV/0!</v>
      </c>
      <c r="U24" s="190">
        <f>SUMIF('MVTO A'!$C$3:$C$184,"Pessoal",'MVTO A'!$P$3:$P$189)+SUMIF('DESP A'!$D$3:$D$129,"Pessoal",'DESP A'!$P$3:$P$129)</f>
        <v>0</v>
      </c>
      <c r="V24" s="211" t="e">
        <f t="shared" si="25"/>
        <v>#DIV/0!</v>
      </c>
      <c r="W24" s="190">
        <f>SUMIF('MVTO A'!$C$3:$C$184,"Pessoal",'MVTO A'!$Q$3:$Q$189)+SUMIF('DESP A'!$D$3:$D$129,"Pessoal",'DESP A'!$Q$3:$Q$129)</f>
        <v>0</v>
      </c>
      <c r="X24" s="211" t="e">
        <f t="shared" si="26"/>
        <v>#DIV/0!</v>
      </c>
      <c r="Y24" s="190">
        <f>SUMIF('MVTO A'!$C$3:$C$184,"Pessoal",'MVTO A'!$R$3:$R$189)+SUMIF('DESP A'!$D$3:$D$129,"Pessoal",'DESP A'!$R$3:$R$129)</f>
        <v>0</v>
      </c>
      <c r="Z24" s="211" t="e">
        <f t="shared" si="27"/>
        <v>#DIV/0!</v>
      </c>
      <c r="AA24" s="190" t="e">
        <f>SUM(#REF!,#REF!,#REF!,#REF!,#REF!,#REF!,#REF!,#REF!,#REF!,#REF!,#REF!,#REF!)</f>
        <v>#REF!</v>
      </c>
      <c r="AB24" s="201" t="e">
        <f t="shared" si="16"/>
        <v>#REF!</v>
      </c>
    </row>
    <row r="25" spans="2:28" s="176" customFormat="1" ht="10.35" customHeight="1">
      <c r="B25" s="178" t="s">
        <v>331</v>
      </c>
      <c r="C25" s="190">
        <f>SUMIF('DESP A'!$D$3:$D$129,"Energia Elétrica",'DESP A'!$G$3:$G$129)</f>
        <v>0</v>
      </c>
      <c r="D25" s="215">
        <f t="shared" si="17"/>
        <v>0</v>
      </c>
      <c r="E25" s="190">
        <f>SUMIF('DESP A'!$D$3:$D$129,"Energia Elétrica",'DESP A'!$H$3:$H$129)</f>
        <v>0</v>
      </c>
      <c r="F25" s="215">
        <f t="shared" si="15"/>
        <v>0</v>
      </c>
      <c r="G25" s="190">
        <f>SUMIF('DESP A'!$D$3:$D$129,"Energia Elétrica",'DESP A'!$I$3:$I$129)</f>
        <v>0</v>
      </c>
      <c r="H25" s="215">
        <f t="shared" si="18"/>
        <v>0</v>
      </c>
      <c r="I25" s="190">
        <f>SUMIF('DESP A'!$D$3:$D$129,"Energia Elétrica",'DESP A'!$J$3:$J$129)</f>
        <v>0</v>
      </c>
      <c r="J25" s="211">
        <f t="shared" si="19"/>
        <v>0</v>
      </c>
      <c r="K25" s="190">
        <f>SUMIF('DESP A'!$D$3:$D$129,"Energia Elétrica",'DESP A'!$K$3:$K$129)</f>
        <v>0</v>
      </c>
      <c r="L25" s="211" t="e">
        <f t="shared" si="20"/>
        <v>#DIV/0!</v>
      </c>
      <c r="M25" s="190">
        <f>SUMIF('DESP A'!$D$3:$D$129,"Energia Elétrica",'DESP A'!$L$3:$L$129)</f>
        <v>0</v>
      </c>
      <c r="N25" s="211" t="e">
        <f t="shared" si="21"/>
        <v>#DIV/0!</v>
      </c>
      <c r="O25" s="190">
        <f>SUMIF('DESP A'!$D$3:$D$129,"Energia Elétrica",'DESP A'!$M$3:$M$129)</f>
        <v>0</v>
      </c>
      <c r="P25" s="211" t="e">
        <f t="shared" si="22"/>
        <v>#DIV/0!</v>
      </c>
      <c r="Q25" s="190">
        <f>SUMIF('DESP A'!$D$3:$D$129,"Energia Elétrica",'DESP A'!$N$3:$N$129)</f>
        <v>0</v>
      </c>
      <c r="R25" s="211" t="e">
        <f t="shared" si="23"/>
        <v>#DIV/0!</v>
      </c>
      <c r="S25" s="190">
        <f>SUMIF('DESP A'!$D$3:$D$129,"Energia Elétrica",'DESP A'!$O$3:$O$129)</f>
        <v>0</v>
      </c>
      <c r="T25" s="211" t="e">
        <f t="shared" si="24"/>
        <v>#DIV/0!</v>
      </c>
      <c r="U25" s="190">
        <f>SUMIF('DESP A'!$D$3:$D$129,"Energia Elétrica",'DESP A'!$P$3:$P$129)</f>
        <v>0</v>
      </c>
      <c r="V25" s="211" t="e">
        <f t="shared" si="25"/>
        <v>#DIV/0!</v>
      </c>
      <c r="W25" s="190">
        <f>SUMIF('DESP A'!$D$3:$D$129,"Energia Elétrica",'DESP A'!$Q$3:$Q$129)</f>
        <v>0</v>
      </c>
      <c r="X25" s="211" t="e">
        <f t="shared" si="26"/>
        <v>#DIV/0!</v>
      </c>
      <c r="Y25" s="190">
        <f>SUMIF('DESP A'!$D$3:$D$129,"Energia Elétrica",'DESP A'!$R$3:$R$129)</f>
        <v>0</v>
      </c>
      <c r="Z25" s="211" t="e">
        <f t="shared" si="27"/>
        <v>#DIV/0!</v>
      </c>
      <c r="AA25" s="190" t="e">
        <f>SUM(#REF!,#REF!,#REF!,#REF!,#REF!,#REF!,#REF!,#REF!,#REF!,#REF!,#REF!,#REF!)</f>
        <v>#REF!</v>
      </c>
      <c r="AB25" s="201" t="e">
        <f t="shared" si="16"/>
        <v>#REF!</v>
      </c>
    </row>
    <row r="26" spans="2:28" s="176" customFormat="1" ht="10.35" customHeight="1">
      <c r="B26" s="178" t="s">
        <v>333</v>
      </c>
      <c r="C26" s="190">
        <f>SUMIF('DESP A'!$D$3:$D$129,"Utilidades",'DESP A'!$G$3:$G$129)</f>
        <v>2684.07</v>
      </c>
      <c r="D26" s="215">
        <f t="shared" si="17"/>
        <v>6.7921430234968579E-4</v>
      </c>
      <c r="E26" s="190">
        <f>SUMIF('DESP A'!$D$3:$D$129,"Utilidades",'DESP A'!$H$3:$H$129)</f>
        <v>1076.4000000000001</v>
      </c>
      <c r="F26" s="215">
        <f t="shared" si="15"/>
        <v>3.1480730555333373E-4</v>
      </c>
      <c r="G26" s="190">
        <f>SUMIF('DESP A'!$D$3:$D$129,"Utilidades",'DESP A'!$I$3:$I$129)</f>
        <v>1076.4000000000001</v>
      </c>
      <c r="H26" s="215">
        <f t="shared" si="18"/>
        <v>2.9485688886415987E-4</v>
      </c>
      <c r="I26" s="190">
        <f>SUMIF('DESP A'!$D$3:$D$129,"Utilidades",'DESP A'!$J$3:$J$129)</f>
        <v>1076.4000000000001</v>
      </c>
      <c r="J26" s="211">
        <f t="shared" si="19"/>
        <v>3.4097886574406674E-4</v>
      </c>
      <c r="K26" s="190">
        <f>SUMIF('DESP A'!$D$3:$D$129,"Utilidades",'DESP A'!$K$3:$K$129)</f>
        <v>0</v>
      </c>
      <c r="L26" s="211" t="e">
        <f t="shared" si="20"/>
        <v>#DIV/0!</v>
      </c>
      <c r="M26" s="190">
        <f>SUMIF('DESP A'!$D$3:$D$129,"Utilidades",'DESP A'!$L$3:$L$129)</f>
        <v>0</v>
      </c>
      <c r="N26" s="211" t="e">
        <f t="shared" si="21"/>
        <v>#DIV/0!</v>
      </c>
      <c r="O26" s="190">
        <f>SUMIF('DESP A'!$D$3:$D$129,"Utilidades",'DESP A'!$M$3:$M$129)</f>
        <v>0</v>
      </c>
      <c r="P26" s="211" t="e">
        <f t="shared" si="22"/>
        <v>#DIV/0!</v>
      </c>
      <c r="Q26" s="190">
        <f>SUMIF('DESP A'!$D$3:$D$129,"Utilidades",'DESP A'!$N$3:$N$129)</f>
        <v>0</v>
      </c>
      <c r="R26" s="211" t="e">
        <f t="shared" si="23"/>
        <v>#DIV/0!</v>
      </c>
      <c r="S26" s="190">
        <f>SUMIF('DESP A'!$D$3:$D$129,"Utilidades",'DESP A'!$O$3:$O$129)</f>
        <v>0</v>
      </c>
      <c r="T26" s="211" t="e">
        <f t="shared" si="24"/>
        <v>#DIV/0!</v>
      </c>
      <c r="U26" s="190">
        <f>SUMIF('DESP A'!$D$3:$D$129,"Utilidades",'DESP A'!$P$3:$P$129)</f>
        <v>0</v>
      </c>
      <c r="V26" s="211" t="e">
        <f t="shared" si="25"/>
        <v>#DIV/0!</v>
      </c>
      <c r="W26" s="190">
        <f>SUMIF('DESP A'!$D$3:$D$129,"Utilidades",'DESP A'!$Q$3:$Q$129)</f>
        <v>0</v>
      </c>
      <c r="X26" s="211" t="e">
        <f t="shared" si="26"/>
        <v>#DIV/0!</v>
      </c>
      <c r="Y26" s="190">
        <f>SUMIF('DESP A'!$D$3:$D$129,"Utilidades",'DESP A'!$R$3:$R$129)</f>
        <v>0</v>
      </c>
      <c r="Z26" s="211" t="e">
        <f t="shared" si="27"/>
        <v>#DIV/0!</v>
      </c>
      <c r="AA26" s="190" t="e">
        <f>SUM(#REF!,#REF!,#REF!,#REF!,#REF!,#REF!,#REF!,#REF!,#REF!,#REF!,#REF!,#REF!)</f>
        <v>#REF!</v>
      </c>
      <c r="AB26" s="201" t="e">
        <f t="shared" si="16"/>
        <v>#REF!</v>
      </c>
    </row>
    <row r="27" spans="2:28" s="176" customFormat="1" ht="10.35" customHeight="1">
      <c r="B27" s="178" t="s">
        <v>330</v>
      </c>
      <c r="C27" s="190">
        <f>SUMIF('DESP A'!$D$3:$D$129,"Manutenção",'DESP A'!$G$3:$G$129)</f>
        <v>251.28</v>
      </c>
      <c r="D27" s="215">
        <f t="shared" si="17"/>
        <v>6.3587376593914852E-5</v>
      </c>
      <c r="E27" s="190">
        <f>SUMIF('DESP A'!$D$3:$D$129,"Manutenção",'DESP A'!$H$3:$H$129)</f>
        <v>0</v>
      </c>
      <c r="F27" s="215">
        <f t="shared" si="15"/>
        <v>0</v>
      </c>
      <c r="G27" s="190">
        <f>SUMIF('DESP A'!$D$3:$D$129,"Manutenção",'DESP A'!$I$3:$I$129)</f>
        <v>0</v>
      </c>
      <c r="H27" s="215">
        <f t="shared" si="18"/>
        <v>0</v>
      </c>
      <c r="I27" s="190">
        <f>SUMIF('DESP A'!$D$3:$D$129,"Manutenção",'DESP A'!$J$3:$J$129)</f>
        <v>0</v>
      </c>
      <c r="J27" s="211">
        <f t="shared" si="19"/>
        <v>0</v>
      </c>
      <c r="K27" s="190">
        <f>SUMIF('DESP A'!$D$3:$D$129,"Manutenção",'DESP A'!$K$3:$K$129)</f>
        <v>0</v>
      </c>
      <c r="L27" s="211" t="e">
        <f t="shared" si="20"/>
        <v>#DIV/0!</v>
      </c>
      <c r="M27" s="190">
        <f>SUMIF('DESP A'!$D$3:$D$129,"Manutenção",'DESP A'!$L$3:$L$129)</f>
        <v>0</v>
      </c>
      <c r="N27" s="211" t="e">
        <f t="shared" si="21"/>
        <v>#DIV/0!</v>
      </c>
      <c r="O27" s="190">
        <f>SUMIF('DESP A'!$D$3:$D$129,"Manutenção",'DESP A'!$M$3:$M$129)</f>
        <v>0</v>
      </c>
      <c r="P27" s="211" t="e">
        <f t="shared" si="22"/>
        <v>#DIV/0!</v>
      </c>
      <c r="Q27" s="190">
        <f>SUMIF('DESP A'!$D$3:$D$129,"Manutenção",'DESP A'!$N$3:$N$129)</f>
        <v>0</v>
      </c>
      <c r="R27" s="211" t="e">
        <f t="shared" si="23"/>
        <v>#DIV/0!</v>
      </c>
      <c r="S27" s="190">
        <f>SUMIF('DESP A'!$D$3:$D$129,"Manutenção",'DESP A'!$O$3:$O$129)</f>
        <v>0</v>
      </c>
      <c r="T27" s="211" t="e">
        <f t="shared" si="24"/>
        <v>#DIV/0!</v>
      </c>
      <c r="U27" s="190">
        <f>SUMIF('DESP A'!$D$3:$D$129,"Manutenção",'DESP A'!$P$3:$P$129)</f>
        <v>0</v>
      </c>
      <c r="V27" s="211" t="e">
        <f t="shared" si="25"/>
        <v>#DIV/0!</v>
      </c>
      <c r="W27" s="190">
        <f>SUMIF('DESP A'!$D$3:$D$129,"Manutenção",'DESP A'!$Q$3:$Q$129)</f>
        <v>0</v>
      </c>
      <c r="X27" s="211" t="e">
        <f t="shared" si="26"/>
        <v>#DIV/0!</v>
      </c>
      <c r="Y27" s="190">
        <f>SUMIF('DESP A'!$D$3:$D$129,"Manutenção",'DESP A'!$R$3:$R$129)</f>
        <v>0</v>
      </c>
      <c r="Z27" s="211" t="e">
        <f t="shared" si="27"/>
        <v>#DIV/0!</v>
      </c>
      <c r="AA27" s="190" t="e">
        <f>SUM(#REF!,#REF!,#REF!,#REF!,#REF!,#REF!,#REF!,#REF!,#REF!,#REF!,#REF!,#REF!)</f>
        <v>#REF!</v>
      </c>
      <c r="AB27" s="201" t="e">
        <f t="shared" si="16"/>
        <v>#REF!</v>
      </c>
    </row>
    <row r="28" spans="2:28" s="176" customFormat="1" ht="10.35" customHeight="1">
      <c r="B28" s="178" t="s">
        <v>339</v>
      </c>
      <c r="C28" s="190">
        <f>SUMIF('DESP A'!$D$3:$D$129,"Uso e Consumo",'DESP A'!$G$3:$G$129)</f>
        <v>7860</v>
      </c>
      <c r="D28" s="215">
        <f t="shared" si="17"/>
        <v>1.9890034225890272E-3</v>
      </c>
      <c r="E28" s="190">
        <f>SUMIF('DESP A'!$D$3:$D$129,"Uso e Consumo",'DESP A'!$H$3:$H$129)</f>
        <v>7084.5</v>
      </c>
      <c r="F28" s="215">
        <f t="shared" si="15"/>
        <v>2.071954994604787E-3</v>
      </c>
      <c r="G28" s="190">
        <f>SUMIF('DESP A'!$D$3:$D$129,"Uso e Consumo",'DESP A'!$I$3:$I$129)</f>
        <v>6053.6</v>
      </c>
      <c r="H28" s="215">
        <f t="shared" si="18"/>
        <v>1.6582549818172411E-3</v>
      </c>
      <c r="I28" s="190">
        <f>SUMIF('DESP A'!$D$3:$D$129,"Uso e Consumo",'DESP A'!$J$3:$J$129)</f>
        <v>7434.2999999999993</v>
      </c>
      <c r="J28" s="211">
        <f t="shared" si="19"/>
        <v>2.3550159620969111E-3</v>
      </c>
      <c r="K28" s="190">
        <f>SUMIF('DESP A'!$D$3:$D$129,"Uso e Consumo",'DESP A'!$K$3:$K$129)</f>
        <v>0</v>
      </c>
      <c r="L28" s="211" t="e">
        <f t="shared" si="20"/>
        <v>#DIV/0!</v>
      </c>
      <c r="M28" s="190">
        <f>SUMIF('DESP A'!$D$3:$D$129,"Uso e Consumo",'DESP A'!$L$3:$L$129)</f>
        <v>0</v>
      </c>
      <c r="N28" s="211" t="e">
        <f t="shared" si="21"/>
        <v>#DIV/0!</v>
      </c>
      <c r="O28" s="190">
        <f>SUMIF('DESP A'!$D$3:$D$129,"Uso e Consumo",'DESP A'!$M$3:$M$129)</f>
        <v>0</v>
      </c>
      <c r="P28" s="211" t="e">
        <f t="shared" si="22"/>
        <v>#DIV/0!</v>
      </c>
      <c r="Q28" s="190">
        <f>SUMIF('DESP A'!$D$3:$D$129,"Uso e Consumo",'DESP A'!$N$3:$N$129)</f>
        <v>0</v>
      </c>
      <c r="R28" s="211" t="e">
        <f t="shared" si="23"/>
        <v>#DIV/0!</v>
      </c>
      <c r="S28" s="190">
        <f>SUMIF('DESP A'!$D$3:$D$129,"Uso e Consumo",'DESP A'!$O$3:$O$129)</f>
        <v>0</v>
      </c>
      <c r="T28" s="211" t="e">
        <f t="shared" si="24"/>
        <v>#DIV/0!</v>
      </c>
      <c r="U28" s="190">
        <f>SUMIF('DESP A'!$D$3:$D$129,"Uso e Consumo",'DESP A'!$P$3:$P$129)</f>
        <v>0</v>
      </c>
      <c r="V28" s="211" t="e">
        <f t="shared" si="25"/>
        <v>#DIV/0!</v>
      </c>
      <c r="W28" s="190">
        <f>SUMIF('DESP A'!$D$3:$D$129,"Uso e Consumo",'DESP A'!$Q$3:$Q$129)</f>
        <v>0</v>
      </c>
      <c r="X28" s="211" t="e">
        <f t="shared" si="26"/>
        <v>#DIV/0!</v>
      </c>
      <c r="Y28" s="190">
        <f>SUMIF('DESP A'!$D$3:$D$129,"Uso e Consumo",'DESP A'!$R$3:$R$129)</f>
        <v>0</v>
      </c>
      <c r="Z28" s="211" t="e">
        <f t="shared" si="27"/>
        <v>#DIV/0!</v>
      </c>
      <c r="AA28" s="190" t="e">
        <f>SUM(#REF!,#REF!,#REF!,#REF!,#REF!,#REF!,#REF!,#REF!,#REF!,#REF!,#REF!,#REF!)</f>
        <v>#REF!</v>
      </c>
      <c r="AB28" s="201" t="e">
        <f t="shared" si="16"/>
        <v>#REF!</v>
      </c>
    </row>
    <row r="29" spans="2:28" s="176" customFormat="1" ht="10.35" customHeight="1">
      <c r="B29" s="178" t="s">
        <v>341</v>
      </c>
      <c r="C29" s="190">
        <f>SUMIF('DESP A'!$D$3:$D$129,"Informática",'DESP A'!$G$3:$G$129)</f>
        <v>7400.84</v>
      </c>
      <c r="D29" s="215">
        <f t="shared" si="17"/>
        <v>1.8728112073834319E-3</v>
      </c>
      <c r="E29" s="190">
        <f>SUMIF('DESP A'!$D$3:$D$129,"Informática",'DESP A'!$H$3:$H$129)</f>
        <v>7716.1</v>
      </c>
      <c r="F29" s="215">
        <f t="shared" si="15"/>
        <v>2.2566747030658475E-3</v>
      </c>
      <c r="G29" s="190">
        <f>SUMIF('DESP A'!$D$3:$D$129,"Informática",'DESP A'!$I$3:$I$129)</f>
        <v>7716.1</v>
      </c>
      <c r="H29" s="215">
        <f t="shared" si="18"/>
        <v>2.1136615014536826E-3</v>
      </c>
      <c r="I29" s="190">
        <f>SUMIF('DESP A'!$D$3:$D$129,"Informática",'DESP A'!$J$3:$J$129)</f>
        <v>7716.1</v>
      </c>
      <c r="J29" s="211">
        <f t="shared" si="19"/>
        <v>2.4442837476475227E-3</v>
      </c>
      <c r="K29" s="190">
        <f>SUMIF('DESP A'!$D$3:$D$129,"Informática",'DESP A'!$K$3:$K$129)</f>
        <v>0</v>
      </c>
      <c r="L29" s="211" t="e">
        <f t="shared" si="20"/>
        <v>#DIV/0!</v>
      </c>
      <c r="M29" s="190">
        <f>SUMIF('DESP A'!$D$3:$D$129,"Informática",'DESP A'!$L$3:$L$129)</f>
        <v>0</v>
      </c>
      <c r="N29" s="211" t="e">
        <f t="shared" si="21"/>
        <v>#DIV/0!</v>
      </c>
      <c r="O29" s="190">
        <f>SUMIF('DESP A'!$D$3:$D$129,"Informática",'DESP A'!$M$3:$M$129)</f>
        <v>0</v>
      </c>
      <c r="P29" s="211" t="e">
        <f t="shared" si="22"/>
        <v>#DIV/0!</v>
      </c>
      <c r="Q29" s="190">
        <f>SUMIF('DESP A'!$D$3:$D$129,"Informática",'DESP A'!$N$3:$N$129)</f>
        <v>0</v>
      </c>
      <c r="R29" s="211" t="e">
        <f t="shared" si="23"/>
        <v>#DIV/0!</v>
      </c>
      <c r="S29" s="190">
        <f>SUMIF('DESP A'!$D$3:$D$129,"Informática",'DESP A'!$O$3:$O$129)</f>
        <v>0</v>
      </c>
      <c r="T29" s="211" t="e">
        <f t="shared" si="24"/>
        <v>#DIV/0!</v>
      </c>
      <c r="U29" s="190">
        <f>SUMIF('DESP A'!$D$3:$D$129,"Informática",'DESP A'!$P$3:$P$129)</f>
        <v>0</v>
      </c>
      <c r="V29" s="211" t="e">
        <f t="shared" si="25"/>
        <v>#DIV/0!</v>
      </c>
      <c r="W29" s="190">
        <f>SUMIF('DESP A'!$D$3:$D$129,"Informática",'DESP A'!$Q$3:$Q$129)</f>
        <v>0</v>
      </c>
      <c r="X29" s="211" t="e">
        <f t="shared" si="26"/>
        <v>#DIV/0!</v>
      </c>
      <c r="Y29" s="190">
        <f>SUMIF('DESP A'!$D$3:$D$129,"Informática",'DESP A'!$R$3:$R$129)</f>
        <v>0</v>
      </c>
      <c r="Z29" s="211" t="e">
        <f t="shared" si="27"/>
        <v>#DIV/0!</v>
      </c>
      <c r="AA29" s="190" t="e">
        <f>SUM(#REF!,#REF!,#REF!,#REF!,#REF!,#REF!,#REF!,#REF!,#REF!,#REF!,#REF!,#REF!)</f>
        <v>#REF!</v>
      </c>
      <c r="AB29" s="201" t="e">
        <f t="shared" si="16"/>
        <v>#REF!</v>
      </c>
    </row>
    <row r="30" spans="2:28" s="176" customFormat="1" ht="10.35" customHeight="1">
      <c r="B30" s="178" t="s">
        <v>342</v>
      </c>
      <c r="C30" s="190">
        <f>SUMIF('DESP A'!$D$3:$D$129,"Gerais",'DESP A'!$G$3:$G$129)</f>
        <v>0</v>
      </c>
      <c r="D30" s="215">
        <f t="shared" si="17"/>
        <v>0</v>
      </c>
      <c r="E30" s="190">
        <f>SUMIF('DESP A'!$D$3:$D$129,"Gerais",'DESP A'!$H$3:$H$129)</f>
        <v>0</v>
      </c>
      <c r="F30" s="215">
        <f t="shared" si="15"/>
        <v>0</v>
      </c>
      <c r="G30" s="190">
        <f>SUMIF('DESP A'!$D$3:$D$129,"Gerais",'DESP A'!$I$3:$I$129)</f>
        <v>0</v>
      </c>
      <c r="H30" s="215">
        <f t="shared" si="18"/>
        <v>0</v>
      </c>
      <c r="I30" s="190">
        <f>SUMIF('DESP A'!$D$3:$D$129,"Gerais",'DESP A'!$J$3:$J$129)</f>
        <v>0</v>
      </c>
      <c r="J30" s="211">
        <f t="shared" si="19"/>
        <v>0</v>
      </c>
      <c r="K30" s="190">
        <f>SUMIF('DESP A'!$D$3:$D$129,"Gerais",'DESP A'!$K$3:$K$129)</f>
        <v>0</v>
      </c>
      <c r="L30" s="211" t="e">
        <f t="shared" si="20"/>
        <v>#DIV/0!</v>
      </c>
      <c r="M30" s="190">
        <f>SUMIF('DESP A'!$D$3:$D$129,"Gerais",'DESP A'!$L$3:$L$129)</f>
        <v>0</v>
      </c>
      <c r="N30" s="211" t="e">
        <f t="shared" si="21"/>
        <v>#DIV/0!</v>
      </c>
      <c r="O30" s="190">
        <f>SUMIF('DESP A'!$D$3:$D$129,"Gerais",'DESP A'!$M$3:$M$129)</f>
        <v>0</v>
      </c>
      <c r="P30" s="211" t="e">
        <f t="shared" si="22"/>
        <v>#DIV/0!</v>
      </c>
      <c r="Q30" s="190">
        <f>SUMIF('DESP A'!$D$3:$D$129,"Gerais",'DESP A'!$N$3:$N$129)</f>
        <v>0</v>
      </c>
      <c r="R30" s="211" t="e">
        <f t="shared" si="23"/>
        <v>#DIV/0!</v>
      </c>
      <c r="S30" s="190">
        <f>SUMIF('DESP A'!$D$3:$D$129,"Gerais",'DESP A'!$O$3:$O$129)</f>
        <v>0</v>
      </c>
      <c r="T30" s="211" t="e">
        <f t="shared" si="24"/>
        <v>#DIV/0!</v>
      </c>
      <c r="U30" s="190">
        <f>SUMIF('DESP A'!$D$3:$D$129,"Gerais",'DESP A'!$P$3:$P$129)</f>
        <v>0</v>
      </c>
      <c r="V30" s="211" t="e">
        <f t="shared" si="25"/>
        <v>#DIV/0!</v>
      </c>
      <c r="W30" s="190">
        <f>SUMIF('DESP A'!$D$3:$D$129,"Gerais",'DESP A'!$Q$3:$Q$129)</f>
        <v>0</v>
      </c>
      <c r="X30" s="211" t="e">
        <f t="shared" si="26"/>
        <v>#DIV/0!</v>
      </c>
      <c r="Y30" s="190">
        <f>SUMIF('DESP A'!$D$3:$D$129,"Gerais",'DESP A'!$R$3:$R$129)</f>
        <v>0</v>
      </c>
      <c r="Z30" s="211" t="e">
        <f t="shared" si="27"/>
        <v>#DIV/0!</v>
      </c>
      <c r="AA30" s="190" t="e">
        <f>SUM(#REF!,#REF!,#REF!,#REF!,#REF!,#REF!,#REF!,#REF!,#REF!,#REF!,#REF!,#REF!)</f>
        <v>#REF!</v>
      </c>
      <c r="AB30" s="201" t="e">
        <f t="shared" si="16"/>
        <v>#REF!</v>
      </c>
    </row>
    <row r="31" spans="2:28" s="176" customFormat="1" ht="10.35" customHeight="1">
      <c r="B31" s="178" t="s">
        <v>351</v>
      </c>
      <c r="C31" s="190">
        <f>SUMIF('DESP A'!$D$3:$D$129,"Vendas",'DESP A'!$G$3:$G$129)</f>
        <v>0</v>
      </c>
      <c r="D31" s="215">
        <f t="shared" si="17"/>
        <v>0</v>
      </c>
      <c r="E31" s="190">
        <f>SUMIF('DESP A'!$D$3:$D$129,"Vendas",'DESP A'!$H$3:$H$129)</f>
        <v>1300</v>
      </c>
      <c r="F31" s="215">
        <f t="shared" si="15"/>
        <v>3.8020205984702138E-4</v>
      </c>
      <c r="G31" s="190">
        <f>SUMIF('DESP A'!$D$3:$D$129,"Vendas",'DESP A'!$I$3:$I$129)</f>
        <v>2989</v>
      </c>
      <c r="H31" s="215">
        <f t="shared" si="18"/>
        <v>8.1877298477793926E-4</v>
      </c>
      <c r="I31" s="190">
        <f>SUMIF('DESP A'!$D$3:$D$129,"Vendas",'DESP A'!$J$3:$J$129)</f>
        <v>0</v>
      </c>
      <c r="J31" s="211">
        <f t="shared" si="19"/>
        <v>0</v>
      </c>
      <c r="K31" s="190">
        <f>SUMIF('DESP A'!$D$3:$D$129,"Vendas",'DESP A'!$K$3:$K$129)</f>
        <v>0</v>
      </c>
      <c r="L31" s="211" t="e">
        <f t="shared" si="20"/>
        <v>#DIV/0!</v>
      </c>
      <c r="M31" s="190">
        <f>SUMIF('DESP A'!$D$3:$D$129,"Vendas",'DESP A'!$L$3:$L$129)</f>
        <v>0</v>
      </c>
      <c r="N31" s="211" t="e">
        <f t="shared" si="21"/>
        <v>#DIV/0!</v>
      </c>
      <c r="O31" s="190">
        <f>SUMIF('DESP A'!$D$3:$D$129,"Vendas",'DESP A'!$M$3:$M$129)</f>
        <v>0</v>
      </c>
      <c r="P31" s="211" t="e">
        <f t="shared" si="22"/>
        <v>#DIV/0!</v>
      </c>
      <c r="Q31" s="190">
        <f>SUMIF('DESP A'!$D$3:$D$129,"Vendas",'DESP A'!$N$3:$N$129)</f>
        <v>0</v>
      </c>
      <c r="R31" s="211" t="e">
        <f t="shared" si="23"/>
        <v>#DIV/0!</v>
      </c>
      <c r="S31" s="190">
        <f>SUMIF('DESP A'!$D$3:$D$129,"Vendas",'DESP A'!$O$3:$O$129)</f>
        <v>0</v>
      </c>
      <c r="T31" s="211" t="e">
        <f t="shared" si="24"/>
        <v>#DIV/0!</v>
      </c>
      <c r="U31" s="190">
        <f>SUMIF('DESP A'!$D$3:$D$129,"Vendas",'DESP A'!$P$3:$P$129)</f>
        <v>0</v>
      </c>
      <c r="V31" s="211" t="e">
        <f t="shared" si="25"/>
        <v>#DIV/0!</v>
      </c>
      <c r="W31" s="190">
        <f>SUMIF('DESP A'!$D$3:$D$129,"Vendas",'DESP A'!$Q$3:$Q$129)</f>
        <v>0</v>
      </c>
      <c r="X31" s="211" t="e">
        <f t="shared" si="26"/>
        <v>#DIV/0!</v>
      </c>
      <c r="Y31" s="190">
        <f>SUMIF('DESP A'!$D$3:$D$129,"Vendas",'DESP A'!$R$3:$R$129)</f>
        <v>0</v>
      </c>
      <c r="Z31" s="211" t="e">
        <f t="shared" si="27"/>
        <v>#DIV/0!</v>
      </c>
      <c r="AA31" s="190" t="e">
        <f>SUM(#REF!,#REF!,#REF!,#REF!,#REF!,#REF!,#REF!,#REF!,#REF!,#REF!,#REF!,#REF!)</f>
        <v>#REF!</v>
      </c>
      <c r="AB31" s="201" t="e">
        <f t="shared" si="16"/>
        <v>#REF!</v>
      </c>
    </row>
    <row r="32" spans="2:28" s="176" customFormat="1" ht="10.35" customHeight="1">
      <c r="B32" s="178" t="s">
        <v>337</v>
      </c>
      <c r="C32" s="190">
        <f>SUMIF('MVTO A'!$C$3:$C$184,"Propaganda",'MVTO A'!$G$3:$G$184)+SUMIF('DESP A'!$D$3:$D$129,"Propaganda",'DESP A'!$G$3:$G$129)</f>
        <v>300</v>
      </c>
      <c r="D32" s="215">
        <f t="shared" si="17"/>
        <v>7.5916161167520108E-5</v>
      </c>
      <c r="E32" s="190">
        <f>SUMIF('MVTO A'!$C$3:$C$184,"Propaganda",'MVTO A'!$H$3:$H$184)+SUMIF('DESP A'!$D$3:$D$129,"Propaganda",'DESP A'!$H$3:$H$129)</f>
        <v>0</v>
      </c>
      <c r="F32" s="215">
        <f t="shared" si="15"/>
        <v>0</v>
      </c>
      <c r="G32" s="190">
        <f>SUMIF('MVTO A'!$C$3:$C$184,"Propaganda",'MVTO A'!$I$3:$I$184)+SUMIF('DESP A'!$D$3:$D$129,"Propaganda",'DESP A'!$I$3:$I$129)</f>
        <v>825</v>
      </c>
      <c r="H32" s="215">
        <f t="shared" si="18"/>
        <v>2.2599120523312142E-4</v>
      </c>
      <c r="I32" s="190">
        <f>SUMIF('MVTO A'!$C$3:$C$184,"Propaganda",'MVTO A'!$J$3:$J$184)+SUMIF('DESP A'!$D$3:$D$129,"Propaganda",'DESP A'!$J$3:$J$129)</f>
        <v>0</v>
      </c>
      <c r="J32" s="211">
        <f t="shared" si="19"/>
        <v>0</v>
      </c>
      <c r="K32" s="190">
        <f>SUMIF('MVTO A'!$C$3:$C$184,"Propaganda",'MVTO A'!$K$3:$K$184)+SUMIF('DESP A'!$D$3:$D$129,"Propaganda",'DESP A'!$K$3:$K$129)</f>
        <v>0</v>
      </c>
      <c r="L32" s="211" t="e">
        <f t="shared" si="20"/>
        <v>#DIV/0!</v>
      </c>
      <c r="M32" s="190">
        <f>SUMIF('MVTO A'!$C$3:$C$184,"Propaganda",'MVTO A'!$L$3:$L$184)+SUMIF('DESP A'!$D$3:$D$129,"Propaganda",'DESP A'!$L$3:$L$129)</f>
        <v>0</v>
      </c>
      <c r="N32" s="211" t="e">
        <f t="shared" si="21"/>
        <v>#DIV/0!</v>
      </c>
      <c r="O32" s="190">
        <f>SUMIF('MVTO A'!$C$3:$C$184,"Propaganda",'MVTO A'!$M$3:$M$189)+SUMIF('DESP A'!$D$3:$D$129,"Propaganda",'DESP A'!$M$3:$M$129)</f>
        <v>0</v>
      </c>
      <c r="P32" s="211" t="e">
        <f t="shared" si="22"/>
        <v>#DIV/0!</v>
      </c>
      <c r="Q32" s="190">
        <f>SUMIF('MVTO A'!$C$3:$C$184,"Propaganda",'MVTO A'!$N$3:$N$189)+SUMIF('DESP A'!$D$3:$D$129,"Propaganda",'DESP A'!$N$3:$N$129)</f>
        <v>0</v>
      </c>
      <c r="R32" s="211" t="e">
        <f t="shared" si="23"/>
        <v>#DIV/0!</v>
      </c>
      <c r="S32" s="190">
        <f>SUMIF('MVTO A'!$C$3:$C$184,"Propaganda",'MVTO A'!$O$3:$O$189)+SUMIF('DESP A'!$D$3:$D$129,"Propaganda",'DESP A'!$O$3:$O$129)</f>
        <v>0</v>
      </c>
      <c r="T32" s="211" t="e">
        <f t="shared" si="24"/>
        <v>#DIV/0!</v>
      </c>
      <c r="U32" s="190">
        <f>SUMIF('MVTO A'!$C$3:$C$184,"Propaganda",'MVTO A'!$P$3:$P$189)+SUMIF('DESP A'!$D$3:$D$129,"Propaganda",'DESP A'!$P$3:$P$129)</f>
        <v>0</v>
      </c>
      <c r="V32" s="211" t="e">
        <f t="shared" si="25"/>
        <v>#DIV/0!</v>
      </c>
      <c r="W32" s="190">
        <f>SUMIF('MVTO A'!$C$3:$C$184,"Propaganda",'MVTO A'!$Q$3:$Q$189)+SUMIF('DESP A'!$D$3:$D$129,"Propaganda",'DESP A'!$Q$3:$Q$129)</f>
        <v>0</v>
      </c>
      <c r="X32" s="211" t="e">
        <f t="shared" si="26"/>
        <v>#DIV/0!</v>
      </c>
      <c r="Y32" s="190">
        <f>SUMIF('MVTO A'!$C$3:$C$184,"Propaganda",'MVTO A'!$R$3:$R$189)+SUMIF('DESP A'!$D$3:$D$129,"Propaganda",'DESP A'!$R$3:$R$129)</f>
        <v>0</v>
      </c>
      <c r="Z32" s="211" t="e">
        <f t="shared" si="27"/>
        <v>#DIV/0!</v>
      </c>
      <c r="AA32" s="190" t="e">
        <f>SUM(#REF!,#REF!,#REF!,#REF!,#REF!,#REF!,#REF!,#REF!,#REF!,#REF!,#REF!,#REF!)</f>
        <v>#REF!</v>
      </c>
      <c r="AB32" s="201" t="e">
        <f t="shared" si="16"/>
        <v>#REF!</v>
      </c>
    </row>
    <row r="33" spans="2:29" s="176" customFormat="1" ht="10.35" customHeight="1">
      <c r="B33" s="178" t="s">
        <v>335</v>
      </c>
      <c r="C33" s="190">
        <f>SUMIF('DESP A'!$D$3:$D$129,"Logística",'DESP A'!$G$3:$G$129)</f>
        <v>0</v>
      </c>
      <c r="D33" s="215">
        <f t="shared" si="17"/>
        <v>0</v>
      </c>
      <c r="E33" s="190">
        <f>SUMIF('DESP A'!$D$3:$D$129,"Logística",'DESP A'!$H$3:$H$129)</f>
        <v>0</v>
      </c>
      <c r="F33" s="215">
        <f t="shared" si="15"/>
        <v>0</v>
      </c>
      <c r="G33" s="190">
        <f>SUMIF('DESP A'!$D$3:$D$129,"Logística",'DESP A'!$I$3:$I$129)</f>
        <v>0</v>
      </c>
      <c r="H33" s="215">
        <f t="shared" si="18"/>
        <v>0</v>
      </c>
      <c r="I33" s="190">
        <f>SUMIF('DESP A'!$D$3:$D$129,"Logística",'DESP A'!$J$3:$J$129)</f>
        <v>0</v>
      </c>
      <c r="J33" s="211">
        <f t="shared" si="19"/>
        <v>0</v>
      </c>
      <c r="K33" s="190">
        <f>SUMIF('DESP A'!$D$3:$D$129,"Logística",'DESP A'!$K$3:$K$129)</f>
        <v>0</v>
      </c>
      <c r="L33" s="211" t="e">
        <f t="shared" si="20"/>
        <v>#DIV/0!</v>
      </c>
      <c r="M33" s="190">
        <f>SUMIF('DESP A'!$D$3:$D$129,"Logística",'DESP A'!$L$3:$L$129)</f>
        <v>0</v>
      </c>
      <c r="N33" s="211" t="e">
        <f t="shared" si="21"/>
        <v>#DIV/0!</v>
      </c>
      <c r="O33" s="190">
        <f>SUMIF('DESP A'!$D$3:$D$129,"Logística",'DESP A'!$M$3:$M$129)</f>
        <v>0</v>
      </c>
      <c r="P33" s="211" t="e">
        <f t="shared" si="22"/>
        <v>#DIV/0!</v>
      </c>
      <c r="Q33" s="190">
        <f>SUMIF('DESP A'!$D$3:$D$129,"Logística",'DESP A'!$N$3:$N$129)</f>
        <v>0</v>
      </c>
      <c r="R33" s="211" t="e">
        <f t="shared" si="23"/>
        <v>#DIV/0!</v>
      </c>
      <c r="S33" s="190">
        <f>SUMIF('DESP A'!$D$3:$D$129,"Logística",'DESP A'!$O$3:$O$129)</f>
        <v>0</v>
      </c>
      <c r="T33" s="211" t="e">
        <f t="shared" si="24"/>
        <v>#DIV/0!</v>
      </c>
      <c r="U33" s="190">
        <f>SUMIF('DESP A'!$D$3:$D$129,"Logística",'DESP A'!$P$3:$P$129)</f>
        <v>0</v>
      </c>
      <c r="V33" s="211" t="e">
        <f t="shared" si="25"/>
        <v>#DIV/0!</v>
      </c>
      <c r="W33" s="190">
        <f>SUMIF('DESP A'!$D$3:$D$129,"Logística",'DESP A'!$Q$3:$Q$129)</f>
        <v>0</v>
      </c>
      <c r="X33" s="211" t="e">
        <f t="shared" si="26"/>
        <v>#DIV/0!</v>
      </c>
      <c r="Y33" s="190">
        <f>SUMIF('DESP A'!$D$3:$D$129,"Logística",'DESP A'!$R$3:$R$129)</f>
        <v>0</v>
      </c>
      <c r="Z33" s="211" t="e">
        <f t="shared" si="27"/>
        <v>#DIV/0!</v>
      </c>
      <c r="AA33" s="190" t="e">
        <f>SUM(#REF!,#REF!,#REF!,#REF!,#REF!,#REF!,#REF!,#REF!,#REF!,#REF!,#REF!,#REF!)</f>
        <v>#REF!</v>
      </c>
      <c r="AB33" s="201" t="e">
        <f t="shared" si="16"/>
        <v>#REF!</v>
      </c>
    </row>
    <row r="34" spans="2:29" s="176" customFormat="1" ht="10.35" customHeight="1">
      <c r="B34" s="178" t="s">
        <v>336</v>
      </c>
      <c r="C34" s="190">
        <f>SUMIF('DESP A'!$D$3:$D$129,"Viagens",'DESP A'!$G$3:$G$129)</f>
        <v>0</v>
      </c>
      <c r="D34" s="215">
        <f t="shared" si="17"/>
        <v>0</v>
      </c>
      <c r="E34" s="190">
        <f>SUMIF('DESP A'!$D$3:$D$129,"Viagens",'DESP A'!$H$3:$H$129)</f>
        <v>0</v>
      </c>
      <c r="F34" s="215">
        <f t="shared" si="15"/>
        <v>0</v>
      </c>
      <c r="G34" s="190">
        <f>SUMIF('DESP A'!$D$3:$D$129,"Viagens",'DESP A'!$I$3:$I$129)</f>
        <v>0</v>
      </c>
      <c r="H34" s="215">
        <f t="shared" si="18"/>
        <v>0</v>
      </c>
      <c r="I34" s="190">
        <f>SUMIF('DESP A'!$D$3:$D$129,"Viagens",'DESP A'!$J$3:$J$129)</f>
        <v>0</v>
      </c>
      <c r="J34" s="211">
        <f t="shared" si="19"/>
        <v>0</v>
      </c>
      <c r="K34" s="190">
        <f>SUMIF('DESP A'!$D$3:$D$129,"Viagens",'DESP A'!$K$3:$K$129)</f>
        <v>0</v>
      </c>
      <c r="L34" s="211" t="e">
        <f t="shared" si="20"/>
        <v>#DIV/0!</v>
      </c>
      <c r="M34" s="190">
        <f>SUMIF('DESP A'!$D$3:$D$129,"Viagens",'DESP A'!$L$3:$L$129)</f>
        <v>0</v>
      </c>
      <c r="N34" s="211" t="e">
        <f t="shared" si="21"/>
        <v>#DIV/0!</v>
      </c>
      <c r="O34" s="190">
        <f>SUMIF('DESP A'!$D$3:$D$129,"Viagens",'DESP A'!$M$3:$M$129)</f>
        <v>0</v>
      </c>
      <c r="P34" s="211" t="e">
        <f t="shared" si="22"/>
        <v>#DIV/0!</v>
      </c>
      <c r="Q34" s="190">
        <f>SUMIF('DESP A'!$D$3:$D$129,"Viagens",'DESP A'!$N$3:$N$129)</f>
        <v>0</v>
      </c>
      <c r="R34" s="211" t="e">
        <f t="shared" si="23"/>
        <v>#DIV/0!</v>
      </c>
      <c r="S34" s="190">
        <f>SUMIF('DESP A'!$D$3:$D$129,"Viagens",'DESP A'!$O$3:$O$129)</f>
        <v>0</v>
      </c>
      <c r="T34" s="211" t="e">
        <f t="shared" si="24"/>
        <v>#DIV/0!</v>
      </c>
      <c r="U34" s="190">
        <f>SUMIF('DESP A'!$D$3:$D$129,"Viagens",'DESP A'!$P$3:$P$129)</f>
        <v>0</v>
      </c>
      <c r="V34" s="211" t="e">
        <f t="shared" si="25"/>
        <v>#DIV/0!</v>
      </c>
      <c r="W34" s="190">
        <f>SUMIF('DESP A'!$D$3:$D$129,"Viagens",'DESP A'!$Q$3:$Q$129)</f>
        <v>0</v>
      </c>
      <c r="X34" s="211" t="e">
        <f t="shared" si="26"/>
        <v>#DIV/0!</v>
      </c>
      <c r="Y34" s="190">
        <f>SUMIF('DESP A'!$D$3:$D$129,"Viagens",'DESP A'!$R$3:$R$129)</f>
        <v>0</v>
      </c>
      <c r="Z34" s="211" t="e">
        <f t="shared" si="27"/>
        <v>#DIV/0!</v>
      </c>
      <c r="AA34" s="190" t="e">
        <f>SUM(#REF!,#REF!,#REF!,#REF!,#REF!,#REF!,#REF!,#REF!,#REF!,#REF!,#REF!,#REF!)</f>
        <v>#REF!</v>
      </c>
      <c r="AB34" s="201" t="e">
        <f t="shared" si="16"/>
        <v>#REF!</v>
      </c>
    </row>
    <row r="35" spans="2:29" s="176" customFormat="1" ht="10.35" customHeight="1">
      <c r="B35" s="178" t="s">
        <v>38</v>
      </c>
      <c r="C35" s="190">
        <f>SUMIF('DESP A'!$D$3:$D$129,"Comerciais",'DESP A'!$G$3:$G$129)</f>
        <v>0</v>
      </c>
      <c r="D35" s="215">
        <f t="shared" si="17"/>
        <v>0</v>
      </c>
      <c r="E35" s="190">
        <f>SUMIF('DESP A'!$D$3:$D$129,"Comerciais",'DESP A'!$H$3:$H$129)</f>
        <v>0</v>
      </c>
      <c r="F35" s="215">
        <f t="shared" si="15"/>
        <v>0</v>
      </c>
      <c r="G35" s="190">
        <f>SUMIF('DESP A'!$D$3:$D$129,"Comerciais",'DESP A'!$I$3:$I$129)</f>
        <v>0</v>
      </c>
      <c r="H35" s="215">
        <f t="shared" si="18"/>
        <v>0</v>
      </c>
      <c r="I35" s="190">
        <f>SUMIF('DESP A'!$D$3:$D$129,"Comerciais",'DESP A'!$J$3:$J$129)</f>
        <v>0</v>
      </c>
      <c r="J35" s="211">
        <f t="shared" si="19"/>
        <v>0</v>
      </c>
      <c r="K35" s="190">
        <f>SUMIF('DESP A'!$D$3:$D$129,"Comerciais",'DESP A'!$K$3:$K$129)</f>
        <v>0</v>
      </c>
      <c r="L35" s="211" t="e">
        <f t="shared" si="20"/>
        <v>#DIV/0!</v>
      </c>
      <c r="M35" s="190">
        <f>SUMIF('DESP A'!$D$3:$D$129,"Comerciais",'DESP A'!$L$3:$L$129)</f>
        <v>0</v>
      </c>
      <c r="N35" s="211" t="e">
        <f t="shared" si="21"/>
        <v>#DIV/0!</v>
      </c>
      <c r="O35" s="190">
        <f>SUMIF('DESP A'!$D$3:$D$129,"Comerciais",'DESP A'!$M$3:$M$129)</f>
        <v>0</v>
      </c>
      <c r="P35" s="211" t="e">
        <f t="shared" si="22"/>
        <v>#DIV/0!</v>
      </c>
      <c r="Q35" s="190">
        <f>SUMIF('DESP A'!$D$3:$D$129,"Comerciais",'DESP A'!$N$3:$N$129)</f>
        <v>0</v>
      </c>
      <c r="R35" s="211" t="e">
        <f t="shared" si="23"/>
        <v>#DIV/0!</v>
      </c>
      <c r="S35" s="190">
        <f>SUMIF('DESP A'!$D$3:$D$129,"Comerciais",'DESP A'!$O$3:$O$129)</f>
        <v>0</v>
      </c>
      <c r="T35" s="211" t="e">
        <f t="shared" si="24"/>
        <v>#DIV/0!</v>
      </c>
      <c r="U35" s="190">
        <f>SUMIF('DESP A'!$D$3:$D$129,"Comerciais",'DESP A'!$P$3:$P$129)</f>
        <v>0</v>
      </c>
      <c r="V35" s="211" t="e">
        <f t="shared" si="25"/>
        <v>#DIV/0!</v>
      </c>
      <c r="W35" s="190">
        <f>SUMIF('DESP A'!$D$3:$D$129,"Comerciais",'DESP A'!$Q$3:$Q$129)</f>
        <v>0</v>
      </c>
      <c r="X35" s="211" t="e">
        <f t="shared" si="26"/>
        <v>#DIV/0!</v>
      </c>
      <c r="Y35" s="190">
        <f>SUMIF('DESP A'!$D$3:$D$129,"Comerciais",'DESP A'!$R$3:$R$129)</f>
        <v>0</v>
      </c>
      <c r="Z35" s="211" t="e">
        <f t="shared" si="27"/>
        <v>#DIV/0!</v>
      </c>
      <c r="AA35" s="190" t="e">
        <f>SUM(#REF!,#REF!,#REF!,#REF!,#REF!,#REF!,#REF!,#REF!,#REF!,#REF!,#REF!,#REF!)</f>
        <v>#REF!</v>
      </c>
      <c r="AB35" s="201" t="e">
        <f t="shared" si="16"/>
        <v>#REF!</v>
      </c>
    </row>
    <row r="36" spans="2:29" s="176" customFormat="1" ht="10.35" customHeight="1">
      <c r="B36" s="178" t="s">
        <v>345</v>
      </c>
      <c r="C36" s="190">
        <f>SUMIF('DESP A'!$D$3:$D$129,"Administrativas",'DESP A'!$G$3:$G$129)</f>
        <v>0</v>
      </c>
      <c r="D36" s="215">
        <f t="shared" si="17"/>
        <v>0</v>
      </c>
      <c r="E36" s="190">
        <f>SUMIF('DESP A'!$D$3:$D$129,"Administrativas",'DESP A'!$H$3:$H$129)</f>
        <v>0</v>
      </c>
      <c r="F36" s="215">
        <f t="shared" si="15"/>
        <v>0</v>
      </c>
      <c r="G36" s="190">
        <f>SUMIF('DESP A'!$D$3:$D$129,"Administrativas",'DESP A'!$I$3:$I$129)</f>
        <v>0</v>
      </c>
      <c r="H36" s="215">
        <f t="shared" si="18"/>
        <v>0</v>
      </c>
      <c r="I36" s="190">
        <f>SUMIF('DESP A'!$D$3:$D$129,"Administrativas",'DESP A'!$J$3:$J$129)</f>
        <v>0</v>
      </c>
      <c r="J36" s="211">
        <f t="shared" si="19"/>
        <v>0</v>
      </c>
      <c r="K36" s="190">
        <f>SUMIF('DESP A'!$D$3:$D$129,"Administrativas",'DESP A'!$K$3:$K$129)</f>
        <v>0</v>
      </c>
      <c r="L36" s="211" t="e">
        <f t="shared" si="20"/>
        <v>#DIV/0!</v>
      </c>
      <c r="M36" s="190">
        <f>SUMIF('DESP A'!$D$3:$D$129,"Administrativas",'DESP A'!$L$3:$L$129)</f>
        <v>0</v>
      </c>
      <c r="N36" s="211" t="e">
        <f t="shared" si="21"/>
        <v>#DIV/0!</v>
      </c>
      <c r="O36" s="190">
        <f>SUMIF('DESP A'!$D$3:$D$129,"Administrativas",'DESP A'!$M$3:$M$129)</f>
        <v>0</v>
      </c>
      <c r="P36" s="211" t="e">
        <f t="shared" si="22"/>
        <v>#DIV/0!</v>
      </c>
      <c r="Q36" s="190">
        <f>SUMIF('DESP A'!$D$3:$D$129,"Administrativas",'DESP A'!$N$3:$N$129)</f>
        <v>0</v>
      </c>
      <c r="R36" s="211" t="e">
        <f t="shared" si="23"/>
        <v>#DIV/0!</v>
      </c>
      <c r="S36" s="190">
        <f>SUMIF('DESP A'!$D$3:$D$129,"Administrativas",'DESP A'!$O$3:$O$129)</f>
        <v>0</v>
      </c>
      <c r="T36" s="211" t="e">
        <f t="shared" si="24"/>
        <v>#DIV/0!</v>
      </c>
      <c r="U36" s="190">
        <f>SUMIF('DESP A'!$D$3:$D$129,"Administrativas",'DESP A'!$P$3:$P$129)</f>
        <v>0</v>
      </c>
      <c r="V36" s="211" t="e">
        <f t="shared" si="25"/>
        <v>#DIV/0!</v>
      </c>
      <c r="W36" s="190">
        <f>SUMIF('DESP A'!$D$3:$D$129,"Administrativas",'DESP A'!$Q$3:$Q$129)</f>
        <v>0</v>
      </c>
      <c r="X36" s="211" t="e">
        <f t="shared" si="26"/>
        <v>#DIV/0!</v>
      </c>
      <c r="Y36" s="190">
        <f>SUMIF('DESP A'!$D$3:$D$129,"Administrativas",'DESP A'!$R$3:$R$129)</f>
        <v>0</v>
      </c>
      <c r="Z36" s="211" t="e">
        <f t="shared" si="27"/>
        <v>#DIV/0!</v>
      </c>
      <c r="AA36" s="190" t="e">
        <f>SUM(#REF!,#REF!,#REF!,#REF!,#REF!,#REF!,#REF!,#REF!,#REF!,#REF!,#REF!,#REF!)</f>
        <v>#REF!</v>
      </c>
      <c r="AB36" s="201" t="e">
        <f t="shared" si="16"/>
        <v>#REF!</v>
      </c>
    </row>
    <row r="37" spans="2:29" s="176" customFormat="1" ht="10.35" customHeight="1">
      <c r="B37" s="178" t="s">
        <v>377</v>
      </c>
      <c r="C37" s="190">
        <f>SUMIF('DESP A'!$D$3:$D$129,"Indedutíveis",'DESP A'!$G$3:$G$129)</f>
        <v>0</v>
      </c>
      <c r="D37" s="215">
        <f t="shared" si="17"/>
        <v>0</v>
      </c>
      <c r="E37" s="190">
        <f>SUMIF('DESP A'!$D$3:$D$129,"Indedutíveis",'DESP A'!$H$3:$H$129)</f>
        <v>0</v>
      </c>
      <c r="F37" s="215">
        <f t="shared" si="15"/>
        <v>0</v>
      </c>
      <c r="G37" s="190">
        <f>SUMIF('DESP A'!$D$3:$D$129,"Indedutíveis",'DESP A'!$I$3:$I$129)</f>
        <v>0</v>
      </c>
      <c r="H37" s="215">
        <f t="shared" si="18"/>
        <v>0</v>
      </c>
      <c r="I37" s="190">
        <f>SUMIF('DESP A'!$D$3:$D$129,"Indedutíveis",'DESP A'!$J$3:$J$129)</f>
        <v>0</v>
      </c>
      <c r="J37" s="211">
        <f t="shared" si="19"/>
        <v>0</v>
      </c>
      <c r="K37" s="190">
        <f>SUMIF('DESP A'!$D$3:$D$129,"Indedutíveis",'DESP A'!$K$3:$K$129)</f>
        <v>0</v>
      </c>
      <c r="L37" s="211" t="e">
        <f t="shared" si="20"/>
        <v>#DIV/0!</v>
      </c>
      <c r="M37" s="190">
        <f>SUMIF('DESP A'!$D$3:$D$129,"Indedutíveis",'DESP A'!$L$3:$L$129)</f>
        <v>0</v>
      </c>
      <c r="N37" s="211" t="e">
        <f t="shared" si="21"/>
        <v>#DIV/0!</v>
      </c>
      <c r="O37" s="190">
        <f>SUMIF('DESP A'!$D$3:$D$129,"Indedutíveis",'DESP A'!$M$3:$M$129)</f>
        <v>0</v>
      </c>
      <c r="P37" s="211" t="e">
        <f t="shared" si="22"/>
        <v>#DIV/0!</v>
      </c>
      <c r="Q37" s="190">
        <f>SUMIF('DESP A'!$D$3:$D$129,"Indedutíveis",'DESP A'!$N$3:$N$129)</f>
        <v>0</v>
      </c>
      <c r="R37" s="211" t="e">
        <f t="shared" si="23"/>
        <v>#DIV/0!</v>
      </c>
      <c r="S37" s="190">
        <f>SUMIF('DESP A'!$D$3:$D$129,"Indedutíveis",'DESP A'!$O$3:$O$129)</f>
        <v>0</v>
      </c>
      <c r="T37" s="211" t="e">
        <f t="shared" si="24"/>
        <v>#DIV/0!</v>
      </c>
      <c r="U37" s="190">
        <f>SUMIF('DESP A'!$D$3:$D$129,"Indedutíveis",'DESP A'!$P$3:$P$129)</f>
        <v>0</v>
      </c>
      <c r="V37" s="211" t="e">
        <f t="shared" si="25"/>
        <v>#DIV/0!</v>
      </c>
      <c r="W37" s="190">
        <f>SUMIF('DESP A'!$D$3:$D$129,"Indedutíveis",'DESP A'!$Q$3:$Q$129)</f>
        <v>0</v>
      </c>
      <c r="X37" s="211" t="e">
        <f t="shared" si="26"/>
        <v>#DIV/0!</v>
      </c>
      <c r="Y37" s="190">
        <f>SUMIF('DESP A'!$D$3:$D$129,"Indedutíveis",'DESP A'!$R$3:$R$129)</f>
        <v>0</v>
      </c>
      <c r="Z37" s="211" t="e">
        <f t="shared" si="27"/>
        <v>#DIV/0!</v>
      </c>
      <c r="AA37" s="190" t="e">
        <f>SUM(#REF!,#REF!,#REF!,#REF!,#REF!,#REF!,#REF!,#REF!,#REF!,#REF!,#REF!,#REF!)</f>
        <v>#REF!</v>
      </c>
      <c r="AB37" s="201" t="e">
        <f t="shared" si="16"/>
        <v>#REF!</v>
      </c>
    </row>
    <row r="38" spans="2:29" s="176" customFormat="1" ht="10.35" customHeight="1">
      <c r="B38" s="178" t="s">
        <v>334</v>
      </c>
      <c r="C38" s="190">
        <f>SUMIF('MVTO A'!$C$3:$C$184,"Desp_Aluguel",'MVTO A'!$G$3:$G$184)</f>
        <v>0</v>
      </c>
      <c r="D38" s="215">
        <f t="shared" si="17"/>
        <v>0</v>
      </c>
      <c r="E38" s="190">
        <f>SUMIF('MVTO A'!$C$3:$C$184,"Desp_Aluguel",'MVTO A'!$H$3:$H$184)</f>
        <v>0</v>
      </c>
      <c r="F38" s="215">
        <f t="shared" si="15"/>
        <v>0</v>
      </c>
      <c r="G38" s="190">
        <f>SUMIF('MVTO A'!$C$3:$C$184,"Desp_Aluguel",'MVTO A'!$I$3:$I$184)</f>
        <v>0</v>
      </c>
      <c r="H38" s="215">
        <f t="shared" si="18"/>
        <v>0</v>
      </c>
      <c r="I38" s="190">
        <f>SUMIF('MVTO A'!$C$3:$C$184,"Desp_Aluguel",'MVTO A'!$J$3:$J$184)</f>
        <v>0</v>
      </c>
      <c r="J38" s="211">
        <f t="shared" si="19"/>
        <v>0</v>
      </c>
      <c r="K38" s="190">
        <f>SUMIF('MVTO A'!$C$3:$C$184,"Desp_Aluguel",'MVTO A'!$K$3:$K$184)</f>
        <v>0</v>
      </c>
      <c r="L38" s="211" t="e">
        <f t="shared" si="20"/>
        <v>#DIV/0!</v>
      </c>
      <c r="M38" s="190">
        <f>SUMIF('MVTO A'!$C$3:$C$184,"Desp_Aluguel",'MVTO A'!$L$3:$L$184)</f>
        <v>0</v>
      </c>
      <c r="N38" s="211" t="e">
        <f t="shared" si="21"/>
        <v>#DIV/0!</v>
      </c>
      <c r="O38" s="190">
        <f>SUMIF('MVTO A'!$C$3:$C$184,"Desp_Aluguel",'MVTO A'!$M$3:$M$189)</f>
        <v>0</v>
      </c>
      <c r="P38" s="211" t="e">
        <f t="shared" si="22"/>
        <v>#DIV/0!</v>
      </c>
      <c r="Q38" s="190">
        <f>SUMIF('MVTO A'!$C$3:$C$184,"Desp_Aluguel",'MVTO A'!$N$3:$N$189)</f>
        <v>0</v>
      </c>
      <c r="R38" s="211" t="e">
        <f t="shared" si="23"/>
        <v>#DIV/0!</v>
      </c>
      <c r="S38" s="190">
        <f>SUMIF('MVTO A'!$C$3:$C$184,"Desp_Aluguel",'MVTO A'!$O$3:$O$189)</f>
        <v>0</v>
      </c>
      <c r="T38" s="211" t="e">
        <f t="shared" si="24"/>
        <v>#DIV/0!</v>
      </c>
      <c r="U38" s="190">
        <f>SUMIF('MVTO A'!$C$3:$C$184,"Desp_Aluguel",'MVTO A'!$P$3:$P$189)</f>
        <v>0</v>
      </c>
      <c r="V38" s="211" t="e">
        <f t="shared" si="25"/>
        <v>#DIV/0!</v>
      </c>
      <c r="W38" s="190">
        <f>SUMIF('MVTO A'!$C$3:$C$184,"Desp_Aluguel",'MVTO A'!$Q$3:$Q$189)</f>
        <v>0</v>
      </c>
      <c r="X38" s="211" t="e">
        <f t="shared" si="26"/>
        <v>#DIV/0!</v>
      </c>
      <c r="Y38" s="190">
        <f>SUMIF('MVTO A'!$C$3:$C$184,"Desp_Aluguel",'MVTO A'!$R$3:$R$189)</f>
        <v>0</v>
      </c>
      <c r="Z38" s="211" t="e">
        <f t="shared" si="27"/>
        <v>#DIV/0!</v>
      </c>
      <c r="AA38" s="190" t="e">
        <f>SUM(#REF!,#REF!,#REF!,#REF!,#REF!,#REF!,#REF!,#REF!,#REF!,#REF!,#REF!,#REF!)</f>
        <v>#REF!</v>
      </c>
      <c r="AB38" s="201" t="e">
        <f t="shared" si="16"/>
        <v>#REF!</v>
      </c>
    </row>
    <row r="39" spans="2:29" s="176" customFormat="1" ht="10.35" customHeight="1">
      <c r="B39" s="178" t="s">
        <v>17</v>
      </c>
      <c r="C39" s="190">
        <f>SUMIF('MVTO A'!$C$3:$C$184,"Desp_Seguros",'MVTO A'!$G$3:$G$184)</f>
        <v>0</v>
      </c>
      <c r="D39" s="215">
        <f t="shared" si="17"/>
        <v>0</v>
      </c>
      <c r="E39" s="190">
        <f>SUMIF('MVTO A'!$C$3:$C$184,"Desp_Seguros",'MVTO A'!$H$3:$H$184)</f>
        <v>0</v>
      </c>
      <c r="F39" s="215">
        <f t="shared" si="15"/>
        <v>0</v>
      </c>
      <c r="G39" s="190">
        <f>SUMIF('MVTO A'!$C$3:$C$184,"Desp_Seguros",'MVTO A'!$I$3:$I$184)</f>
        <v>0</v>
      </c>
      <c r="H39" s="215">
        <f t="shared" si="18"/>
        <v>0</v>
      </c>
      <c r="I39" s="190">
        <f>SUMIF('MVTO A'!$C$3:$C$184,"Desp_Seguros",'MVTO A'!$J$3:$J$184)</f>
        <v>0</v>
      </c>
      <c r="J39" s="211">
        <f t="shared" si="19"/>
        <v>0</v>
      </c>
      <c r="K39" s="190">
        <f>SUMIF('MVTO A'!$C$3:$C$184,"Desp_Seguros",'MVTO A'!$K$3:$K$184)</f>
        <v>0</v>
      </c>
      <c r="L39" s="211" t="e">
        <f t="shared" si="20"/>
        <v>#DIV/0!</v>
      </c>
      <c r="M39" s="190">
        <f>SUMIF('MVTO A'!$C$3:$C$184,"Desp_Seguros",'MVTO A'!$L$3:$L$184)</f>
        <v>0</v>
      </c>
      <c r="N39" s="211" t="e">
        <f t="shared" si="21"/>
        <v>#DIV/0!</v>
      </c>
      <c r="O39" s="190">
        <f>SUMIF('MVTO A'!$C$3:$C$184,"Desp_Seguros",'MVTO A'!$M$3:$M$189)</f>
        <v>0</v>
      </c>
      <c r="P39" s="211" t="e">
        <f t="shared" si="22"/>
        <v>#DIV/0!</v>
      </c>
      <c r="Q39" s="190">
        <f>SUMIF('MVTO A'!$C$3:$C$184,"Desp_Seguros",'MVTO A'!$N$3:$N$189)</f>
        <v>0</v>
      </c>
      <c r="R39" s="211" t="e">
        <f t="shared" si="23"/>
        <v>#DIV/0!</v>
      </c>
      <c r="S39" s="190">
        <f>SUMIF('MVTO A'!$C$3:$C$184,"Desp_Seguros",'MVTO A'!$O$3:$O$189)</f>
        <v>0</v>
      </c>
      <c r="T39" s="211" t="e">
        <f t="shared" si="24"/>
        <v>#DIV/0!</v>
      </c>
      <c r="U39" s="190">
        <f>SUMIF('MVTO A'!$C$3:$C$184,"Desp_Seguros",'MVTO A'!$P$3:$P$189)</f>
        <v>0</v>
      </c>
      <c r="V39" s="211" t="e">
        <f t="shared" si="25"/>
        <v>#DIV/0!</v>
      </c>
      <c r="W39" s="190">
        <f>SUMIF('MVTO A'!$C$3:$C$184,"Desp_Seguros",'MVTO A'!$Q$3:$Q$189)</f>
        <v>0</v>
      </c>
      <c r="X39" s="211" t="e">
        <f t="shared" si="26"/>
        <v>#DIV/0!</v>
      </c>
      <c r="Y39" s="190">
        <f>SUMIF('MVTO A'!$C$3:$C$184,"Desp_Seguros",'MVTO A'!$R$3:$R$189)</f>
        <v>0</v>
      </c>
      <c r="Z39" s="211" t="e">
        <f t="shared" si="27"/>
        <v>#DIV/0!</v>
      </c>
      <c r="AA39" s="190" t="e">
        <f>SUM(#REF!,#REF!,#REF!,#REF!,#REF!,#REF!,#REF!,#REF!,#REF!,#REF!,#REF!,#REF!)</f>
        <v>#REF!</v>
      </c>
      <c r="AB39" s="201" t="e">
        <f t="shared" si="16"/>
        <v>#REF!</v>
      </c>
    </row>
    <row r="40" spans="2:29" s="176" customFormat="1" ht="10.35" customHeight="1">
      <c r="B40" s="178" t="s">
        <v>41</v>
      </c>
      <c r="C40" s="190">
        <f>SUMIF('MVTO A'!$C$3:$C$184,"Desp_TAXA",'MVTO A'!$G$3:$G$184)</f>
        <v>38904.17</v>
      </c>
      <c r="D40" s="215">
        <f t="shared" si="17"/>
        <v>9.8448507993620024E-3</v>
      </c>
      <c r="E40" s="190">
        <f>SUMIF('MVTO A'!$C$3:$C$184,"Desp_TAXA",'MVTO A'!$H$3:$H$184)</f>
        <v>33807.700000000004</v>
      </c>
      <c r="F40" s="215">
        <f t="shared" si="15"/>
        <v>9.8875055220693422E-3</v>
      </c>
      <c r="G40" s="190">
        <f>SUMIF('MVTO A'!$C$3:$C$184,"Desp_TAXA",'MVTO A'!$I$3:$I$184)</f>
        <v>35244.94000000001</v>
      </c>
      <c r="H40" s="215">
        <f t="shared" si="18"/>
        <v>9.6546017805685478E-3</v>
      </c>
      <c r="I40" s="190">
        <f>SUMIF('MVTO A'!$C$3:$C$184,"Desp_TAXA",'MVTO A'!$J$3:$J$184)</f>
        <v>32385.260000000002</v>
      </c>
      <c r="J40" s="211">
        <f t="shared" si="19"/>
        <v>1.0258908604261143E-2</v>
      </c>
      <c r="K40" s="190">
        <f>SUMIF('MVTO A'!$C$3:$C$184,"Desp_TAXA",'MVTO A'!$K$3:$K$184)</f>
        <v>0</v>
      </c>
      <c r="L40" s="211" t="e">
        <f t="shared" si="20"/>
        <v>#DIV/0!</v>
      </c>
      <c r="M40" s="190">
        <f>SUMIF('MVTO A'!$C$3:$C$184,"Desp_TAXA",'MVTO A'!$L$3:$L$184)</f>
        <v>0</v>
      </c>
      <c r="N40" s="211" t="e">
        <f t="shared" si="21"/>
        <v>#DIV/0!</v>
      </c>
      <c r="O40" s="190">
        <f>SUMIF('MVTO A'!$C$3:$C$184,"Desp_TAXA",'MVTO A'!$M$3:$M$189)</f>
        <v>0</v>
      </c>
      <c r="P40" s="211" t="e">
        <f t="shared" si="22"/>
        <v>#DIV/0!</v>
      </c>
      <c r="Q40" s="190">
        <f>SUMIF('MVTO A'!$C$3:$C$184,"Desp_TAXA",'MVTO A'!$N$3:$N$189)</f>
        <v>0</v>
      </c>
      <c r="R40" s="211" t="e">
        <f t="shared" si="23"/>
        <v>#DIV/0!</v>
      </c>
      <c r="S40" s="190">
        <f>SUMIF('MVTO A'!$C$3:$C$184,"Desp_TAXA",'MVTO A'!$O$3:$O$189)</f>
        <v>0</v>
      </c>
      <c r="T40" s="211" t="e">
        <f t="shared" si="24"/>
        <v>#DIV/0!</v>
      </c>
      <c r="U40" s="190">
        <f>SUMIF('MVTO A'!$C$3:$C$184,"Desp_TAXA",'MVTO A'!$P$3:$P$189)</f>
        <v>0</v>
      </c>
      <c r="V40" s="211" t="e">
        <f t="shared" si="25"/>
        <v>#DIV/0!</v>
      </c>
      <c r="W40" s="190">
        <f>SUMIF('MVTO A'!$C$3:$C$184,"Desp_TAXA",'MVTO A'!$Q$3:$Q$189)</f>
        <v>0</v>
      </c>
      <c r="X40" s="211" t="e">
        <f t="shared" si="26"/>
        <v>#DIV/0!</v>
      </c>
      <c r="Y40" s="190">
        <f>SUMIF('MVTO A'!$C$3:$C$184,"Desp_TAXA",'MVTO A'!$R$3:$R$189)</f>
        <v>0</v>
      </c>
      <c r="Z40" s="211" t="e">
        <f t="shared" si="27"/>
        <v>#DIV/0!</v>
      </c>
      <c r="AA40" s="190" t="e">
        <f>SUM(#REF!,#REF!,#REF!,#REF!,#REF!,#REF!,#REF!,#REF!,#REF!,#REF!,#REF!,#REF!)</f>
        <v>#REF!</v>
      </c>
      <c r="AB40" s="201" t="e">
        <f t="shared" si="16"/>
        <v>#REF!</v>
      </c>
    </row>
    <row r="41" spans="2:29" s="176" customFormat="1" ht="10.35" customHeight="1">
      <c r="B41" s="178" t="s">
        <v>260</v>
      </c>
      <c r="C41" s="190">
        <f>SUMIF('MVTO A'!$C$3:$C$184,"Rec_Desp",'MVTO A'!$G$3:$G$184)*-1</f>
        <v>-75</v>
      </c>
      <c r="D41" s="215">
        <f t="shared" si="17"/>
        <v>-1.8979040291880027E-5</v>
      </c>
      <c r="E41" s="190">
        <f>SUMIF('MVTO A'!$C$3:$C$184,"Rec_Desp",'MVTO A'!$H$3:$H$184)*-1</f>
        <v>0</v>
      </c>
      <c r="F41" s="215">
        <f t="shared" si="15"/>
        <v>0</v>
      </c>
      <c r="G41" s="190">
        <f>SUMIF('MVTO A'!$C$3:$C$184,"Rec_Desp",'MVTO A'!$I$3:$I$184)*-1</f>
        <v>0</v>
      </c>
      <c r="H41" s="215">
        <f t="shared" si="18"/>
        <v>0</v>
      </c>
      <c r="I41" s="190">
        <f>SUMIF('MVTO A'!$C$3:$C$184,"Rec_Desp",'MVTO A'!$J$3:$J$184)*-1</f>
        <v>-468.02000000000004</v>
      </c>
      <c r="J41" s="211">
        <f t="shared" si="19"/>
        <v>-1.4825801630020263E-4</v>
      </c>
      <c r="K41" s="190">
        <f>SUMIF('MVTO A'!$C$3:$C$184,"Rec_Desp",'MVTO A'!$K$3:$K$184)*-1</f>
        <v>0</v>
      </c>
      <c r="L41" s="211" t="e">
        <f t="shared" si="20"/>
        <v>#DIV/0!</v>
      </c>
      <c r="M41" s="190">
        <f>SUMIF('MVTO A'!$C$3:$C$184,"Rec_Desp",'MVTO A'!$L$3:$L$184)*-1</f>
        <v>0</v>
      </c>
      <c r="N41" s="211" t="e">
        <f t="shared" si="21"/>
        <v>#DIV/0!</v>
      </c>
      <c r="O41" s="190">
        <f>SUMIF('MVTO A'!$C$3:$C$184,"Rec_Desp",'MVTO A'!$M$3:$M$189)*-1</f>
        <v>0</v>
      </c>
      <c r="P41" s="211" t="e">
        <f t="shared" si="22"/>
        <v>#DIV/0!</v>
      </c>
      <c r="Q41" s="190">
        <f>SUMIF('MVTO A'!$C$3:$C$184,"Rec_Desp",'MVTO A'!$N$3:$N$189)*-1</f>
        <v>0</v>
      </c>
      <c r="R41" s="211" t="e">
        <f t="shared" si="23"/>
        <v>#DIV/0!</v>
      </c>
      <c r="S41" s="190">
        <f>SUMIF('MVTO A'!$C$3:$C$184,"Rec_Desp",'MVTO A'!$O$3:$O$189)*-1</f>
        <v>0</v>
      </c>
      <c r="T41" s="211" t="e">
        <f t="shared" si="24"/>
        <v>#DIV/0!</v>
      </c>
      <c r="U41" s="190">
        <f>SUMIF('MVTO A'!$C$3:$C$184,"Rec_Desp",'MVTO A'!$P$3:$P$189)*-1</f>
        <v>0</v>
      </c>
      <c r="V41" s="211" t="e">
        <f t="shared" si="25"/>
        <v>#DIV/0!</v>
      </c>
      <c r="W41" s="190">
        <f>SUMIF('MVTO A'!$C$3:$C$184,"Rec_Desp",'MVTO A'!$Q$3:$Q$189)*-1</f>
        <v>0</v>
      </c>
      <c r="X41" s="211" t="e">
        <f t="shared" si="26"/>
        <v>#DIV/0!</v>
      </c>
      <c r="Y41" s="190">
        <f>SUMIF('MVTO A'!$C$3:$C$184,"Rec_Desp",'MVTO A'!$R$3:$R$189)*-1</f>
        <v>0</v>
      </c>
      <c r="Z41" s="211" t="e">
        <f t="shared" si="27"/>
        <v>#DIV/0!</v>
      </c>
      <c r="AA41" s="190" t="e">
        <f>SUM(#REF!,#REF!,#REF!,#REF!,#REF!,#REF!,#REF!,#REF!,#REF!,#REF!,#REF!,#REF!)</f>
        <v>#REF!</v>
      </c>
      <c r="AB41" s="201" t="e">
        <f t="shared" si="16"/>
        <v>#REF!</v>
      </c>
    </row>
    <row r="42" spans="2:29" s="176" customFormat="1" ht="10.35" customHeight="1">
      <c r="B42" s="181" t="s">
        <v>19</v>
      </c>
      <c r="C42" s="194">
        <f>IFERROR(C19-C20,"")</f>
        <v>2283069.3799999994</v>
      </c>
      <c r="D42" s="216" t="e">
        <f>D19-D20</f>
        <v>#REF!</v>
      </c>
      <c r="E42" s="194">
        <f>IFERROR(E19-E20,"")</f>
        <v>1820238.0199999993</v>
      </c>
      <c r="F42" s="216">
        <f>F19-F20</f>
        <v>0.53235249585835642</v>
      </c>
      <c r="G42" s="194">
        <f>IFERROR(G19-G20,"")</f>
        <v>2242779.6499999994</v>
      </c>
      <c r="H42" s="216" t="e">
        <f>H19-H20</f>
        <v>#REF!</v>
      </c>
      <c r="I42" s="194">
        <f>IFERROR(I19-I20,"")</f>
        <v>1830523.5099999995</v>
      </c>
      <c r="J42" s="211">
        <f t="shared" si="19"/>
        <v>0.57986792099372686</v>
      </c>
      <c r="K42" s="194">
        <f>IFERROR(K19-K20,"")</f>
        <v>0</v>
      </c>
      <c r="L42" s="211" t="e">
        <f t="shared" si="20"/>
        <v>#DIV/0!</v>
      </c>
      <c r="M42" s="194">
        <f>IFERROR(M19-M20,"")</f>
        <v>0</v>
      </c>
      <c r="N42" s="211" t="e">
        <f t="shared" si="21"/>
        <v>#DIV/0!</v>
      </c>
      <c r="O42" s="194">
        <f>IFERROR(O19-O20,"")</f>
        <v>0</v>
      </c>
      <c r="P42" s="211" t="e">
        <f t="shared" si="22"/>
        <v>#DIV/0!</v>
      </c>
      <c r="Q42" s="194">
        <f>IFERROR(Q19-Q20,"")</f>
        <v>0</v>
      </c>
      <c r="R42" s="211" t="e">
        <f t="shared" si="23"/>
        <v>#DIV/0!</v>
      </c>
      <c r="S42" s="194">
        <f>IFERROR(S19-S20,"")</f>
        <v>0</v>
      </c>
      <c r="T42" s="211" t="e">
        <f t="shared" si="24"/>
        <v>#DIV/0!</v>
      </c>
      <c r="U42" s="194">
        <f>IFERROR(U19-U20,"")</f>
        <v>0</v>
      </c>
      <c r="V42" s="211" t="e">
        <f t="shared" si="25"/>
        <v>#DIV/0!</v>
      </c>
      <c r="W42" s="194">
        <f>IFERROR(W19-W20,"")</f>
        <v>0</v>
      </c>
      <c r="X42" s="211" t="e">
        <f t="shared" si="26"/>
        <v>#DIV/0!</v>
      </c>
      <c r="Y42" s="194">
        <f>IFERROR(Y19-Y20,"")</f>
        <v>0</v>
      </c>
      <c r="Z42" s="211" t="e">
        <f t="shared" si="27"/>
        <v>#DIV/0!</v>
      </c>
      <c r="AA42" s="194" t="str">
        <f>IFERROR(AA19-AA20,"")</f>
        <v/>
      </c>
      <c r="AB42" s="204" t="e">
        <f t="shared" si="16"/>
        <v>#VALUE!</v>
      </c>
    </row>
    <row r="43" spans="2:29" s="176" customFormat="1" ht="10.35" customHeight="1">
      <c r="B43" s="180" t="s">
        <v>20</v>
      </c>
      <c r="C43" s="195">
        <f>IFERROR(C45-C44,"")</f>
        <v>-335.62000000000012</v>
      </c>
      <c r="D43" s="215">
        <f t="shared" ref="D43:D64" si="28">C43/$C$10</f>
        <v>-8.4929940036810369E-5</v>
      </c>
      <c r="E43" s="195">
        <f>IFERROR(E45-E44,"")</f>
        <v>-398.84999999999991</v>
      </c>
      <c r="F43" s="215">
        <f t="shared" ref="F43:F64" si="29">E43/$E$10</f>
        <v>-1.1664891659229573E-4</v>
      </c>
      <c r="G43" s="195">
        <f>IFERROR(G45-G44,"")</f>
        <v>-381.98</v>
      </c>
      <c r="H43" s="215">
        <f t="shared" ref="H43:H64" si="30">G43/$G$10</f>
        <v>-1.046352976666033E-4</v>
      </c>
      <c r="I43" s="195">
        <f>IFERROR(I45-I44,"")</f>
        <v>-162973.84000000003</v>
      </c>
      <c r="J43" s="211">
        <f t="shared" si="19"/>
        <v>-5.1626379700069697E-2</v>
      </c>
      <c r="K43" s="195">
        <f>IFERROR(K45-K44,"")</f>
        <v>0</v>
      </c>
      <c r="L43" s="211" t="e">
        <f t="shared" si="20"/>
        <v>#DIV/0!</v>
      </c>
      <c r="M43" s="195">
        <f>IFERROR(M45-M44,"")</f>
        <v>0</v>
      </c>
      <c r="N43" s="211" t="e">
        <f t="shared" si="21"/>
        <v>#DIV/0!</v>
      </c>
      <c r="O43" s="195">
        <f>IFERROR(O45-O44,"")</f>
        <v>0</v>
      </c>
      <c r="P43" s="211" t="e">
        <f t="shared" si="22"/>
        <v>#DIV/0!</v>
      </c>
      <c r="Q43" s="195">
        <f>IFERROR(Q45-Q44,"")</f>
        <v>0</v>
      </c>
      <c r="R43" s="211" t="e">
        <f t="shared" si="23"/>
        <v>#DIV/0!</v>
      </c>
      <c r="S43" s="195">
        <f>IFERROR(S45-S44,"")</f>
        <v>0</v>
      </c>
      <c r="T43" s="211" t="e">
        <f t="shared" si="24"/>
        <v>#DIV/0!</v>
      </c>
      <c r="U43" s="195">
        <f>IFERROR(U45-U44,"")</f>
        <v>0</v>
      </c>
      <c r="V43" s="211" t="e">
        <f t="shared" si="25"/>
        <v>#DIV/0!</v>
      </c>
      <c r="W43" s="195">
        <f>IFERROR(W45-W44,"")</f>
        <v>0</v>
      </c>
      <c r="X43" s="211" t="e">
        <f t="shared" si="26"/>
        <v>#DIV/0!</v>
      </c>
      <c r="Y43" s="195">
        <f>IFERROR(Y45-Y44,"")</f>
        <v>0</v>
      </c>
      <c r="Z43" s="211" t="e">
        <f t="shared" si="27"/>
        <v>#DIV/0!</v>
      </c>
      <c r="AA43" s="190" t="str">
        <f>IFERROR(AA44-AA45,"")</f>
        <v/>
      </c>
      <c r="AB43" s="201" t="e">
        <f>AA43/$AA$4</f>
        <v>#VALUE!</v>
      </c>
    </row>
    <row r="44" spans="2:29" s="176" customFormat="1" ht="10.35" customHeight="1">
      <c r="B44" s="178" t="s">
        <v>21</v>
      </c>
      <c r="C44" s="190">
        <f>SUMIF('MVTO A'!$C$3:$C$184,"EFIN",'MVTO A'!$G$3:$G$184)</f>
        <v>1321.5900000000001</v>
      </c>
      <c r="D44" s="215">
        <f t="shared" si="28"/>
        <v>3.344334647912764E-4</v>
      </c>
      <c r="E44" s="190">
        <f>SUMIF('MVTO A'!$C$3:$C$184,"EFIN",'MVTO A'!$H$3:$H$184)</f>
        <v>1322.8</v>
      </c>
      <c r="F44" s="215">
        <f t="shared" si="29"/>
        <v>3.868702190504922E-4</v>
      </c>
      <c r="G44" s="190">
        <f>SUMIF('MVTO A'!$C$3:$C$184,"EFIN",'MVTO A'!$I$3:$I$184)</f>
        <v>1436.84</v>
      </c>
      <c r="H44" s="215">
        <f t="shared" si="30"/>
        <v>3.9359176160867651E-4</v>
      </c>
      <c r="I44" s="190">
        <f>SUMIF('MVTO A'!$C$3:$C$184,"EFIN",'MVTO A'!$J$3:$J$184)</f>
        <v>164002.78000000003</v>
      </c>
      <c r="J44" s="211">
        <f t="shared" si="19"/>
        <v>5.1952324324854811E-2</v>
      </c>
      <c r="K44" s="190">
        <f>SUMIF('MVTO A'!$C$3:$C$184,"EFIN",'MVTO A'!$K$3:$K$184)</f>
        <v>0</v>
      </c>
      <c r="L44" s="211" t="e">
        <f t="shared" si="20"/>
        <v>#DIV/0!</v>
      </c>
      <c r="M44" s="190">
        <f>SUMIF('MVTO A'!$C$3:$C$184,"EFIN",'MVTO A'!$L$3:$L$184)</f>
        <v>0</v>
      </c>
      <c r="N44" s="211" t="e">
        <f t="shared" si="21"/>
        <v>#DIV/0!</v>
      </c>
      <c r="O44" s="190">
        <f>SUMIF('MVTO A'!$C$3:$C$184,"EFIN",'MVTO A'!$M$3:$M$189)</f>
        <v>0</v>
      </c>
      <c r="P44" s="211" t="e">
        <f t="shared" si="22"/>
        <v>#DIV/0!</v>
      </c>
      <c r="Q44" s="190">
        <f>SUMIF('MVTO A'!$C$3:$C$184,"EFIN",'MVTO A'!$N$3:$N$189)</f>
        <v>0</v>
      </c>
      <c r="R44" s="211" t="e">
        <f t="shared" si="23"/>
        <v>#DIV/0!</v>
      </c>
      <c r="S44" s="190">
        <f>SUMIF('MVTO A'!$C$3:$C$184,"EFIN",'MVTO A'!$O$3:$O$189)</f>
        <v>0</v>
      </c>
      <c r="T44" s="211" t="e">
        <f t="shared" si="24"/>
        <v>#DIV/0!</v>
      </c>
      <c r="U44" s="190">
        <f>SUMIF('MVTO A'!$C$3:$C$184,"EFIN",'MVTO A'!$P$3:$P$189)</f>
        <v>0</v>
      </c>
      <c r="V44" s="211" t="e">
        <f t="shared" si="25"/>
        <v>#DIV/0!</v>
      </c>
      <c r="W44" s="190">
        <f>SUMIF('MVTO A'!$C$3:$C$184,"EFIN",'MVTO A'!$Q$3:$Q$189)</f>
        <v>0</v>
      </c>
      <c r="X44" s="211" t="e">
        <f t="shared" si="26"/>
        <v>#DIV/0!</v>
      </c>
      <c r="Y44" s="190">
        <f>SUMIF('MVTO A'!$C$3:$C$184,"EFIN",'MVTO A'!$R$3:$R$189)</f>
        <v>0</v>
      </c>
      <c r="Z44" s="211" t="e">
        <f t="shared" si="27"/>
        <v>#DIV/0!</v>
      </c>
      <c r="AA44" s="190" t="e">
        <f>SUM(#REF!,#REF!,#REF!,#REF!,#REF!,#REF!,#REF!,#REF!,#REF!,#REF!,#REF!,#REF!)</f>
        <v>#REF!</v>
      </c>
      <c r="AB44" s="201" t="e">
        <f>AA44/$AA$4</f>
        <v>#REF!</v>
      </c>
    </row>
    <row r="45" spans="2:29" s="176" customFormat="1" ht="10.35" customHeight="1">
      <c r="B45" s="178" t="s">
        <v>22</v>
      </c>
      <c r="C45" s="190">
        <f>SUMIF('MVTO A'!$C$3:$C$184,"SFIN",'MVTO A'!$G$3:$G$184)+SUMIF('DESP A'!$D$3:$D$129,"SFIN",'DESP A'!$G$3:$G$129)</f>
        <v>985.97</v>
      </c>
      <c r="D45" s="215">
        <f t="shared" si="28"/>
        <v>2.4950352475446605E-4</v>
      </c>
      <c r="E45" s="190">
        <f>SUMIF('MVTO A'!$C$3:$C$184,"SFIN",'MVTO A'!$H$3:$H$184)+SUMIF('DESP A'!$D$3:$D$129,"SFIN",'DESP A'!$H$3:$H$129)</f>
        <v>923.95</v>
      </c>
      <c r="F45" s="215">
        <f t="shared" si="29"/>
        <v>2.7022130245819647E-4</v>
      </c>
      <c r="G45" s="190">
        <f>SUMIF('MVTO A'!$C$3:$C$184,"SFIN",'MVTO A'!$I$3:$I$184)+SUMIF('DESP A'!$D$3:$D$129,"SFIN",'DESP A'!$I$3:$I$129)</f>
        <v>1054.8599999999999</v>
      </c>
      <c r="H45" s="215">
        <f t="shared" si="30"/>
        <v>2.8895646394207322E-4</v>
      </c>
      <c r="I45" s="190">
        <f>SUMIF('MVTO A'!$C$3:$C$184,"SFIN",'MVTO A'!$J$3:$J$184)+SUMIF('DESP A'!$D$3:$D$129,"SFIN",'DESP A'!$J$3:$J$129)</f>
        <v>1028.94</v>
      </c>
      <c r="J45" s="211">
        <f t="shared" si="19"/>
        <v>3.2594462478511708E-4</v>
      </c>
      <c r="K45" s="190">
        <f>SUMIF('MVTO A'!$C$3:$C$184,"SFIN",'MVTO A'!$K$3:$K$184)+SUMIF('DESP A'!$D$3:$D$129,"SFIN",'DESP A'!$K$3:$K$129)</f>
        <v>0</v>
      </c>
      <c r="L45" s="211" t="e">
        <f t="shared" si="20"/>
        <v>#DIV/0!</v>
      </c>
      <c r="M45" s="190">
        <f>SUMIF('MVTO A'!$C$3:$C$184,"SFIN",'MVTO A'!$L$3:$L$184)+SUMIF('DESP A'!$D$3:$D$129,"SFIN",'DESP A'!$L$3:$L$129)</f>
        <v>0</v>
      </c>
      <c r="N45" s="211" t="e">
        <f t="shared" si="21"/>
        <v>#DIV/0!</v>
      </c>
      <c r="O45" s="190">
        <f>SUMIF('MVTO A'!$C$3:$C$184,"SFIN",'MVTO A'!$M$3:$M$189)+SUMIF('DESP A'!$D$3:$D$129,"SFIN",'DESP A'!$M$3:$M$129)</f>
        <v>0</v>
      </c>
      <c r="P45" s="211" t="e">
        <f t="shared" si="22"/>
        <v>#DIV/0!</v>
      </c>
      <c r="Q45" s="190">
        <f>SUMIF('MVTO A'!$C$3:$C$184,"SFIN",'MVTO A'!$N$3:$N$189)+SUMIF('DESP A'!$D$3:$D$129,"SFIN",'DESP A'!$N$3:$N$129)</f>
        <v>0</v>
      </c>
      <c r="R45" s="211" t="e">
        <f t="shared" si="23"/>
        <v>#DIV/0!</v>
      </c>
      <c r="S45" s="190">
        <f>SUMIF('MVTO A'!$C$3:$C$184,"SFIN",'MVTO A'!$O$3:$O$189)+SUMIF('DESP A'!$D$3:$D$129,"SFIN",'DESP A'!$O$3:$O$129)</f>
        <v>0</v>
      </c>
      <c r="T45" s="211" t="e">
        <f t="shared" si="24"/>
        <v>#DIV/0!</v>
      </c>
      <c r="U45" s="190">
        <f>SUMIF('MVTO A'!$C$3:$C$184,"SFIN",'MVTO A'!$P$3:$P$189)+SUMIF('DESP A'!$D$3:$D$129,"SFIN",'DESP A'!$P$3:$P$129)</f>
        <v>0</v>
      </c>
      <c r="V45" s="211" t="e">
        <f t="shared" si="25"/>
        <v>#DIV/0!</v>
      </c>
      <c r="W45" s="190">
        <f>SUMIF('MVTO A'!$C$3:$C$184,"SFIN",'MVTO A'!$Q$3:$Q$189)+SUMIF('DESP A'!$D$3:$D$129,"SFIN",'DESP A'!$Q$3:$Q$129)</f>
        <v>0</v>
      </c>
      <c r="X45" s="211" t="e">
        <f t="shared" si="26"/>
        <v>#DIV/0!</v>
      </c>
      <c r="Y45" s="190">
        <f>SUMIF('MVTO A'!$C$3:$C$184,"SFIN",'MVTO A'!$R$3:$R$189)+SUMIF('DESP A'!$D$3:$D$129,"SFIN",'DESP A'!$R$3:$R$129)</f>
        <v>0</v>
      </c>
      <c r="Z45" s="211" t="e">
        <f t="shared" si="27"/>
        <v>#DIV/0!</v>
      </c>
      <c r="AA45" s="190" t="e">
        <f>SUM(#REF!,#REF!,#REF!,#REF!,#REF!,#REF!,#REF!,#REF!,#REF!,#REF!,#REF!,#REF!)</f>
        <v>#REF!</v>
      </c>
      <c r="AB45" s="201" t="e">
        <f>AA45/$AA$4</f>
        <v>#REF!</v>
      </c>
    </row>
    <row r="46" spans="2:29" s="176" customFormat="1" ht="10.35" customHeight="1">
      <c r="B46" s="180" t="s">
        <v>23</v>
      </c>
      <c r="C46" s="195">
        <f>C42+C44-C45</f>
        <v>2283404.9999999991</v>
      </c>
      <c r="D46" s="215">
        <f t="shared" si="28"/>
        <v>0.57782447330240394</v>
      </c>
      <c r="E46" s="195">
        <f>E42+E44-E45</f>
        <v>1820636.8699999994</v>
      </c>
      <c r="F46" s="215">
        <f t="shared" si="29"/>
        <v>0.53246914477494878</v>
      </c>
      <c r="G46" s="195">
        <f>G42+G44-G45</f>
        <v>2243161.6299999994</v>
      </c>
      <c r="H46" s="215">
        <f t="shared" si="30"/>
        <v>0.61446642460168854</v>
      </c>
      <c r="I46" s="195">
        <f>I42+I44-I45</f>
        <v>1993497.3499999996</v>
      </c>
      <c r="J46" s="211">
        <f t="shared" si="19"/>
        <v>0.63149430069379664</v>
      </c>
      <c r="K46" s="195">
        <f>K42+K44-K45</f>
        <v>0</v>
      </c>
      <c r="L46" s="211" t="e">
        <f t="shared" si="20"/>
        <v>#DIV/0!</v>
      </c>
      <c r="M46" s="195">
        <f>M42+M44-M45</f>
        <v>0</v>
      </c>
      <c r="N46" s="211" t="e">
        <f t="shared" si="21"/>
        <v>#DIV/0!</v>
      </c>
      <c r="O46" s="195">
        <f>O42+O44-O45</f>
        <v>0</v>
      </c>
      <c r="P46" s="211" t="e">
        <f t="shared" si="22"/>
        <v>#DIV/0!</v>
      </c>
      <c r="Q46" s="195">
        <f>Q42+Q44-Q45</f>
        <v>0</v>
      </c>
      <c r="R46" s="211" t="e">
        <f t="shared" si="23"/>
        <v>#DIV/0!</v>
      </c>
      <c r="S46" s="195">
        <f>S42+S44-S45</f>
        <v>0</v>
      </c>
      <c r="T46" s="211" t="e">
        <f t="shared" si="24"/>
        <v>#DIV/0!</v>
      </c>
      <c r="U46" s="195">
        <f>U42+U44-U45</f>
        <v>0</v>
      </c>
      <c r="V46" s="211" t="e">
        <f t="shared" si="25"/>
        <v>#DIV/0!</v>
      </c>
      <c r="W46" s="195">
        <f>W42+W44-W45</f>
        <v>0</v>
      </c>
      <c r="X46" s="211" t="e">
        <f t="shared" si="26"/>
        <v>#DIV/0!</v>
      </c>
      <c r="Y46" s="195">
        <f>Y42+Y44-Y45</f>
        <v>0</v>
      </c>
      <c r="Z46" s="211" t="e">
        <f t="shared" si="27"/>
        <v>#DIV/0!</v>
      </c>
      <c r="AA46" s="190" t="str">
        <f>IFERROR(AA42+AA43,"")</f>
        <v/>
      </c>
      <c r="AB46" s="201" t="e">
        <f>AA46/$AA$4</f>
        <v>#VALUE!</v>
      </c>
    </row>
    <row r="47" spans="2:29" s="176" customFormat="1" ht="10.35" customHeight="1">
      <c r="B47" s="178" t="s">
        <v>24</v>
      </c>
      <c r="C47" s="179"/>
      <c r="D47" s="215">
        <f t="shared" si="28"/>
        <v>0</v>
      </c>
      <c r="E47" s="179"/>
      <c r="F47" s="215">
        <f t="shared" si="29"/>
        <v>0</v>
      </c>
      <c r="G47" s="179"/>
      <c r="H47" s="215">
        <f t="shared" si="30"/>
        <v>0</v>
      </c>
      <c r="I47" s="190"/>
      <c r="J47" s="211">
        <f t="shared" si="19"/>
        <v>0</v>
      </c>
      <c r="K47" s="190"/>
      <c r="L47" s="211" t="e">
        <f t="shared" si="20"/>
        <v>#DIV/0!</v>
      </c>
      <c r="M47" s="190"/>
      <c r="N47" s="211" t="e">
        <f t="shared" si="21"/>
        <v>#DIV/0!</v>
      </c>
      <c r="O47" s="190"/>
      <c r="P47" s="211" t="e">
        <f t="shared" si="22"/>
        <v>#DIV/0!</v>
      </c>
      <c r="Q47" s="190"/>
      <c r="R47" s="211" t="e">
        <f t="shared" si="23"/>
        <v>#DIV/0!</v>
      </c>
      <c r="S47" s="190"/>
      <c r="T47" s="211" t="e">
        <f t="shared" si="24"/>
        <v>#DIV/0!</v>
      </c>
      <c r="U47" s="190"/>
      <c r="V47" s="211" t="e">
        <f t="shared" si="25"/>
        <v>#DIV/0!</v>
      </c>
      <c r="W47" s="190"/>
      <c r="X47" s="211" t="e">
        <f t="shared" si="26"/>
        <v>#DIV/0!</v>
      </c>
      <c r="Y47" s="190"/>
      <c r="Z47" s="211" t="e">
        <f t="shared" si="27"/>
        <v>#DIV/0!</v>
      </c>
      <c r="AA47" s="179" t="e">
        <f>SUM(#REF!,#REF!,#REF!,#REF!,#REF!,#REF!,#REF!,#REF!,#REF!,#REF!,#REF!,#REF!)</f>
        <v>#REF!</v>
      </c>
      <c r="AB47" s="201" t="e">
        <f>AA47/$AA$4</f>
        <v>#REF!</v>
      </c>
    </row>
    <row r="48" spans="2:29" s="176" customFormat="1" ht="10.35" customHeight="1">
      <c r="B48" s="182" t="s">
        <v>25</v>
      </c>
      <c r="C48" s="196">
        <f>C42+C44-C45</f>
        <v>2283404.9999999991</v>
      </c>
      <c r="D48" s="217">
        <f t="shared" si="28"/>
        <v>0.57782447330240394</v>
      </c>
      <c r="E48" s="196">
        <f>E42+E44-E45</f>
        <v>1820636.8699999994</v>
      </c>
      <c r="F48" s="217">
        <f t="shared" si="29"/>
        <v>0.53246914477494878</v>
      </c>
      <c r="G48" s="196">
        <f>G42+G44-G45</f>
        <v>2243161.6299999994</v>
      </c>
      <c r="H48" s="217">
        <f t="shared" si="30"/>
        <v>0.61446642460168854</v>
      </c>
      <c r="I48" s="196">
        <f>I42+I44-I45</f>
        <v>1993497.3499999996</v>
      </c>
      <c r="J48" s="211">
        <f t="shared" si="19"/>
        <v>0.63149430069379664</v>
      </c>
      <c r="K48" s="196">
        <f>K42+K44-K45</f>
        <v>0</v>
      </c>
      <c r="L48" s="211" t="e">
        <f t="shared" si="20"/>
        <v>#DIV/0!</v>
      </c>
      <c r="M48" s="196">
        <f>M42+M44-M45</f>
        <v>0</v>
      </c>
      <c r="N48" s="211" t="e">
        <f t="shared" si="21"/>
        <v>#DIV/0!</v>
      </c>
      <c r="O48" s="196">
        <f>O42+O44-O45</f>
        <v>0</v>
      </c>
      <c r="P48" s="211" t="e">
        <f t="shared" si="22"/>
        <v>#DIV/0!</v>
      </c>
      <c r="Q48" s="196">
        <f>Q42+Q44-Q45</f>
        <v>0</v>
      </c>
      <c r="R48" s="211" t="e">
        <f t="shared" si="23"/>
        <v>#DIV/0!</v>
      </c>
      <c r="S48" s="196">
        <f>S42+S44-S45</f>
        <v>0</v>
      </c>
      <c r="T48" s="211" t="e">
        <f t="shared" si="24"/>
        <v>#DIV/0!</v>
      </c>
      <c r="U48" s="196">
        <f>U42+U44-U45</f>
        <v>0</v>
      </c>
      <c r="V48" s="211" t="e">
        <f t="shared" si="25"/>
        <v>#DIV/0!</v>
      </c>
      <c r="W48" s="196">
        <f>W42+W44-W45</f>
        <v>0</v>
      </c>
      <c r="X48" s="211" t="e">
        <f t="shared" si="26"/>
        <v>#DIV/0!</v>
      </c>
      <c r="Y48" s="196">
        <f>Y42+Y44-Y45</f>
        <v>0</v>
      </c>
      <c r="Z48" s="211" t="e">
        <f t="shared" si="27"/>
        <v>#DIV/0!</v>
      </c>
      <c r="AA48" s="196" t="e">
        <f>AA42+AA44-AA45</f>
        <v>#VALUE!</v>
      </c>
      <c r="AB48" s="205" t="e">
        <f t="shared" ref="AB48:AB72" si="31">AA48/$AA$10</f>
        <v>#VALUE!</v>
      </c>
      <c r="AC48" s="176" t="s">
        <v>463</v>
      </c>
    </row>
    <row r="49" spans="2:89" s="176" customFormat="1" ht="10.35" customHeight="1">
      <c r="B49" s="182" t="s">
        <v>26</v>
      </c>
      <c r="C49" s="196">
        <f>IFERROR(C50-C57,"")</f>
        <v>220345.98</v>
      </c>
      <c r="D49" s="217">
        <f t="shared" si="28"/>
        <v>5.575940310098388E-2</v>
      </c>
      <c r="E49" s="196">
        <f>IFERROR(E50-E57,"")</f>
        <v>220769</v>
      </c>
      <c r="F49" s="217">
        <f t="shared" si="29"/>
        <v>6.456679119259004E-2</v>
      </c>
      <c r="G49" s="196">
        <f>IFERROR(G50-G57,"")</f>
        <v>220258.18</v>
      </c>
      <c r="H49" s="217">
        <f t="shared" si="30"/>
        <v>6.0335044315943991E-2</v>
      </c>
      <c r="I49" s="196">
        <f>IFERROR(I50-I57,"")</f>
        <v>221889.58</v>
      </c>
      <c r="J49" s="211">
        <f t="shared" si="19"/>
        <v>7.0289536704596201E-2</v>
      </c>
      <c r="K49" s="196">
        <f>IFERROR(K50-K57,"")</f>
        <v>0</v>
      </c>
      <c r="L49" s="211" t="e">
        <f t="shared" si="20"/>
        <v>#DIV/0!</v>
      </c>
      <c r="M49" s="196">
        <f>IFERROR(M50-M57,"")</f>
        <v>0</v>
      </c>
      <c r="N49" s="211" t="e">
        <f t="shared" si="21"/>
        <v>#DIV/0!</v>
      </c>
      <c r="O49" s="196">
        <f>IFERROR(O50-O57,"")</f>
        <v>0</v>
      </c>
      <c r="P49" s="211" t="e">
        <f t="shared" si="22"/>
        <v>#DIV/0!</v>
      </c>
      <c r="Q49" s="196">
        <f>IFERROR(Q50-Q57,"")</f>
        <v>0</v>
      </c>
      <c r="R49" s="211" t="e">
        <f t="shared" si="23"/>
        <v>#DIV/0!</v>
      </c>
      <c r="S49" s="196">
        <f>IFERROR(S50-S57,"")</f>
        <v>0</v>
      </c>
      <c r="T49" s="211" t="e">
        <f t="shared" si="24"/>
        <v>#DIV/0!</v>
      </c>
      <c r="U49" s="196">
        <f>IFERROR(U50-U57,"")</f>
        <v>0</v>
      </c>
      <c r="V49" s="211" t="e">
        <f t="shared" si="25"/>
        <v>#DIV/0!</v>
      </c>
      <c r="W49" s="196">
        <f>IFERROR(W50-W57,"")</f>
        <v>0</v>
      </c>
      <c r="X49" s="211" t="e">
        <f t="shared" si="26"/>
        <v>#DIV/0!</v>
      </c>
      <c r="Y49" s="196">
        <f>IFERROR(Y50-Y57,"")</f>
        <v>0</v>
      </c>
      <c r="Z49" s="211" t="e">
        <f t="shared" si="27"/>
        <v>#DIV/0!</v>
      </c>
      <c r="AA49" s="196" t="str">
        <f>IFERROR(AA50-AA57,"")</f>
        <v/>
      </c>
      <c r="AB49" s="205" t="e">
        <f t="shared" si="31"/>
        <v>#VALUE!</v>
      </c>
    </row>
    <row r="50" spans="2:89" s="176" customFormat="1" ht="10.35" customHeight="1">
      <c r="B50" s="180" t="s">
        <v>27</v>
      </c>
      <c r="C50" s="195">
        <f>SUM(C51:C56)</f>
        <v>228282.94</v>
      </c>
      <c r="D50" s="215">
        <f t="shared" si="28"/>
        <v>5.7767881549451082E-2</v>
      </c>
      <c r="E50" s="195">
        <f>SUM(E51:E56)</f>
        <v>228145.88</v>
      </c>
      <c r="F50" s="215">
        <f t="shared" si="29"/>
        <v>6.6724256555085654E-2</v>
      </c>
      <c r="G50" s="195">
        <f>SUM(G51:G56)</f>
        <v>225716.18</v>
      </c>
      <c r="H50" s="215">
        <f t="shared" si="30"/>
        <v>6.1830147344019599E-2</v>
      </c>
      <c r="I50" s="195">
        <f>SUM(I51:I56)</f>
        <v>227587.18</v>
      </c>
      <c r="J50" s="211">
        <f t="shared" si="19"/>
        <v>7.2094405884699689E-2</v>
      </c>
      <c r="K50" s="195">
        <f>SUM(K51:K56)</f>
        <v>0</v>
      </c>
      <c r="L50" s="211" t="e">
        <f t="shared" si="20"/>
        <v>#DIV/0!</v>
      </c>
      <c r="M50" s="195">
        <f>SUM(M51:M56)</f>
        <v>0</v>
      </c>
      <c r="N50" s="211" t="e">
        <f t="shared" si="21"/>
        <v>#DIV/0!</v>
      </c>
      <c r="O50" s="195">
        <f>SUM(O51:O56)</f>
        <v>0</v>
      </c>
      <c r="P50" s="211" t="e">
        <f t="shared" si="22"/>
        <v>#DIV/0!</v>
      </c>
      <c r="Q50" s="195">
        <f>SUM(Q51:Q56)</f>
        <v>0</v>
      </c>
      <c r="R50" s="211" t="e">
        <f t="shared" si="23"/>
        <v>#DIV/0!</v>
      </c>
      <c r="S50" s="195">
        <f>SUM(S51:S56)</f>
        <v>0</v>
      </c>
      <c r="T50" s="211" t="e">
        <f t="shared" si="24"/>
        <v>#DIV/0!</v>
      </c>
      <c r="U50" s="195">
        <f>SUM(U51:U56)</f>
        <v>0</v>
      </c>
      <c r="V50" s="211" t="e">
        <f t="shared" si="25"/>
        <v>#DIV/0!</v>
      </c>
      <c r="W50" s="195">
        <f>SUM(W51:W56)</f>
        <v>0</v>
      </c>
      <c r="X50" s="211" t="e">
        <f t="shared" si="26"/>
        <v>#DIV/0!</v>
      </c>
      <c r="Y50" s="195">
        <f>SUM(Y51:Y56)</f>
        <v>0</v>
      </c>
      <c r="Z50" s="211" t="e">
        <f t="shared" si="27"/>
        <v>#DIV/0!</v>
      </c>
      <c r="AA50" s="190" t="e">
        <f>IF(SUM(AA51:AA54)=0,"",SUM(AA51:AA54))</f>
        <v>#REF!</v>
      </c>
      <c r="AB50" s="201" t="e">
        <f t="shared" si="31"/>
        <v>#REF!</v>
      </c>
    </row>
    <row r="51" spans="2:89" s="176" customFormat="1" ht="10.35" customHeight="1">
      <c r="B51" s="178" t="s">
        <v>28</v>
      </c>
      <c r="C51" s="190">
        <f>SUMIF('MVTO A'!$C$3:$C$184,"Empres_S",'MVTO A'!$G$3:$G$184)</f>
        <v>87936.960000000006</v>
      </c>
      <c r="D51" s="215">
        <f t="shared" si="28"/>
        <v>2.2252788093139235E-2</v>
      </c>
      <c r="E51" s="190">
        <f>SUMIF('MVTO A'!$C$3:$C$184,"Empres_S",'MVTO A'!$H$3:$H$184)</f>
        <v>87376.87</v>
      </c>
      <c r="F51" s="215">
        <f t="shared" si="29"/>
        <v>2.5554512274604157E-2</v>
      </c>
      <c r="G51" s="190">
        <f>SUMIF('MVTO A'!$C$3:$C$184,"Empres_S",'MVTO A'!$I$3:$I$184)</f>
        <v>85458</v>
      </c>
      <c r="H51" s="215">
        <f t="shared" si="30"/>
        <v>2.3409401717347986E-2</v>
      </c>
      <c r="I51" s="190">
        <f>SUMIF('MVTO A'!$C$3:$C$184,"Empres_S",'MVTO A'!$J$3:$J$184)</f>
        <v>85697.59</v>
      </c>
      <c r="J51" s="211">
        <f t="shared" si="19"/>
        <v>2.7147033663322252E-2</v>
      </c>
      <c r="K51" s="190">
        <f>SUMIF('MVTO A'!$C$3:$C$184,"Empres_S",'MVTO A'!$K$3:$K$184)</f>
        <v>0</v>
      </c>
      <c r="L51" s="211" t="e">
        <f t="shared" si="20"/>
        <v>#DIV/0!</v>
      </c>
      <c r="M51" s="190">
        <f>SUMIF('MVTO A'!$C$3:$C$184,"Empres_S",'MVTO A'!$L$3:$L$184)</f>
        <v>0</v>
      </c>
      <c r="N51" s="211" t="e">
        <f t="shared" si="21"/>
        <v>#DIV/0!</v>
      </c>
      <c r="O51" s="190">
        <f>SUMIF('MVTO A'!$C$3:$C$184,"Empres_S",'MVTO A'!$M$3:$M$189)</f>
        <v>0</v>
      </c>
      <c r="P51" s="211" t="e">
        <f t="shared" si="22"/>
        <v>#DIV/0!</v>
      </c>
      <c r="Q51" s="190">
        <f>SUMIF('MVTO A'!$C$3:$C$184,"Empres_S",'MVTO A'!$N$3:$N$189)</f>
        <v>0</v>
      </c>
      <c r="R51" s="211" t="e">
        <f t="shared" si="23"/>
        <v>#DIV/0!</v>
      </c>
      <c r="S51" s="190">
        <f>SUMIF('MVTO A'!$C$3:$C$184,"Empres_S",'MVTO A'!$O$3:$O$189)</f>
        <v>0</v>
      </c>
      <c r="T51" s="211" t="e">
        <f t="shared" si="24"/>
        <v>#DIV/0!</v>
      </c>
      <c r="U51" s="190">
        <f>SUMIF('MVTO A'!$C$3:$C$184,"Empres_S",'MVTO A'!$P$3:$P$189)</f>
        <v>0</v>
      </c>
      <c r="V51" s="211" t="e">
        <f t="shared" si="25"/>
        <v>#DIV/0!</v>
      </c>
      <c r="W51" s="190">
        <f>SUMIF('MVTO A'!$C$3:$C$184,"Empres_S",'MVTO A'!$Q$3:$Q$189)</f>
        <v>0</v>
      </c>
      <c r="X51" s="211" t="e">
        <f t="shared" si="26"/>
        <v>#DIV/0!</v>
      </c>
      <c r="Y51" s="190">
        <f>SUMIF('MVTO A'!$C$3:$C$184,"Empres_S",'MVTO A'!$R$3:$R$189)</f>
        <v>0</v>
      </c>
      <c r="Z51" s="211" t="e">
        <f t="shared" si="27"/>
        <v>#DIV/0!</v>
      </c>
      <c r="AA51" s="190" t="e">
        <f>SUM(#REF!,#REF!,#REF!,#REF!,#REF!,#REF!,#REF!,#REF!,#REF!,#REF!,#REF!,#REF!)</f>
        <v>#REF!</v>
      </c>
      <c r="AB51" s="201" t="e">
        <f t="shared" si="31"/>
        <v>#REF!</v>
      </c>
    </row>
    <row r="52" spans="2:89" s="176" customFormat="1" ht="10.35" customHeight="1">
      <c r="B52" s="178" t="s">
        <v>29</v>
      </c>
      <c r="C52" s="190">
        <f>SUMIF('MVTO A'!$C$3:$C$177,"Investimentos",'MVTO A'!$G$3:$G$177)</f>
        <v>0</v>
      </c>
      <c r="D52" s="215">
        <f t="shared" si="28"/>
        <v>0</v>
      </c>
      <c r="E52" s="190">
        <f>SUMIF('MVTO A'!$C$3:$C$177,"Investimentos",'MVTO A'!$H$3:$H$177)</f>
        <v>0</v>
      </c>
      <c r="F52" s="215">
        <f t="shared" si="29"/>
        <v>0</v>
      </c>
      <c r="G52" s="190">
        <f>SUMIF('MVTO A'!$C$3:$C$177,"Investimentos",'MVTO A'!$I$3:$I$177)</f>
        <v>0</v>
      </c>
      <c r="H52" s="215">
        <f t="shared" si="30"/>
        <v>0</v>
      </c>
      <c r="I52" s="190">
        <f>SUMIF('MVTO A'!$C$3:$C$177,"Investimentos",'MVTO A'!$J$3:$J$184)</f>
        <v>0</v>
      </c>
      <c r="J52" s="211">
        <f t="shared" si="19"/>
        <v>0</v>
      </c>
      <c r="K52" s="190">
        <f>SUMIF('MVTO A'!$C$3:$C$177,"Investimentos",'MVTO A'!$K$3:$K$177)</f>
        <v>0</v>
      </c>
      <c r="L52" s="211" t="e">
        <f t="shared" si="20"/>
        <v>#DIV/0!</v>
      </c>
      <c r="M52" s="190">
        <f>SUMIF('MVTO A'!$C$3:$C$177,"Investimentos",'MVTO A'!$I$3:$I$177)</f>
        <v>0</v>
      </c>
      <c r="N52" s="211" t="e">
        <f t="shared" si="21"/>
        <v>#DIV/0!</v>
      </c>
      <c r="O52" s="190">
        <f>SUMIF('MVTO A'!$C$3:$C$177,"Investimentos",'MVTO A'!$M$3:$M$189)</f>
        <v>0</v>
      </c>
      <c r="P52" s="211" t="e">
        <f t="shared" si="22"/>
        <v>#DIV/0!</v>
      </c>
      <c r="Q52" s="190">
        <f>SUMIF('MVTO A'!$C$3:$C$177,"Investimentos",'MVTO A'!$I$3:$I$177)</f>
        <v>0</v>
      </c>
      <c r="R52" s="211" t="e">
        <f t="shared" si="23"/>
        <v>#DIV/0!</v>
      </c>
      <c r="S52" s="190">
        <f>SUMIF('MVTO A'!$C$3:$C$177,"Investimentos",'MVTO A'!$I$3:$I$177)</f>
        <v>0</v>
      </c>
      <c r="T52" s="211" t="e">
        <f t="shared" si="24"/>
        <v>#DIV/0!</v>
      </c>
      <c r="U52" s="190">
        <f>SUMIF('MVTO A'!$C$3:$C$177,"Investimentos",'MVTO A'!$I$3:$I$177)</f>
        <v>0</v>
      </c>
      <c r="V52" s="211" t="e">
        <f t="shared" si="25"/>
        <v>#DIV/0!</v>
      </c>
      <c r="W52" s="190">
        <f>SUMIF('MVTO A'!$C$3:$C$177,"Investimentos",'MVTO A'!$I$3:$I$177)</f>
        <v>0</v>
      </c>
      <c r="X52" s="211" t="e">
        <f t="shared" si="26"/>
        <v>#DIV/0!</v>
      </c>
      <c r="Y52" s="190">
        <f>SUMIF('MVTO A'!$C$3:$C$177,"Investimentos",'MVTO A'!$I$3:$I$177)</f>
        <v>0</v>
      </c>
      <c r="Z52" s="211" t="e">
        <f t="shared" si="27"/>
        <v>#DIV/0!</v>
      </c>
      <c r="AA52" s="190" t="e">
        <f>SUM(#REF!,#REF!,#REF!,#REF!,#REF!,#REF!,#REF!,#REF!,#REF!,#REF!,#REF!,#REF!)</f>
        <v>#REF!</v>
      </c>
      <c r="AB52" s="201" t="e">
        <f t="shared" si="31"/>
        <v>#REF!</v>
      </c>
    </row>
    <row r="53" spans="2:89" s="176" customFormat="1" ht="10.35" customHeight="1">
      <c r="B53" s="178" t="s">
        <v>359</v>
      </c>
      <c r="C53" s="190">
        <f>SUMIF('MVTO A'!$C$3:$C$184,"Imobilizado",'MVTO A'!$G$3:$G$184)+SUMIF('DESP A'!$D$3:$D$129,"Imobilizado",'DESP A'!$G$3:$G$129)</f>
        <v>0</v>
      </c>
      <c r="D53" s="215">
        <f t="shared" si="28"/>
        <v>0</v>
      </c>
      <c r="E53" s="190">
        <f>SUMIF('MVTO A'!$C$3:$C$184,"Imobilizado",'MVTO A'!$H$3:$H$184)+SUMIF('DESP A'!$D$3:$D$129,"Imobilizado",'DESP A'!$H$3:$H$129)</f>
        <v>0</v>
      </c>
      <c r="F53" s="215">
        <f t="shared" si="29"/>
        <v>0</v>
      </c>
      <c r="G53" s="190">
        <f>SUMIF('MVTO A'!$C$3:$C$184,"Imobilizado",'MVTO A'!$I$3:$I$184)+SUMIF('DESP A'!$D$3:$D$129,"Imobilizado",'DESP A'!$I$3:$I$129)</f>
        <v>0</v>
      </c>
      <c r="H53" s="215">
        <f t="shared" si="30"/>
        <v>0</v>
      </c>
      <c r="I53" s="190">
        <f>SUMIF('MVTO A'!$C$3:$C$184,"Imobilizado",'MVTO A'!$J$3:$J$184)+SUMIF('DESP A'!$D$3:$D$129,"Imobilizado",'DESP A'!$J$3:$J$129)</f>
        <v>0</v>
      </c>
      <c r="J53" s="211">
        <f t="shared" si="19"/>
        <v>0</v>
      </c>
      <c r="K53" s="190">
        <f>SUMIF('MVTO A'!$C$3:$C$184,"Imobilizado",'MVTO A'!$K$3:$K$184)+SUMIF('DESP A'!$D$3:$D$129,"Imobilizado",'DESP A'!$K$3:$K$129)</f>
        <v>0</v>
      </c>
      <c r="L53" s="211" t="e">
        <f t="shared" si="20"/>
        <v>#DIV/0!</v>
      </c>
      <c r="M53" s="190">
        <f>SUMIF('MVTO A'!$C$3:$C$184,"Imobilizado",'MVTO A'!$L$3:$L$184)+SUMIF('DESP A'!$D$3:$D$129,"Imobilizado",'DESP A'!$L$3:$L$129)</f>
        <v>0</v>
      </c>
      <c r="N53" s="211" t="e">
        <f t="shared" si="21"/>
        <v>#DIV/0!</v>
      </c>
      <c r="O53" s="190">
        <f>SUMIF('MVTO A'!$C$3:$C$184,"Imobilizado",'MVTO A'!$M$3:$M$189)+SUMIF('DESP A'!$D$3:$D$129,"Imobilizado",'DESP A'!$M$3:$M$129)</f>
        <v>0</v>
      </c>
      <c r="P53" s="211" t="e">
        <f t="shared" si="22"/>
        <v>#DIV/0!</v>
      </c>
      <c r="Q53" s="190">
        <f>SUMIF('MVTO A'!$C$3:$C$184,"Imobilizado",'MVTO A'!$N$3:$N$189)+SUMIF('DESP A'!$D$3:$D$129,"Imobilizado",'DESP A'!$N$3:$N$129)</f>
        <v>0</v>
      </c>
      <c r="R53" s="211" t="e">
        <f t="shared" si="23"/>
        <v>#DIV/0!</v>
      </c>
      <c r="S53" s="190">
        <f>SUMIF('MVTO A'!$C$3:$C$184,"Imobilizado",'MVTO A'!$O$3:$O$189)+SUMIF('DESP A'!$D$3:$D$129,"Imobilizado",'DESP A'!$O$3:$O$129)</f>
        <v>0</v>
      </c>
      <c r="T53" s="211" t="e">
        <f t="shared" si="24"/>
        <v>#DIV/0!</v>
      </c>
      <c r="U53" s="190">
        <f>SUMIF('MVTO A'!$C$3:$C$184,"Imobilizado",'MVTO A'!$P$3:$P$189)+SUMIF('DESP A'!$D$3:$D$129,"Imobilizado",'DESP A'!$P$3:$P$129)</f>
        <v>0</v>
      </c>
      <c r="V53" s="211" t="e">
        <f t="shared" si="25"/>
        <v>#DIV/0!</v>
      </c>
      <c r="W53" s="190">
        <f>SUMIF('MVTO A'!$C$3:$C$184,"Imobilizado",'MVTO A'!$Q$3:$Q$189)+SUMIF('DESP A'!$D$3:$D$129,"Imobilizado",'DESP A'!$Q$3:$Q$129)</f>
        <v>0</v>
      </c>
      <c r="X53" s="211" t="e">
        <f t="shared" si="26"/>
        <v>#DIV/0!</v>
      </c>
      <c r="Y53" s="190">
        <f>SUMIF('MVTO A'!$C$3:$C$184,"Imobilizado",'MVTO A'!$R$3:$R$189)+SUMIF('DESP A'!$D$3:$D$129,"Imobilizado",'DESP A'!$R$3:$R$129)</f>
        <v>0</v>
      </c>
      <c r="Z53" s="211" t="e">
        <f t="shared" si="27"/>
        <v>#DIV/0!</v>
      </c>
      <c r="AA53" s="190" t="e">
        <f>SUM(#REF!,#REF!,#REF!,#REF!,#REF!,#REF!,#REF!,#REF!,#REF!,#REF!,#REF!,#REF!)</f>
        <v>#REF!</v>
      </c>
      <c r="AB53" s="201" t="e">
        <f t="shared" si="31"/>
        <v>#REF!</v>
      </c>
    </row>
    <row r="54" spans="2:89" s="176" customFormat="1" ht="10.35" customHeight="1">
      <c r="B54" s="178" t="s">
        <v>39</v>
      </c>
      <c r="C54" s="190">
        <f>SUMIF('MVTO A'!$C$3:$C$184,"Parcela",'MVTO A'!$G$3:$G$184)</f>
        <v>84683.1</v>
      </c>
      <c r="D54" s="215">
        <f t="shared" si="28"/>
        <v>2.1429386225884077E-2</v>
      </c>
      <c r="E54" s="190">
        <f>SUMIF('MVTO A'!$C$3:$C$184,"Parcela",'MVTO A'!$H$3:$H$184)</f>
        <v>84683.1</v>
      </c>
      <c r="F54" s="215">
        <f t="shared" si="29"/>
        <v>2.476668388787023E-2</v>
      </c>
      <c r="G54" s="190">
        <f>SUMIF('MVTO A'!$C$3:$C$184,"Parcela",'MVTO A'!$I$3:$I$184)</f>
        <v>84683.1</v>
      </c>
      <c r="H54" s="215">
        <f t="shared" si="30"/>
        <v>2.3197134341669024E-2</v>
      </c>
      <c r="I54" s="190">
        <f>SUMIF('MVTO A'!$C$3:$C$184,"Parcela",'MVTO A'!$J$3:$J$184)</f>
        <v>84683.099999999991</v>
      </c>
      <c r="J54" s="211">
        <f t="shared" si="19"/>
        <v>2.6825666467569096E-2</v>
      </c>
      <c r="K54" s="190">
        <f>SUMIF('MVTO A'!$C$3:$C$184,"Parcela",'MVTO A'!$K$3:$K$184)</f>
        <v>0</v>
      </c>
      <c r="L54" s="211" t="e">
        <f t="shared" si="20"/>
        <v>#DIV/0!</v>
      </c>
      <c r="M54" s="190">
        <f>SUMIF('MVTO A'!$C$3:$C$184,"Parcela",'MVTO A'!$L$3:$L$184)</f>
        <v>0</v>
      </c>
      <c r="N54" s="211" t="e">
        <f t="shared" si="21"/>
        <v>#DIV/0!</v>
      </c>
      <c r="O54" s="190">
        <f>SUMIF('MVTO A'!$C$3:$C$184,"Parcela",'MVTO A'!$M$3:$M$189)</f>
        <v>0</v>
      </c>
      <c r="P54" s="211" t="e">
        <f t="shared" si="22"/>
        <v>#DIV/0!</v>
      </c>
      <c r="Q54" s="190">
        <f>SUMIF('MVTO A'!$C$3:$C$184,"Parcela",'MVTO A'!$N$3:$N$189)</f>
        <v>0</v>
      </c>
      <c r="R54" s="211" t="e">
        <f t="shared" si="23"/>
        <v>#DIV/0!</v>
      </c>
      <c r="S54" s="190">
        <f>SUMIF('MVTO A'!$C$3:$C$184,"Parcela",'MVTO A'!$O$3:$O$189)</f>
        <v>0</v>
      </c>
      <c r="T54" s="211" t="e">
        <f t="shared" si="24"/>
        <v>#DIV/0!</v>
      </c>
      <c r="U54" s="190">
        <f>SUMIF('MVTO A'!$C$3:$C$184,"Parcela",'MVTO A'!$P$3:$P$189)</f>
        <v>0</v>
      </c>
      <c r="V54" s="211" t="e">
        <f t="shared" si="25"/>
        <v>#DIV/0!</v>
      </c>
      <c r="W54" s="190">
        <f>SUMIF('MVTO A'!$C$3:$C$184,"Parcela",'MVTO A'!$Q$3:$Q$189)</f>
        <v>0</v>
      </c>
      <c r="X54" s="211" t="e">
        <f t="shared" si="26"/>
        <v>#DIV/0!</v>
      </c>
      <c r="Y54" s="190">
        <f>SUMIF('MVTO A'!$C$3:$C$184,"Parcela",'MVTO A'!$R$3:$R$189)</f>
        <v>0</v>
      </c>
      <c r="Z54" s="211" t="e">
        <f t="shared" si="27"/>
        <v>#DIV/0!</v>
      </c>
      <c r="AA54" s="190" t="e">
        <f>SUM(#REF!,#REF!,#REF!,#REF!,#REF!,#REF!,#REF!,#REF!,#REF!,#REF!,#REF!,#REF!)</f>
        <v>#REF!</v>
      </c>
      <c r="AB54" s="201" t="e">
        <f t="shared" si="31"/>
        <v>#REF!</v>
      </c>
    </row>
    <row r="55" spans="2:89" s="176" customFormat="1" ht="10.35" customHeight="1">
      <c r="B55" s="178" t="s">
        <v>381</v>
      </c>
      <c r="C55" s="190">
        <f>SUMIF('MVTO A'!$C$3:$C$184,"Desp_emp",'MVTO A'!$G$3:$G$184)</f>
        <v>55659.95</v>
      </c>
      <c r="D55" s="215">
        <f t="shared" si="28"/>
        <v>1.4084965782587036E-2</v>
      </c>
      <c r="E55" s="190">
        <f>SUMIF('MVTO A'!$C$3:$C$184,"Desp_emp",'MVTO A'!$H$3:$H$184)</f>
        <v>56084.82</v>
      </c>
      <c r="F55" s="215">
        <f t="shared" si="29"/>
        <v>1.6402741607807247E-2</v>
      </c>
      <c r="G55" s="190">
        <f>SUMIF('MVTO A'!$C$3:$C$184,"Desp_emp",'MVTO A'!$I$3:$I$184)</f>
        <v>55575.079999999994</v>
      </c>
      <c r="H55" s="215">
        <f t="shared" si="30"/>
        <v>1.5223611285002592E-2</v>
      </c>
      <c r="I55" s="190">
        <f>SUMIF('MVTO A'!$C$3:$C$184,"Desp_emp",'MVTO A'!$J$3:$J$184)</f>
        <v>57206.49</v>
      </c>
      <c r="J55" s="211">
        <f t="shared" si="19"/>
        <v>1.8121705753808337E-2</v>
      </c>
      <c r="K55" s="190">
        <f>SUMIF('MVTO A'!$C$3:$C$184,"Desp_emp",'MVTO A'!$K$3:$K$184)</f>
        <v>0</v>
      </c>
      <c r="L55" s="211" t="e">
        <f t="shared" si="20"/>
        <v>#DIV/0!</v>
      </c>
      <c r="M55" s="190">
        <f>SUMIF('MVTO A'!$C$3:$C$184,"Desp_emp",'MVTO A'!$L$3:$L$184)</f>
        <v>0</v>
      </c>
      <c r="N55" s="211" t="e">
        <f t="shared" si="21"/>
        <v>#DIV/0!</v>
      </c>
      <c r="O55" s="190">
        <f>SUMIF('MVTO A'!$C$3:$C$184,"Desp_emp",'MVTO A'!$M$3:$M$189)</f>
        <v>0</v>
      </c>
      <c r="P55" s="211" t="e">
        <f t="shared" si="22"/>
        <v>#DIV/0!</v>
      </c>
      <c r="Q55" s="190">
        <f>SUMIF('MVTO A'!$C$3:$C$184,"Desp_emp",'MVTO A'!$N$3:$N$189)</f>
        <v>0</v>
      </c>
      <c r="R55" s="211" t="e">
        <f t="shared" si="23"/>
        <v>#DIV/0!</v>
      </c>
      <c r="S55" s="190">
        <f>SUMIF('MVTO A'!$C$3:$C$184,"Desp_emp",'MVTO A'!$O$3:$O$189)</f>
        <v>0</v>
      </c>
      <c r="T55" s="211" t="e">
        <f t="shared" si="24"/>
        <v>#DIV/0!</v>
      </c>
      <c r="U55" s="190">
        <f>SUMIF('MVTO A'!$C$3:$C$184,"Desp_emp",'MVTO A'!$P$3:$P$189)</f>
        <v>0</v>
      </c>
      <c r="V55" s="211" t="e">
        <f t="shared" si="25"/>
        <v>#DIV/0!</v>
      </c>
      <c r="W55" s="190">
        <f>SUMIF('MVTO A'!$C$3:$C$184,"Desp_emp",'MVTO A'!$Q$3:$Q$189)</f>
        <v>0</v>
      </c>
      <c r="X55" s="211" t="e">
        <f t="shared" si="26"/>
        <v>#DIV/0!</v>
      </c>
      <c r="Y55" s="190">
        <f>SUMIF('MVTO A'!$C$3:$C$184,"Desp_emp",'MVTO A'!$R$3:$R$189)</f>
        <v>0</v>
      </c>
      <c r="Z55" s="211" t="e">
        <f t="shared" si="27"/>
        <v>#DIV/0!</v>
      </c>
      <c r="AA55" s="190" t="e">
        <f>SUM(#REF!,#REF!,#REF!,#REF!,#REF!,#REF!,#REF!,#REF!,#REF!,#REF!,#REF!,#REF!)</f>
        <v>#REF!</v>
      </c>
      <c r="AB55" s="201" t="e">
        <f t="shared" si="31"/>
        <v>#REF!</v>
      </c>
    </row>
    <row r="56" spans="2:89" s="176" customFormat="1" ht="10.35" customHeight="1">
      <c r="B56" s="178" t="s">
        <v>358</v>
      </c>
      <c r="C56" s="190">
        <f>SUMIF('MVTO A'!$C$3:$C$184,"IOF_EMP",'MVTO A'!$G$3:$G$184)</f>
        <v>2.93</v>
      </c>
      <c r="D56" s="215">
        <f t="shared" si="28"/>
        <v>7.4144784073611315E-7</v>
      </c>
      <c r="E56" s="190">
        <f>SUMIF('MVTO A'!$C$3:$C$184,"IOF_EMP",'MVTO A'!$H$3:$H$184)</f>
        <v>1.0900000000000001</v>
      </c>
      <c r="F56" s="215">
        <f t="shared" si="29"/>
        <v>3.1878480402557945E-7</v>
      </c>
      <c r="G56" s="190">
        <f>SUMIF('MVTO A'!$C$3:$C$184,"IOF_EMP",'MVTO A'!$I$3:$I$184)</f>
        <v>0</v>
      </c>
      <c r="H56" s="215">
        <f t="shared" si="30"/>
        <v>0</v>
      </c>
      <c r="I56" s="190">
        <f>SUMIF('MVTO A'!$C$3:$C$184,"IOF_EMP",'MVTO A'!$J$3:$J$184)</f>
        <v>0</v>
      </c>
      <c r="J56" s="211">
        <f t="shared" si="19"/>
        <v>0</v>
      </c>
      <c r="K56" s="190">
        <f>SUMIF('MVTO A'!$C$3:$C$184,"IOF_EMP",'MVTO A'!$K$3:$K$184)</f>
        <v>0</v>
      </c>
      <c r="L56" s="211" t="e">
        <f t="shared" si="20"/>
        <v>#DIV/0!</v>
      </c>
      <c r="M56" s="190">
        <f>SUMIF('MVTO A'!$C$3:$C$184,"IOF_EMP",'MVTO A'!$L$3:$L$184)</f>
        <v>0</v>
      </c>
      <c r="N56" s="211" t="e">
        <f t="shared" si="21"/>
        <v>#DIV/0!</v>
      </c>
      <c r="O56" s="190">
        <f>SUMIF('MVTO A'!$C$3:$C$184,"IOF_EMP",'MVTO A'!$M$3:$M$189)</f>
        <v>0</v>
      </c>
      <c r="P56" s="211" t="e">
        <f t="shared" si="22"/>
        <v>#DIV/0!</v>
      </c>
      <c r="Q56" s="190">
        <f>SUMIF('MVTO A'!$C$3:$C$184,"IOF_EMP",'MVTO A'!$N$3:$N$189)</f>
        <v>0</v>
      </c>
      <c r="R56" s="211" t="e">
        <f t="shared" si="23"/>
        <v>#DIV/0!</v>
      </c>
      <c r="S56" s="190">
        <f>SUMIF('MVTO A'!$C$3:$C$184,"IOF_EMP",'MVTO A'!$O$3:$O$189)</f>
        <v>0</v>
      </c>
      <c r="T56" s="211" t="e">
        <f t="shared" si="24"/>
        <v>#DIV/0!</v>
      </c>
      <c r="U56" s="190">
        <f>SUMIF('MVTO A'!$C$3:$C$184,"IOF_EMP",'MVTO A'!$P$3:$P$189)</f>
        <v>0</v>
      </c>
      <c r="V56" s="211" t="e">
        <f t="shared" si="25"/>
        <v>#DIV/0!</v>
      </c>
      <c r="W56" s="190">
        <f>SUMIF('MVTO A'!$C$3:$C$184,"IOF_EMP",'MVTO A'!$Q$3:$Q$189)</f>
        <v>0</v>
      </c>
      <c r="X56" s="211" t="e">
        <f t="shared" si="26"/>
        <v>#DIV/0!</v>
      </c>
      <c r="Y56" s="190">
        <f>SUMIF('MVTO A'!$C$3:$C$184,"IOF_EMP",'MVTO A'!$R$3:$R$189)</f>
        <v>0</v>
      </c>
      <c r="Z56" s="211" t="e">
        <f t="shared" si="27"/>
        <v>#DIV/0!</v>
      </c>
      <c r="AA56" s="190" t="e">
        <f>SUM(#REF!,#REF!,#REF!,#REF!,#REF!,#REF!,#REF!,#REF!,#REF!,#REF!,#REF!,#REF!)</f>
        <v>#REF!</v>
      </c>
      <c r="AB56" s="201" t="e">
        <f t="shared" si="31"/>
        <v>#REF!</v>
      </c>
    </row>
    <row r="57" spans="2:89" s="176" customFormat="1" ht="10.35" customHeight="1">
      <c r="B57" s="290" t="s">
        <v>30</v>
      </c>
      <c r="C57" s="292">
        <f>IF(SUM(C58:C61)=0,0,SUM(C58:C61))</f>
        <v>7936.96</v>
      </c>
      <c r="D57" s="291">
        <f t="shared" si="28"/>
        <v>2.0084784484672015E-3</v>
      </c>
      <c r="E57" s="292">
        <f>IF(SUM(E58:E61)=0,0,SUM(E58:E61))</f>
        <v>7376.88</v>
      </c>
      <c r="F57" s="293">
        <f t="shared" si="29"/>
        <v>2.1574653624956116E-3</v>
      </c>
      <c r="G57" s="294">
        <f>IF(SUM(G58:G61)=0,0,SUM(G58:G61))</f>
        <v>5458</v>
      </c>
      <c r="H57" s="295">
        <f t="shared" si="30"/>
        <v>1.495103028075608E-3</v>
      </c>
      <c r="I57" s="292">
        <f>IF(SUM(I58:I61)=0,0,SUM(I58:I61))</f>
        <v>5697.6</v>
      </c>
      <c r="J57" s="291">
        <f t="shared" si="19"/>
        <v>1.8048691801034881E-3</v>
      </c>
      <c r="K57" s="292">
        <f>IF(SUM(K58:K61)=0,0,SUM(K58:K61))</f>
        <v>0</v>
      </c>
      <c r="L57" s="293" t="e">
        <f t="shared" si="20"/>
        <v>#DIV/0!</v>
      </c>
      <c r="M57" s="292">
        <f>IF(SUM(M58:M61)=0,0,SUM(M58:M61))</f>
        <v>0</v>
      </c>
      <c r="N57" s="295" t="e">
        <f t="shared" si="21"/>
        <v>#DIV/0!</v>
      </c>
      <c r="O57" s="292">
        <f>IF(SUM(O58:O61)=0,0,SUM(O58:O61))</f>
        <v>0</v>
      </c>
      <c r="P57" s="292" t="e">
        <f t="shared" si="22"/>
        <v>#DIV/0!</v>
      </c>
      <c r="Q57" s="292">
        <f>IF(SUM(Q58:Q61)=0,0,SUM(Q58:Q61))</f>
        <v>0</v>
      </c>
      <c r="R57" s="292" t="e">
        <f t="shared" si="23"/>
        <v>#DIV/0!</v>
      </c>
      <c r="S57" s="292">
        <f>IF(SUM(S58:S61)=0,0,SUM(S58:S61))</f>
        <v>0</v>
      </c>
      <c r="T57" s="294" t="e">
        <f t="shared" si="24"/>
        <v>#DIV/0!</v>
      </c>
      <c r="U57" s="292">
        <f>IF(SUM(U58:U61)=0,0,SUM(U58:U61))</f>
        <v>0</v>
      </c>
      <c r="V57" s="294" t="e">
        <f t="shared" si="25"/>
        <v>#DIV/0!</v>
      </c>
      <c r="W57" s="292">
        <f>IF(SUM(W58:W61)=0,0,SUM(W58:W61))</f>
        <v>0</v>
      </c>
      <c r="X57" s="294" t="e">
        <f t="shared" si="26"/>
        <v>#DIV/0!</v>
      </c>
      <c r="Y57" s="292">
        <f>IF(SUM(Y58:Y61)=0,0,SUM(Y58:Y61))</f>
        <v>0</v>
      </c>
      <c r="Z57" s="294" t="e">
        <f t="shared" si="27"/>
        <v>#DIV/0!</v>
      </c>
      <c r="AA57" s="294" t="e">
        <f>IF(SUM(AA58:AA61)=0,0,SUM(AA58:AA61))</f>
        <v>#REF!</v>
      </c>
      <c r="AB57" s="295" t="e">
        <f t="shared" si="31"/>
        <v>#REF!</v>
      </c>
      <c r="AC57" s="296"/>
      <c r="AD57" s="292"/>
      <c r="AE57" s="291"/>
      <c r="AF57" s="292"/>
      <c r="AG57" s="293"/>
      <c r="AH57" s="294"/>
      <c r="AI57" s="295"/>
      <c r="AJ57" s="296"/>
      <c r="AK57" s="292"/>
      <c r="AL57" s="291"/>
      <c r="AM57" s="292"/>
      <c r="AN57" s="293"/>
      <c r="AO57" s="294"/>
      <c r="AP57" s="295"/>
      <c r="AQ57" s="296"/>
      <c r="AR57" s="292"/>
      <c r="AS57" s="291"/>
      <c r="AT57" s="292"/>
      <c r="AU57" s="293"/>
      <c r="AV57" s="294"/>
      <c r="AW57" s="295"/>
      <c r="AX57" s="296"/>
      <c r="AY57" s="292"/>
      <c r="AZ57" s="291"/>
      <c r="BA57" s="292"/>
      <c r="BB57" s="293"/>
      <c r="BC57" s="294"/>
      <c r="BD57" s="295"/>
      <c r="BE57" s="296"/>
      <c r="BF57" s="292"/>
      <c r="BG57" s="291"/>
      <c r="BH57" s="292"/>
      <c r="BI57" s="293"/>
      <c r="BJ57" s="294"/>
      <c r="BK57" s="295"/>
      <c r="BL57" s="296"/>
      <c r="BM57" s="292"/>
      <c r="BN57" s="291"/>
      <c r="BO57" s="292"/>
      <c r="BP57" s="293"/>
      <c r="BQ57" s="294"/>
      <c r="BR57" s="295"/>
      <c r="BS57" s="297"/>
      <c r="BT57" s="292"/>
      <c r="BU57" s="291"/>
      <c r="BV57" s="292"/>
      <c r="BW57" s="293"/>
      <c r="BX57" s="294"/>
      <c r="BY57" s="295"/>
      <c r="BZ57" s="297"/>
      <c r="CA57" s="292"/>
      <c r="CB57" s="291"/>
      <c r="CC57" s="292"/>
      <c r="CD57" s="293"/>
      <c r="CE57" s="294"/>
      <c r="CF57" s="295"/>
      <c r="CG57" s="297"/>
      <c r="CH57" s="292"/>
      <c r="CI57" s="291"/>
      <c r="CJ57" s="292"/>
      <c r="CK57" s="293"/>
    </row>
    <row r="58" spans="2:89" s="176" customFormat="1" ht="10.35" customHeight="1">
      <c r="B58" s="178" t="s">
        <v>366</v>
      </c>
      <c r="C58" s="190">
        <f>SUMIF('MVTO A'!$C$3:$C$184,"Empres_E",'MVTO A'!$G$3:$G$184)</f>
        <v>0</v>
      </c>
      <c r="D58" s="215">
        <f t="shared" si="28"/>
        <v>0</v>
      </c>
      <c r="E58" s="190">
        <f>SUMIF('MVTO A'!$C$3:$C$184,"Empres_E",'MVTO A'!$H$3:$H$184)</f>
        <v>0</v>
      </c>
      <c r="F58" s="215">
        <f t="shared" si="29"/>
        <v>0</v>
      </c>
      <c r="G58" s="190">
        <f>SUMIF('MVTO A'!$C$3:$C$184,"Empres_E",'MVTO A'!$I$3:$I$184)</f>
        <v>0</v>
      </c>
      <c r="H58" s="215">
        <f t="shared" si="30"/>
        <v>0</v>
      </c>
      <c r="I58" s="190">
        <f>SUMIF('MVTO A'!$C$3:$C$184,"Empres_E",'MVTO A'!$J$3:$J$184)</f>
        <v>0</v>
      </c>
      <c r="J58" s="211">
        <f t="shared" si="19"/>
        <v>0</v>
      </c>
      <c r="K58" s="190">
        <f>SUMIF('MVTO A'!$C$3:$C$184,"Empres_E",'MVTO A'!$K$3:$K$184)</f>
        <v>0</v>
      </c>
      <c r="L58" s="211" t="e">
        <f t="shared" si="20"/>
        <v>#DIV/0!</v>
      </c>
      <c r="M58" s="190">
        <f>SUMIF('MVTO A'!$C$3:$C$184,"Empres_E",'MVTO A'!$L$3:$L$184)</f>
        <v>0</v>
      </c>
      <c r="N58" s="211" t="e">
        <f t="shared" si="21"/>
        <v>#DIV/0!</v>
      </c>
      <c r="O58" s="190">
        <f>SUMIF('MVTO A'!$C$3:$C$184,"Empres_E",'MVTO A'!$M$3:$M$189)</f>
        <v>0</v>
      </c>
      <c r="P58" s="211" t="e">
        <f t="shared" si="22"/>
        <v>#DIV/0!</v>
      </c>
      <c r="Q58" s="190">
        <f>SUMIF('MVTO A'!$C$3:$C$184,"Empres_E",'MVTO A'!$N$3:$N$189)</f>
        <v>0</v>
      </c>
      <c r="R58" s="211" t="e">
        <f t="shared" si="23"/>
        <v>#DIV/0!</v>
      </c>
      <c r="S58" s="190">
        <f>SUMIF('MVTO A'!$C$3:$C$184,"Empres_E",'MVTO A'!$O$3:$O$189)</f>
        <v>0</v>
      </c>
      <c r="T58" s="211" t="e">
        <f t="shared" si="24"/>
        <v>#DIV/0!</v>
      </c>
      <c r="U58" s="190">
        <f>SUMIF('MVTO A'!$C$3:$C$184,"Empres_E",'MVTO A'!$P$3:$P$189)</f>
        <v>0</v>
      </c>
      <c r="V58" s="211" t="e">
        <f t="shared" si="25"/>
        <v>#DIV/0!</v>
      </c>
      <c r="W58" s="190">
        <f>SUMIF('MVTO A'!$C$3:$C$184,"Empres_E",'MVTO A'!$Q$3:$Q$189)</f>
        <v>0</v>
      </c>
      <c r="X58" s="211" t="e">
        <f t="shared" si="26"/>
        <v>#DIV/0!</v>
      </c>
      <c r="Y58" s="190">
        <f>SUMIF('MVTO A'!$C$3:$C$184,"Empres_E",'MVTO A'!$R$3:$R$189)</f>
        <v>0</v>
      </c>
      <c r="Z58" s="211" t="e">
        <f t="shared" si="27"/>
        <v>#DIV/0!</v>
      </c>
      <c r="AA58" s="190" t="e">
        <f>SUM(#REF!,#REF!,#REF!,#REF!,#REF!,#REF!,#REF!,#REF!,#REF!,#REF!,#REF!,#REF!)</f>
        <v>#REF!</v>
      </c>
      <c r="AB58" s="201" t="e">
        <f t="shared" si="31"/>
        <v>#REF!</v>
      </c>
    </row>
    <row r="59" spans="2:89" s="176" customFormat="1" ht="10.35" customHeight="1">
      <c r="B59" s="178" t="s">
        <v>31</v>
      </c>
      <c r="C59" s="197"/>
      <c r="D59" s="215">
        <f t="shared" si="28"/>
        <v>0</v>
      </c>
      <c r="E59" s="197"/>
      <c r="F59" s="215">
        <f t="shared" si="29"/>
        <v>0</v>
      </c>
      <c r="G59" s="197"/>
      <c r="H59" s="215">
        <f t="shared" si="30"/>
        <v>0</v>
      </c>
      <c r="I59" s="197"/>
      <c r="J59" s="211">
        <f t="shared" si="19"/>
        <v>0</v>
      </c>
      <c r="K59" s="197"/>
      <c r="L59" s="211" t="e">
        <f t="shared" si="20"/>
        <v>#DIV/0!</v>
      </c>
      <c r="M59" s="197"/>
      <c r="N59" s="211" t="e">
        <f t="shared" si="21"/>
        <v>#DIV/0!</v>
      </c>
      <c r="O59" s="197"/>
      <c r="P59" s="211" t="e">
        <f t="shared" si="22"/>
        <v>#DIV/0!</v>
      </c>
      <c r="Q59" s="197"/>
      <c r="R59" s="211" t="e">
        <f t="shared" si="23"/>
        <v>#DIV/0!</v>
      </c>
      <c r="S59" s="197"/>
      <c r="T59" s="211" t="e">
        <f t="shared" si="24"/>
        <v>#DIV/0!</v>
      </c>
      <c r="U59" s="197"/>
      <c r="V59" s="211" t="e">
        <f t="shared" si="25"/>
        <v>#DIV/0!</v>
      </c>
      <c r="W59" s="197"/>
      <c r="X59" s="211" t="e">
        <f t="shared" si="26"/>
        <v>#DIV/0!</v>
      </c>
      <c r="Y59" s="197"/>
      <c r="Z59" s="211" t="e">
        <f t="shared" si="27"/>
        <v>#DIV/0!</v>
      </c>
      <c r="AA59" s="190" t="e">
        <f>SUM(#REF!,#REF!,#REF!,#REF!,#REF!,#REF!,#REF!,#REF!,#REF!,#REF!,#REF!,#REF!)</f>
        <v>#REF!</v>
      </c>
      <c r="AB59" s="201" t="e">
        <f t="shared" si="31"/>
        <v>#REF!</v>
      </c>
    </row>
    <row r="60" spans="2:89" s="176" customFormat="1" ht="10.35" customHeight="1">
      <c r="B60" s="178" t="s">
        <v>32</v>
      </c>
      <c r="C60" s="197"/>
      <c r="D60" s="215">
        <f t="shared" si="28"/>
        <v>0</v>
      </c>
      <c r="E60" s="197"/>
      <c r="F60" s="215">
        <f t="shared" si="29"/>
        <v>0</v>
      </c>
      <c r="G60" s="197"/>
      <c r="H60" s="215">
        <f t="shared" si="30"/>
        <v>0</v>
      </c>
      <c r="I60" s="197"/>
      <c r="J60" s="211">
        <f t="shared" si="19"/>
        <v>0</v>
      </c>
      <c r="K60" s="197"/>
      <c r="L60" s="211" t="e">
        <f t="shared" si="20"/>
        <v>#DIV/0!</v>
      </c>
      <c r="M60" s="197"/>
      <c r="N60" s="211" t="e">
        <f t="shared" si="21"/>
        <v>#DIV/0!</v>
      </c>
      <c r="O60" s="197"/>
      <c r="P60" s="211" t="e">
        <f t="shared" si="22"/>
        <v>#DIV/0!</v>
      </c>
      <c r="Q60" s="197"/>
      <c r="R60" s="211" t="e">
        <f t="shared" si="23"/>
        <v>#DIV/0!</v>
      </c>
      <c r="S60" s="197"/>
      <c r="T60" s="211" t="e">
        <f t="shared" si="24"/>
        <v>#DIV/0!</v>
      </c>
      <c r="U60" s="197"/>
      <c r="V60" s="211" t="e">
        <f t="shared" si="25"/>
        <v>#DIV/0!</v>
      </c>
      <c r="W60" s="197"/>
      <c r="X60" s="211" t="e">
        <f t="shared" si="26"/>
        <v>#DIV/0!</v>
      </c>
      <c r="Y60" s="197"/>
      <c r="Z60" s="211" t="e">
        <f t="shared" si="27"/>
        <v>#DIV/0!</v>
      </c>
      <c r="AA60" s="190" t="e">
        <f>SUM(#REF!,#REF!,#REF!,#REF!,#REF!,#REF!,#REF!,#REF!,#REF!,#REF!,#REF!,#REF!)</f>
        <v>#REF!</v>
      </c>
      <c r="AB60" s="201" t="e">
        <f t="shared" si="31"/>
        <v>#REF!</v>
      </c>
    </row>
    <row r="61" spans="2:89" s="176" customFormat="1" ht="10.35" customHeight="1">
      <c r="B61" s="178" t="s">
        <v>368</v>
      </c>
      <c r="C61" s="190">
        <f>SUMIF('MVTO A'!$C$3:$C$184,"Juros_E",'MVTO A'!$G$3:$G$184)</f>
        <v>7936.96</v>
      </c>
      <c r="D61" s="215">
        <f t="shared" si="28"/>
        <v>2.0084784484672015E-3</v>
      </c>
      <c r="E61" s="190">
        <f>SUMIF('MVTO A'!$C$3:$C$184,"Juros_E",'MVTO A'!$H$3:$H$184)</f>
        <v>7376.88</v>
      </c>
      <c r="F61" s="215">
        <f t="shared" si="29"/>
        <v>2.1574653624956116E-3</v>
      </c>
      <c r="G61" s="190">
        <f>SUMIF('MVTO A'!$C$3:$C$184,"Juros_E",'MVTO A'!$I$3:$I$184)</f>
        <v>5458</v>
      </c>
      <c r="H61" s="215">
        <f t="shared" si="30"/>
        <v>1.495103028075608E-3</v>
      </c>
      <c r="I61" s="190">
        <f>SUMIF('MVTO A'!$C$3:$C$184,"Juros_E",'MVTO A'!$J$3:$J$184)</f>
        <v>5697.6</v>
      </c>
      <c r="J61" s="211">
        <f t="shared" si="19"/>
        <v>1.8048691801034881E-3</v>
      </c>
      <c r="K61" s="190">
        <f>SUMIF('MVTO A'!$C$3:$C$184,"Juros_E",'MVTO A'!$K$3:$K$184)</f>
        <v>0</v>
      </c>
      <c r="L61" s="211" t="e">
        <f t="shared" si="20"/>
        <v>#DIV/0!</v>
      </c>
      <c r="M61" s="190">
        <f>SUMIF('MVTO A'!$C$3:$C$184,"Juros_E",'MVTO A'!$L$3:$L$184)</f>
        <v>0</v>
      </c>
      <c r="N61" s="211" t="e">
        <f t="shared" si="21"/>
        <v>#DIV/0!</v>
      </c>
      <c r="O61" s="190">
        <f>SUMIF('MVTO A'!$C$3:$C$184,"Juros_E",'MVTO A'!$M$3:$M$189)</f>
        <v>0</v>
      </c>
      <c r="P61" s="211" t="e">
        <f t="shared" si="22"/>
        <v>#DIV/0!</v>
      </c>
      <c r="Q61" s="190">
        <f>SUMIF('MVTO A'!$C$3:$C$184,"Juros_E",'MVTO A'!$N$3:$N$189)</f>
        <v>0</v>
      </c>
      <c r="R61" s="211" t="e">
        <f t="shared" si="23"/>
        <v>#DIV/0!</v>
      </c>
      <c r="S61" s="190">
        <f>SUMIF('MVTO A'!$C$3:$C$184,"Juros_E",'MVTO A'!$O$3:$O$189)</f>
        <v>0</v>
      </c>
      <c r="T61" s="211" t="e">
        <f t="shared" si="24"/>
        <v>#DIV/0!</v>
      </c>
      <c r="U61" s="190">
        <f>SUMIF('MVTO A'!$C$3:$C$184,"Juros_E",'MVTO A'!$P$3:$P$189)</f>
        <v>0</v>
      </c>
      <c r="V61" s="211" t="e">
        <f t="shared" si="25"/>
        <v>#DIV/0!</v>
      </c>
      <c r="W61" s="190">
        <f>SUMIF('MVTO A'!$C$3:$C$184,"Juros_E",'MVTO A'!$Q$3:$Q$189)</f>
        <v>0</v>
      </c>
      <c r="X61" s="211" t="e">
        <f t="shared" si="26"/>
        <v>#DIV/0!</v>
      </c>
      <c r="Y61" s="190">
        <f>SUMIF('MVTO A'!$C$3:$C$184,"Juros_E",'MVTO A'!$R$3:$R$189)</f>
        <v>0</v>
      </c>
      <c r="Z61" s="211" t="e">
        <f t="shared" si="27"/>
        <v>#DIV/0!</v>
      </c>
      <c r="AA61" s="190" t="e">
        <f>SUM(#REF!,#REF!,#REF!,#REF!,#REF!,#REF!,#REF!,#REF!,#REF!,#REF!,#REF!,#REF!)</f>
        <v>#REF!</v>
      </c>
      <c r="AB61" s="201" t="e">
        <f t="shared" si="31"/>
        <v>#REF!</v>
      </c>
    </row>
    <row r="62" spans="2:89" s="176" customFormat="1" ht="10.35" customHeight="1">
      <c r="B62" s="177" t="s">
        <v>369</v>
      </c>
      <c r="C62" s="192">
        <f>C63-C64</f>
        <v>-1248377</v>
      </c>
      <c r="D62" s="218">
        <f t="shared" si="28"/>
        <v>-0.31590663176608419</v>
      </c>
      <c r="E62" s="192">
        <f>E63-E64</f>
        <v>-1671240</v>
      </c>
      <c r="F62" s="218">
        <f t="shared" si="29"/>
        <v>-0.48877606961441228</v>
      </c>
      <c r="G62" s="192">
        <f>G63-G64</f>
        <v>-2851185</v>
      </c>
      <c r="H62" s="218">
        <f t="shared" si="30"/>
        <v>-0.78102149635466334</v>
      </c>
      <c r="I62" s="192">
        <f>I63-I64</f>
        <v>-1914661</v>
      </c>
      <c r="J62" s="211">
        <f t="shared" si="19"/>
        <v>-0.60652075071014544</v>
      </c>
      <c r="K62" s="192">
        <f>K63-K64</f>
        <v>0</v>
      </c>
      <c r="L62" s="211" t="e">
        <f t="shared" si="20"/>
        <v>#DIV/0!</v>
      </c>
      <c r="M62" s="192">
        <f>M63-M64</f>
        <v>0</v>
      </c>
      <c r="N62" s="211" t="e">
        <f t="shared" si="21"/>
        <v>#DIV/0!</v>
      </c>
      <c r="O62" s="192">
        <f>O63-O64</f>
        <v>0</v>
      </c>
      <c r="P62" s="211" t="e">
        <f t="shared" si="22"/>
        <v>#DIV/0!</v>
      </c>
      <c r="Q62" s="192">
        <f>Q63-Q64</f>
        <v>0</v>
      </c>
      <c r="R62" s="211" t="e">
        <f t="shared" si="23"/>
        <v>#DIV/0!</v>
      </c>
      <c r="S62" s="192">
        <f>S63-S64</f>
        <v>0</v>
      </c>
      <c r="T62" s="211" t="e">
        <f t="shared" si="24"/>
        <v>#DIV/0!</v>
      </c>
      <c r="U62" s="192">
        <f>U63-U64</f>
        <v>0</v>
      </c>
      <c r="V62" s="211" t="e">
        <f t="shared" si="25"/>
        <v>#DIV/0!</v>
      </c>
      <c r="W62" s="192">
        <f>W63-W64</f>
        <v>0</v>
      </c>
      <c r="X62" s="211" t="e">
        <f t="shared" si="26"/>
        <v>#DIV/0!</v>
      </c>
      <c r="Y62" s="192">
        <f>Y63-Y64</f>
        <v>0</v>
      </c>
      <c r="Z62" s="211" t="e">
        <f t="shared" si="27"/>
        <v>#DIV/0!</v>
      </c>
      <c r="AA62" s="192" t="e">
        <f>AA63-AA64</f>
        <v>#REF!</v>
      </c>
      <c r="AB62" s="203" t="e">
        <f t="shared" si="31"/>
        <v>#REF!</v>
      </c>
    </row>
    <row r="63" spans="2:89" s="176" customFormat="1" ht="10.35" customHeight="1">
      <c r="B63" s="178" t="s">
        <v>370</v>
      </c>
      <c r="C63" s="190">
        <f>SUMIF('MVTO A'!$C$3:$C$184,"E_Ligadas",'MVTO A'!$G$3:$G$184)</f>
        <v>425948</v>
      </c>
      <c r="D63" s="215">
        <f t="shared" si="28"/>
        <v>0.10778779005660952</v>
      </c>
      <c r="E63" s="190">
        <f>SUMIF('MVTO A'!$C$3:$C$184,"E_Ligadas",'MVTO A'!$H$3:$H$184)</f>
        <v>13900</v>
      </c>
      <c r="F63" s="215">
        <f t="shared" si="29"/>
        <v>4.0652374091335363E-3</v>
      </c>
      <c r="G63" s="190">
        <f>SUMIF('MVTO A'!$C$3:$C$184,"E_Ligadas",'MVTO A'!$I$3:$I$184)</f>
        <v>136600</v>
      </c>
      <c r="H63" s="215">
        <f t="shared" si="30"/>
        <v>3.7418665011932584E-2</v>
      </c>
      <c r="I63" s="190">
        <f>SUMIF('MVTO A'!$C$3:$C$184,"E_Ligadas",'MVTO A'!$J$3:$J$184)</f>
        <v>0</v>
      </c>
      <c r="J63" s="211">
        <f t="shared" si="19"/>
        <v>0</v>
      </c>
      <c r="K63" s="190">
        <f>SUMIF('MVTO A'!$C$3:$C$184,"E_Ligadas",'MVTO A'!$K$3:$K$184)</f>
        <v>0</v>
      </c>
      <c r="L63" s="211" t="e">
        <f t="shared" si="20"/>
        <v>#DIV/0!</v>
      </c>
      <c r="M63" s="190">
        <f>SUMIF('MVTO A'!$C$3:$C$184,"E_Ligadas",'MVTO A'!$L$3:$L$184)</f>
        <v>0</v>
      </c>
      <c r="N63" s="211" t="e">
        <f t="shared" si="21"/>
        <v>#DIV/0!</v>
      </c>
      <c r="O63" s="190">
        <f>SUMIF('MVTO A'!$C$3:$C$184,"E_Ligadas",'MVTO A'!$M$3:$M$189)</f>
        <v>0</v>
      </c>
      <c r="P63" s="211" t="e">
        <f t="shared" si="22"/>
        <v>#DIV/0!</v>
      </c>
      <c r="Q63" s="190">
        <f>SUMIF('MVTO A'!$C$3:$C$184,"E_Ligadas",'MVTO A'!$N$3:$N$189)</f>
        <v>0</v>
      </c>
      <c r="R63" s="211" t="e">
        <f t="shared" si="23"/>
        <v>#DIV/0!</v>
      </c>
      <c r="S63" s="190">
        <f>SUMIF('MVTO A'!$C$3:$C$184,"E_Ligadas",'MVTO A'!$O$3:$O$189)</f>
        <v>0</v>
      </c>
      <c r="T63" s="211" t="e">
        <f t="shared" si="24"/>
        <v>#DIV/0!</v>
      </c>
      <c r="U63" s="190">
        <f>SUMIF('MVTO A'!$C$3:$C$184,"E_Ligadas",'MVTO A'!$P$3:$P$189)</f>
        <v>0</v>
      </c>
      <c r="V63" s="211" t="e">
        <f t="shared" si="25"/>
        <v>#DIV/0!</v>
      </c>
      <c r="W63" s="190">
        <f>SUMIF('MVTO A'!$C$3:$C$184,"E_Ligadas",'MVTO A'!$Q$3:$Q$189)</f>
        <v>0</v>
      </c>
      <c r="X63" s="211" t="e">
        <f t="shared" si="26"/>
        <v>#DIV/0!</v>
      </c>
      <c r="Y63" s="190">
        <f>SUMIF('MVTO A'!$C$3:$C$184,"E_Ligadas",'MVTO A'!$R$3:$R$189)</f>
        <v>0</v>
      </c>
      <c r="Z63" s="211" t="e">
        <f t="shared" si="27"/>
        <v>#DIV/0!</v>
      </c>
      <c r="AA63" s="190" t="e">
        <f>SUM(#REF!,#REF!,#REF!,#REF!,#REF!,#REF!,#REF!,#REF!,#REF!,#REF!,#REF!,#REF!)</f>
        <v>#REF!</v>
      </c>
      <c r="AB63" s="201" t="e">
        <f t="shared" si="31"/>
        <v>#REF!</v>
      </c>
    </row>
    <row r="64" spans="2:89" s="176" customFormat="1" ht="10.35" customHeight="1">
      <c r="B64" s="178" t="s">
        <v>371</v>
      </c>
      <c r="C64" s="190">
        <f>SUMIF('MVTO A'!$C$3:$C$184,"S_Ligadas",'MVTO A'!$G$3:$G$184)</f>
        <v>1674325</v>
      </c>
      <c r="D64" s="215">
        <f t="shared" si="28"/>
        <v>0.42369442182269373</v>
      </c>
      <c r="E64" s="190">
        <f>SUMIF('MVTO A'!$C$3:$C$184,"S_Ligadas",'MVTO A'!$H$3:$H$184)</f>
        <v>1685140</v>
      </c>
      <c r="F64" s="215">
        <f t="shared" si="29"/>
        <v>0.49284130702354584</v>
      </c>
      <c r="G64" s="190">
        <f>SUMIF('MVTO A'!$C$3:$C$184,"S_Ligadas",'MVTO A'!$I$3:$I$184)</f>
        <v>2987785</v>
      </c>
      <c r="H64" s="215">
        <f t="shared" si="30"/>
        <v>0.81844016136659592</v>
      </c>
      <c r="I64" s="190">
        <f>SUMIF('MVTO A'!$C$3:$C$184,"S_Ligadas",'MVTO A'!$J$3:$J$184)</f>
        <v>1914661</v>
      </c>
      <c r="J64" s="211">
        <f t="shared" si="19"/>
        <v>0.60652075071014544</v>
      </c>
      <c r="K64" s="190">
        <f>SUMIF('MVTO A'!$C$3:$C$184,"S_Ligadas",'MVTO A'!$K$3:$K$184)</f>
        <v>0</v>
      </c>
      <c r="L64" s="211" t="e">
        <f t="shared" si="20"/>
        <v>#DIV/0!</v>
      </c>
      <c r="M64" s="190">
        <f>SUMIF('MVTO A'!$C$3:$C$184,"S_Ligadas",'MVTO A'!$L$3:$L$184)</f>
        <v>0</v>
      </c>
      <c r="N64" s="211" t="e">
        <f t="shared" si="21"/>
        <v>#DIV/0!</v>
      </c>
      <c r="O64" s="190">
        <f>SUMIF('MVTO A'!$C$3:$C$184,"S_Ligadas",'MVTO A'!$M$3:$M$189)</f>
        <v>0</v>
      </c>
      <c r="P64" s="211" t="e">
        <f t="shared" si="22"/>
        <v>#DIV/0!</v>
      </c>
      <c r="Q64" s="190">
        <f>SUMIF('MVTO A'!$C$3:$C$184,"S_Ligadas",'MVTO A'!$N$3:$N$189)</f>
        <v>0</v>
      </c>
      <c r="R64" s="211" t="e">
        <f t="shared" si="23"/>
        <v>#DIV/0!</v>
      </c>
      <c r="S64" s="190">
        <f>SUMIF('MVTO A'!$C$3:$C$184,"S_Ligadas",'MVTO A'!$O$3:$O$189)</f>
        <v>0</v>
      </c>
      <c r="T64" s="211" t="e">
        <f t="shared" si="24"/>
        <v>#DIV/0!</v>
      </c>
      <c r="U64" s="190">
        <f>SUMIF('MVTO A'!$C$3:$C$184,"S_Ligadas",'MVTO A'!$P$3:$P$189)</f>
        <v>0</v>
      </c>
      <c r="V64" s="211" t="e">
        <f t="shared" si="25"/>
        <v>#DIV/0!</v>
      </c>
      <c r="W64" s="190">
        <f>SUMIF('MVTO A'!$C$3:$C$184,"S_Ligadas",'MVTO A'!$Q$3:$Q$189)</f>
        <v>0</v>
      </c>
      <c r="X64" s="211" t="e">
        <f t="shared" si="26"/>
        <v>#DIV/0!</v>
      </c>
      <c r="Y64" s="190">
        <f>SUMIF('MVTO A'!$C$3:$C$184,"S_Ligadas",'MVTO A'!$R$3:$R$189)</f>
        <v>0</v>
      </c>
      <c r="Z64" s="211" t="e">
        <f t="shared" si="27"/>
        <v>#DIV/0!</v>
      </c>
      <c r="AA64" s="190" t="e">
        <f>SUM(#REF!,#REF!,#REF!,#REF!,#REF!,#REF!,#REF!,#REF!,#REF!,#REF!,#REF!,#REF!)</f>
        <v>#REF!</v>
      </c>
      <c r="AB64" s="201" t="e">
        <f t="shared" si="31"/>
        <v>#REF!</v>
      </c>
    </row>
    <row r="65" spans="2:28" s="176" customFormat="1" ht="10.35" customHeight="1">
      <c r="B65" s="177" t="s">
        <v>379</v>
      </c>
      <c r="C65" s="192">
        <f>C66-C67</f>
        <v>-25394.58</v>
      </c>
      <c r="D65" s="218" t="e">
        <f>C65/#REF!</f>
        <v>#REF!</v>
      </c>
      <c r="E65" s="192">
        <f>E66-E67</f>
        <v>-24047.010000000002</v>
      </c>
      <c r="F65" s="218" t="e">
        <f>E65/#REF!</f>
        <v>#REF!</v>
      </c>
      <c r="G65" s="192">
        <f>G66-G67</f>
        <v>-21667.27</v>
      </c>
      <c r="H65" s="218" t="e">
        <f>G65/#REF!</f>
        <v>#REF!</v>
      </c>
      <c r="I65" s="192">
        <f>I66-I67</f>
        <v>-28805.86</v>
      </c>
      <c r="J65" s="211">
        <f t="shared" si="19"/>
        <v>-9.1250366681367347E-3</v>
      </c>
      <c r="K65" s="192">
        <f>K66-K67</f>
        <v>0</v>
      </c>
      <c r="L65" s="211" t="e">
        <f t="shared" si="20"/>
        <v>#DIV/0!</v>
      </c>
      <c r="M65" s="192">
        <f>M66-M67</f>
        <v>0</v>
      </c>
      <c r="N65" s="211" t="e">
        <f t="shared" si="21"/>
        <v>#DIV/0!</v>
      </c>
      <c r="O65" s="192">
        <f>O66-O67</f>
        <v>0</v>
      </c>
      <c r="P65" s="211" t="e">
        <f t="shared" si="22"/>
        <v>#DIV/0!</v>
      </c>
      <c r="Q65" s="192">
        <f>Q66-Q67</f>
        <v>0</v>
      </c>
      <c r="R65" s="211" t="e">
        <f t="shared" si="23"/>
        <v>#DIV/0!</v>
      </c>
      <c r="S65" s="192">
        <f>S66-S67</f>
        <v>0</v>
      </c>
      <c r="T65" s="211" t="e">
        <f t="shared" si="24"/>
        <v>#DIV/0!</v>
      </c>
      <c r="U65" s="192">
        <f>U66-U67</f>
        <v>0</v>
      </c>
      <c r="V65" s="211" t="e">
        <f t="shared" si="25"/>
        <v>#DIV/0!</v>
      </c>
      <c r="W65" s="192">
        <f>W66-W67</f>
        <v>0</v>
      </c>
      <c r="X65" s="211" t="e">
        <f t="shared" si="26"/>
        <v>#DIV/0!</v>
      </c>
      <c r="Y65" s="192">
        <f>Y66-Y67</f>
        <v>0</v>
      </c>
      <c r="Z65" s="211" t="e">
        <f t="shared" si="27"/>
        <v>#DIV/0!</v>
      </c>
      <c r="AA65" s="192" t="e">
        <f>AA66-AA67</f>
        <v>#REF!</v>
      </c>
      <c r="AB65" s="203" t="e">
        <f t="shared" si="31"/>
        <v>#REF!</v>
      </c>
    </row>
    <row r="66" spans="2:28" s="176" customFormat="1" ht="10.35" customHeight="1">
      <c r="B66" s="178" t="s">
        <v>370</v>
      </c>
      <c r="C66" s="179"/>
      <c r="D66" s="215">
        <f t="shared" ref="D66:D72" si="32">C66/$C$10</f>
        <v>0</v>
      </c>
      <c r="E66" s="179"/>
      <c r="F66" s="215">
        <f t="shared" ref="F66:F72" si="33">E66/$E$10</f>
        <v>0</v>
      </c>
      <c r="G66" s="179"/>
      <c r="H66" s="215">
        <f t="shared" ref="H66:H72" si="34">G66/$G$10</f>
        <v>0</v>
      </c>
      <c r="I66" s="190"/>
      <c r="J66" s="211">
        <f t="shared" si="19"/>
        <v>0</v>
      </c>
      <c r="K66" s="190"/>
      <c r="L66" s="211" t="e">
        <f t="shared" si="20"/>
        <v>#DIV/0!</v>
      </c>
      <c r="M66" s="190"/>
      <c r="N66" s="211" t="e">
        <f t="shared" si="21"/>
        <v>#DIV/0!</v>
      </c>
      <c r="O66" s="190"/>
      <c r="P66" s="211" t="e">
        <f t="shared" si="22"/>
        <v>#DIV/0!</v>
      </c>
      <c r="Q66" s="190"/>
      <c r="R66" s="211" t="e">
        <f t="shared" si="23"/>
        <v>#DIV/0!</v>
      </c>
      <c r="S66" s="190"/>
      <c r="T66" s="211" t="e">
        <f t="shared" si="24"/>
        <v>#DIV/0!</v>
      </c>
      <c r="U66" s="190"/>
      <c r="V66" s="211" t="e">
        <f t="shared" si="25"/>
        <v>#DIV/0!</v>
      </c>
      <c r="W66" s="190"/>
      <c r="X66" s="211" t="e">
        <f t="shared" si="26"/>
        <v>#DIV/0!</v>
      </c>
      <c r="Y66" s="190"/>
      <c r="Z66" s="211" t="e">
        <f t="shared" si="27"/>
        <v>#DIV/0!</v>
      </c>
      <c r="AA66" s="190" t="e">
        <f>SUM(#REF!,#REF!,#REF!,#REF!,#REF!,#REF!,#REF!,#REF!,#REF!,#REF!,#REF!,#REF!)</f>
        <v>#REF!</v>
      </c>
      <c r="AB66" s="201" t="e">
        <f t="shared" si="31"/>
        <v>#REF!</v>
      </c>
    </row>
    <row r="67" spans="2:28" s="176" customFormat="1" ht="10.35" customHeight="1">
      <c r="B67" s="178" t="s">
        <v>371</v>
      </c>
      <c r="C67" s="190">
        <f>SUMIF('MVTO A'!$C$3:$C$184,"Adto_S",'MVTO A'!$G$3:$G$184)</f>
        <v>25394.58</v>
      </c>
      <c r="D67" s="215">
        <f t="shared" si="32"/>
        <v>6.4261967602049436E-3</v>
      </c>
      <c r="E67" s="190">
        <f>SUMIF('MVTO A'!$C$3:$C$184,"Adto_S",'MVTO A'!$H$3:$H$184)</f>
        <v>24047.010000000002</v>
      </c>
      <c r="F67" s="215">
        <f t="shared" si="33"/>
        <v>7.0328636424322475E-3</v>
      </c>
      <c r="G67" s="190">
        <f>SUMIF('MVTO A'!$C$3:$C$184,"Adto_S",'MVTO A'!$I$3:$I$184)</f>
        <v>21667.27</v>
      </c>
      <c r="H67" s="215">
        <f t="shared" si="34"/>
        <v>5.935287832013884E-3</v>
      </c>
      <c r="I67" s="190">
        <f>SUMIF('MVTO A'!$C$3:$C$184,"Adto_S",'MVTO A'!$J$3:$J$184)</f>
        <v>28805.86</v>
      </c>
      <c r="J67" s="211">
        <f t="shared" si="19"/>
        <v>9.1250366681367347E-3</v>
      </c>
      <c r="K67" s="190">
        <f>SUMIF('MVTO A'!$C$3:$C$184,"Adto_S",'MVTO A'!$K$3:$K$184)</f>
        <v>0</v>
      </c>
      <c r="L67" s="211" t="e">
        <f t="shared" si="20"/>
        <v>#DIV/0!</v>
      </c>
      <c r="M67" s="190">
        <f>SUMIF('MVTO A'!$C$3:$C$184,"Adto_S",'MVTO A'!$L$3:$L$184)</f>
        <v>0</v>
      </c>
      <c r="N67" s="211" t="e">
        <f t="shared" si="21"/>
        <v>#DIV/0!</v>
      </c>
      <c r="O67" s="190">
        <f>SUMIF('MVTO A'!$C$3:$C$184,"Adto_S",'MVTO A'!$M$3:$M$189)</f>
        <v>0</v>
      </c>
      <c r="P67" s="211" t="e">
        <f t="shared" si="22"/>
        <v>#DIV/0!</v>
      </c>
      <c r="Q67" s="190">
        <f>SUMIF('MVTO A'!$C$3:$C$184,"Adto_S",'MVTO A'!$N$3:$N$189)</f>
        <v>0</v>
      </c>
      <c r="R67" s="211" t="e">
        <f t="shared" si="23"/>
        <v>#DIV/0!</v>
      </c>
      <c r="S67" s="190">
        <f>SUMIF('MVTO A'!$C$3:$C$184,"Adto_S",'MVTO A'!$O$3:$O$189)</f>
        <v>0</v>
      </c>
      <c r="T67" s="211" t="e">
        <f t="shared" si="24"/>
        <v>#DIV/0!</v>
      </c>
      <c r="U67" s="190">
        <f>SUMIF('MVTO A'!$C$3:$C$184,"Adto_S",'MVTO A'!$P$3:$P$189)</f>
        <v>0</v>
      </c>
      <c r="V67" s="211" t="e">
        <f t="shared" si="25"/>
        <v>#DIV/0!</v>
      </c>
      <c r="W67" s="190">
        <f>SUMIF('MVTO A'!$C$3:$C$184,"Adto_S",'MVTO A'!$Q$3:$Q$189)</f>
        <v>0</v>
      </c>
      <c r="X67" s="211" t="e">
        <f t="shared" si="26"/>
        <v>#DIV/0!</v>
      </c>
      <c r="Y67" s="190">
        <f>SUMIF('MVTO A'!$C$3:$C$184,"Adto_S",'MVTO A'!$R$3:$R$189)</f>
        <v>0</v>
      </c>
      <c r="Z67" s="211" t="e">
        <f t="shared" si="27"/>
        <v>#DIV/0!</v>
      </c>
      <c r="AA67" s="190" t="e">
        <f>SUM(#REF!,#REF!,#REF!,#REF!,#REF!,#REF!,#REF!,#REF!,#REF!,#REF!,#REF!,#REF!)</f>
        <v>#REF!</v>
      </c>
      <c r="AB67" s="201" t="e">
        <f t="shared" si="31"/>
        <v>#REF!</v>
      </c>
    </row>
    <row r="68" spans="2:28" s="176" customFormat="1" ht="10.35" customHeight="1">
      <c r="B68" s="177" t="s">
        <v>33</v>
      </c>
      <c r="C68" s="198">
        <f>C48+C57-C50+C63-C64+C66-C67</f>
        <v>789287.43999999913</v>
      </c>
      <c r="D68" s="218">
        <f t="shared" si="32"/>
        <v>0.19973224167513098</v>
      </c>
      <c r="E68" s="198">
        <f>E48+E57-E50+E63-E64+E66-E67</f>
        <v>-95419.140000000829</v>
      </c>
      <c r="F68" s="218">
        <f t="shared" si="33"/>
        <v>-2.7906579674485867E-2</v>
      </c>
      <c r="G68" s="198">
        <f>G48+G57-G50+G63-G64+G66-G67</f>
        <v>-849948.82000000076</v>
      </c>
      <c r="H68" s="218">
        <f t="shared" si="34"/>
        <v>-0.23282540390093276</v>
      </c>
      <c r="I68" s="198">
        <f>I48+I57-I50+I63-I64+I66-I67</f>
        <v>-171859.0900000002</v>
      </c>
      <c r="J68" s="211">
        <f t="shared" si="19"/>
        <v>-5.4441023389081702E-2</v>
      </c>
      <c r="K68" s="198">
        <f>K48+K57-K50+K63-K64+K66-K67</f>
        <v>0</v>
      </c>
      <c r="L68" s="211" t="e">
        <f t="shared" si="20"/>
        <v>#DIV/0!</v>
      </c>
      <c r="M68" s="198">
        <f>M48+M57-M50+M63-M64+M66-M67</f>
        <v>0</v>
      </c>
      <c r="N68" s="211" t="e">
        <f t="shared" si="21"/>
        <v>#DIV/0!</v>
      </c>
      <c r="O68" s="198">
        <f>O48+O57-O50+O63-O64+O66-O67</f>
        <v>0</v>
      </c>
      <c r="P68" s="211" t="e">
        <f t="shared" si="22"/>
        <v>#DIV/0!</v>
      </c>
      <c r="Q68" s="198">
        <f>Q48+Q57-Q50+Q63-Q64+Q66-Q67</f>
        <v>0</v>
      </c>
      <c r="R68" s="211" t="e">
        <f t="shared" si="23"/>
        <v>#DIV/0!</v>
      </c>
      <c r="S68" s="198">
        <f>S48+S57-S50+S63-S64+S66-S67</f>
        <v>0</v>
      </c>
      <c r="T68" s="211" t="e">
        <f t="shared" si="24"/>
        <v>#DIV/0!</v>
      </c>
      <c r="U68" s="198">
        <f>U48+U57-U50+U63-U64+U66-U67</f>
        <v>0</v>
      </c>
      <c r="V68" s="211" t="e">
        <f t="shared" si="25"/>
        <v>#DIV/0!</v>
      </c>
      <c r="W68" s="198">
        <f>W48+W57-W50+W63-W64+W66-W67</f>
        <v>0</v>
      </c>
      <c r="X68" s="211" t="e">
        <f t="shared" si="26"/>
        <v>#DIV/0!</v>
      </c>
      <c r="Y68" s="198">
        <f>Y48+Y57-Y50+Y63-Y64+Y66-Y67</f>
        <v>0</v>
      </c>
      <c r="Z68" s="211" t="e">
        <f t="shared" si="27"/>
        <v>#DIV/0!</v>
      </c>
      <c r="AA68" s="198" t="e">
        <f>AA48+AA57-AA50+AA63-AA64+AA66-AA67</f>
        <v>#VALUE!</v>
      </c>
      <c r="AB68" s="203" t="e">
        <f t="shared" si="31"/>
        <v>#VALUE!</v>
      </c>
    </row>
    <row r="69" spans="2:28" s="176" customFormat="1" ht="10.35" customHeight="1">
      <c r="B69" s="183" t="s">
        <v>34</v>
      </c>
      <c r="C69" s="190">
        <f>SUMIF('MVTO A'!$C$3:$C$184,"Acionistas",'MVTO A'!$G$3:$G$184)</f>
        <v>0</v>
      </c>
      <c r="D69" s="215">
        <f t="shared" si="32"/>
        <v>0</v>
      </c>
      <c r="E69" s="190">
        <f>SUMIF('MVTO A'!$C$3:$C$184,"Acionistas",'MVTO A'!$H$3:$H$184)</f>
        <v>0</v>
      </c>
      <c r="F69" s="215">
        <f t="shared" si="33"/>
        <v>0</v>
      </c>
      <c r="G69" s="190">
        <f>SUMIF('MVTO A'!$C$3:$C$184,"Acionistas",'MVTO A'!$I$3:$I$184)</f>
        <v>0</v>
      </c>
      <c r="H69" s="215">
        <f t="shared" si="34"/>
        <v>0</v>
      </c>
      <c r="I69" s="190">
        <f>SUMIF('MVTO A'!$C$3:$C$184,"Acionistas",'MVTO A'!$J$3:$J$184)</f>
        <v>2606.1799999999998</v>
      </c>
      <c r="J69" s="211">
        <f t="shared" si="19"/>
        <v>8.255781311082049E-4</v>
      </c>
      <c r="K69" s="190">
        <f>SUMIF('MVTO A'!$C$3:$C$184,"Acionistas",'MVTO A'!$K$3:$K$184)</f>
        <v>0</v>
      </c>
      <c r="L69" s="211" t="e">
        <f t="shared" si="20"/>
        <v>#DIV/0!</v>
      </c>
      <c r="M69" s="190">
        <f>SUMIF('MVTO A'!$C$3:$C$184,"Acionistas",'MVTO A'!$L$3:$L$184)</f>
        <v>0</v>
      </c>
      <c r="N69" s="211" t="e">
        <f t="shared" si="21"/>
        <v>#DIV/0!</v>
      </c>
      <c r="O69" s="190">
        <f>SUMIF('MVTO A'!$C$3:$C$184,"Acionistas",'MVTO A'!$M$3:$M$189)</f>
        <v>0</v>
      </c>
      <c r="P69" s="211" t="e">
        <f t="shared" si="22"/>
        <v>#DIV/0!</v>
      </c>
      <c r="Q69" s="190">
        <f>SUMIF('MVTO A'!$C$3:$C$184,"Acionistas",'MVTO A'!$N$3:$N$189)</f>
        <v>0</v>
      </c>
      <c r="R69" s="211" t="e">
        <f t="shared" si="23"/>
        <v>#DIV/0!</v>
      </c>
      <c r="S69" s="190">
        <f>SUMIF('MVTO A'!$C$3:$C$184,"Acionistas",'MVTO A'!$O$3:$O$189)</f>
        <v>0</v>
      </c>
      <c r="T69" s="211" t="e">
        <f t="shared" si="24"/>
        <v>#DIV/0!</v>
      </c>
      <c r="U69" s="190">
        <f>SUMIF('MVTO A'!$C$3:$C$184,"Acionistas",'MVTO A'!$P$3:$P$189)</f>
        <v>0</v>
      </c>
      <c r="V69" s="211" t="e">
        <f t="shared" si="25"/>
        <v>#DIV/0!</v>
      </c>
      <c r="W69" s="190">
        <f>SUMIF('MVTO A'!$C$3:$C$184,"Acionistas",'MVTO A'!$Q$3:$Q$189)</f>
        <v>0</v>
      </c>
      <c r="X69" s="211" t="e">
        <f t="shared" si="26"/>
        <v>#DIV/0!</v>
      </c>
      <c r="Y69" s="190">
        <f>SUMIF('MVTO A'!$C$3:$C$184,"Acionistas",'MVTO A'!$R$3:$R$189)</f>
        <v>0</v>
      </c>
      <c r="Z69" s="211" t="e">
        <f t="shared" si="27"/>
        <v>#DIV/0!</v>
      </c>
      <c r="AA69" s="190" t="e">
        <f>SUM(#REF!,#REF!,#REF!,#REF!,#REF!,#REF!,#REF!,#REF!,#REF!,#REF!,#REF!,#REF!)</f>
        <v>#REF!</v>
      </c>
      <c r="AB69" s="201" t="e">
        <f t="shared" si="31"/>
        <v>#REF!</v>
      </c>
    </row>
    <row r="70" spans="2:28" s="176" customFormat="1" ht="10.35" customHeight="1">
      <c r="B70" s="183" t="s">
        <v>35</v>
      </c>
      <c r="C70" s="179"/>
      <c r="D70" s="215">
        <f t="shared" si="32"/>
        <v>0</v>
      </c>
      <c r="E70" s="179"/>
      <c r="F70" s="215">
        <f t="shared" si="33"/>
        <v>0</v>
      </c>
      <c r="G70" s="179"/>
      <c r="H70" s="215">
        <f t="shared" si="34"/>
        <v>0</v>
      </c>
      <c r="I70" s="197"/>
      <c r="J70" s="211">
        <f t="shared" si="19"/>
        <v>0</v>
      </c>
      <c r="K70" s="197"/>
      <c r="L70" s="211" t="e">
        <f t="shared" si="20"/>
        <v>#DIV/0!</v>
      </c>
      <c r="M70" s="197"/>
      <c r="N70" s="211" t="e">
        <f t="shared" si="21"/>
        <v>#DIV/0!</v>
      </c>
      <c r="O70" s="197"/>
      <c r="P70" s="211" t="e">
        <f t="shared" si="22"/>
        <v>#DIV/0!</v>
      </c>
      <c r="Q70" s="197"/>
      <c r="R70" s="211" t="e">
        <f t="shared" si="23"/>
        <v>#DIV/0!</v>
      </c>
      <c r="S70" s="197"/>
      <c r="T70" s="211" t="e">
        <f t="shared" si="24"/>
        <v>#DIV/0!</v>
      </c>
      <c r="U70" s="197"/>
      <c r="V70" s="211" t="e">
        <f t="shared" si="25"/>
        <v>#DIV/0!</v>
      </c>
      <c r="W70" s="197"/>
      <c r="X70" s="211" t="e">
        <f t="shared" si="26"/>
        <v>#DIV/0!</v>
      </c>
      <c r="Y70" s="197"/>
      <c r="Z70" s="211" t="e">
        <f t="shared" si="27"/>
        <v>#DIV/0!</v>
      </c>
      <c r="AA70" s="190" t="e">
        <f>SUM(#REF!,#REF!,#REF!,#REF!,#REF!,#REF!,#REF!,#REF!,#REF!,#REF!,#REF!,#REF!)</f>
        <v>#REF!</v>
      </c>
      <c r="AB70" s="201" t="e">
        <f t="shared" si="31"/>
        <v>#REF!</v>
      </c>
    </row>
    <row r="71" spans="2:28" s="176" customFormat="1" ht="10.35" customHeight="1">
      <c r="B71" s="183" t="s">
        <v>36</v>
      </c>
      <c r="C71" s="179"/>
      <c r="D71" s="215">
        <f t="shared" si="32"/>
        <v>0</v>
      </c>
      <c r="E71" s="179"/>
      <c r="F71" s="215">
        <f t="shared" si="33"/>
        <v>0</v>
      </c>
      <c r="G71" s="179"/>
      <c r="H71" s="215">
        <f t="shared" si="34"/>
        <v>0</v>
      </c>
      <c r="I71" s="197"/>
      <c r="J71" s="211">
        <f t="shared" si="19"/>
        <v>0</v>
      </c>
      <c r="K71" s="197"/>
      <c r="L71" s="211" t="e">
        <f t="shared" si="20"/>
        <v>#DIV/0!</v>
      </c>
      <c r="M71" s="197"/>
      <c r="N71" s="211" t="e">
        <f t="shared" si="21"/>
        <v>#DIV/0!</v>
      </c>
      <c r="O71" s="197"/>
      <c r="P71" s="211" t="e">
        <f t="shared" si="22"/>
        <v>#DIV/0!</v>
      </c>
      <c r="Q71" s="197"/>
      <c r="R71" s="211" t="e">
        <f t="shared" si="23"/>
        <v>#DIV/0!</v>
      </c>
      <c r="S71" s="197"/>
      <c r="T71" s="211" t="e">
        <f t="shared" si="24"/>
        <v>#DIV/0!</v>
      </c>
      <c r="U71" s="197"/>
      <c r="V71" s="211" t="e">
        <f t="shared" si="25"/>
        <v>#DIV/0!</v>
      </c>
      <c r="W71" s="197"/>
      <c r="X71" s="211" t="e">
        <f t="shared" si="26"/>
        <v>#DIV/0!</v>
      </c>
      <c r="Y71" s="197"/>
      <c r="Z71" s="211" t="e">
        <f t="shared" si="27"/>
        <v>#DIV/0!</v>
      </c>
      <c r="AA71" s="190" t="e">
        <f>SUM(#REF!,#REF!,#REF!,#REF!,#REF!,#REF!,#REF!,#REF!,#REF!,#REF!,#REF!,#REF!)</f>
        <v>#REF!</v>
      </c>
      <c r="AB71" s="201" t="e">
        <f t="shared" si="31"/>
        <v>#REF!</v>
      </c>
    </row>
    <row r="72" spans="2:28" s="176" customFormat="1" ht="10.35" customHeight="1">
      <c r="B72" s="183" t="s">
        <v>37</v>
      </c>
      <c r="C72" s="190">
        <f>SUMIF('MVTO A'!$C$3:$C$184,"Trans_S",'MVTO A'!$G$3:$G$184)-SUMIF('MVTO A'!$C$3:$C$184,"Trans_E",'MVTO A'!$G$3:$G$184)</f>
        <v>162.51</v>
      </c>
      <c r="D72" s="215">
        <f t="shared" si="32"/>
        <v>4.1123784504445644E-5</v>
      </c>
      <c r="E72" s="190">
        <f>SUMIF('MVTO A'!$C$3:$C$184,"Trans_S",'MVTO A'!$H$3:$H$184)-SUMIF('MVTO A'!$C$3:$C$184,"Trans_E",'MVTO A'!$H$3:$H$184)</f>
        <v>-64.02</v>
      </c>
      <c r="F72" s="215">
        <f t="shared" si="33"/>
        <v>-1.8723489131851006E-5</v>
      </c>
      <c r="G72" s="190">
        <f>SUMIF('MVTO A'!$C$3:$C$184,"Trans_S",'MVTO A'!$I$3:$I$184)-SUMIF('MVTO A'!$C$3:$C$184,"Trans_E",'MVTO A'!$I$3:$I$184)</f>
        <v>0</v>
      </c>
      <c r="H72" s="215">
        <f t="shared" si="34"/>
        <v>0</v>
      </c>
      <c r="I72" s="190">
        <f>SUMIF('MVTO A'!$C$3:$C$184,"Trans_S",'MVTO A'!$J$3:$J$184)-SUMIF('MVTO A'!$C$3:$C$184,"Trans_E",'MVTO A'!$J$3:$J$184)</f>
        <v>0</v>
      </c>
      <c r="J72" s="211">
        <f t="shared" si="19"/>
        <v>0</v>
      </c>
      <c r="K72" s="190">
        <f>SUMIF('MVTO A'!$C$3:$C$184,"Trans_S",'MVTO A'!$K$3:$K$184)-SUMIF('MVTO A'!$C$3:$C$184,"Trans_E",'MVTO A'!$K$3:$K$184)</f>
        <v>0</v>
      </c>
      <c r="L72" s="211" t="e">
        <f t="shared" si="20"/>
        <v>#DIV/0!</v>
      </c>
      <c r="M72" s="190">
        <f>SUMIF('MVTO A'!$C$3:$C$184,"Trans_S",'MVTO A'!$L$3:$L$184)-SUMIF('MVTO A'!$C$3:$C$184,"Trans_E",'MVTO A'!$L$3:$L$184)</f>
        <v>0</v>
      </c>
      <c r="N72" s="211" t="e">
        <f t="shared" si="21"/>
        <v>#DIV/0!</v>
      </c>
      <c r="O72" s="190">
        <f>SUMIF('MVTO A'!$C$3:$C$184,"Trans_S",'MVTO A'!$M$3:$M$189)-SUMIF('MVTO A'!$C$3:$C$184,"Trans_E",'MVTO A'!$M$3:$M$189)</f>
        <v>0</v>
      </c>
      <c r="P72" s="211" t="e">
        <f t="shared" si="22"/>
        <v>#DIV/0!</v>
      </c>
      <c r="Q72" s="190">
        <f>SUMIF('MVTO A'!$C$3:$C$184,"Trans_S",'MVTO A'!$N$3:$N$189)-SUMIF('MVTO A'!$C$3:$C$184,"Trans_E",'MVTO A'!$N$3:$N$189)</f>
        <v>0</v>
      </c>
      <c r="R72" s="211" t="e">
        <f t="shared" si="23"/>
        <v>#DIV/0!</v>
      </c>
      <c r="S72" s="190">
        <f>SUMIF('MVTO A'!$C$3:$C$184,"Trans_S",'MVTO A'!$O$3:$O$189)-SUMIF('MVTO A'!$C$3:$C$184,"Trans_E",'MVTO A'!$O$3:$O$189)</f>
        <v>0</v>
      </c>
      <c r="T72" s="211" t="e">
        <f t="shared" si="24"/>
        <v>#DIV/0!</v>
      </c>
      <c r="U72" s="190">
        <f>SUMIF('MVTO A'!$C$3:$C$184,"Trans_S",'MVTO A'!$P$3:$P$189)-SUMIF('MVTO A'!$C$3:$C$184,"Trans_E",'MVTO A'!$P$3:$P$189)</f>
        <v>0</v>
      </c>
      <c r="V72" s="211" t="e">
        <f t="shared" si="25"/>
        <v>#DIV/0!</v>
      </c>
      <c r="W72" s="190">
        <f>SUMIF('MVTO A'!$C$3:$C$184,"Trans_S",'MVTO A'!$Q$3:$Q$189)-SUMIF('MVTO A'!$C$3:$C$184,"Trans_E",'MVTO A'!$Q$3:$Q$189)</f>
        <v>0</v>
      </c>
      <c r="X72" s="211" t="e">
        <f t="shared" si="26"/>
        <v>#DIV/0!</v>
      </c>
      <c r="Y72" s="190">
        <f>SUMIF('MVTO A'!$C$3:$C$184,"Trans_S",'MVTO A'!$R$3:$R$189)-SUMIF('MVTO A'!$C$3:$C$184,"Trans_E",'MVTO A'!$R$3:$R$189)</f>
        <v>0</v>
      </c>
      <c r="Z72" s="211" t="e">
        <f t="shared" si="27"/>
        <v>#DIV/0!</v>
      </c>
      <c r="AA72" s="190" t="e">
        <f>SUM(#REF!,#REF!,#REF!,#REF!,#REF!,#REF!,#REF!,#REF!,#REF!,#REF!,#REF!,#REF!)</f>
        <v>#REF!</v>
      </c>
      <c r="AB72" s="201" t="e">
        <f t="shared" si="31"/>
        <v>#REF!</v>
      </c>
    </row>
    <row r="73" spans="2:28" s="176" customFormat="1" ht="10.35" customHeight="1" thickBot="1">
      <c r="B73" s="221" t="s">
        <v>42</v>
      </c>
      <c r="C73" s="223">
        <f>C68-C69+C70-C71-C72</f>
        <v>789124.92999999912</v>
      </c>
      <c r="D73" s="224"/>
      <c r="E73" s="223">
        <f>E68-E69+E70-E71-E72</f>
        <v>-95355.120000000825</v>
      </c>
      <c r="F73" s="224"/>
      <c r="G73" s="223">
        <f>G68-G69+G70-G71-G72</f>
        <v>-849948.82000000076</v>
      </c>
      <c r="H73" s="224"/>
      <c r="I73" s="223">
        <f>I68-I69+I70-I71-I72</f>
        <v>-174465.27000000019</v>
      </c>
      <c r="J73" s="224"/>
      <c r="K73" s="223">
        <f>K68-K69+K70-K71-K72</f>
        <v>0</v>
      </c>
      <c r="L73" s="224"/>
      <c r="M73" s="223">
        <f>M68-M69+M70-M71-M72</f>
        <v>0</v>
      </c>
      <c r="N73" s="224"/>
      <c r="O73" s="223">
        <f>O68-O69+O70-O71-O72</f>
        <v>0</v>
      </c>
      <c r="P73" s="224"/>
      <c r="Q73" s="223">
        <f>Q68-Q69+Q70-Q71-Q72</f>
        <v>0</v>
      </c>
      <c r="R73" s="224"/>
      <c r="S73" s="223">
        <f>S68-S69+S70-S71-S72</f>
        <v>0</v>
      </c>
      <c r="T73" s="224"/>
      <c r="U73" s="223">
        <f>U68-U69+U70-U71-U72</f>
        <v>0</v>
      </c>
      <c r="V73" s="224"/>
      <c r="W73" s="223">
        <f>W68-W69+W70-W71-W72</f>
        <v>0</v>
      </c>
      <c r="X73" s="224"/>
      <c r="Y73" s="223">
        <f>Y68-Y69+Y70-Y71-Y72</f>
        <v>0</v>
      </c>
      <c r="Z73" s="224"/>
      <c r="AA73" s="199" t="e">
        <f>AA68-AA69+AA70-AA71-AA72</f>
        <v>#VALUE!</v>
      </c>
      <c r="AB73" s="184"/>
    </row>
    <row r="74" spans="2:28">
      <c r="B74" s="185"/>
      <c r="C74" s="185"/>
      <c r="D74" s="185"/>
      <c r="E74" s="185"/>
      <c r="F74" s="185"/>
      <c r="G74" s="185"/>
      <c r="H74" s="185"/>
      <c r="AA74" s="185"/>
      <c r="AB74" s="185"/>
    </row>
    <row r="75" spans="2:28" s="176" customFormat="1">
      <c r="B75" s="185"/>
      <c r="C75" s="185"/>
      <c r="D75" s="185"/>
      <c r="E75" s="185"/>
      <c r="F75" s="185"/>
      <c r="G75" s="185"/>
      <c r="H75" s="185"/>
      <c r="I75" s="187"/>
      <c r="J75" s="185"/>
      <c r="K75" s="187"/>
      <c r="L75" s="185"/>
      <c r="M75" s="187"/>
      <c r="N75" s="185"/>
      <c r="O75" s="187"/>
      <c r="P75" s="185"/>
      <c r="Q75" s="187"/>
      <c r="R75" s="185"/>
      <c r="S75" s="187"/>
      <c r="T75" s="185"/>
      <c r="U75" s="187"/>
      <c r="V75" s="185"/>
      <c r="W75" s="187"/>
      <c r="X75" s="185"/>
      <c r="Y75" s="187"/>
      <c r="Z75" s="185"/>
      <c r="AA75" s="187"/>
      <c r="AB75" s="187"/>
    </row>
    <row r="76" spans="2:28" s="176" customFormat="1">
      <c r="B76" s="185" t="s">
        <v>424</v>
      </c>
      <c r="C76" s="225">
        <f>'MVTO A'!G189</f>
        <v>313112.02</v>
      </c>
      <c r="D76" s="185"/>
      <c r="E76" s="225">
        <f>'MVTO A'!H189</f>
        <v>1102236.95</v>
      </c>
      <c r="F76" s="185"/>
      <c r="G76" s="226">
        <f>'MVTO A'!I189</f>
        <v>1006881.83</v>
      </c>
      <c r="H76" s="185"/>
      <c r="I76" s="186">
        <f>'MVTO A'!J189</f>
        <v>156933.01</v>
      </c>
      <c r="J76" s="185"/>
      <c r="K76" s="186">
        <f>'MVTO A'!K189</f>
        <v>0</v>
      </c>
      <c r="L76" s="185"/>
      <c r="M76" s="186">
        <f>'MVTO A'!L189</f>
        <v>0</v>
      </c>
      <c r="N76" s="185"/>
      <c r="O76" s="186">
        <f>'MVTO A'!M189</f>
        <v>0</v>
      </c>
      <c r="P76" s="185"/>
      <c r="Q76" s="186">
        <f>'MVTO A'!N189</f>
        <v>0</v>
      </c>
      <c r="R76" s="185"/>
      <c r="S76" s="186">
        <f>'MVTO A'!O189</f>
        <v>0</v>
      </c>
      <c r="T76" s="185"/>
      <c r="U76" s="185"/>
      <c r="V76" s="185"/>
      <c r="W76" s="185"/>
      <c r="X76" s="185"/>
      <c r="Y76" s="185"/>
      <c r="Z76" s="185"/>
      <c r="AA76" s="207"/>
      <c r="AB76" s="207"/>
    </row>
    <row r="77" spans="2:28" s="176" customFormat="1">
      <c r="B77" s="185" t="s">
        <v>423</v>
      </c>
      <c r="C77" s="225">
        <f>'MVTO A'!G190</f>
        <v>1102236.95</v>
      </c>
      <c r="D77" s="185"/>
      <c r="E77" s="225">
        <f>'MVTO A'!H190</f>
        <v>1006881.83</v>
      </c>
      <c r="F77" s="185"/>
      <c r="G77" s="226">
        <f>'MVTO A'!I190</f>
        <v>156933.01</v>
      </c>
      <c r="H77" s="185"/>
      <c r="I77" s="186">
        <f>'MVTO A'!J190</f>
        <v>-17532.259999999998</v>
      </c>
      <c r="J77" s="185"/>
      <c r="K77" s="186">
        <f>'MVTO A'!K190</f>
        <v>0</v>
      </c>
      <c r="L77" s="185"/>
      <c r="M77" s="186">
        <f>'MVTO A'!L190</f>
        <v>0</v>
      </c>
      <c r="N77" s="185"/>
      <c r="O77" s="186">
        <f>'MVTO A'!M190</f>
        <v>0</v>
      </c>
      <c r="P77" s="185"/>
      <c r="Q77" s="186">
        <f>'MVTO A'!N190</f>
        <v>0</v>
      </c>
      <c r="R77" s="185"/>
      <c r="S77" s="186">
        <f>'MVTO A'!O190</f>
        <v>0</v>
      </c>
      <c r="T77" s="185"/>
      <c r="U77" s="187"/>
      <c r="V77" s="185"/>
      <c r="W77" s="187"/>
      <c r="X77" s="185"/>
      <c r="Y77" s="187"/>
      <c r="Z77" s="185"/>
      <c r="AA77" s="207"/>
      <c r="AB77" s="207"/>
    </row>
    <row r="78" spans="2:28" s="176" customFormat="1">
      <c r="B78" s="185" t="s">
        <v>425</v>
      </c>
      <c r="C78" s="225">
        <f>C77-C76</f>
        <v>789124.92999999993</v>
      </c>
      <c r="D78" s="185"/>
      <c r="E78" s="225">
        <f>E77-E76</f>
        <v>-95355.12</v>
      </c>
      <c r="F78" s="185"/>
      <c r="G78" s="225">
        <f>G77-G76</f>
        <v>-849948.82</v>
      </c>
      <c r="H78" s="185"/>
      <c r="I78" s="308">
        <f>I77-I76</f>
        <v>-174465.27000000002</v>
      </c>
      <c r="J78" s="185"/>
      <c r="K78" s="308">
        <f>K77-K76</f>
        <v>0</v>
      </c>
      <c r="L78" s="185"/>
      <c r="M78" s="308">
        <f>M77-M76</f>
        <v>0</v>
      </c>
      <c r="N78" s="185"/>
      <c r="O78" s="308">
        <f>O77-O76</f>
        <v>0</v>
      </c>
      <c r="P78" s="185"/>
      <c r="Q78" s="308">
        <f>Q77-Q76</f>
        <v>0</v>
      </c>
      <c r="R78" s="185"/>
      <c r="S78" s="308">
        <f>S77-S76</f>
        <v>0</v>
      </c>
      <c r="T78" s="185"/>
      <c r="U78" s="185"/>
      <c r="V78" s="185"/>
      <c r="W78" s="185"/>
      <c r="X78" s="185"/>
      <c r="Y78" s="185"/>
      <c r="Z78" s="185"/>
      <c r="AA78" s="185"/>
      <c r="AB78" s="185"/>
    </row>
    <row r="79" spans="2:28" s="176" customFormat="1"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206"/>
    </row>
    <row r="80" spans="2:28" s="176" customFormat="1"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spans="9:26" s="176" customFormat="1"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spans="9:26" s="176" customFormat="1"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4" spans="9:26" s="176" customFormat="1"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8" spans="9:26" s="176" customFormat="1"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90" spans="9:26" s="176" customFormat="1"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</sheetData>
  <dataConsolidate/>
  <mergeCells count="26">
    <mergeCell ref="C3:D3"/>
    <mergeCell ref="E3:F3"/>
    <mergeCell ref="G3:H3"/>
    <mergeCell ref="O2:P2"/>
    <mergeCell ref="Q2:R2"/>
    <mergeCell ref="C2:D2"/>
    <mergeCell ref="E2:F2"/>
    <mergeCell ref="G2:H2"/>
    <mergeCell ref="I2:J2"/>
    <mergeCell ref="M3:N3"/>
    <mergeCell ref="O3:P3"/>
    <mergeCell ref="Q3:R3"/>
    <mergeCell ref="K2:L2"/>
    <mergeCell ref="M2:N2"/>
    <mergeCell ref="I3:J3"/>
    <mergeCell ref="K3:L3"/>
    <mergeCell ref="AA2:AB2"/>
    <mergeCell ref="S2:T2"/>
    <mergeCell ref="U2:V2"/>
    <mergeCell ref="W2:X2"/>
    <mergeCell ref="Y2:Z2"/>
    <mergeCell ref="AA3:AB3"/>
    <mergeCell ref="U3:V3"/>
    <mergeCell ref="W3:X3"/>
    <mergeCell ref="Y3:Z3"/>
    <mergeCell ref="S3:T3"/>
  </mergeCells>
  <conditionalFormatting sqref="AC57">
    <cfRule type="iconSet" priority="11">
      <iconSet iconSet="3Arrows" reverse="1">
        <cfvo type="percent" val="0"/>
        <cfvo type="num" val="0"/>
        <cfvo type="num" val="0"/>
      </iconSet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AJ57">
    <cfRule type="iconSet" priority="9">
      <iconSet iconSet="3Arrows" reverse="1">
        <cfvo type="percent" val="0"/>
        <cfvo type="num" val="0"/>
        <cfvo type="num" val="0"/>
      </iconSet>
    </cfRule>
    <cfRule type="iconSet" priority="10">
      <iconSet iconSet="3Arrows">
        <cfvo type="percent" val="0"/>
        <cfvo type="num" val="0"/>
        <cfvo type="num" val="0"/>
      </iconSet>
    </cfRule>
  </conditionalFormatting>
  <conditionalFormatting sqref="AQ57">
    <cfRule type="iconSet" priority="7">
      <iconSet iconSet="3Arrows" reverse="1">
        <cfvo type="percent" val="0"/>
        <cfvo type="num" val="0"/>
        <cfvo type="num" val="0"/>
      </iconSet>
    </cfRule>
    <cfRule type="iconSet" priority="8">
      <iconSet iconSet="3Arrows">
        <cfvo type="percent" val="0"/>
        <cfvo type="num" val="0"/>
        <cfvo type="num" val="0"/>
      </iconSet>
    </cfRule>
  </conditionalFormatting>
  <conditionalFormatting sqref="AX57">
    <cfRule type="iconSet" priority="5">
      <iconSet iconSet="3Arrows" reverse="1">
        <cfvo type="percent" val="0"/>
        <cfvo type="num" val="0"/>
        <cfvo type="num" val="0"/>
      </iconSet>
    </cfRule>
    <cfRule type="iconSet" priority="6">
      <iconSet iconSet="3Arrows">
        <cfvo type="percent" val="0"/>
        <cfvo type="num" val="0"/>
        <cfvo type="num" val="0"/>
      </iconSet>
    </cfRule>
  </conditionalFormatting>
  <conditionalFormatting sqref="BE57">
    <cfRule type="iconSet" priority="3">
      <iconSet iconSet="3Arrows" reverse="1">
        <cfvo type="percent" val="0"/>
        <cfvo type="num" val="0"/>
        <cfvo type="num" val="0"/>
      </iconSet>
    </cfRule>
    <cfRule type="iconSet" priority="4">
      <iconSet iconSet="3Arrows">
        <cfvo type="percent" val="0"/>
        <cfvo type="num" val="0"/>
        <cfvo type="num" val="0"/>
      </iconSet>
    </cfRule>
  </conditionalFormatting>
  <conditionalFormatting sqref="BL57">
    <cfRule type="iconSet" priority="1">
      <iconSet iconSet="3Arrows" reverse="1">
        <cfvo type="percent" val="0"/>
        <cfvo type="num" val="0"/>
        <cfvo type="num" val="0"/>
      </iconSet>
    </cfRule>
    <cfRule type="iconSet" priority="2">
      <iconSet iconSet="3Arrows">
        <cfvo type="percent" val="0"/>
        <cfvo type="num" val="0"/>
        <cfvo type="num" val="0"/>
      </iconSet>
    </cfRule>
  </conditionalFormatting>
  <conditionalFormatting sqref="BS57 BZ57 CG57">
    <cfRule type="iconSet" priority="15">
      <iconSet iconSet="3Arrows" reverse="1">
        <cfvo type="percent" val="0"/>
        <cfvo type="num" val="0"/>
        <cfvo type="num" val="0"/>
      </iconSet>
    </cfRule>
    <cfRule type="iconSet" priority="16">
      <iconSet iconSet="3Arrows">
        <cfvo type="percent" val="0"/>
        <cfvo type="num" val="0"/>
        <cfvo type="num" val="0"/>
      </iconSet>
    </cfRule>
  </conditionalFormatting>
  <pageMargins left="0.78740157480314965" right="0.78740157480314965" top="1.0629921259842521" bottom="1.0629921259842521" header="0.78740157480314965" footer="0.78740157480314965"/>
  <pageSetup paperSize="9" scale="80" firstPageNumber="0" fitToWidth="0" orientation="landscape" useFirstPageNumber="1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D0B09"/>
  </sheetPr>
  <dimension ref="A1:ALH265"/>
  <sheetViews>
    <sheetView showGridLines="0" zoomScaleNormal="100" workbookViewId="0">
      <pane xSplit="6" ySplit="3" topLeftCell="G232" activePane="bottomRight" state="frozen"/>
      <selection pane="topRight" activeCell="G1" sqref="G1"/>
      <selection pane="bottomLeft" activeCell="A4" sqref="A4"/>
      <selection pane="bottomRight" activeCell="F175" sqref="F175"/>
    </sheetView>
  </sheetViews>
  <sheetFormatPr defaultColWidth="9" defaultRowHeight="14.4"/>
  <cols>
    <col min="1" max="1" width="9" style="40"/>
    <col min="2" max="2" width="11.88671875" style="41" bestFit="1" customWidth="1"/>
    <col min="3" max="3" width="11.109375" style="41" bestFit="1" customWidth="1"/>
    <col min="4" max="4" width="2" style="41" bestFit="1" customWidth="1"/>
    <col min="5" max="5" width="11.88671875" style="41" bestFit="1" customWidth="1"/>
    <col min="6" max="6" width="52.5546875" style="41" customWidth="1"/>
    <col min="7" max="7" width="14.5546875" style="42" bestFit="1" customWidth="1"/>
    <col min="8" max="9" width="14.44140625" style="42" bestFit="1" customWidth="1"/>
    <col min="10" max="11" width="14.33203125" style="42" bestFit="1" customWidth="1"/>
    <col min="12" max="12" width="14.44140625" style="41" bestFit="1" customWidth="1"/>
    <col min="13" max="15" width="14.33203125" style="41" bestFit="1" customWidth="1"/>
    <col min="16" max="16" width="16" style="41" bestFit="1" customWidth="1"/>
    <col min="17" max="17" width="17.88671875" style="41" bestFit="1" customWidth="1"/>
    <col min="18" max="18" width="16.88671875" style="41" bestFit="1" customWidth="1"/>
    <col min="19" max="996" width="9" style="41"/>
    <col min="997" max="16384" width="9" style="7"/>
  </cols>
  <sheetData>
    <row r="1" spans="1:18" s="46" customFormat="1">
      <c r="A1" s="33"/>
      <c r="B1" s="43"/>
      <c r="C1" s="43"/>
      <c r="D1" s="43"/>
      <c r="E1" s="43"/>
      <c r="F1" s="43"/>
      <c r="G1" s="44" t="s">
        <v>3</v>
      </c>
      <c r="H1" s="45"/>
      <c r="I1" s="45"/>
      <c r="J1" s="45"/>
      <c r="K1" s="45"/>
    </row>
    <row r="2" spans="1:18" s="46" customFormat="1">
      <c r="A2" s="38"/>
      <c r="B2" s="28" t="s">
        <v>70</v>
      </c>
      <c r="C2" s="35" t="s">
        <v>71</v>
      </c>
      <c r="D2" s="28"/>
      <c r="E2" s="35" t="s">
        <v>1</v>
      </c>
      <c r="F2" s="35" t="s">
        <v>72</v>
      </c>
      <c r="G2" s="47" t="s">
        <v>58</v>
      </c>
      <c r="H2" s="47" t="s">
        <v>59</v>
      </c>
      <c r="I2" s="47" t="s">
        <v>60</v>
      </c>
      <c r="J2" s="47" t="s">
        <v>61</v>
      </c>
      <c r="K2" s="47" t="s">
        <v>11</v>
      </c>
      <c r="L2" s="47" t="s">
        <v>62</v>
      </c>
      <c r="M2" s="47" t="s">
        <v>63</v>
      </c>
      <c r="N2" s="47" t="s">
        <v>64</v>
      </c>
      <c r="O2" s="47" t="s">
        <v>65</v>
      </c>
      <c r="P2" s="47" t="s">
        <v>66</v>
      </c>
      <c r="Q2" s="47" t="s">
        <v>67</v>
      </c>
      <c r="R2" s="47" t="s">
        <v>68</v>
      </c>
    </row>
    <row r="3" spans="1:18">
      <c r="A3" s="37"/>
      <c r="B3" t="str">
        <f t="shared" ref="B3:B134" si="0">D3&amp;E3</f>
        <v>E111103</v>
      </c>
      <c r="C3" s="29" t="s">
        <v>216</v>
      </c>
      <c r="D3" s="26" t="s">
        <v>73</v>
      </c>
      <c r="E3" s="7">
        <v>111103</v>
      </c>
      <c r="F3" s="48" t="s">
        <v>74</v>
      </c>
      <c r="G3" s="74">
        <f>IFERROR(VLOOKUP(E3,'BD - E - Mvto Cx'!$A$15:$D$500,4,0),0)</f>
        <v>1548105.2</v>
      </c>
      <c r="H3" s="50">
        <f>IFERROR(VLOOKUP(E3,'BD - E - Mvto Cx'!$J$15:$M$500,4,0),0)</f>
        <v>1440937.05</v>
      </c>
      <c r="I3" s="50">
        <f>IFERROR(VLOOKUP(E3,'BD - E - Mvto Cx'!$S$15:$V$500,4,0),0)</f>
        <v>1426719</v>
      </c>
      <c r="J3" s="50">
        <f>IFERROR(VLOOKUP(E3,'BD - E - Mvto Cx'!$AB$15:$AE$500,4,0),0)</f>
        <v>1367072.55</v>
      </c>
      <c r="K3" s="50">
        <f>IFERROR(VLOOKUP(E3,'BD - E - Mvto Cx'!$AK$15:$AN$500,4,0),0)</f>
        <v>0</v>
      </c>
      <c r="L3" s="50">
        <f>IFERROR(VLOOKUP(E3,'BD - E - Mvto Cx'!$AT$15:$AW$500,4,0),0)</f>
        <v>0</v>
      </c>
      <c r="M3" s="50">
        <f>IFERROR(VLOOKUP(E3,'BD - E - Mvto Cx'!$BF$15:$BI$500,4,0),0)</f>
        <v>0</v>
      </c>
      <c r="N3" s="50">
        <f>IFERROR(VLOOKUP(E3,'BD - E - Mvto Cx'!$BO$15:$BR$500,4,0),0)</f>
        <v>0</v>
      </c>
      <c r="O3" s="50">
        <f>IFERROR(VLOOKUP(E3,'BD - E - Mvto Cx'!$BX$15:$CA$500,4,0),0)</f>
        <v>0</v>
      </c>
      <c r="P3" s="50">
        <f>IFERROR(VLOOKUP(E3,'BD - E - Mvto Cx'!$CG$15:$CJ$500,4,0),0)</f>
        <v>0</v>
      </c>
      <c r="Q3" s="50">
        <f>IFERROR(VLOOKUP(E3,'BD - E - Mvto Cx'!$CP$15:$CS$500,4,0),0)</f>
        <v>0</v>
      </c>
      <c r="R3" s="50">
        <f>IFERROR(VLOOKUP(E3,'BD - E - Mvto Cx'!$CY$15:$DB$500,4,0),0)</f>
        <v>0</v>
      </c>
    </row>
    <row r="4" spans="1:18">
      <c r="A4" s="37"/>
      <c r="B4" t="str">
        <f t="shared" si="0"/>
        <v>E111808</v>
      </c>
      <c r="C4" s="29" t="s">
        <v>217</v>
      </c>
      <c r="D4" s="26" t="s">
        <v>73</v>
      </c>
      <c r="E4" s="7">
        <v>111808</v>
      </c>
      <c r="F4" s="48" t="s">
        <v>75</v>
      </c>
      <c r="G4" s="49">
        <f>IFERROR(VLOOKUP(E4,'BD - E - Mvto Cx'!$A$15:$D$500,4,0),0)</f>
        <v>0</v>
      </c>
      <c r="H4" s="50">
        <f>IFERROR(VLOOKUP(E4,'BD - E - Mvto Cx'!$J$15:$M$500,4,0),0)</f>
        <v>0</v>
      </c>
      <c r="I4" s="50">
        <f>IFERROR(VLOOKUP(E4,'BD - E - Mvto Cx'!$S$15:$V$500,4,0),0)</f>
        <v>0</v>
      </c>
      <c r="J4" s="50">
        <f>IFERROR(VLOOKUP(E4,'BD - E - Mvto Cx'!$AB$15:$AE$500,4,0),0)</f>
        <v>0</v>
      </c>
      <c r="K4" s="50">
        <f>IFERROR(VLOOKUP(E4,'BD - E - Mvto Cx'!$AK$15:$AN$500,4,0),0)</f>
        <v>0</v>
      </c>
      <c r="L4" s="50">
        <f>IFERROR(VLOOKUP(E4,'BD - E - Mvto Cx'!$AT$15:$AW$500,4,0),0)</f>
        <v>0</v>
      </c>
      <c r="M4" s="50">
        <f>IFERROR(VLOOKUP(E4,'BD - E - Mvto Cx'!$BF$15:$BI$500,4,0),0)</f>
        <v>0</v>
      </c>
      <c r="N4" s="50">
        <f>IFERROR(VLOOKUP(E4,'BD - E - Mvto Cx'!$BO$15:$BR$500,4,0),0)</f>
        <v>0</v>
      </c>
      <c r="O4" s="50">
        <f>IFERROR(VLOOKUP(E4,'BD - E - Mvto Cx'!$BX$15:$CA$500,4,0),0)</f>
        <v>0</v>
      </c>
      <c r="P4" s="50">
        <f>IFERROR(VLOOKUP(E4,'BD - E - Mvto Cx'!$CG$15:$CJ$500,4,0),0)</f>
        <v>0</v>
      </c>
      <c r="Q4" s="50">
        <f>IFERROR(VLOOKUP(E4,'BD - E - Mvto Cx'!$CP$15:$CS$500,4,0),0)</f>
        <v>0</v>
      </c>
      <c r="R4" s="50">
        <f>IFERROR(VLOOKUP(E4,'BD - E - Mvto Cx'!$CY$15:$DB$500,4,0),0)</f>
        <v>0</v>
      </c>
    </row>
    <row r="5" spans="1:18">
      <c r="A5" s="37"/>
      <c r="B5" t="str">
        <f t="shared" si="0"/>
        <v>E111901</v>
      </c>
      <c r="C5" s="396" t="s">
        <v>216</v>
      </c>
      <c r="D5" s="26" t="s">
        <v>73</v>
      </c>
      <c r="E5" s="7">
        <v>111901</v>
      </c>
      <c r="F5" s="48" t="s">
        <v>534</v>
      </c>
      <c r="G5" s="49">
        <f>IFERROR(VLOOKUP(E5,'BD - E - Mvto Cx'!$A$15:$D$500,4,0),0)</f>
        <v>0</v>
      </c>
      <c r="H5" s="50">
        <f>IFERROR(VLOOKUP(E5,'BD - E - Mvto Cx'!$J$15:$M$500,4,0),0)</f>
        <v>0</v>
      </c>
      <c r="I5" s="50">
        <f>IFERROR(VLOOKUP(E5,'BD - E - Mvto Cx'!$S$15:$V$500,4,0),0)</f>
        <v>0</v>
      </c>
      <c r="J5" s="50">
        <f>IFERROR(VLOOKUP(E5,'BD - E - Mvto Cx'!$AB$15:$AE$500,4,0),0)</f>
        <v>0</v>
      </c>
      <c r="K5" s="50">
        <f>IFERROR(VLOOKUP(E5,'BD - E - Mvto Cx'!$AK$15:$AN$500,4,0),0)</f>
        <v>0</v>
      </c>
      <c r="L5" s="50">
        <f>IFERROR(VLOOKUP(E5,'BD - E - Mvto Cx'!$AT$15:$AW$500,4,0),0)</f>
        <v>0</v>
      </c>
      <c r="M5" s="50">
        <f>IFERROR(VLOOKUP(E5,'BD - E - Mvto Cx'!$BF$15:$BI$500,4,0),0)</f>
        <v>0</v>
      </c>
      <c r="N5" s="50">
        <f>IFERROR(VLOOKUP(E5,'BD - E - Mvto Cx'!$BO$15:$BR$500,4,0),0)</f>
        <v>0</v>
      </c>
      <c r="O5" s="50">
        <f>IFERROR(VLOOKUP(E5,'BD - E - Mvto Cx'!$BX$15:$CA$500,4,0),0)</f>
        <v>0</v>
      </c>
      <c r="P5" s="50">
        <f>IFERROR(VLOOKUP(E5,'BD - E - Mvto Cx'!$CG$15:$CJ$500,4,0),0)</f>
        <v>0</v>
      </c>
      <c r="Q5" s="50">
        <f>IFERROR(VLOOKUP(E5,'BD - E - Mvto Cx'!$CP$15:$CS$500,4,0),0)</f>
        <v>0</v>
      </c>
      <c r="R5" s="50">
        <f>IFERROR(VLOOKUP(E5,'BD - E - Mvto Cx'!$CY$15:$DB$500,4,0),0)</f>
        <v>0</v>
      </c>
    </row>
    <row r="6" spans="1:18">
      <c r="A6" s="37"/>
      <c r="B6" t="str">
        <f t="shared" si="0"/>
        <v>E111902</v>
      </c>
      <c r="C6" s="7" t="s">
        <v>365</v>
      </c>
      <c r="D6" s="26" t="s">
        <v>73</v>
      </c>
      <c r="E6" s="7">
        <v>111902</v>
      </c>
      <c r="F6" s="48" t="s">
        <v>76</v>
      </c>
      <c r="G6" s="49">
        <f>IFERROR(VLOOKUP(E6,'BD - E - Mvto Cx'!$A$15:$D$500,4,0),0)</f>
        <v>351003.33</v>
      </c>
      <c r="H6" s="50">
        <f>IFERROR(VLOOKUP(E6,'BD - E - Mvto Cx'!$J$15:$M$500,4,0),0)</f>
        <v>1846500</v>
      </c>
      <c r="I6" s="50">
        <f>IFERROR(VLOOKUP(E6,'BD - E - Mvto Cx'!$S$15:$V$500,4,0),0)</f>
        <v>1533825</v>
      </c>
      <c r="J6" s="50">
        <f>IFERROR(VLOOKUP(E6,'BD - E - Mvto Cx'!$AB$15:$AE$500,4,0),0)</f>
        <v>0</v>
      </c>
      <c r="K6" s="50">
        <f>IFERROR(VLOOKUP(E6,'BD - E - Mvto Cx'!$AK$15:$AN$500,4,0),0)</f>
        <v>0</v>
      </c>
      <c r="L6" s="50">
        <f>IFERROR(VLOOKUP(E6,'BD - E - Mvto Cx'!$AT$15:$AW$500,4,0),0)</f>
        <v>0</v>
      </c>
      <c r="M6" s="50">
        <f>IFERROR(VLOOKUP(E6,'BD - E - Mvto Cx'!$BF$15:$BI$500,4,0),0)</f>
        <v>0</v>
      </c>
      <c r="N6" s="50">
        <f>IFERROR(VLOOKUP(E6,'BD - E - Mvto Cx'!$BO$15:$BR$500,4,0),0)</f>
        <v>0</v>
      </c>
      <c r="O6" s="50">
        <f>IFERROR(VLOOKUP(E6,'BD - E - Mvto Cx'!$BX$15:$CA$500,4,0),0)</f>
        <v>0</v>
      </c>
      <c r="P6" s="50">
        <f>IFERROR(VLOOKUP(E6,'BD - E - Mvto Cx'!$CG$15:$CJ$500,4,0),0)</f>
        <v>0</v>
      </c>
      <c r="Q6" s="50">
        <f>IFERROR(VLOOKUP(E6,'BD - E - Mvto Cx'!$CP$15:$CS$500,4,0),0)</f>
        <v>0</v>
      </c>
      <c r="R6" s="50">
        <f>IFERROR(VLOOKUP(E6,'BD - E - Mvto Cx'!$CY$15:$DB$500,4,0),0)</f>
        <v>0</v>
      </c>
    </row>
    <row r="7" spans="1:18">
      <c r="A7" s="37"/>
      <c r="B7" t="str">
        <f t="shared" si="0"/>
        <v>E112101</v>
      </c>
      <c r="C7" s="29" t="s">
        <v>219</v>
      </c>
      <c r="D7" s="26" t="s">
        <v>73</v>
      </c>
      <c r="E7" s="7">
        <v>112101</v>
      </c>
      <c r="F7" s="48" t="s">
        <v>77</v>
      </c>
      <c r="G7" s="49">
        <f>IFERROR(VLOOKUP(E7,'BD - E - Mvto Cx'!$A$15:$D$500,4,0),0)</f>
        <v>188781.8</v>
      </c>
      <c r="H7" s="50">
        <f>IFERROR(VLOOKUP(E7,'BD - E - Mvto Cx'!$J$15:$M$500,4,0),0)</f>
        <v>25298.13</v>
      </c>
      <c r="I7" s="50">
        <f>IFERROR(VLOOKUP(E7,'BD - E - Mvto Cx'!$S$15:$V$500,4,0),0)</f>
        <v>1004</v>
      </c>
      <c r="J7" s="50">
        <f>IFERROR(VLOOKUP(E7,'BD - E - Mvto Cx'!$AB$15:$AE$500,4,0),0)</f>
        <v>30798.27</v>
      </c>
      <c r="K7" s="50">
        <f>IFERROR(VLOOKUP(E7,'BD - E - Mvto Cx'!$AK$15:$AN$500,4,0),0)</f>
        <v>0</v>
      </c>
      <c r="L7" s="50">
        <f>IFERROR(VLOOKUP(E7,'BD - E - Mvto Cx'!$AT$15:$AW$500,4,0),0)</f>
        <v>0</v>
      </c>
      <c r="M7" s="50">
        <f>IFERROR(VLOOKUP(E7,'BD - E - Mvto Cx'!$BF$15:$BI$500,4,0),0)</f>
        <v>0</v>
      </c>
      <c r="N7" s="50">
        <f>IFERROR(VLOOKUP(E7,'BD - E - Mvto Cx'!$BO$15:$BR$500,4,0),0)</f>
        <v>0</v>
      </c>
      <c r="O7" s="50">
        <f>IFERROR(VLOOKUP(E7,'BD - E - Mvto Cx'!$BX$15:$CA$500,4,0),0)</f>
        <v>0</v>
      </c>
      <c r="P7" s="50">
        <f>IFERROR(VLOOKUP(E7,'BD - E - Mvto Cx'!$CG$15:$CJ$500,4,0),0)</f>
        <v>0</v>
      </c>
      <c r="Q7" s="50">
        <f>IFERROR(VLOOKUP(E7,'BD - E - Mvto Cx'!$CP$15:$CS$500,4,0),0)</f>
        <v>0</v>
      </c>
      <c r="R7" s="50">
        <f>IFERROR(VLOOKUP(E7,'BD - E - Mvto Cx'!$CY$15:$DB$500,4,0),0)</f>
        <v>0</v>
      </c>
    </row>
    <row r="8" spans="1:18">
      <c r="A8" s="37"/>
      <c r="B8" t="str">
        <f t="shared" si="0"/>
        <v>E112102</v>
      </c>
      <c r="C8" s="29" t="s">
        <v>219</v>
      </c>
      <c r="D8" s="26" t="s">
        <v>73</v>
      </c>
      <c r="E8" s="7">
        <v>112102</v>
      </c>
      <c r="F8" s="48" t="s">
        <v>78</v>
      </c>
      <c r="G8" s="49">
        <f>IFERROR(VLOOKUP(E8,'BD - E - Mvto Cx'!$A$15:$D$500,4,0),0)</f>
        <v>409850.96</v>
      </c>
      <c r="H8" s="50">
        <f>IFERROR(VLOOKUP(E8,'BD - E - Mvto Cx'!$J$15:$M$500,4,0),0)</f>
        <v>196031.14</v>
      </c>
      <c r="I8" s="50">
        <f>IFERROR(VLOOKUP(E8,'BD - E - Mvto Cx'!$S$15:$V$500,4,0),0)</f>
        <v>198932.46</v>
      </c>
      <c r="J8" s="50">
        <f>IFERROR(VLOOKUP(E8,'BD - E - Mvto Cx'!$AB$15:$AE$500,4,0),0)</f>
        <v>244159.39</v>
      </c>
      <c r="K8" s="50">
        <f>IFERROR(VLOOKUP(E8,'BD - E - Mvto Cx'!$AK$15:$AN$500,4,0),0)</f>
        <v>0</v>
      </c>
      <c r="L8" s="50">
        <f>IFERROR(VLOOKUP(E8,'BD - E - Mvto Cx'!$AT$15:$AW$500,4,0),0)</f>
        <v>0</v>
      </c>
      <c r="M8" s="50">
        <f>IFERROR(VLOOKUP(E8,'BD - E - Mvto Cx'!$BF$15:$BI$500,4,0),0)</f>
        <v>0</v>
      </c>
      <c r="N8" s="50">
        <f>IFERROR(VLOOKUP(E8,'BD - E - Mvto Cx'!$BO$15:$BR$500,4,0),0)</f>
        <v>0</v>
      </c>
      <c r="O8" s="50">
        <f>IFERROR(VLOOKUP(E8,'BD - E - Mvto Cx'!$BX$15:$CA$500,4,0),0)</f>
        <v>0</v>
      </c>
      <c r="P8" s="50">
        <f>IFERROR(VLOOKUP(E8,'BD - E - Mvto Cx'!$CG$15:$CJ$500,4,0),0)</f>
        <v>0</v>
      </c>
      <c r="Q8" s="50">
        <f>IFERROR(VLOOKUP(E8,'BD - E - Mvto Cx'!$CP$15:$CS$500,4,0),0)</f>
        <v>0</v>
      </c>
      <c r="R8" s="50">
        <f>IFERROR(VLOOKUP(E8,'BD - E - Mvto Cx'!$CY$15:$DB$500,4,0),0)</f>
        <v>0</v>
      </c>
    </row>
    <row r="9" spans="1:18">
      <c r="A9" s="37"/>
      <c r="B9" t="str">
        <f t="shared" si="0"/>
        <v>E112103</v>
      </c>
      <c r="C9" s="29" t="s">
        <v>219</v>
      </c>
      <c r="D9" s="26" t="s">
        <v>73</v>
      </c>
      <c r="E9" s="7">
        <v>112103</v>
      </c>
      <c r="F9" s="48" t="s">
        <v>79</v>
      </c>
      <c r="G9" s="49">
        <f>IFERROR(VLOOKUP(E9,'BD - E - Mvto Cx'!$A$15:$D$500,4,0),0)</f>
        <v>0</v>
      </c>
      <c r="H9" s="50">
        <f>IFERROR(VLOOKUP(E9,'BD - E - Mvto Cx'!$J$15:$M$500,4,0),0)</f>
        <v>0</v>
      </c>
      <c r="I9" s="50">
        <f>IFERROR(VLOOKUP(E9,'BD - E - Mvto Cx'!$S$15:$V$500,4,0),0)</f>
        <v>4175.9799999999996</v>
      </c>
      <c r="J9" s="50">
        <f>IFERROR(VLOOKUP(E9,'BD - E - Mvto Cx'!$AB$15:$AE$500,4,0),0)</f>
        <v>0</v>
      </c>
      <c r="K9" s="50">
        <f>IFERROR(VLOOKUP(E9,'BD - E - Mvto Cx'!$AK$15:$AN$500,4,0),0)</f>
        <v>0</v>
      </c>
      <c r="L9" s="50">
        <f>IFERROR(VLOOKUP(E9,'BD - E - Mvto Cx'!$AT$15:$AW$500,4,0),0)</f>
        <v>0</v>
      </c>
      <c r="M9" s="50">
        <f>IFERROR(VLOOKUP(E9,'BD - E - Mvto Cx'!$BF$15:$BI$500,4,0),0)</f>
        <v>0</v>
      </c>
      <c r="N9" s="50">
        <f>IFERROR(VLOOKUP(E9,'BD - E - Mvto Cx'!$BO$15:$BR$500,4,0),0)</f>
        <v>0</v>
      </c>
      <c r="O9" s="50">
        <f>IFERROR(VLOOKUP(E9,'BD - E - Mvto Cx'!$BX$15:$CA$500,4,0),0)</f>
        <v>0</v>
      </c>
      <c r="P9" s="50">
        <f>IFERROR(VLOOKUP(E9,'BD - E - Mvto Cx'!$CG$15:$CJ$500,4,0),0)</f>
        <v>0</v>
      </c>
      <c r="Q9" s="50">
        <f>IFERROR(VLOOKUP(E9,'BD - E - Mvto Cx'!$CP$15:$CS$500,4,0),0)</f>
        <v>0</v>
      </c>
      <c r="R9" s="50">
        <f>IFERROR(VLOOKUP(E9,'BD - E - Mvto Cx'!$CY$15:$DB$500,4,0),0)</f>
        <v>0</v>
      </c>
    </row>
    <row r="10" spans="1:18">
      <c r="A10" s="37"/>
      <c r="B10" t="str">
        <f t="shared" si="0"/>
        <v>E112104</v>
      </c>
      <c r="C10" s="7" t="s">
        <v>219</v>
      </c>
      <c r="D10" s="26" t="s">
        <v>73</v>
      </c>
      <c r="E10" s="7">
        <v>112104</v>
      </c>
      <c r="F10" s="48" t="s">
        <v>472</v>
      </c>
      <c r="G10" s="49">
        <f>IFERROR(VLOOKUP(E10,'BD - E - Mvto Cx'!$A$15:$D$500,4,0),0)</f>
        <v>0</v>
      </c>
      <c r="H10" s="50">
        <f>IFERROR(VLOOKUP(E10,'BD - E - Mvto Cx'!$J$15:$M$500,4,0),0)</f>
        <v>0</v>
      </c>
      <c r="I10" s="50">
        <f>IFERROR(VLOOKUP(E10,'BD - E - Mvto Cx'!$S$15:$V$500,4,0),0)</f>
        <v>742.82</v>
      </c>
      <c r="J10" s="50">
        <f>IFERROR(VLOOKUP(E10,'BD - E - Mvto Cx'!$AB$15:$AE$500,4,0),0)</f>
        <v>0</v>
      </c>
      <c r="K10" s="50">
        <f>IFERROR(VLOOKUP(E10,'BD - E - Mvto Cx'!$AK$15:$AN$500,4,0),0)</f>
        <v>0</v>
      </c>
      <c r="L10" s="50">
        <f>IFERROR(VLOOKUP(E10,'BD - E - Mvto Cx'!$AT$15:$AW$500,4,0),0)</f>
        <v>0</v>
      </c>
      <c r="M10" s="50">
        <f>IFERROR(VLOOKUP(E10,'BD - E - Mvto Cx'!$BF$15:$BI$500,4,0),0)</f>
        <v>0</v>
      </c>
      <c r="N10" s="50">
        <f>IFERROR(VLOOKUP(E10,'BD - E - Mvto Cx'!$BO$15:$BR$500,4,0),0)</f>
        <v>0</v>
      </c>
      <c r="O10" s="50">
        <f>IFERROR(VLOOKUP(E10,'BD - E - Mvto Cx'!$BX$15:$CA$500,4,0),0)</f>
        <v>0</v>
      </c>
      <c r="P10" s="50">
        <f>IFERROR(VLOOKUP(E10,'BD - E - Mvto Cx'!$CG$15:$CJ$500,4,0),0)</f>
        <v>0</v>
      </c>
      <c r="Q10" s="50">
        <f>IFERROR(VLOOKUP(E10,'BD - E - Mvto Cx'!$CP$15:$CS$500,4,0),0)</f>
        <v>0</v>
      </c>
      <c r="R10" s="50">
        <f>IFERROR(VLOOKUP(E10,'BD - E - Mvto Cx'!$CY$15:$DB$500,4,0),0)</f>
        <v>0</v>
      </c>
    </row>
    <row r="11" spans="1:18">
      <c r="A11" s="37"/>
      <c r="B11" t="str">
        <f t="shared" ref="B11" si="1">D11&amp;E11</f>
        <v>E112111</v>
      </c>
      <c r="C11" s="7" t="s">
        <v>219</v>
      </c>
      <c r="D11" s="26" t="s">
        <v>73</v>
      </c>
      <c r="E11" s="393">
        <v>112111</v>
      </c>
      <c r="F11" s="392" t="s">
        <v>560</v>
      </c>
      <c r="G11" s="49">
        <f>IFERROR(VLOOKUP(E11,'BD - E - Mvto Cx'!$A$15:$D$500,4,0),0)</f>
        <v>0</v>
      </c>
      <c r="H11" s="50">
        <f>IFERROR(VLOOKUP(E11,'BD - E - Mvto Cx'!$J$15:$M$500,4,0),0)</f>
        <v>0</v>
      </c>
      <c r="I11" s="50">
        <f>IFERROR(VLOOKUP(E11,'BD - E - Mvto Cx'!$S$15:$V$500,4,0),0)</f>
        <v>0</v>
      </c>
      <c r="J11" s="50">
        <f>IFERROR(VLOOKUP(E11,'BD - E - Mvto Cx'!$AB$15:$AE$500,4,0),0)</f>
        <v>0</v>
      </c>
      <c r="K11" s="50">
        <f>IFERROR(VLOOKUP(E11,'BD - E - Mvto Cx'!$AK$15:$AN$500,4,0),0)</f>
        <v>0</v>
      </c>
      <c r="L11" s="50">
        <f>IFERROR(VLOOKUP(E11,'BD - E - Mvto Cx'!$AT$15:$AW$500,4,0),0)</f>
        <v>0</v>
      </c>
      <c r="M11" s="50">
        <f>IFERROR(VLOOKUP(E11,'BD - E - Mvto Cx'!$BF$15:$BI$500,4,0),0)</f>
        <v>0</v>
      </c>
      <c r="N11" s="50">
        <f>IFERROR(VLOOKUP(E11,'BD - E - Mvto Cx'!$BO$15:$BR$500,4,0),0)</f>
        <v>0</v>
      </c>
      <c r="O11" s="50">
        <f>IFERROR(VLOOKUP(E11,'BD - E - Mvto Cx'!$BX$15:$CA$500,4,0),0)</f>
        <v>0</v>
      </c>
      <c r="P11" s="50">
        <f>IFERROR(VLOOKUP(E11,'BD - E - Mvto Cx'!$CG$15:$CJ$500,4,0),0)</f>
        <v>0</v>
      </c>
      <c r="Q11" s="50">
        <f>IFERROR(VLOOKUP(E11,'BD - E - Mvto Cx'!$CP$15:$CS$500,4,0),0)</f>
        <v>0</v>
      </c>
      <c r="R11" s="50">
        <f>IFERROR(VLOOKUP(E11,'BD - E - Mvto Cx'!$CY$15:$DB$500,4,0),0)</f>
        <v>0</v>
      </c>
    </row>
    <row r="12" spans="1:18">
      <c r="A12" s="37"/>
      <c r="B12" t="str">
        <f t="shared" si="0"/>
        <v>E112112</v>
      </c>
      <c r="C12" s="29" t="s">
        <v>219</v>
      </c>
      <c r="D12" s="26" t="s">
        <v>73</v>
      </c>
      <c r="E12" s="7">
        <v>112112</v>
      </c>
      <c r="F12" s="48" t="s">
        <v>80</v>
      </c>
      <c r="G12" s="49">
        <f>IFERROR(VLOOKUP(E12,'BD - E - Mvto Cx'!$A$15:$D$500,4,0),0)</f>
        <v>376979.75</v>
      </c>
      <c r="H12" s="50">
        <f>IFERROR(VLOOKUP(E12,'BD - E - Mvto Cx'!$J$15:$M$500,4,0),0)</f>
        <v>287177.03000000003</v>
      </c>
      <c r="I12" s="50">
        <f>IFERROR(VLOOKUP(E12,'BD - E - Mvto Cx'!$S$15:$V$500,4,0),0)</f>
        <v>260270.58</v>
      </c>
      <c r="J12" s="50">
        <f>IFERROR(VLOOKUP(E12,'BD - E - Mvto Cx'!$AB$15:$AE$500,4,0),0)</f>
        <v>893246.77</v>
      </c>
      <c r="K12" s="50">
        <f>IFERROR(VLOOKUP(E12,'BD - E - Mvto Cx'!$AK$15:$AN$500,4,0),0)</f>
        <v>0</v>
      </c>
      <c r="L12" s="50">
        <f>IFERROR(VLOOKUP(E12,'BD - E - Mvto Cx'!$AT$15:$AW$500,4,0),0)</f>
        <v>0</v>
      </c>
      <c r="M12" s="50">
        <f>IFERROR(VLOOKUP(E12,'BD - E - Mvto Cx'!$BF$15:$BI$500,4,0),0)</f>
        <v>0</v>
      </c>
      <c r="N12" s="50">
        <f>IFERROR(VLOOKUP(E12,'BD - E - Mvto Cx'!$BO$15:$BR$500,4,0),0)</f>
        <v>0</v>
      </c>
      <c r="O12" s="50">
        <f>IFERROR(VLOOKUP(E12,'BD - E - Mvto Cx'!$BX$15:$CA$500,4,0),0)</f>
        <v>0</v>
      </c>
      <c r="P12" s="50">
        <f>IFERROR(VLOOKUP(E12,'BD - E - Mvto Cx'!$CG$15:$CJ$500,4,0),0)</f>
        <v>0</v>
      </c>
      <c r="Q12" s="50">
        <f>IFERROR(VLOOKUP(E12,'BD - E - Mvto Cx'!$CP$15:$CS$500,4,0),0)</f>
        <v>0</v>
      </c>
      <c r="R12" s="50">
        <f>IFERROR(VLOOKUP(E12,'BD - E - Mvto Cx'!$CY$15:$DB$500,4,0),0)</f>
        <v>0</v>
      </c>
    </row>
    <row r="13" spans="1:18">
      <c r="A13" s="37"/>
      <c r="B13" t="str">
        <f t="shared" si="0"/>
        <v>E112117</v>
      </c>
      <c r="C13" s="29" t="s">
        <v>217</v>
      </c>
      <c r="D13" s="26" t="s">
        <v>73</v>
      </c>
      <c r="E13" s="7">
        <v>112117</v>
      </c>
      <c r="F13" s="48" t="s">
        <v>81</v>
      </c>
      <c r="G13" s="49">
        <f>IFERROR(VLOOKUP(E13,'BD - E - Mvto Cx'!$A$15:$D$500,4,0),0)</f>
        <v>27676.12</v>
      </c>
      <c r="H13" s="50">
        <f>IFERROR(VLOOKUP(E13,'BD - E - Mvto Cx'!$J$15:$M$500,4,0),0)</f>
        <v>19035.57</v>
      </c>
      <c r="I13" s="50">
        <f>IFERROR(VLOOKUP(E13,'BD - E - Mvto Cx'!$S$15:$V$500,4,0),0)</f>
        <v>19965.39</v>
      </c>
      <c r="J13" s="50">
        <f>IFERROR(VLOOKUP(E13,'BD - E - Mvto Cx'!$AB$15:$AE$500,4,0),0)</f>
        <v>34126.54</v>
      </c>
      <c r="K13" s="50">
        <f>IFERROR(VLOOKUP(E13,'BD - E - Mvto Cx'!$AK$15:$AN$500,4,0),0)</f>
        <v>0</v>
      </c>
      <c r="L13" s="50">
        <f>IFERROR(VLOOKUP(E13,'BD - E - Mvto Cx'!$AT$15:$AW$500,4,0),0)</f>
        <v>0</v>
      </c>
      <c r="M13" s="50">
        <f>IFERROR(VLOOKUP(E13,'BD - E - Mvto Cx'!$BF$15:$BI$500,4,0),0)</f>
        <v>0</v>
      </c>
      <c r="N13" s="50">
        <f>IFERROR(VLOOKUP(E13,'BD - E - Mvto Cx'!$BO$15:$BR$500,4,0),0)</f>
        <v>0</v>
      </c>
      <c r="O13" s="50">
        <f>IFERROR(VLOOKUP(E13,'BD - E - Mvto Cx'!$BX$15:$CA$500,4,0),0)</f>
        <v>0</v>
      </c>
      <c r="P13" s="50">
        <f>IFERROR(VLOOKUP(E13,'BD - E - Mvto Cx'!$CG$15:$CJ$500,4,0),0)</f>
        <v>0</v>
      </c>
      <c r="Q13" s="50">
        <f>IFERROR(VLOOKUP(E13,'BD - E - Mvto Cx'!$CP$15:$CS$500,4,0),0)</f>
        <v>0</v>
      </c>
      <c r="R13" s="50">
        <f>IFERROR(VLOOKUP(E13,'BD - E - Mvto Cx'!$CY$15:$DB$500,4,0),0)</f>
        <v>0</v>
      </c>
    </row>
    <row r="14" spans="1:18">
      <c r="A14" s="37"/>
      <c r="B14" t="str">
        <f t="shared" si="0"/>
        <v>E112201</v>
      </c>
      <c r="C14" s="29" t="s">
        <v>231</v>
      </c>
      <c r="D14" s="26" t="s">
        <v>73</v>
      </c>
      <c r="E14" s="7">
        <v>112201</v>
      </c>
      <c r="F14" s="48" t="s">
        <v>82</v>
      </c>
      <c r="G14" s="49">
        <f>IFERROR(VLOOKUP(E14,'BD - E - Mvto Cx'!$A$15:$D$500,4,0),0)</f>
        <v>229444.45</v>
      </c>
      <c r="H14" s="50">
        <f>IFERROR(VLOOKUP(E14,'BD - E - Mvto Cx'!$J$15:$M$500,4,0),0)</f>
        <v>192509.6</v>
      </c>
      <c r="I14" s="50">
        <f>IFERROR(VLOOKUP(E14,'BD - E - Mvto Cx'!$S$15:$V$500,4,0),0)</f>
        <v>192065.55</v>
      </c>
      <c r="J14" s="50">
        <f>IFERROR(VLOOKUP(E14,'BD - E - Mvto Cx'!$AB$15:$AE$500,4,0),0)</f>
        <v>166550.01</v>
      </c>
      <c r="K14" s="50">
        <f>IFERROR(VLOOKUP(E14,'BD - E - Mvto Cx'!$AK$15:$AN$500,4,0),0)</f>
        <v>0</v>
      </c>
      <c r="L14" s="50">
        <f>IFERROR(VLOOKUP(E14,'BD - E - Mvto Cx'!$AT$15:$AW$500,4,0),0)</f>
        <v>0</v>
      </c>
      <c r="M14" s="50">
        <f>IFERROR(VLOOKUP(E14,'BD - E - Mvto Cx'!$BF$15:$BI$500,4,0),0)</f>
        <v>0</v>
      </c>
      <c r="N14" s="50">
        <f>IFERROR(VLOOKUP(E14,'BD - E - Mvto Cx'!$BO$15:$BR$500,4,0),0)</f>
        <v>0</v>
      </c>
      <c r="O14" s="50">
        <f>IFERROR(VLOOKUP(E14,'BD - E - Mvto Cx'!$BX$15:$CA$500,4,0),0)</f>
        <v>0</v>
      </c>
      <c r="P14" s="50">
        <f>IFERROR(VLOOKUP(E14,'BD - E - Mvto Cx'!$CG$15:$CJ$500,4,0),0)</f>
        <v>0</v>
      </c>
      <c r="Q14" s="50">
        <f>IFERROR(VLOOKUP(E14,'BD - E - Mvto Cx'!$CP$15:$CS$500,4,0),0)</f>
        <v>0</v>
      </c>
      <c r="R14" s="50">
        <f>IFERROR(VLOOKUP(E14,'BD - E - Mvto Cx'!$CY$15:$DB$500,4,0),0)</f>
        <v>0</v>
      </c>
    </row>
    <row r="15" spans="1:18">
      <c r="A15" s="37"/>
      <c r="B15" t="str">
        <f t="shared" si="0"/>
        <v>E112301</v>
      </c>
      <c r="C15" s="29" t="s">
        <v>224</v>
      </c>
      <c r="D15" s="26" t="s">
        <v>73</v>
      </c>
      <c r="E15" s="7">
        <v>112301</v>
      </c>
      <c r="F15" s="48" t="s">
        <v>83</v>
      </c>
      <c r="G15" s="49">
        <f>IFERROR(VLOOKUP(E15,'BD - E - Mvto Cx'!$A$15:$D$500,4,0),0)</f>
        <v>9288362.4299999997</v>
      </c>
      <c r="H15" s="50">
        <f>IFERROR(VLOOKUP(E15,'BD - E - Mvto Cx'!$J$15:$M$500,4,0),0)</f>
        <v>5155776.04</v>
      </c>
      <c r="I15" s="50">
        <f>IFERROR(VLOOKUP(E15,'BD - E - Mvto Cx'!$S$15:$V$500,4,0),0)</f>
        <v>5672495.5899999999</v>
      </c>
      <c r="J15" s="50">
        <f>IFERROR(VLOOKUP(E15,'BD - E - Mvto Cx'!$AB$15:$AE$500,4,0),0)</f>
        <v>5152687.05</v>
      </c>
      <c r="K15" s="50">
        <f>IFERROR(VLOOKUP(E15,'BD - E - Mvto Cx'!$AK$15:$AN$500,4,0),0)</f>
        <v>0</v>
      </c>
      <c r="L15" s="50">
        <f>IFERROR(VLOOKUP(E15,'BD - E - Mvto Cx'!$AT$15:$AW$500,4,0),0)</f>
        <v>0</v>
      </c>
      <c r="M15" s="50">
        <f>IFERROR(VLOOKUP(E15,'BD - E - Mvto Cx'!$BF$15:$BI$500,4,0),0)</f>
        <v>0</v>
      </c>
      <c r="N15" s="50">
        <f>IFERROR(VLOOKUP(E15,'BD - E - Mvto Cx'!$BO$15:$BR$500,4,0),0)</f>
        <v>0</v>
      </c>
      <c r="O15" s="50">
        <f>IFERROR(VLOOKUP(E15,'BD - E - Mvto Cx'!$BX$15:$CA$500,4,0),0)</f>
        <v>0</v>
      </c>
      <c r="P15" s="50">
        <f>IFERROR(VLOOKUP(E15,'BD - E - Mvto Cx'!$CG$15:$CJ$500,4,0),0)</f>
        <v>0</v>
      </c>
      <c r="Q15" s="50">
        <f>IFERROR(VLOOKUP(E15,'BD - E - Mvto Cx'!$CP$15:$CS$500,4,0),0)</f>
        <v>0</v>
      </c>
      <c r="R15" s="50">
        <f>IFERROR(VLOOKUP(E15,'BD - E - Mvto Cx'!$CY$15:$DB$500,4,0),0)</f>
        <v>0</v>
      </c>
    </row>
    <row r="16" spans="1:18">
      <c r="A16" s="37"/>
      <c r="B16" t="str">
        <f t="shared" si="0"/>
        <v>E112302</v>
      </c>
      <c r="C16" s="29" t="s">
        <v>224</v>
      </c>
      <c r="D16" s="26" t="s">
        <v>73</v>
      </c>
      <c r="E16" s="7">
        <v>112302</v>
      </c>
      <c r="F16" s="48" t="s">
        <v>84</v>
      </c>
      <c r="G16" s="49">
        <f>IFERROR(VLOOKUP(E16,'BD - E - Mvto Cx'!$A$15:$D$500,4,0),0)</f>
        <v>9100305.0099999998</v>
      </c>
      <c r="H16" s="50">
        <f>IFERROR(VLOOKUP(E16,'BD - E - Mvto Cx'!$J$15:$M$500,4,0),0)</f>
        <v>4965542.95</v>
      </c>
      <c r="I16" s="50">
        <f>IFERROR(VLOOKUP(E16,'BD - E - Mvto Cx'!$S$15:$V$500,4,0),0)</f>
        <v>5675454.96</v>
      </c>
      <c r="J16" s="50">
        <f>IFERROR(VLOOKUP(E16,'BD - E - Mvto Cx'!$AB$15:$AE$500,4,0),0)</f>
        <v>5001108.22</v>
      </c>
      <c r="K16" s="50">
        <f>IFERROR(VLOOKUP(E16,'BD - E - Mvto Cx'!$AK$15:$AN$500,4,0),0)</f>
        <v>0</v>
      </c>
      <c r="L16" s="50">
        <f>IFERROR(VLOOKUP(E16,'BD - E - Mvto Cx'!$AT$15:$AW$500,4,0),0)</f>
        <v>0</v>
      </c>
      <c r="M16" s="50">
        <f>IFERROR(VLOOKUP(E16,'BD - E - Mvto Cx'!$BF$15:$BI$500,4,0),0)</f>
        <v>0</v>
      </c>
      <c r="N16" s="50">
        <f>IFERROR(VLOOKUP(E16,'BD - E - Mvto Cx'!$BO$15:$BR$500,4,0),0)</f>
        <v>0</v>
      </c>
      <c r="O16" s="50">
        <f>IFERROR(VLOOKUP(E16,'BD - E - Mvto Cx'!$BX$15:$CA$500,4,0),0)</f>
        <v>0</v>
      </c>
      <c r="P16" s="50">
        <f>IFERROR(VLOOKUP(E16,'BD - E - Mvto Cx'!$CG$15:$CJ$500,4,0),0)</f>
        <v>0</v>
      </c>
      <c r="Q16" s="50">
        <f>IFERROR(VLOOKUP(E16,'BD - E - Mvto Cx'!$CP$15:$CS$500,4,0),0)</f>
        <v>0</v>
      </c>
      <c r="R16" s="50">
        <f>IFERROR(VLOOKUP(E16,'BD - E - Mvto Cx'!$CY$15:$DB$500,4,0),0)</f>
        <v>0</v>
      </c>
    </row>
    <row r="17" spans="1:18">
      <c r="A17" s="37"/>
      <c r="B17" t="str">
        <f t="shared" si="0"/>
        <v>E112303</v>
      </c>
      <c r="C17" s="29" t="s">
        <v>224</v>
      </c>
      <c r="D17" s="26" t="s">
        <v>73</v>
      </c>
      <c r="E17" s="7">
        <v>112303</v>
      </c>
      <c r="F17" s="48" t="s">
        <v>85</v>
      </c>
      <c r="G17" s="49">
        <f>IFERROR(VLOOKUP(E17,'BD - E - Mvto Cx'!$A$15:$D$500,4,0),0)</f>
        <v>62.7</v>
      </c>
      <c r="H17" s="50">
        <f>IFERROR(VLOOKUP(E17,'BD - E - Mvto Cx'!$J$15:$M$500,4,0),0)</f>
        <v>512.72</v>
      </c>
      <c r="I17" s="50">
        <f>IFERROR(VLOOKUP(E17,'BD - E - Mvto Cx'!$S$15:$V$500,4,0),0)</f>
        <v>49.82</v>
      </c>
      <c r="J17" s="50">
        <f>IFERROR(VLOOKUP(E17,'BD - E - Mvto Cx'!$AB$15:$AE$500,4,0),0)</f>
        <v>352.26</v>
      </c>
      <c r="K17" s="50">
        <f>IFERROR(VLOOKUP(E17,'BD - E - Mvto Cx'!$AK$15:$AN$500,4,0),0)</f>
        <v>0</v>
      </c>
      <c r="L17" s="50">
        <f>IFERROR(VLOOKUP(E17,'BD - E - Mvto Cx'!$AT$15:$AW$500,4,0),0)</f>
        <v>0</v>
      </c>
      <c r="M17" s="50">
        <f>IFERROR(VLOOKUP(E17,'BD - E - Mvto Cx'!$BF$15:$BI$500,4,0),0)</f>
        <v>0</v>
      </c>
      <c r="N17" s="50">
        <f>IFERROR(VLOOKUP(E17,'BD - E - Mvto Cx'!$BO$15:$BR$500,4,0),0)</f>
        <v>0</v>
      </c>
      <c r="O17" s="50">
        <f>IFERROR(VLOOKUP(E17,'BD - E - Mvto Cx'!$BX$15:$CA$500,4,0),0)</f>
        <v>0</v>
      </c>
      <c r="P17" s="50">
        <f>IFERROR(VLOOKUP(E17,'BD - E - Mvto Cx'!$CG$15:$CJ$500,4,0),0)</f>
        <v>0</v>
      </c>
      <c r="Q17" s="50">
        <f>IFERROR(VLOOKUP(E17,'BD - E - Mvto Cx'!$CP$15:$CS$500,4,0),0)</f>
        <v>0</v>
      </c>
      <c r="R17" s="50">
        <f>IFERROR(VLOOKUP(E17,'BD - E - Mvto Cx'!$CY$15:$DB$500,4,0),0)</f>
        <v>0</v>
      </c>
    </row>
    <row r="18" spans="1:18">
      <c r="A18" s="37"/>
      <c r="B18" t="str">
        <f t="shared" si="0"/>
        <v>E112304</v>
      </c>
      <c r="C18" s="29" t="s">
        <v>224</v>
      </c>
      <c r="D18" s="26" t="s">
        <v>73</v>
      </c>
      <c r="E18" s="7">
        <v>112304</v>
      </c>
      <c r="F18" s="48" t="s">
        <v>86</v>
      </c>
      <c r="G18" s="49">
        <f>IFERROR(VLOOKUP(E18,'BD - E - Mvto Cx'!$A$15:$D$500,4,0),0)</f>
        <v>598551.1</v>
      </c>
      <c r="H18" s="50">
        <f>IFERROR(VLOOKUP(E18,'BD - E - Mvto Cx'!$J$15:$M$500,4,0),0)</f>
        <v>291655.59999999998</v>
      </c>
      <c r="I18" s="50">
        <f>IFERROR(VLOOKUP(E18,'BD - E - Mvto Cx'!$S$15:$V$500,4,0),0)</f>
        <v>319250.14</v>
      </c>
      <c r="J18" s="50">
        <f>IFERROR(VLOOKUP(E18,'BD - E - Mvto Cx'!$AB$15:$AE$500,4,0),0)</f>
        <v>282395.08</v>
      </c>
      <c r="K18" s="50">
        <f>IFERROR(VLOOKUP(E18,'BD - E - Mvto Cx'!$AK$15:$AN$500,4,0),0)</f>
        <v>0</v>
      </c>
      <c r="L18" s="50">
        <f>IFERROR(VLOOKUP(E18,'BD - E - Mvto Cx'!$AT$15:$AW$500,4,0),0)</f>
        <v>0</v>
      </c>
      <c r="M18" s="50">
        <f>IFERROR(VLOOKUP(E18,'BD - E - Mvto Cx'!$BF$15:$BI$500,4,0),0)</f>
        <v>0</v>
      </c>
      <c r="N18" s="50">
        <f>IFERROR(VLOOKUP(E18,'BD - E - Mvto Cx'!$BO$15:$BR$500,4,0),0)</f>
        <v>0</v>
      </c>
      <c r="O18" s="50">
        <f>IFERROR(VLOOKUP(E18,'BD - E - Mvto Cx'!$BX$15:$CA$500,4,0),0)</f>
        <v>0</v>
      </c>
      <c r="P18" s="50">
        <f>IFERROR(VLOOKUP(E18,'BD - E - Mvto Cx'!$CG$15:$CJ$500,4,0),0)</f>
        <v>0</v>
      </c>
      <c r="Q18" s="50">
        <f>IFERROR(VLOOKUP(E18,'BD - E - Mvto Cx'!$CP$15:$CS$500,4,0),0)</f>
        <v>0</v>
      </c>
      <c r="R18" s="50">
        <f>IFERROR(VLOOKUP(E18,'BD - E - Mvto Cx'!$CY$15:$DB$500,4,0),0)</f>
        <v>0</v>
      </c>
    </row>
    <row r="19" spans="1:18">
      <c r="A19" s="37"/>
      <c r="B19" t="str">
        <f t="shared" si="0"/>
        <v>E112306</v>
      </c>
      <c r="C19" s="29" t="s">
        <v>224</v>
      </c>
      <c r="D19" s="26" t="s">
        <v>73</v>
      </c>
      <c r="E19" s="7">
        <v>112306</v>
      </c>
      <c r="F19" s="48" t="s">
        <v>87</v>
      </c>
      <c r="G19" s="49">
        <f>IFERROR(VLOOKUP(E19,'BD - E - Mvto Cx'!$A$15:$D$500,4,0),0)</f>
        <v>1097337.05</v>
      </c>
      <c r="H19" s="50">
        <f>IFERROR(VLOOKUP(E19,'BD - E - Mvto Cx'!$J$15:$M$500,4,0),0)</f>
        <v>506302.11</v>
      </c>
      <c r="I19" s="50">
        <f>IFERROR(VLOOKUP(E19,'BD - E - Mvto Cx'!$S$15:$V$500,4,0),0)</f>
        <v>592548.81000000006</v>
      </c>
      <c r="J19" s="50">
        <f>IFERROR(VLOOKUP(E19,'BD - E - Mvto Cx'!$AB$15:$AE$500,4,0),0)</f>
        <v>528227.06999999995</v>
      </c>
      <c r="K19" s="50">
        <f>IFERROR(VLOOKUP(E19,'BD - E - Mvto Cx'!$AK$15:$AN$500,4,0),0)</f>
        <v>0</v>
      </c>
      <c r="L19" s="50">
        <f>IFERROR(VLOOKUP(E19,'BD - E - Mvto Cx'!$AT$15:$AW$500,4,0),0)</f>
        <v>0</v>
      </c>
      <c r="M19" s="50">
        <f>IFERROR(VLOOKUP(E19,'BD - E - Mvto Cx'!$BF$15:$BI$500,4,0),0)</f>
        <v>0</v>
      </c>
      <c r="N19" s="50">
        <f>IFERROR(VLOOKUP(E19,'BD - E - Mvto Cx'!$BO$15:$BR$500,4,0),0)</f>
        <v>0</v>
      </c>
      <c r="O19" s="50">
        <f>IFERROR(VLOOKUP(E19,'BD - E - Mvto Cx'!$BX$15:$CA$500,4,0),0)</f>
        <v>0</v>
      </c>
      <c r="P19" s="50">
        <f>IFERROR(VLOOKUP(E19,'BD - E - Mvto Cx'!$CG$15:$CJ$500,4,0),0)</f>
        <v>0</v>
      </c>
      <c r="Q19" s="50">
        <f>IFERROR(VLOOKUP(E19,'BD - E - Mvto Cx'!$CP$15:$CS$500,4,0),0)</f>
        <v>0</v>
      </c>
      <c r="R19" s="50">
        <f>IFERROR(VLOOKUP(E19,'BD - E - Mvto Cx'!$CY$15:$DB$500,4,0),0)</f>
        <v>0</v>
      </c>
    </row>
    <row r="20" spans="1:18">
      <c r="A20" s="37"/>
      <c r="B20" t="str">
        <f t="shared" si="0"/>
        <v>E112307</v>
      </c>
      <c r="C20" s="29" t="s">
        <v>224</v>
      </c>
      <c r="D20" s="26" t="s">
        <v>73</v>
      </c>
      <c r="E20" s="7">
        <v>112307</v>
      </c>
      <c r="F20" s="48" t="s">
        <v>88</v>
      </c>
      <c r="G20" s="49">
        <f>IFERROR(VLOOKUP(E20,'BD - E - Mvto Cx'!$A$15:$D$500,4,0),0)</f>
        <v>0</v>
      </c>
      <c r="H20" s="50">
        <f>IFERROR(VLOOKUP(E20,'BD - E - Mvto Cx'!$J$15:$M$500,4,0),0)</f>
        <v>0</v>
      </c>
      <c r="I20" s="50">
        <f>IFERROR(VLOOKUP(E20,'BD - E - Mvto Cx'!$S$15:$V$500,4,0),0)</f>
        <v>0</v>
      </c>
      <c r="J20" s="50">
        <f>IFERROR(VLOOKUP(E20,'BD - E - Mvto Cx'!$AB$15:$AE$500,4,0),0)</f>
        <v>0</v>
      </c>
      <c r="K20" s="50">
        <f>IFERROR(VLOOKUP(E20,'BD - E - Mvto Cx'!$AK$15:$AN$500,4,0),0)</f>
        <v>0</v>
      </c>
      <c r="L20" s="50">
        <f>IFERROR(VLOOKUP(E20,'BD - E - Mvto Cx'!$AT$15:$AW$500,4,0),0)</f>
        <v>0</v>
      </c>
      <c r="M20" s="50">
        <f>IFERROR(VLOOKUP(E20,'BD - E - Mvto Cx'!$BF$15:$BI$500,4,0),0)</f>
        <v>0</v>
      </c>
      <c r="N20" s="50">
        <f>IFERROR(VLOOKUP(E20,'BD - E - Mvto Cx'!$BO$15:$BR$500,4,0),0)</f>
        <v>0</v>
      </c>
      <c r="O20" s="50">
        <f>IFERROR(VLOOKUP(E20,'BD - E - Mvto Cx'!$BX$15:$CA$500,4,0),0)</f>
        <v>0</v>
      </c>
      <c r="P20" s="50">
        <f>IFERROR(VLOOKUP(E20,'BD - E - Mvto Cx'!$CG$15:$CJ$500,4,0),0)</f>
        <v>0</v>
      </c>
      <c r="Q20" s="50">
        <f>IFERROR(VLOOKUP(E20,'BD - E - Mvto Cx'!$CP$15:$CS$500,4,0),0)</f>
        <v>0</v>
      </c>
      <c r="R20" s="50">
        <f>IFERROR(VLOOKUP(E20,'BD - E - Mvto Cx'!$CY$15:$DB$500,4,0),0)</f>
        <v>0</v>
      </c>
    </row>
    <row r="21" spans="1:18">
      <c r="A21" s="37"/>
      <c r="B21" t="str">
        <f t="shared" si="0"/>
        <v>E112401</v>
      </c>
      <c r="C21" s="29" t="s">
        <v>225</v>
      </c>
      <c r="D21" s="26" t="s">
        <v>73</v>
      </c>
      <c r="E21" s="7">
        <v>112401</v>
      </c>
      <c r="F21" s="48" t="s">
        <v>89</v>
      </c>
      <c r="G21" s="49">
        <f>IFERROR(VLOOKUP(E21,'BD - E - Mvto Cx'!$A$15:$D$500,4,0),0)</f>
        <v>2244640.9</v>
      </c>
      <c r="H21" s="50">
        <f>IFERROR(VLOOKUP(E21,'BD - E - Mvto Cx'!$J$15:$M$500,4,0),0)</f>
        <v>1747075.99</v>
      </c>
      <c r="I21" s="50">
        <f>IFERROR(VLOOKUP(E21,'BD - E - Mvto Cx'!$S$15:$V$500,4,0),0)</f>
        <v>1993552.73</v>
      </c>
      <c r="J21" s="50">
        <f>IFERROR(VLOOKUP(E21,'BD - E - Mvto Cx'!$AB$15:$AE$500,4,0),0)</f>
        <v>1761577.69</v>
      </c>
      <c r="K21" s="50">
        <f>IFERROR(VLOOKUP(E21,'BD - E - Mvto Cx'!$AK$15:$AN$500,4,0),0)</f>
        <v>0</v>
      </c>
      <c r="L21" s="50">
        <f>IFERROR(VLOOKUP(E21,'BD - E - Mvto Cx'!$AT$15:$AW$500,4,0),0)</f>
        <v>0</v>
      </c>
      <c r="M21" s="50">
        <f>IFERROR(VLOOKUP(E21,'BD - E - Mvto Cx'!$BF$15:$BI$500,4,0),0)</f>
        <v>0</v>
      </c>
      <c r="N21" s="50">
        <f>IFERROR(VLOOKUP(E21,'BD - E - Mvto Cx'!$BO$15:$BR$500,4,0),0)</f>
        <v>0</v>
      </c>
      <c r="O21" s="50">
        <f>IFERROR(VLOOKUP(E21,'BD - E - Mvto Cx'!$BX$15:$CA$500,4,0),0)</f>
        <v>0</v>
      </c>
      <c r="P21" s="50">
        <f>IFERROR(VLOOKUP(E21,'BD - E - Mvto Cx'!$CG$15:$CJ$500,4,0),0)</f>
        <v>0</v>
      </c>
      <c r="Q21" s="50">
        <f>IFERROR(VLOOKUP(E21,'BD - E - Mvto Cx'!$CP$15:$CS$500,4,0),0)</f>
        <v>0</v>
      </c>
      <c r="R21" s="50">
        <f>IFERROR(VLOOKUP(E21,'BD - E - Mvto Cx'!$CY$15:$DB$500,4,0),0)</f>
        <v>0</v>
      </c>
    </row>
    <row r="22" spans="1:18">
      <c r="A22" s="37"/>
      <c r="B22" t="str">
        <f t="shared" si="0"/>
        <v>E112402</v>
      </c>
      <c r="C22" s="29" t="s">
        <v>225</v>
      </c>
      <c r="D22" s="26" t="s">
        <v>73</v>
      </c>
      <c r="E22" s="7">
        <v>112402</v>
      </c>
      <c r="F22" s="48" t="s">
        <v>90</v>
      </c>
      <c r="G22" s="49">
        <f>IFERROR(VLOOKUP(E22,'BD - E - Mvto Cx'!$A$15:$D$500,4,0),0)</f>
        <v>2845673.46</v>
      </c>
      <c r="H22" s="50">
        <f>IFERROR(VLOOKUP(E22,'BD - E - Mvto Cx'!$J$15:$M$500,4,0),0)</f>
        <v>2401801</v>
      </c>
      <c r="I22" s="50">
        <f>IFERROR(VLOOKUP(E22,'BD - E - Mvto Cx'!$S$15:$V$500,4,0),0)</f>
        <v>2707339.99</v>
      </c>
      <c r="J22" s="50">
        <f>IFERROR(VLOOKUP(E22,'BD - E - Mvto Cx'!$AB$15:$AE$500,4,0),0)</f>
        <v>2481777.9500000002</v>
      </c>
      <c r="K22" s="50">
        <f>IFERROR(VLOOKUP(E22,'BD - E - Mvto Cx'!$AK$15:$AN$500,4,0),0)</f>
        <v>0</v>
      </c>
      <c r="L22" s="50">
        <f>IFERROR(VLOOKUP(E22,'BD - E - Mvto Cx'!$AT$15:$AW$500,4,0),0)</f>
        <v>0</v>
      </c>
      <c r="M22" s="50">
        <f>IFERROR(VLOOKUP(E22,'BD - E - Mvto Cx'!$BF$15:$BI$500,4,0),0)</f>
        <v>0</v>
      </c>
      <c r="N22" s="50">
        <f>IFERROR(VLOOKUP(E22,'BD - E - Mvto Cx'!$BO$15:$BR$500,4,0),0)</f>
        <v>0</v>
      </c>
      <c r="O22" s="50">
        <f>IFERROR(VLOOKUP(E22,'BD - E - Mvto Cx'!$BX$15:$CA$500,4,0),0)</f>
        <v>0</v>
      </c>
      <c r="P22" s="50">
        <f>IFERROR(VLOOKUP(E22,'BD - E - Mvto Cx'!$CG$15:$CJ$500,4,0),0)</f>
        <v>0</v>
      </c>
      <c r="Q22" s="50">
        <f>IFERROR(VLOOKUP(E22,'BD - E - Mvto Cx'!$CP$15:$CS$500,4,0),0)</f>
        <v>0</v>
      </c>
      <c r="R22" s="50">
        <f>IFERROR(VLOOKUP(E22,'BD - E - Mvto Cx'!$CY$15:$DB$500,4,0),0)</f>
        <v>0</v>
      </c>
    </row>
    <row r="23" spans="1:18">
      <c r="A23" s="37"/>
      <c r="B23" t="str">
        <f t="shared" si="0"/>
        <v>E112405</v>
      </c>
      <c r="C23" s="29" t="s">
        <v>225</v>
      </c>
      <c r="D23" s="26" t="s">
        <v>73</v>
      </c>
      <c r="E23" s="7">
        <v>112405</v>
      </c>
      <c r="F23" s="48" t="s">
        <v>91</v>
      </c>
      <c r="G23" s="49">
        <f>IFERROR(VLOOKUP(E23,'BD - E - Mvto Cx'!$A$15:$D$500,4,0),0)</f>
        <v>510414.57</v>
      </c>
      <c r="H23" s="50">
        <f>IFERROR(VLOOKUP(E23,'BD - E - Mvto Cx'!$J$15:$M$500,4,0),0)</f>
        <v>418706.4</v>
      </c>
      <c r="I23" s="50">
        <f>IFERROR(VLOOKUP(E23,'BD - E - Mvto Cx'!$S$15:$V$500,4,0),0)</f>
        <v>483346.07</v>
      </c>
      <c r="J23" s="50">
        <f>IFERROR(VLOOKUP(E23,'BD - E - Mvto Cx'!$AB$15:$AE$500,4,0),0)</f>
        <v>427099.03</v>
      </c>
      <c r="K23" s="50">
        <f>IFERROR(VLOOKUP(E23,'BD - E - Mvto Cx'!$AK$15:$AN$500,4,0),0)</f>
        <v>0</v>
      </c>
      <c r="L23" s="50">
        <f>IFERROR(VLOOKUP(E23,'BD - E - Mvto Cx'!$AT$15:$AW$500,4,0),0)</f>
        <v>0</v>
      </c>
      <c r="M23" s="50">
        <f>IFERROR(VLOOKUP(E23,'BD - E - Mvto Cx'!$BF$15:$BI$500,4,0),0)</f>
        <v>0</v>
      </c>
      <c r="N23" s="50">
        <f>IFERROR(VLOOKUP(E23,'BD - E - Mvto Cx'!$BO$15:$BR$500,4,0),0)</f>
        <v>0</v>
      </c>
      <c r="O23" s="50">
        <f>IFERROR(VLOOKUP(E23,'BD - E - Mvto Cx'!$BX$15:$CA$500,4,0),0)</f>
        <v>0</v>
      </c>
      <c r="P23" s="50">
        <f>IFERROR(VLOOKUP(E23,'BD - E - Mvto Cx'!$CG$15:$CJ$500,4,0),0)</f>
        <v>0</v>
      </c>
      <c r="Q23" s="50">
        <f>IFERROR(VLOOKUP(E23,'BD - E - Mvto Cx'!$CP$15:$CS$500,4,0),0)</f>
        <v>0</v>
      </c>
      <c r="R23" s="50">
        <f>IFERROR(VLOOKUP(E23,'BD - E - Mvto Cx'!$CY$15:$DB$500,4,0),0)</f>
        <v>0</v>
      </c>
    </row>
    <row r="24" spans="1:18" s="46" customFormat="1">
      <c r="A24" s="38"/>
      <c r="B24" t="str">
        <f t="shared" si="0"/>
        <v>E112501</v>
      </c>
      <c r="C24" s="29" t="s">
        <v>226</v>
      </c>
      <c r="D24" s="26" t="s">
        <v>73</v>
      </c>
      <c r="E24" s="7">
        <v>112501</v>
      </c>
      <c r="F24" s="48" t="s">
        <v>92</v>
      </c>
      <c r="G24" s="49">
        <f>IFERROR(VLOOKUP(E24,'BD - E - Mvto Cx'!$A$15:$D$500,4,0),0)</f>
        <v>209182.11</v>
      </c>
      <c r="H24" s="50">
        <f>IFERROR(VLOOKUP(E24,'BD - E - Mvto Cx'!$J$15:$M$500,4,0),0)</f>
        <v>118854.6</v>
      </c>
      <c r="I24" s="50">
        <f>IFERROR(VLOOKUP(E24,'BD - E - Mvto Cx'!$S$15:$V$500,4,0),0)</f>
        <v>160427.35</v>
      </c>
      <c r="J24" s="50">
        <f>IFERROR(VLOOKUP(E24,'BD - E - Mvto Cx'!$AB$15:$AE$500,4,0),0)</f>
        <v>147719.28</v>
      </c>
      <c r="K24" s="50">
        <f>IFERROR(VLOOKUP(E24,'BD - E - Mvto Cx'!$AK$15:$AN$500,4,0),0)</f>
        <v>0</v>
      </c>
      <c r="L24" s="50">
        <f>IFERROR(VLOOKUP(E24,'BD - E - Mvto Cx'!$AT$15:$AW$500,4,0),0)</f>
        <v>0</v>
      </c>
      <c r="M24" s="50">
        <f>IFERROR(VLOOKUP(E24,'BD - E - Mvto Cx'!$BF$15:$BI$500,4,0),0)</f>
        <v>0</v>
      </c>
      <c r="N24" s="50">
        <f>IFERROR(VLOOKUP(E24,'BD - E - Mvto Cx'!$BO$15:$BR$500,4,0),0)</f>
        <v>0</v>
      </c>
      <c r="O24" s="50">
        <f>IFERROR(VLOOKUP(E24,'BD - E - Mvto Cx'!$BX$15:$CA$500,4,0),0)</f>
        <v>0</v>
      </c>
      <c r="P24" s="50">
        <f>IFERROR(VLOOKUP(E24,'BD - E - Mvto Cx'!$CG$15:$CJ$500,4,0),0)</f>
        <v>0</v>
      </c>
      <c r="Q24" s="50">
        <f>IFERROR(VLOOKUP(E24,'BD - E - Mvto Cx'!$CP$15:$CS$500,4,0),0)</f>
        <v>0</v>
      </c>
      <c r="R24" s="50">
        <f>IFERROR(VLOOKUP(E24,'BD - E - Mvto Cx'!$CY$15:$DB$500,4,0),0)</f>
        <v>0</v>
      </c>
    </row>
    <row r="25" spans="1:18">
      <c r="A25" s="37"/>
      <c r="B25" t="str">
        <f t="shared" si="0"/>
        <v>E112502</v>
      </c>
      <c r="C25" s="29" t="s">
        <v>226</v>
      </c>
      <c r="D25" s="26" t="s">
        <v>73</v>
      </c>
      <c r="E25" s="7">
        <v>112502</v>
      </c>
      <c r="F25" s="48" t="s">
        <v>93</v>
      </c>
      <c r="G25" s="49">
        <f>IFERROR(VLOOKUP(E25,'BD - E - Mvto Cx'!$A$15:$D$500,4,0),0)</f>
        <v>46851.95</v>
      </c>
      <c r="H25" s="50">
        <f>IFERROR(VLOOKUP(E25,'BD - E - Mvto Cx'!$J$15:$M$500,4,0),0)</f>
        <v>28001.88</v>
      </c>
      <c r="I25" s="50">
        <f>IFERROR(VLOOKUP(E25,'BD - E - Mvto Cx'!$S$15:$V$500,4,0),0)</f>
        <v>37918.15</v>
      </c>
      <c r="J25" s="50">
        <f>IFERROR(VLOOKUP(E25,'BD - E - Mvto Cx'!$AB$15:$AE$500,4,0),0)</f>
        <v>33437.21</v>
      </c>
      <c r="K25" s="50">
        <f>IFERROR(VLOOKUP(E25,'BD - E - Mvto Cx'!$AK$15:$AN$500,4,0),0)</f>
        <v>0</v>
      </c>
      <c r="L25" s="50">
        <f>IFERROR(VLOOKUP(E25,'BD - E - Mvto Cx'!$AT$15:$AW$500,4,0),0)</f>
        <v>0</v>
      </c>
      <c r="M25" s="50">
        <f>IFERROR(VLOOKUP(E25,'BD - E - Mvto Cx'!$BF$15:$BI$500,4,0),0)</f>
        <v>0</v>
      </c>
      <c r="N25" s="50">
        <f>IFERROR(VLOOKUP(E25,'BD - E - Mvto Cx'!$BO$15:$BR$500,4,0),0)</f>
        <v>0</v>
      </c>
      <c r="O25" s="50">
        <f>IFERROR(VLOOKUP(E25,'BD - E - Mvto Cx'!$BX$15:$CA$500,4,0),0)</f>
        <v>0</v>
      </c>
      <c r="P25" s="50">
        <f>IFERROR(VLOOKUP(E25,'BD - E - Mvto Cx'!$CG$15:$CJ$500,4,0),0)</f>
        <v>0</v>
      </c>
      <c r="Q25" s="50">
        <f>IFERROR(VLOOKUP(E25,'BD - E - Mvto Cx'!$CP$15:$CS$500,4,0),0)</f>
        <v>0</v>
      </c>
      <c r="R25" s="50">
        <f>IFERROR(VLOOKUP(E25,'BD - E - Mvto Cx'!$CY$15:$DB$500,4,0),0)</f>
        <v>0</v>
      </c>
    </row>
    <row r="26" spans="1:18">
      <c r="A26" s="37"/>
      <c r="B26" t="str">
        <f t="shared" si="0"/>
        <v>E112503</v>
      </c>
      <c r="C26" s="29" t="s">
        <v>226</v>
      </c>
      <c r="D26" s="26" t="s">
        <v>73</v>
      </c>
      <c r="E26" s="7">
        <v>112503</v>
      </c>
      <c r="F26" s="48" t="s">
        <v>94</v>
      </c>
      <c r="G26" s="49">
        <f>IFERROR(VLOOKUP(E26,'BD - E - Mvto Cx'!$A$15:$D$500,4,0),0)</f>
        <v>506836.65</v>
      </c>
      <c r="H26" s="50">
        <f>IFERROR(VLOOKUP(E26,'BD - E - Mvto Cx'!$J$15:$M$500,4,0),0)</f>
        <v>302725.14</v>
      </c>
      <c r="I26" s="50">
        <f>IFERROR(VLOOKUP(E26,'BD - E - Mvto Cx'!$S$15:$V$500,4,0),0)</f>
        <v>463857.22</v>
      </c>
      <c r="J26" s="50">
        <f>IFERROR(VLOOKUP(E26,'BD - E - Mvto Cx'!$AB$15:$AE$500,4,0),0)</f>
        <v>269612.2</v>
      </c>
      <c r="K26" s="50">
        <f>IFERROR(VLOOKUP(E26,'BD - E - Mvto Cx'!$AK$15:$AN$500,4,0),0)</f>
        <v>0</v>
      </c>
      <c r="L26" s="50">
        <f>IFERROR(VLOOKUP(E26,'BD - E - Mvto Cx'!$AT$15:$AW$500,4,0),0)</f>
        <v>0</v>
      </c>
      <c r="M26" s="50">
        <f>IFERROR(VLOOKUP(E26,'BD - E - Mvto Cx'!$BF$15:$BI$500,4,0),0)</f>
        <v>0</v>
      </c>
      <c r="N26" s="50">
        <f>IFERROR(VLOOKUP(E26,'BD - E - Mvto Cx'!$BO$15:$BR$500,4,0),0)</f>
        <v>0</v>
      </c>
      <c r="O26" s="50">
        <f>IFERROR(VLOOKUP(E26,'BD - E - Mvto Cx'!$BX$15:$CA$500,4,0),0)</f>
        <v>0</v>
      </c>
      <c r="P26" s="50">
        <f>IFERROR(VLOOKUP(E26,'BD - E - Mvto Cx'!$CG$15:$CJ$500,4,0),0)</f>
        <v>0</v>
      </c>
      <c r="Q26" s="50">
        <f>IFERROR(VLOOKUP(E26,'BD - E - Mvto Cx'!$CP$15:$CS$500,4,0),0)</f>
        <v>0</v>
      </c>
      <c r="R26" s="50">
        <f>IFERROR(VLOOKUP(E26,'BD - E - Mvto Cx'!$CY$15:$DB$500,4,0),0)</f>
        <v>0</v>
      </c>
    </row>
    <row r="27" spans="1:18">
      <c r="A27" s="37"/>
      <c r="B27" t="str">
        <f t="shared" si="0"/>
        <v>E112505</v>
      </c>
      <c r="C27" s="29" t="s">
        <v>226</v>
      </c>
      <c r="D27" s="26" t="s">
        <v>73</v>
      </c>
      <c r="E27" s="7">
        <v>112505</v>
      </c>
      <c r="F27" s="48" t="s">
        <v>95</v>
      </c>
      <c r="G27" s="49">
        <f>IFERROR(VLOOKUP(E27,'BD - E - Mvto Cx'!$A$15:$D$500,4,0),0)</f>
        <v>415475.34</v>
      </c>
      <c r="H27" s="50">
        <f>IFERROR(VLOOKUP(E27,'BD - E - Mvto Cx'!$J$15:$M$500,4,0),0)</f>
        <v>297381.65999999997</v>
      </c>
      <c r="I27" s="50">
        <f>IFERROR(VLOOKUP(E27,'BD - E - Mvto Cx'!$S$15:$V$500,4,0),0)</f>
        <v>323247.32</v>
      </c>
      <c r="J27" s="50">
        <f>IFERROR(VLOOKUP(E27,'BD - E - Mvto Cx'!$AB$15:$AE$500,4,0),0)</f>
        <v>299921.32</v>
      </c>
      <c r="K27" s="50">
        <f>IFERROR(VLOOKUP(E27,'BD - E - Mvto Cx'!$AK$15:$AN$500,4,0),0)</f>
        <v>0</v>
      </c>
      <c r="L27" s="50">
        <f>IFERROR(VLOOKUP(E27,'BD - E - Mvto Cx'!$AT$15:$AW$500,4,0),0)</f>
        <v>0</v>
      </c>
      <c r="M27" s="50">
        <f>IFERROR(VLOOKUP(E27,'BD - E - Mvto Cx'!$BF$15:$BI$500,4,0),0)</f>
        <v>0</v>
      </c>
      <c r="N27" s="50">
        <f>IFERROR(VLOOKUP(E27,'BD - E - Mvto Cx'!$BO$15:$BR$500,4,0),0)</f>
        <v>0</v>
      </c>
      <c r="O27" s="50">
        <f>IFERROR(VLOOKUP(E27,'BD - E - Mvto Cx'!$BX$15:$CA$500,4,0),0)</f>
        <v>0</v>
      </c>
      <c r="P27" s="50">
        <f>IFERROR(VLOOKUP(E27,'BD - E - Mvto Cx'!$CG$15:$CJ$500,4,0),0)</f>
        <v>0</v>
      </c>
      <c r="Q27" s="50">
        <f>IFERROR(VLOOKUP(E27,'BD - E - Mvto Cx'!$CP$15:$CS$500,4,0),0)</f>
        <v>0</v>
      </c>
      <c r="R27" s="50">
        <f>IFERROR(VLOOKUP(E27,'BD - E - Mvto Cx'!$CY$15:$DB$500,4,0),0)</f>
        <v>0</v>
      </c>
    </row>
    <row r="28" spans="1:18">
      <c r="A28" s="37"/>
      <c r="B28" t="str">
        <f t="shared" si="0"/>
        <v>E112506</v>
      </c>
      <c r="C28" s="29" t="s">
        <v>226</v>
      </c>
      <c r="D28" s="26" t="s">
        <v>73</v>
      </c>
      <c r="E28" s="7">
        <v>112506</v>
      </c>
      <c r="F28" s="48" t="s">
        <v>96</v>
      </c>
      <c r="G28" s="49">
        <f>IFERROR(VLOOKUP(E28,'BD - E - Mvto Cx'!$A$15:$D$500,4,0),0)</f>
        <v>383868.44</v>
      </c>
      <c r="H28" s="50">
        <f>IFERROR(VLOOKUP(E28,'BD - E - Mvto Cx'!$J$15:$M$500,4,0),0)</f>
        <v>221493.12</v>
      </c>
      <c r="I28" s="50">
        <f>IFERROR(VLOOKUP(E28,'BD - E - Mvto Cx'!$S$15:$V$500,4,0),0)</f>
        <v>331790.09000000003</v>
      </c>
      <c r="J28" s="50">
        <f>IFERROR(VLOOKUP(E28,'BD - E - Mvto Cx'!$AB$15:$AE$500,4,0),0)</f>
        <v>252616.26</v>
      </c>
      <c r="K28" s="50">
        <f>IFERROR(VLOOKUP(E28,'BD - E - Mvto Cx'!$AK$15:$AN$500,4,0),0)</f>
        <v>0</v>
      </c>
      <c r="L28" s="50">
        <f>IFERROR(VLOOKUP(E28,'BD - E - Mvto Cx'!$AT$15:$AW$500,4,0),0)</f>
        <v>0</v>
      </c>
      <c r="M28" s="50">
        <f>IFERROR(VLOOKUP(E28,'BD - E - Mvto Cx'!$BF$15:$BI$500,4,0),0)</f>
        <v>0</v>
      </c>
      <c r="N28" s="50">
        <f>IFERROR(VLOOKUP(E28,'BD - E - Mvto Cx'!$BO$15:$BR$500,4,0),0)</f>
        <v>0</v>
      </c>
      <c r="O28" s="50">
        <f>IFERROR(VLOOKUP(E28,'BD - E - Mvto Cx'!$BX$15:$CA$500,4,0),0)</f>
        <v>0</v>
      </c>
      <c r="P28" s="50">
        <f>IFERROR(VLOOKUP(E28,'BD - E - Mvto Cx'!$CG$15:$CJ$500,4,0),0)</f>
        <v>0</v>
      </c>
      <c r="Q28" s="50">
        <f>IFERROR(VLOOKUP(E28,'BD - E - Mvto Cx'!$CP$15:$CS$500,4,0),0)</f>
        <v>0</v>
      </c>
      <c r="R28" s="50">
        <f>IFERROR(VLOOKUP(E28,'BD - E - Mvto Cx'!$CY$15:$DB$500,4,0),0)</f>
        <v>0</v>
      </c>
    </row>
    <row r="29" spans="1:18">
      <c r="A29" s="37"/>
      <c r="B29" t="str">
        <f t="shared" si="0"/>
        <v>E112507</v>
      </c>
      <c r="C29" s="29" t="s">
        <v>226</v>
      </c>
      <c r="D29" s="26" t="s">
        <v>73</v>
      </c>
      <c r="E29" s="7">
        <v>112507</v>
      </c>
      <c r="F29" s="48" t="s">
        <v>854</v>
      </c>
      <c r="G29" s="49">
        <f>IFERROR(VLOOKUP(E29,'BD - E - Mvto Cx'!$A$15:$D$500,4,0),0)</f>
        <v>44.71</v>
      </c>
      <c r="H29" s="50">
        <f>IFERROR(VLOOKUP(E29,'BD - E - Mvto Cx'!$J$15:$M$500,4,0),0)</f>
        <v>463.12</v>
      </c>
      <c r="I29" s="50">
        <f>IFERROR(VLOOKUP(E29,'BD - E - Mvto Cx'!$S$15:$V$500,4,0),0)</f>
        <v>1759.42</v>
      </c>
      <c r="J29" s="50">
        <f>IFERROR(VLOOKUP(E29,'BD - E - Mvto Cx'!$AB$15:$AE$500,4,0),0)</f>
        <v>1600.39</v>
      </c>
      <c r="K29" s="50">
        <f>IFERROR(VLOOKUP(E29,'BD - E - Mvto Cx'!$AK$15:$AN$500,4,0),0)</f>
        <v>0</v>
      </c>
      <c r="L29" s="50">
        <f>IFERROR(VLOOKUP(E29,'BD - E - Mvto Cx'!$AT$15:$AW$500,4,0),0)</f>
        <v>0</v>
      </c>
      <c r="M29" s="50">
        <f>IFERROR(VLOOKUP(E29,'BD - E - Mvto Cx'!$BF$15:$BI$500,4,0),0)</f>
        <v>0</v>
      </c>
      <c r="N29" s="50">
        <f>IFERROR(VLOOKUP(E29,'BD - E - Mvto Cx'!$BO$15:$BR$500,4,0),0)</f>
        <v>0</v>
      </c>
      <c r="O29" s="50">
        <f>IFERROR(VLOOKUP(E29,'BD - E - Mvto Cx'!$BX$15:$CA$500,4,0),0)</f>
        <v>0</v>
      </c>
      <c r="P29" s="50">
        <f>IFERROR(VLOOKUP(E29,'BD - E - Mvto Cx'!$CG$15:$CJ$500,4,0),0)</f>
        <v>0</v>
      </c>
      <c r="Q29" s="50">
        <f>IFERROR(VLOOKUP(E29,'BD - E - Mvto Cx'!$CP$15:$CS$500,4,0),0)</f>
        <v>0</v>
      </c>
      <c r="R29" s="50">
        <f>IFERROR(VLOOKUP(E29,'BD - E - Mvto Cx'!$CY$15:$DB$500,4,0),0)</f>
        <v>0</v>
      </c>
    </row>
    <row r="30" spans="1:18">
      <c r="A30" s="37"/>
      <c r="B30" t="str">
        <f t="shared" si="0"/>
        <v>E112510</v>
      </c>
      <c r="C30" s="29" t="s">
        <v>226</v>
      </c>
      <c r="D30" s="26" t="s">
        <v>73</v>
      </c>
      <c r="E30" s="7">
        <v>112510</v>
      </c>
      <c r="F30" s="48" t="s">
        <v>97</v>
      </c>
      <c r="G30" s="49">
        <f>IFERROR(VLOOKUP(E30,'BD - E - Mvto Cx'!$A$15:$D$500,4,0),0)</f>
        <v>0</v>
      </c>
      <c r="H30" s="50">
        <f>IFERROR(VLOOKUP(E30,'BD - E - Mvto Cx'!$J$15:$M$500,4,0),0)</f>
        <v>0</v>
      </c>
      <c r="I30" s="50">
        <f>IFERROR(VLOOKUP(E30,'BD - E - Mvto Cx'!$S$15:$V$500,4,0),0)</f>
        <v>0</v>
      </c>
      <c r="J30" s="50">
        <f>IFERROR(VLOOKUP(E30,'BD - E - Mvto Cx'!$AB$15:$AE$500,4,0),0)</f>
        <v>0</v>
      </c>
      <c r="K30" s="50">
        <f>IFERROR(VLOOKUP(E30,'BD - E - Mvto Cx'!$AK$15:$AN$500,4,0),0)</f>
        <v>0</v>
      </c>
      <c r="L30" s="50">
        <f>IFERROR(VLOOKUP(E30,'BD - E - Mvto Cx'!$AT$15:$AW$500,4,0),0)</f>
        <v>0</v>
      </c>
      <c r="M30" s="50">
        <f>IFERROR(VLOOKUP(E30,'BD - E - Mvto Cx'!$BF$15:$BI$500,4,0),0)</f>
        <v>0</v>
      </c>
      <c r="N30" s="50">
        <f>IFERROR(VLOOKUP(E30,'BD - E - Mvto Cx'!$BO$15:$BR$500,4,0),0)</f>
        <v>0</v>
      </c>
      <c r="O30" s="50">
        <f>IFERROR(VLOOKUP(E30,'BD - E - Mvto Cx'!$BX$15:$CA$500,4,0),0)</f>
        <v>0</v>
      </c>
      <c r="P30" s="50">
        <f>IFERROR(VLOOKUP(E30,'BD - E - Mvto Cx'!$CG$15:$CJ$500,4,0),0)</f>
        <v>0</v>
      </c>
      <c r="Q30" s="50">
        <f>IFERROR(VLOOKUP(E30,'BD - E - Mvto Cx'!$CP$15:$CS$500,4,0),0)</f>
        <v>0</v>
      </c>
      <c r="R30" s="50">
        <f>IFERROR(VLOOKUP(E30,'BD - E - Mvto Cx'!$CY$15:$DB$500,4,0),0)</f>
        <v>0</v>
      </c>
    </row>
    <row r="31" spans="1:18" s="46" customFormat="1">
      <c r="A31" s="38"/>
      <c r="B31" t="str">
        <f t="shared" si="0"/>
        <v>E112511</v>
      </c>
      <c r="C31" s="29" t="s">
        <v>226</v>
      </c>
      <c r="D31" s="26" t="s">
        <v>73</v>
      </c>
      <c r="E31" s="7">
        <v>112511</v>
      </c>
      <c r="F31" s="48" t="s">
        <v>98</v>
      </c>
      <c r="G31" s="49">
        <f>IFERROR(VLOOKUP(E31,'BD - E - Mvto Cx'!$A$15:$D$500,4,0),0)</f>
        <v>0</v>
      </c>
      <c r="H31" s="50">
        <f>IFERROR(VLOOKUP(E31,'BD - E - Mvto Cx'!$J$15:$M$500,4,0),0)</f>
        <v>0</v>
      </c>
      <c r="I31" s="50">
        <f>IFERROR(VLOOKUP(E31,'BD - E - Mvto Cx'!$S$15:$V$500,4,0),0)</f>
        <v>0</v>
      </c>
      <c r="J31" s="50">
        <f>IFERROR(VLOOKUP(E31,'BD - E - Mvto Cx'!$AB$15:$AE$500,4,0),0)</f>
        <v>0</v>
      </c>
      <c r="K31" s="50">
        <f>IFERROR(VLOOKUP(E31,'BD - E - Mvto Cx'!$AK$15:$AN$500,4,0),0)</f>
        <v>0</v>
      </c>
      <c r="L31" s="50">
        <f>IFERROR(VLOOKUP(E31,'BD - E - Mvto Cx'!$AT$15:$AW$500,4,0),0)</f>
        <v>0</v>
      </c>
      <c r="M31" s="50">
        <f>IFERROR(VLOOKUP(E31,'BD - E - Mvto Cx'!$BF$15:$BI$500,4,0),0)</f>
        <v>0</v>
      </c>
      <c r="N31" s="50">
        <f>IFERROR(VLOOKUP(E31,'BD - E - Mvto Cx'!$BO$15:$BR$500,4,0),0)</f>
        <v>0</v>
      </c>
      <c r="O31" s="50">
        <f>IFERROR(VLOOKUP(E31,'BD - E - Mvto Cx'!$BX$15:$CA$500,4,0),0)</f>
        <v>0</v>
      </c>
      <c r="P31" s="50">
        <f>IFERROR(VLOOKUP(E31,'BD - E - Mvto Cx'!$CG$15:$CJ$500,4,0),0)</f>
        <v>0</v>
      </c>
      <c r="Q31" s="50">
        <f>IFERROR(VLOOKUP(E31,'BD - E - Mvto Cx'!$CP$15:$CS$500,4,0),0)</f>
        <v>0</v>
      </c>
      <c r="R31" s="50">
        <f>IFERROR(VLOOKUP(E31,'BD - E - Mvto Cx'!$CY$15:$DB$500,4,0),0)</f>
        <v>0</v>
      </c>
    </row>
    <row r="32" spans="1:18">
      <c r="A32" s="37"/>
      <c r="B32" t="str">
        <f t="shared" si="0"/>
        <v>E112512</v>
      </c>
      <c r="C32" s="29" t="s">
        <v>226</v>
      </c>
      <c r="D32" s="26" t="s">
        <v>73</v>
      </c>
      <c r="E32" s="7">
        <v>112512</v>
      </c>
      <c r="F32" s="48" t="s">
        <v>99</v>
      </c>
      <c r="G32" s="49">
        <f>IFERROR(VLOOKUP(E32,'BD - E - Mvto Cx'!$A$15:$D$500,4,0),0)</f>
        <v>5650.26</v>
      </c>
      <c r="H32" s="50">
        <f>IFERROR(VLOOKUP(E32,'BD - E - Mvto Cx'!$J$15:$M$500,4,0),0)</f>
        <v>4413.6899999999996</v>
      </c>
      <c r="I32" s="50">
        <f>IFERROR(VLOOKUP(E32,'BD - E - Mvto Cx'!$S$15:$V$500,4,0),0)</f>
        <v>7406.39</v>
      </c>
      <c r="J32" s="50">
        <f>IFERROR(VLOOKUP(E32,'BD - E - Mvto Cx'!$AB$15:$AE$500,4,0),0)</f>
        <v>7120.8</v>
      </c>
      <c r="K32" s="50">
        <f>IFERROR(VLOOKUP(E32,'BD - E - Mvto Cx'!$AK$15:$AN$500,4,0),0)</f>
        <v>0</v>
      </c>
      <c r="L32" s="50">
        <f>IFERROR(VLOOKUP(E32,'BD - E - Mvto Cx'!$AT$15:$AW$500,4,0),0)</f>
        <v>0</v>
      </c>
      <c r="M32" s="50">
        <f>IFERROR(VLOOKUP(E32,'BD - E - Mvto Cx'!$BF$15:$BI$500,4,0),0)</f>
        <v>0</v>
      </c>
      <c r="N32" s="50">
        <f>IFERROR(VLOOKUP(E32,'BD - E - Mvto Cx'!$BO$15:$BR$500,4,0),0)</f>
        <v>0</v>
      </c>
      <c r="O32" s="50">
        <f>IFERROR(VLOOKUP(E32,'BD - E - Mvto Cx'!$BX$15:$CA$500,4,0),0)</f>
        <v>0</v>
      </c>
      <c r="P32" s="50">
        <f>IFERROR(VLOOKUP(E32,'BD - E - Mvto Cx'!$CG$15:$CJ$500,4,0),0)</f>
        <v>0</v>
      </c>
      <c r="Q32" s="50">
        <f>IFERROR(VLOOKUP(E32,'BD - E - Mvto Cx'!$CP$15:$CS$500,4,0),0)</f>
        <v>0</v>
      </c>
      <c r="R32" s="50">
        <f>IFERROR(VLOOKUP(E32,'BD - E - Mvto Cx'!$CY$15:$DB$500,4,0),0)</f>
        <v>0</v>
      </c>
    </row>
    <row r="33" spans="1:18">
      <c r="A33" s="37"/>
      <c r="B33" t="str">
        <f t="shared" si="0"/>
        <v>E112513</v>
      </c>
      <c r="C33" s="29" t="s">
        <v>226</v>
      </c>
      <c r="D33" s="26" t="s">
        <v>73</v>
      </c>
      <c r="E33" s="7">
        <v>112513</v>
      </c>
      <c r="F33" s="48" t="s">
        <v>100</v>
      </c>
      <c r="G33" s="49">
        <f>IFERROR(VLOOKUP(E33,'BD - E - Mvto Cx'!$A$15:$D$500,4,0),0)</f>
        <v>0</v>
      </c>
      <c r="H33" s="50">
        <f>IFERROR(VLOOKUP(E33,'BD - E - Mvto Cx'!$J$15:$M$500,4,0),0)</f>
        <v>452.65</v>
      </c>
      <c r="I33" s="50">
        <f>IFERROR(VLOOKUP(E33,'BD - E - Mvto Cx'!$S$15:$V$500,4,0),0)</f>
        <v>284.61</v>
      </c>
      <c r="J33" s="50">
        <f>IFERROR(VLOOKUP(E33,'BD - E - Mvto Cx'!$AB$15:$AE$500,4,0),0)</f>
        <v>103.71</v>
      </c>
      <c r="K33" s="50">
        <f>IFERROR(VLOOKUP(E33,'BD - E - Mvto Cx'!$AK$15:$AN$500,4,0),0)</f>
        <v>0</v>
      </c>
      <c r="L33" s="50">
        <f>IFERROR(VLOOKUP(E33,'BD - E - Mvto Cx'!$AT$15:$AW$500,4,0),0)</f>
        <v>0</v>
      </c>
      <c r="M33" s="50">
        <f>IFERROR(VLOOKUP(E33,'BD - E - Mvto Cx'!$BF$15:$BI$500,4,0),0)</f>
        <v>0</v>
      </c>
      <c r="N33" s="50">
        <f>IFERROR(VLOOKUP(E33,'BD - E - Mvto Cx'!$BO$15:$BR$500,4,0),0)</f>
        <v>0</v>
      </c>
      <c r="O33" s="50">
        <f>IFERROR(VLOOKUP(E33,'BD - E - Mvto Cx'!$BX$15:$CA$500,4,0),0)</f>
        <v>0</v>
      </c>
      <c r="P33" s="50">
        <f>IFERROR(VLOOKUP(E33,'BD - E - Mvto Cx'!$CG$15:$CJ$500,4,0),0)</f>
        <v>0</v>
      </c>
      <c r="Q33" s="50">
        <f>IFERROR(VLOOKUP(E33,'BD - E - Mvto Cx'!$CP$15:$CS$500,4,0),0)</f>
        <v>0</v>
      </c>
      <c r="R33" s="50">
        <f>IFERROR(VLOOKUP(E33,'BD - E - Mvto Cx'!$CY$15:$DB$500,4,0),0)</f>
        <v>0</v>
      </c>
    </row>
    <row r="34" spans="1:18">
      <c r="A34" s="37"/>
      <c r="B34" t="str">
        <f t="shared" si="0"/>
        <v>E112514</v>
      </c>
      <c r="C34" s="29" t="s">
        <v>226</v>
      </c>
      <c r="D34" s="26" t="s">
        <v>73</v>
      </c>
      <c r="E34" s="7">
        <v>112514</v>
      </c>
      <c r="F34" s="48" t="s">
        <v>101</v>
      </c>
      <c r="G34" s="49">
        <f>IFERROR(VLOOKUP(E34,'BD - E - Mvto Cx'!$A$15:$D$500,4,0),0)</f>
        <v>0</v>
      </c>
      <c r="H34" s="50">
        <f>IFERROR(VLOOKUP(E34,'BD - E - Mvto Cx'!$J$15:$M$500,4,0),0)</f>
        <v>0</v>
      </c>
      <c r="I34" s="50">
        <f>IFERROR(VLOOKUP(E34,'BD - E - Mvto Cx'!$S$15:$V$500,4,0),0)</f>
        <v>0</v>
      </c>
      <c r="J34" s="50">
        <f>IFERROR(VLOOKUP(E34,'BD - E - Mvto Cx'!$AB$15:$AE$500,4,0),0)</f>
        <v>0</v>
      </c>
      <c r="K34" s="50">
        <f>IFERROR(VLOOKUP(E34,'BD - E - Mvto Cx'!$AK$15:$AN$500,4,0),0)</f>
        <v>0</v>
      </c>
      <c r="L34" s="50">
        <f>IFERROR(VLOOKUP(E34,'BD - E - Mvto Cx'!$AT$15:$AW$500,4,0),0)</f>
        <v>0</v>
      </c>
      <c r="M34" s="50">
        <f>IFERROR(VLOOKUP(E34,'BD - E - Mvto Cx'!$BF$15:$BI$500,4,0),0)</f>
        <v>0</v>
      </c>
      <c r="N34" s="50">
        <f>IFERROR(VLOOKUP(E34,'BD - E - Mvto Cx'!$BO$15:$BR$500,4,0),0)</f>
        <v>0</v>
      </c>
      <c r="O34" s="50">
        <f>IFERROR(VLOOKUP(E34,'BD - E - Mvto Cx'!$BX$15:$CA$500,4,0),0)</f>
        <v>0</v>
      </c>
      <c r="P34" s="50">
        <f>IFERROR(VLOOKUP(E34,'BD - E - Mvto Cx'!$CG$15:$CJ$500,4,0),0)</f>
        <v>0</v>
      </c>
      <c r="Q34" s="50">
        <f>IFERROR(VLOOKUP(E34,'BD - E - Mvto Cx'!$CP$15:$CS$500,4,0),0)</f>
        <v>0</v>
      </c>
      <c r="R34" s="50">
        <f>IFERROR(VLOOKUP(E34,'BD - E - Mvto Cx'!$CY$15:$DB$500,4,0),0)</f>
        <v>0</v>
      </c>
    </row>
    <row r="35" spans="1:18">
      <c r="A35" s="37"/>
      <c r="B35" t="str">
        <f t="shared" si="0"/>
        <v>E112116</v>
      </c>
      <c r="C35" s="36" t="s">
        <v>226</v>
      </c>
      <c r="D35" s="26" t="s">
        <v>73</v>
      </c>
      <c r="E35" s="7">
        <v>112116</v>
      </c>
      <c r="F35" s="108" t="s">
        <v>577</v>
      </c>
      <c r="G35" s="49">
        <f>IFERROR(VLOOKUP(E35,'BD - E - Mvto Cx'!$A$15:$D$500,4,0),0)</f>
        <v>3033549.58</v>
      </c>
      <c r="H35" s="50">
        <f>IFERROR(VLOOKUP(E35,'BD - E - Mvto Cx'!$J$15:$M$500,4,0),0)</f>
        <v>2759481.68</v>
      </c>
      <c r="I35" s="50">
        <f>IFERROR(VLOOKUP(E35,'BD - E - Mvto Cx'!$S$15:$V$500,4,0),0)</f>
        <v>3071350.73</v>
      </c>
      <c r="J35" s="50">
        <f>IFERROR(VLOOKUP(E35,'BD - E - Mvto Cx'!$AB$15:$AE$500,4,0),0)</f>
        <v>2920386.89</v>
      </c>
      <c r="K35" s="50">
        <f>IFERROR(VLOOKUP(E35,'BD - E - Mvto Cx'!$AK$15:$AN$500,4,0),0)</f>
        <v>0</v>
      </c>
      <c r="L35" s="50">
        <f>IFERROR(VLOOKUP(E35,'BD - E - Mvto Cx'!$AT$15:$AW$500,4,0),0)</f>
        <v>0</v>
      </c>
      <c r="M35" s="50">
        <f>IFERROR(VLOOKUP(E35,'BD - E - Mvto Cx'!$BF$15:$BI$500,4,0),0)</f>
        <v>0</v>
      </c>
      <c r="N35" s="50">
        <f>IFERROR(VLOOKUP(E35,'BD - E - Mvto Cx'!$BO$15:$BR$500,4,0),0)</f>
        <v>0</v>
      </c>
      <c r="O35" s="50">
        <f>IFERROR(VLOOKUP(E35,'BD - E - Mvto Cx'!$BX$15:$CA$500,4,0),0)</f>
        <v>0</v>
      </c>
      <c r="P35" s="50">
        <f>IFERROR(VLOOKUP(E35,'BD - E - Mvto Cx'!$CG$15:$CJ$500,4,0),0)</f>
        <v>0</v>
      </c>
      <c r="Q35" s="50">
        <f>IFERROR(VLOOKUP(E35,'BD - E - Mvto Cx'!$CP$15:$CS$500,4,0),0)</f>
        <v>0</v>
      </c>
      <c r="R35" s="50">
        <f>IFERROR(VLOOKUP(E35,'BD - E - Mvto Cx'!$CY$15:$DB$500,4,0),0)</f>
        <v>0</v>
      </c>
    </row>
    <row r="36" spans="1:18">
      <c r="A36" s="37"/>
      <c r="B36" t="str">
        <f t="shared" si="0"/>
        <v>E113199</v>
      </c>
      <c r="C36" s="29" t="s">
        <v>355</v>
      </c>
      <c r="D36" s="26" t="s">
        <v>73</v>
      </c>
      <c r="E36" s="7">
        <v>113199</v>
      </c>
      <c r="F36" s="48" t="s">
        <v>483</v>
      </c>
      <c r="G36" s="49">
        <f>IFERROR(VLOOKUP(E36,'BD - E - Mvto Cx'!$A$15:$D$500,4,0),0)</f>
        <v>0</v>
      </c>
      <c r="H36" s="50">
        <f>IFERROR(VLOOKUP(E36,'BD - E - Mvto Cx'!$J$15:$M$500,4,0),0)</f>
        <v>0</v>
      </c>
      <c r="I36" s="50">
        <f>IFERROR(VLOOKUP(E36,'BD - E - Mvto Cx'!$S$15:$V$500,4,0),0)</f>
        <v>0</v>
      </c>
      <c r="J36" s="50">
        <f>IFERROR(VLOOKUP(E36,'BD - E - Mvto Cx'!$AB$15:$AE$500,4,0),0)</f>
        <v>0</v>
      </c>
      <c r="K36" s="50">
        <f>IFERROR(VLOOKUP(E36,'BD - E - Mvto Cx'!$AK$15:$AN$500,4,0),0)</f>
        <v>0</v>
      </c>
      <c r="L36" s="50">
        <f>IFERROR(VLOOKUP(E36,'BD - E - Mvto Cx'!$AT$15:$AW$500,4,0),0)</f>
        <v>0</v>
      </c>
      <c r="M36" s="50">
        <f>IFERROR(VLOOKUP(E36,'BD - E - Mvto Cx'!$BF$15:$BI$500,4,0),0)</f>
        <v>0</v>
      </c>
      <c r="N36" s="50">
        <f>IFERROR(VLOOKUP(E36,'BD - E - Mvto Cx'!$BO$15:$BR$500,4,0),0)</f>
        <v>0</v>
      </c>
      <c r="O36" s="50">
        <f>IFERROR(VLOOKUP(E36,'BD - E - Mvto Cx'!$BX$15:$CA$500,4,0),0)</f>
        <v>0</v>
      </c>
      <c r="P36" s="50">
        <f>IFERROR(VLOOKUP(E36,'BD - E - Mvto Cx'!$CG$15:$CJ$500,4,0),0)</f>
        <v>0</v>
      </c>
      <c r="Q36" s="50">
        <f>IFERROR(VLOOKUP(E36,'BD - E - Mvto Cx'!$CP$15:$CS$500,4,0),0)</f>
        <v>0</v>
      </c>
      <c r="R36" s="50">
        <f>IFERROR(VLOOKUP(E36,'BD - E - Mvto Cx'!$CY$15:$DB$500,4,0),0)</f>
        <v>0</v>
      </c>
    </row>
    <row r="37" spans="1:18">
      <c r="A37" s="37"/>
      <c r="B37" t="str">
        <f t="shared" si="0"/>
        <v>E114703</v>
      </c>
      <c r="C37" s="29" t="s">
        <v>237</v>
      </c>
      <c r="D37" s="26" t="s">
        <v>73</v>
      </c>
      <c r="E37" s="7">
        <v>114703</v>
      </c>
      <c r="F37" s="48" t="s">
        <v>540</v>
      </c>
      <c r="G37" s="49">
        <f>IFERROR(VLOOKUP(E37,'BD - E - Mvto Cx'!$A$15:$D$500,4,0),0)</f>
        <v>0</v>
      </c>
      <c r="H37" s="50">
        <f>IFERROR(VLOOKUP(E37,'BD - E - Mvto Cx'!$J$15:$M$500,4,0),0)</f>
        <v>0</v>
      </c>
      <c r="I37" s="50">
        <f>IFERROR(VLOOKUP(E37,'BD - E - Mvto Cx'!$S$15:$V$500,4,0),0)</f>
        <v>503.91</v>
      </c>
      <c r="J37" s="50">
        <f>IFERROR(VLOOKUP(E37,'BD - E - Mvto Cx'!$AB$15:$AE$500,4,0),0)</f>
        <v>0</v>
      </c>
      <c r="K37" s="50">
        <f>IFERROR(VLOOKUP(E37,'BD - E - Mvto Cx'!$AK$15:$AN$500,4,0),0)</f>
        <v>0</v>
      </c>
      <c r="L37" s="50">
        <f>IFERROR(VLOOKUP(E37,'BD - E - Mvto Cx'!$AT$15:$AW$500,4,0),0)</f>
        <v>0</v>
      </c>
      <c r="M37" s="50">
        <f>IFERROR(VLOOKUP(E37,'BD - E - Mvto Cx'!$BF$15:$BI$500,4,0),0)</f>
        <v>0</v>
      </c>
      <c r="N37" s="50">
        <f>IFERROR(VLOOKUP(E37,'BD - E - Mvto Cx'!$BO$15:$BR$500,4,0),0)</f>
        <v>0</v>
      </c>
      <c r="O37" s="50">
        <f>IFERROR(VLOOKUP(E37,'BD - E - Mvto Cx'!$BX$15:$CA$500,4,0),0)</f>
        <v>0</v>
      </c>
      <c r="P37" s="50">
        <f>IFERROR(VLOOKUP(E37,'BD - E - Mvto Cx'!$CG$15:$CJ$500,4,0),0)</f>
        <v>0</v>
      </c>
      <c r="Q37" s="50">
        <f>IFERROR(VLOOKUP(E37,'BD - E - Mvto Cx'!$CP$15:$CS$500,4,0),0)</f>
        <v>0</v>
      </c>
      <c r="R37" s="50">
        <f>IFERROR(VLOOKUP(E37,'BD - E - Mvto Cx'!$CY$15:$DB$500,4,0),0)</f>
        <v>0</v>
      </c>
    </row>
    <row r="38" spans="1:18">
      <c r="A38" s="37"/>
      <c r="B38" t="str">
        <f t="shared" si="0"/>
        <v>E114704</v>
      </c>
      <c r="C38" s="29" t="s">
        <v>237</v>
      </c>
      <c r="D38" s="26" t="s">
        <v>73</v>
      </c>
      <c r="E38" s="7">
        <v>114704</v>
      </c>
      <c r="F38" s="48" t="s">
        <v>102</v>
      </c>
      <c r="G38" s="49">
        <f>IFERROR(VLOOKUP(E38,'BD - E - Mvto Cx'!$A$15:$D$500,4,0),0)</f>
        <v>571.23</v>
      </c>
      <c r="H38" s="50">
        <f>IFERROR(VLOOKUP(E38,'BD - E - Mvto Cx'!$J$15:$M$500,4,0),0)</f>
        <v>1362</v>
      </c>
      <c r="I38" s="50">
        <f>IFERROR(VLOOKUP(E38,'BD - E - Mvto Cx'!$S$15:$V$500,4,0),0)</f>
        <v>337.67</v>
      </c>
      <c r="J38" s="50">
        <f>IFERROR(VLOOKUP(E38,'BD - E - Mvto Cx'!$AB$15:$AE$500,4,0),0)</f>
        <v>679.83</v>
      </c>
      <c r="K38" s="50">
        <f>IFERROR(VLOOKUP(E38,'BD - E - Mvto Cx'!$AK$15:$AN$500,4,0),0)</f>
        <v>0</v>
      </c>
      <c r="L38" s="50">
        <f>IFERROR(VLOOKUP(E38,'BD - E - Mvto Cx'!$AT$15:$AW$500,4,0),0)</f>
        <v>0</v>
      </c>
      <c r="M38" s="50">
        <f>IFERROR(VLOOKUP(E38,'BD - E - Mvto Cx'!$BF$15:$BI$500,4,0),0)</f>
        <v>0</v>
      </c>
      <c r="N38" s="50">
        <f>IFERROR(VLOOKUP(E38,'BD - E - Mvto Cx'!$BO$15:$BR$500,4,0),0)</f>
        <v>0</v>
      </c>
      <c r="O38" s="50">
        <f>IFERROR(VLOOKUP(E38,'BD - E - Mvto Cx'!$BX$15:$CA$500,4,0),0)</f>
        <v>0</v>
      </c>
      <c r="P38" s="50">
        <f>IFERROR(VLOOKUP(E38,'BD - E - Mvto Cx'!$CG$15:$CJ$500,4,0),0)</f>
        <v>0</v>
      </c>
      <c r="Q38" s="50">
        <f>IFERROR(VLOOKUP(E38,'BD - E - Mvto Cx'!$CP$15:$CS$500,4,0),0)</f>
        <v>0</v>
      </c>
      <c r="R38" s="50">
        <f>IFERROR(VLOOKUP(E38,'BD - E - Mvto Cx'!$CY$15:$DB$500,4,0),0)</f>
        <v>0</v>
      </c>
    </row>
    <row r="39" spans="1:18">
      <c r="A39" s="37"/>
      <c r="B39" t="str">
        <f t="shared" ref="B39" si="2">D39&amp;E39</f>
        <v>E114706</v>
      </c>
      <c r="C39" s="7" t="s">
        <v>237</v>
      </c>
      <c r="D39" s="26" t="s">
        <v>73</v>
      </c>
      <c r="E39" s="393">
        <v>114706</v>
      </c>
      <c r="F39" s="392" t="s">
        <v>559</v>
      </c>
      <c r="G39" s="49">
        <f>IFERROR(VLOOKUP(E39,'BD - E - Mvto Cx'!$A$15:$D$500,4,0),0)</f>
        <v>0</v>
      </c>
      <c r="H39" s="50">
        <f>IFERROR(VLOOKUP(E39,'BD - E - Mvto Cx'!$J$15:$M$500,4,0),0)</f>
        <v>0</v>
      </c>
      <c r="I39" s="50">
        <f>IFERROR(VLOOKUP(E39,'BD - E - Mvto Cx'!$S$15:$V$500,4,0),0)</f>
        <v>0</v>
      </c>
      <c r="J39" s="50">
        <f>IFERROR(VLOOKUP(E39,'BD - E - Mvto Cx'!$AB$15:$AE$500,4,0),0)</f>
        <v>0</v>
      </c>
      <c r="K39" s="50">
        <f>IFERROR(VLOOKUP(E39,'BD - E - Mvto Cx'!$AK$15:$AN$500,4,0),0)</f>
        <v>0</v>
      </c>
      <c r="L39" s="50">
        <f>IFERROR(VLOOKUP(E39,'BD - E - Mvto Cx'!$AT$15:$AW$500,4,0),0)</f>
        <v>0</v>
      </c>
      <c r="M39" s="50">
        <f>IFERROR(VLOOKUP(E39,'BD - E - Mvto Cx'!$BF$15:$BI$500,4,0),0)</f>
        <v>0</v>
      </c>
      <c r="N39" s="50">
        <f>IFERROR(VLOOKUP(E39,'BD - E - Mvto Cx'!$BO$15:$BR$500,4,0),0)</f>
        <v>0</v>
      </c>
      <c r="O39" s="50">
        <f>IFERROR(VLOOKUP(E39,'BD - E - Mvto Cx'!$BX$15:$CA$500,4,0),0)</f>
        <v>0</v>
      </c>
      <c r="P39" s="50">
        <f>IFERROR(VLOOKUP(E39,'BD - E - Mvto Cx'!$CG$15:$CJ$500,4,0),0)</f>
        <v>0</v>
      </c>
      <c r="Q39" s="50">
        <f>IFERROR(VLOOKUP(E39,'BD - E - Mvto Cx'!$CP$15:$CS$500,4,0),0)</f>
        <v>0</v>
      </c>
      <c r="R39" s="50">
        <f>IFERROR(VLOOKUP(E39,'BD - E - Mvto Cx'!$CY$15:$DB$500,4,0),0)</f>
        <v>0</v>
      </c>
    </row>
    <row r="40" spans="1:18">
      <c r="A40" s="37"/>
      <c r="B40" t="str">
        <f t="shared" si="0"/>
        <v>E114796</v>
      </c>
      <c r="C40" s="29" t="s">
        <v>355</v>
      </c>
      <c r="D40" s="26" t="s">
        <v>73</v>
      </c>
      <c r="E40" s="7">
        <v>114796</v>
      </c>
      <c r="F40" s="48" t="s">
        <v>103</v>
      </c>
      <c r="G40" s="49">
        <f>IFERROR(VLOOKUP(E40,'BD - E - Mvto Cx'!$A$15:$D$500,4,0),0)</f>
        <v>70932</v>
      </c>
      <c r="H40" s="50">
        <f>IFERROR(VLOOKUP(E40,'BD - E - Mvto Cx'!$J$15:$M$500,4,0),0)</f>
        <v>110966.93</v>
      </c>
      <c r="I40" s="50">
        <f>IFERROR(VLOOKUP(E40,'BD - E - Mvto Cx'!$S$15:$V$500,4,0),0)</f>
        <v>66185</v>
      </c>
      <c r="J40" s="50">
        <f>IFERROR(VLOOKUP(E40,'BD - E - Mvto Cx'!$AB$15:$AE$500,4,0),0)</f>
        <v>33787.4</v>
      </c>
      <c r="K40" s="50">
        <f>IFERROR(VLOOKUP(E40,'BD - E - Mvto Cx'!$AK$15:$AN$500,4,0),0)</f>
        <v>0</v>
      </c>
      <c r="L40" s="50">
        <f>IFERROR(VLOOKUP(E40,'BD - E - Mvto Cx'!$AT$15:$AW$500,4,0),0)</f>
        <v>0</v>
      </c>
      <c r="M40" s="50">
        <f>IFERROR(VLOOKUP(E40,'BD - E - Mvto Cx'!$BF$15:$BI$500,4,0),0)</f>
        <v>0</v>
      </c>
      <c r="N40" s="50">
        <f>IFERROR(VLOOKUP(E40,'BD - E - Mvto Cx'!$BO$15:$BR$500,4,0),0)</f>
        <v>0</v>
      </c>
      <c r="O40" s="50">
        <f>IFERROR(VLOOKUP(E40,'BD - E - Mvto Cx'!$BX$15:$CA$500,4,0),0)</f>
        <v>0</v>
      </c>
      <c r="P40" s="50">
        <f>IFERROR(VLOOKUP(E40,'BD - E - Mvto Cx'!$CG$15:$CJ$500,4,0),0)</f>
        <v>0</v>
      </c>
      <c r="Q40" s="50">
        <f>IFERROR(VLOOKUP(E40,'BD - E - Mvto Cx'!$CP$15:$CS$500,4,0),0)</f>
        <v>0</v>
      </c>
      <c r="R40" s="50">
        <f>IFERROR(VLOOKUP(E40,'BD - E - Mvto Cx'!$CY$15:$DB$500,4,0),0)</f>
        <v>0</v>
      </c>
    </row>
    <row r="41" spans="1:18">
      <c r="A41" s="37"/>
      <c r="B41" t="str">
        <f t="shared" si="0"/>
        <v>E114797</v>
      </c>
      <c r="C41" s="29" t="s">
        <v>357</v>
      </c>
      <c r="D41" s="26" t="s">
        <v>73</v>
      </c>
      <c r="E41" s="7">
        <v>114797</v>
      </c>
      <c r="F41" s="48" t="s">
        <v>398</v>
      </c>
      <c r="G41" s="49">
        <f>IFERROR(VLOOKUP(E41,'BD - E - Mvto Cx'!$A$15:$D$500,4,0),0)</f>
        <v>0</v>
      </c>
      <c r="H41" s="50">
        <f>IFERROR(VLOOKUP(E41,'BD - E - Mvto Cx'!$J$15:$M$500,4,0),0)</f>
        <v>0</v>
      </c>
      <c r="I41" s="50">
        <f>IFERROR(VLOOKUP(E41,'BD - E - Mvto Cx'!$S$15:$V$500,4,0),0)</f>
        <v>0</v>
      </c>
      <c r="J41" s="50">
        <f>IFERROR(VLOOKUP(E41,'BD - E - Mvto Cx'!$AB$15:$AE$500,4,0),0)</f>
        <v>0</v>
      </c>
      <c r="K41" s="50">
        <f>IFERROR(VLOOKUP(E41,'BD - E - Mvto Cx'!$AK$15:$AN$500,4,0),0)</f>
        <v>0</v>
      </c>
      <c r="L41" s="50">
        <f>IFERROR(VLOOKUP(E41,'BD - E - Mvto Cx'!$AT$15:$AW$500,4,0),0)</f>
        <v>0</v>
      </c>
      <c r="M41" s="50">
        <f>IFERROR(VLOOKUP(E41,'BD - E - Mvto Cx'!$BF$15:$BI$500,4,0),0)</f>
        <v>0</v>
      </c>
      <c r="N41" s="50">
        <f>IFERROR(VLOOKUP(E41,'BD - E - Mvto Cx'!$BO$15:$BR$500,4,0),0)</f>
        <v>0</v>
      </c>
      <c r="O41" s="50">
        <f>IFERROR(VLOOKUP(E41,'BD - E - Mvto Cx'!$BX$15:$CA$500,4,0),0)</f>
        <v>0</v>
      </c>
      <c r="P41" s="50">
        <f>IFERROR(VLOOKUP(E41,'BD - E - Mvto Cx'!$CG$15:$CJ$500,4,0),0)</f>
        <v>0</v>
      </c>
      <c r="Q41" s="50">
        <f>IFERROR(VLOOKUP(E41,'BD - E - Mvto Cx'!$CP$15:$CS$500,4,0),0)</f>
        <v>0</v>
      </c>
      <c r="R41" s="50">
        <f>IFERROR(VLOOKUP(E41,'BD - E - Mvto Cx'!$CY$15:$DB$500,4,0),0)</f>
        <v>0</v>
      </c>
    </row>
    <row r="42" spans="1:18">
      <c r="A42" s="37"/>
      <c r="B42" t="str">
        <f t="shared" si="0"/>
        <v>E114798</v>
      </c>
      <c r="C42" s="7" t="s">
        <v>237</v>
      </c>
      <c r="D42" s="26" t="s">
        <v>73</v>
      </c>
      <c r="E42" s="7">
        <v>114798</v>
      </c>
      <c r="F42" s="48" t="s">
        <v>104</v>
      </c>
      <c r="G42" s="49">
        <f>IFERROR(VLOOKUP(E42,'BD - E - Mvto Cx'!$A$15:$D$500,4,0),0)</f>
        <v>6981.82</v>
      </c>
      <c r="H42" s="50">
        <f>IFERROR(VLOOKUP(E42,'BD - E - Mvto Cx'!$J$15:$M$500,4,0),0)</f>
        <v>4890.01</v>
      </c>
      <c r="I42" s="50">
        <f>IFERROR(VLOOKUP(E42,'BD - E - Mvto Cx'!$S$15:$V$500,4,0),0)</f>
        <v>5636.08</v>
      </c>
      <c r="J42" s="50">
        <f>IFERROR(VLOOKUP(E42,'BD - E - Mvto Cx'!$AB$15:$AE$500,4,0),0)</f>
        <v>13066.68</v>
      </c>
      <c r="K42" s="50">
        <f>IFERROR(VLOOKUP(E42,'BD - E - Mvto Cx'!$AK$15:$AN$500,4,0),0)</f>
        <v>0</v>
      </c>
      <c r="L42" s="50">
        <f>IFERROR(VLOOKUP(E42,'BD - E - Mvto Cx'!$AT$15:$AW$500,4,0),0)</f>
        <v>0</v>
      </c>
      <c r="M42" s="50">
        <f>IFERROR(VLOOKUP(E42,'BD - E - Mvto Cx'!$BF$15:$BI$500,4,0),0)</f>
        <v>0</v>
      </c>
      <c r="N42" s="50">
        <f>IFERROR(VLOOKUP(E42,'BD - E - Mvto Cx'!$BO$15:$BR$500,4,0),0)</f>
        <v>0</v>
      </c>
      <c r="O42" s="50">
        <f>IFERROR(VLOOKUP(E42,'BD - E - Mvto Cx'!$BX$15:$CA$500,4,0),0)</f>
        <v>0</v>
      </c>
      <c r="P42" s="50">
        <f>IFERROR(VLOOKUP(E42,'BD - E - Mvto Cx'!$CG$15:$CJ$500,4,0),0)</f>
        <v>0</v>
      </c>
      <c r="Q42" s="50">
        <f>IFERROR(VLOOKUP(E42,'BD - E - Mvto Cx'!$CP$15:$CS$500,4,0),0)</f>
        <v>0</v>
      </c>
      <c r="R42" s="50">
        <f>IFERROR(VLOOKUP(E42,'BD - E - Mvto Cx'!$CY$15:$DB$500,4,0),0)</f>
        <v>0</v>
      </c>
    </row>
    <row r="43" spans="1:18">
      <c r="A43" s="37"/>
      <c r="B43" t="str">
        <f t="shared" si="0"/>
        <v>E117101</v>
      </c>
      <c r="C43" s="7" t="s">
        <v>237</v>
      </c>
      <c r="D43" s="26" t="s">
        <v>73</v>
      </c>
      <c r="E43" s="7">
        <v>117101</v>
      </c>
      <c r="F43" s="48" t="s">
        <v>486</v>
      </c>
      <c r="G43" s="49">
        <f>IFERROR(VLOOKUP(E43,'BD - E - Mvto Cx'!$A$15:$D$500,4,0),0)</f>
        <v>12590.38</v>
      </c>
      <c r="H43" s="50">
        <f>IFERROR(VLOOKUP(E43,'BD - E - Mvto Cx'!$J$15:$M$500,4,0),0)</f>
        <v>0</v>
      </c>
      <c r="I43" s="50">
        <f>IFERROR(VLOOKUP(E43,'BD - E - Mvto Cx'!$S$15:$V$500,4,0),0)</f>
        <v>5647.9</v>
      </c>
      <c r="J43" s="50">
        <f>IFERROR(VLOOKUP(E43,'BD - E - Mvto Cx'!$AB$15:$AE$500,4,0),0)</f>
        <v>0</v>
      </c>
      <c r="K43" s="50">
        <f>IFERROR(VLOOKUP(E43,'BD - E - Mvto Cx'!$AK$15:$AN$500,4,0),0)</f>
        <v>0</v>
      </c>
      <c r="L43" s="50">
        <f>IFERROR(VLOOKUP(E43,'BD - E - Mvto Cx'!$AT$15:$AW$500,4,0),0)</f>
        <v>0</v>
      </c>
      <c r="M43" s="50">
        <f>IFERROR(VLOOKUP(E43,'BD - E - Mvto Cx'!$BF$15:$BI$500,4,0),0)</f>
        <v>0</v>
      </c>
      <c r="N43" s="50">
        <f>IFERROR(VLOOKUP(E43,'BD - E - Mvto Cx'!$BO$15:$BR$500,4,0),0)</f>
        <v>0</v>
      </c>
      <c r="O43" s="50">
        <f>IFERROR(VLOOKUP(E43,'BD - E - Mvto Cx'!$BX$15:$CA$500,4,0),0)</f>
        <v>0</v>
      </c>
      <c r="P43" s="50">
        <f>IFERROR(VLOOKUP(E43,'BD - E - Mvto Cx'!$CG$15:$CJ$500,4,0),0)</f>
        <v>0</v>
      </c>
      <c r="Q43" s="50">
        <f>IFERROR(VLOOKUP(E43,'BD - E - Mvto Cx'!$CP$15:$CS$500,4,0),0)</f>
        <v>0</v>
      </c>
      <c r="R43" s="50">
        <f>IFERROR(VLOOKUP(E43,'BD - E - Mvto Cx'!$CY$15:$DB$500,4,0),0)</f>
        <v>0</v>
      </c>
    </row>
    <row r="44" spans="1:18">
      <c r="A44" s="37"/>
      <c r="B44" t="str">
        <f t="shared" si="0"/>
        <v>E117208</v>
      </c>
      <c r="C44" s="29" t="s">
        <v>357</v>
      </c>
      <c r="D44" s="26" t="s">
        <v>73</v>
      </c>
      <c r="E44" s="7">
        <v>117208</v>
      </c>
      <c r="F44" s="48" t="s">
        <v>105</v>
      </c>
      <c r="G44" s="49">
        <f>IFERROR(VLOOKUP(E44,'BD - E - Mvto Cx'!$A$15:$D$500,4,0),0)</f>
        <v>712.45</v>
      </c>
      <c r="H44" s="50">
        <f>IFERROR(VLOOKUP(E44,'BD - E - Mvto Cx'!$J$15:$M$500,4,0),0)</f>
        <v>318.97000000000003</v>
      </c>
      <c r="I44" s="50">
        <f>IFERROR(VLOOKUP(E44,'BD - E - Mvto Cx'!$S$15:$V$500,4,0),0)</f>
        <v>1087.1199999999999</v>
      </c>
      <c r="J44" s="50">
        <f>IFERROR(VLOOKUP(E44,'BD - E - Mvto Cx'!$AB$15:$AE$500,4,0),0)</f>
        <v>797.75</v>
      </c>
      <c r="K44" s="50">
        <f>IFERROR(VLOOKUP(E44,'BD - E - Mvto Cx'!$AK$15:$AN$500,4,0),0)</f>
        <v>0</v>
      </c>
      <c r="L44" s="50">
        <f>IFERROR(VLOOKUP(E44,'BD - E - Mvto Cx'!$AT$15:$AW$500,4,0),0)</f>
        <v>0</v>
      </c>
      <c r="M44" s="50">
        <f>IFERROR(VLOOKUP(E44,'BD - E - Mvto Cx'!$BF$15:$BI$500,4,0),0)</f>
        <v>0</v>
      </c>
      <c r="N44" s="50">
        <f>IFERROR(VLOOKUP(E44,'BD - E - Mvto Cx'!$BO$15:$BR$500,4,0),0)</f>
        <v>0</v>
      </c>
      <c r="O44" s="50">
        <f>IFERROR(VLOOKUP(E44,'BD - E - Mvto Cx'!$BX$15:$CA$500,4,0),0)</f>
        <v>0</v>
      </c>
      <c r="P44" s="50">
        <f>IFERROR(VLOOKUP(E44,'BD - E - Mvto Cx'!$CG$15:$CJ$500,4,0),0)</f>
        <v>0</v>
      </c>
      <c r="Q44" s="50">
        <f>IFERROR(VLOOKUP(E44,'BD - E - Mvto Cx'!$CP$15:$CS$500,4,0),0)</f>
        <v>0</v>
      </c>
      <c r="R44" s="50">
        <f>IFERROR(VLOOKUP(E44,'BD - E - Mvto Cx'!$CY$15:$DB$500,4,0),0)</f>
        <v>0</v>
      </c>
    </row>
    <row r="45" spans="1:18">
      <c r="A45" s="37"/>
      <c r="B45" t="str">
        <f t="shared" si="0"/>
        <v>E117301</v>
      </c>
      <c r="C45" s="29" t="s">
        <v>357</v>
      </c>
      <c r="D45" s="26" t="s">
        <v>73</v>
      </c>
      <c r="E45" s="7">
        <v>117301</v>
      </c>
      <c r="F45" s="48" t="s">
        <v>106</v>
      </c>
      <c r="G45" s="49">
        <f>IFERROR(VLOOKUP(E45,'BD - E - Mvto Cx'!$A$15:$D$500,4,0),0)</f>
        <v>0</v>
      </c>
      <c r="H45" s="50">
        <f>IFERROR(VLOOKUP(E45,'BD - E - Mvto Cx'!$J$15:$M$500,4,0),0)</f>
        <v>7.1</v>
      </c>
      <c r="I45" s="50">
        <f>IFERROR(VLOOKUP(E45,'BD - E - Mvto Cx'!$S$15:$V$500,4,0),0)</f>
        <v>2009.62</v>
      </c>
      <c r="J45" s="50">
        <f>IFERROR(VLOOKUP(E45,'BD - E - Mvto Cx'!$AB$15:$AE$500,4,0),0)</f>
        <v>0</v>
      </c>
      <c r="K45" s="50">
        <f>IFERROR(VLOOKUP(E45,'BD - E - Mvto Cx'!$AK$15:$AN$500,4,0),0)</f>
        <v>0</v>
      </c>
      <c r="L45" s="50">
        <f>IFERROR(VLOOKUP(E45,'BD - E - Mvto Cx'!$AT$15:$AW$500,4,0),0)</f>
        <v>0</v>
      </c>
      <c r="M45" s="50">
        <f>IFERROR(VLOOKUP(E45,'BD - E - Mvto Cx'!$BF$15:$BI$500,4,0),0)</f>
        <v>0</v>
      </c>
      <c r="N45" s="50">
        <f>IFERROR(VLOOKUP(E45,'BD - E - Mvto Cx'!$BO$15:$BR$500,4,0),0)</f>
        <v>0</v>
      </c>
      <c r="O45" s="50">
        <f>IFERROR(VLOOKUP(E45,'BD - E - Mvto Cx'!$BX$15:$CA$500,4,0),0)</f>
        <v>0</v>
      </c>
      <c r="P45" s="50">
        <f>IFERROR(VLOOKUP(E45,'BD - E - Mvto Cx'!$CG$15:$CJ$500,4,0),0)</f>
        <v>0</v>
      </c>
      <c r="Q45" s="50">
        <f>IFERROR(VLOOKUP(E45,'BD - E - Mvto Cx'!$CP$15:$CS$500,4,0),0)</f>
        <v>0</v>
      </c>
      <c r="R45" s="50">
        <f>IFERROR(VLOOKUP(E45,'BD - E - Mvto Cx'!$CY$15:$DB$500,4,0),0)</f>
        <v>0</v>
      </c>
    </row>
    <row r="46" spans="1:18">
      <c r="A46" s="37"/>
      <c r="B46" t="str">
        <f t="shared" si="0"/>
        <v>E117302</v>
      </c>
      <c r="C46" s="29" t="s">
        <v>357</v>
      </c>
      <c r="D46" s="26" t="s">
        <v>73</v>
      </c>
      <c r="E46" s="7">
        <v>117302</v>
      </c>
      <c r="F46" s="48" t="s">
        <v>107</v>
      </c>
      <c r="G46" s="49">
        <f>IFERROR(VLOOKUP(E46,'BD - E - Mvto Cx'!$A$15:$D$500,4,0),0)</f>
        <v>20968.349999999999</v>
      </c>
      <c r="H46" s="50">
        <f>IFERROR(VLOOKUP(E46,'BD - E - Mvto Cx'!$J$15:$M$500,4,0),0)</f>
        <v>0</v>
      </c>
      <c r="I46" s="50">
        <f>IFERROR(VLOOKUP(E46,'BD - E - Mvto Cx'!$S$15:$V$500,4,0),0)</f>
        <v>566</v>
      </c>
      <c r="J46" s="50">
        <f>IFERROR(VLOOKUP(E46,'BD - E - Mvto Cx'!$AB$15:$AE$500,4,0),0)</f>
        <v>350.09</v>
      </c>
      <c r="K46" s="50">
        <f>IFERROR(VLOOKUP(E46,'BD - E - Mvto Cx'!$AK$15:$AN$500,4,0),0)</f>
        <v>0</v>
      </c>
      <c r="L46" s="50">
        <f>IFERROR(VLOOKUP(E46,'BD - E - Mvto Cx'!$AT$15:$AW$500,4,0),0)</f>
        <v>0</v>
      </c>
      <c r="M46" s="50">
        <f>IFERROR(VLOOKUP(E46,'BD - E - Mvto Cx'!$BF$15:$BI$500,4,0),0)</f>
        <v>0</v>
      </c>
      <c r="N46" s="50">
        <f>IFERROR(VLOOKUP(E46,'BD - E - Mvto Cx'!$BO$15:$BR$500,4,0),0)</f>
        <v>0</v>
      </c>
      <c r="O46" s="50">
        <f>IFERROR(VLOOKUP(E46,'BD - E - Mvto Cx'!$BX$15:$CA$500,4,0),0)</f>
        <v>0</v>
      </c>
      <c r="P46" s="50">
        <f>IFERROR(VLOOKUP(E46,'BD - E - Mvto Cx'!$CG$15:$CJ$500,4,0),0)</f>
        <v>0</v>
      </c>
      <c r="Q46" s="50">
        <f>IFERROR(VLOOKUP(E46,'BD - E - Mvto Cx'!$CP$15:$CS$500,4,0),0)</f>
        <v>0</v>
      </c>
      <c r="R46" s="50">
        <f>IFERROR(VLOOKUP(E46,'BD - E - Mvto Cx'!$CY$15:$DB$500,4,0),0)</f>
        <v>0</v>
      </c>
    </row>
    <row r="47" spans="1:18">
      <c r="A47" s="37"/>
      <c r="B47" t="str">
        <f t="shared" si="0"/>
        <v>E122103</v>
      </c>
      <c r="C47" s="29" t="s">
        <v>231</v>
      </c>
      <c r="D47" s="26" t="s">
        <v>73</v>
      </c>
      <c r="E47" s="7">
        <v>122103</v>
      </c>
      <c r="F47" s="48" t="s">
        <v>108</v>
      </c>
      <c r="G47" s="49">
        <f>IFERROR(VLOOKUP(E47,'BD - E - Mvto Cx'!$A$15:$D$500,4,0),0)</f>
        <v>0</v>
      </c>
      <c r="H47" s="50">
        <f>IFERROR(VLOOKUP(E47,'BD - E - Mvto Cx'!$J$15:$M$500,4,0),0)</f>
        <v>0</v>
      </c>
      <c r="I47" s="50">
        <f>IFERROR(VLOOKUP(E47,'BD - E - Mvto Cx'!$S$15:$V$500,4,0),0)</f>
        <v>0</v>
      </c>
      <c r="J47" s="50">
        <f>IFERROR(VLOOKUP(E47,'BD - E - Mvto Cx'!$AB$15:$AE$500,4,0),0)</f>
        <v>0</v>
      </c>
      <c r="K47" s="50">
        <f>IFERROR(VLOOKUP(E47,'BD - E - Mvto Cx'!$AK$15:$AN$500,4,0),0)</f>
        <v>0</v>
      </c>
      <c r="L47" s="50">
        <f>IFERROR(VLOOKUP(E47,'BD - E - Mvto Cx'!$AT$15:$AW$500,4,0),0)</f>
        <v>0</v>
      </c>
      <c r="M47" s="50">
        <f>IFERROR(VLOOKUP(E47,'BD - E - Mvto Cx'!$BF$15:$BI$500,4,0),0)</f>
        <v>0</v>
      </c>
      <c r="N47" s="50">
        <f>IFERROR(VLOOKUP(E47,'BD - E - Mvto Cx'!$BO$15:$BR$500,4,0),0)</f>
        <v>0</v>
      </c>
      <c r="O47" s="50">
        <f>IFERROR(VLOOKUP(E47,'BD - E - Mvto Cx'!$BX$15:$CA$500,4,0),0)</f>
        <v>0</v>
      </c>
      <c r="P47" s="50">
        <f>IFERROR(VLOOKUP(E47,'BD - E - Mvto Cx'!$CG$15:$CJ$500,4,0),0)</f>
        <v>0</v>
      </c>
      <c r="Q47" s="50">
        <f>IFERROR(VLOOKUP(E47,'BD - E - Mvto Cx'!$CP$15:$CS$500,4,0),0)</f>
        <v>0</v>
      </c>
      <c r="R47" s="50">
        <f>IFERROR(VLOOKUP(E47,'BD - E - Mvto Cx'!$CY$15:$DB$500,4,0),0)</f>
        <v>0</v>
      </c>
    </row>
    <row r="48" spans="1:18">
      <c r="A48" s="37"/>
      <c r="B48" t="str">
        <f t="shared" si="0"/>
        <v>E122501</v>
      </c>
      <c r="C48" s="7" t="s">
        <v>231</v>
      </c>
      <c r="D48" s="26" t="s">
        <v>73</v>
      </c>
      <c r="E48" s="7">
        <v>122501</v>
      </c>
      <c r="F48" s="48" t="s">
        <v>180</v>
      </c>
      <c r="G48" s="49">
        <f>IFERROR(VLOOKUP(E48,'BD - E - Mvto Cx'!$A$15:$D$500,4,0),0)</f>
        <v>0</v>
      </c>
      <c r="H48" s="50">
        <f>IFERROR(VLOOKUP(E48,'BD - E - Mvto Cx'!$J$15:$M$500,4,0),0)</f>
        <v>0</v>
      </c>
      <c r="I48" s="50">
        <f>IFERROR(VLOOKUP(E48,'BD - E - Mvto Cx'!$S$15:$V$500,4,0),0)</f>
        <v>0</v>
      </c>
      <c r="J48" s="50">
        <f>IFERROR(VLOOKUP(E48,'BD - E - Mvto Cx'!$AB$15:$AE$500,4,0),0)</f>
        <v>0</v>
      </c>
      <c r="K48" s="50">
        <f>IFERROR(VLOOKUP(E48,'BD - E - Mvto Cx'!$AK$15:$AN$500,4,0),0)</f>
        <v>0</v>
      </c>
      <c r="L48" s="50">
        <f>IFERROR(VLOOKUP(E48,'BD - E - Mvto Cx'!$AT$15:$AW$500,4,0),0)</f>
        <v>0</v>
      </c>
      <c r="M48" s="50">
        <f>IFERROR(VLOOKUP(E48,'BD - E - Mvto Cx'!$BF$15:$BI$500,4,0),0)</f>
        <v>0</v>
      </c>
      <c r="N48" s="50">
        <f>IFERROR(VLOOKUP(E48,'BD - E - Mvto Cx'!$BO$15:$BR$500,4,0),0)</f>
        <v>0</v>
      </c>
      <c r="O48" s="50">
        <f>IFERROR(VLOOKUP(E48,'BD - E - Mvto Cx'!$BX$15:$CA$500,4,0),0)</f>
        <v>0</v>
      </c>
      <c r="P48" s="50">
        <f>IFERROR(VLOOKUP(E48,'BD - E - Mvto Cx'!$CG$15:$CJ$500,4,0),0)</f>
        <v>0</v>
      </c>
      <c r="Q48" s="50">
        <f>IFERROR(VLOOKUP(E48,'BD - E - Mvto Cx'!$CP$15:$CS$500,4,0),0)</f>
        <v>0</v>
      </c>
      <c r="R48" s="50">
        <f>IFERROR(VLOOKUP(E48,'BD - E - Mvto Cx'!$CY$15:$DB$500,4,0),0)</f>
        <v>0</v>
      </c>
    </row>
    <row r="49" spans="1:996">
      <c r="A49" s="37"/>
      <c r="B49" t="str">
        <f t="shared" si="0"/>
        <v>E122601</v>
      </c>
      <c r="C49" s="29" t="s">
        <v>231</v>
      </c>
      <c r="D49" s="26" t="s">
        <v>73</v>
      </c>
      <c r="E49" s="7">
        <v>122601</v>
      </c>
      <c r="F49" s="48" t="s">
        <v>109</v>
      </c>
      <c r="G49" s="49">
        <f>IFERROR(VLOOKUP(E49,'BD - E - Mvto Cx'!$A$15:$D$500,4,0),0)</f>
        <v>1868033.9</v>
      </c>
      <c r="H49" s="50">
        <f>IFERROR(VLOOKUP(E49,'BD - E - Mvto Cx'!$J$15:$M$500,4,0),0)</f>
        <v>1690471.26</v>
      </c>
      <c r="I49" s="50">
        <f>IFERROR(VLOOKUP(E49,'BD - E - Mvto Cx'!$S$15:$V$500,4,0),0)</f>
        <v>3480725.05</v>
      </c>
      <c r="J49" s="50">
        <f>IFERROR(VLOOKUP(E49,'BD - E - Mvto Cx'!$AB$15:$AE$500,4,0),0)</f>
        <v>1811000</v>
      </c>
      <c r="K49" s="50">
        <f>IFERROR(VLOOKUP(E49,'BD - E - Mvto Cx'!$AK$15:$AN$500,4,0),0)</f>
        <v>0</v>
      </c>
      <c r="L49" s="50">
        <f>IFERROR(VLOOKUP(E49,'BD - E - Mvto Cx'!$AT$15:$AW$500,4,0),0)</f>
        <v>0</v>
      </c>
      <c r="M49" s="50">
        <f>IFERROR(VLOOKUP(E49,'BD - E - Mvto Cx'!$BF$15:$BI$500,4,0),0)</f>
        <v>0</v>
      </c>
      <c r="N49" s="50">
        <f>IFERROR(VLOOKUP(E49,'BD - E - Mvto Cx'!$BO$15:$BR$500,4,0),0)</f>
        <v>0</v>
      </c>
      <c r="O49" s="50">
        <f>IFERROR(VLOOKUP(E49,'BD - E - Mvto Cx'!$BX$15:$CA$500,4,0),0)</f>
        <v>0</v>
      </c>
      <c r="P49" s="50">
        <f>IFERROR(VLOOKUP(E49,'BD - E - Mvto Cx'!$CG$15:$CJ$500,4,0),0)</f>
        <v>0</v>
      </c>
      <c r="Q49" s="50">
        <f>IFERROR(VLOOKUP(E49,'BD - E - Mvto Cx'!$CP$15:$CS$500,4,0),0)</f>
        <v>0</v>
      </c>
      <c r="R49" s="50">
        <f>IFERROR(VLOOKUP(E49,'BD - E - Mvto Cx'!$CY$15:$DB$500,4,0),0)</f>
        <v>0</v>
      </c>
    </row>
    <row r="50" spans="1:996">
      <c r="A50" s="37"/>
      <c r="B50" t="str">
        <f t="shared" si="0"/>
        <v>E213202</v>
      </c>
      <c r="C50" s="7" t="s">
        <v>367</v>
      </c>
      <c r="D50" s="26" t="s">
        <v>73</v>
      </c>
      <c r="E50" s="7">
        <v>213202</v>
      </c>
      <c r="F50" s="48" t="s">
        <v>110</v>
      </c>
      <c r="G50" s="49">
        <f>IFERROR(VLOOKUP(E50,'BD - E - Mvto Cx'!$A$15:$D$500,4,0),0)</f>
        <v>7833.34</v>
      </c>
      <c r="H50" s="50">
        <f>IFERROR(VLOOKUP(E50,'BD - E - Mvto Cx'!$J$15:$M$500,4,0),0)</f>
        <v>7050</v>
      </c>
      <c r="I50" s="50">
        <f>IFERROR(VLOOKUP(E50,'BD - E - Mvto Cx'!$S$15:$V$500,4,0),0)</f>
        <v>5659.53</v>
      </c>
      <c r="J50" s="50">
        <f>IFERROR(VLOOKUP(E50,'BD - E - Mvto Cx'!$AB$15:$AE$500,4,0),0)</f>
        <v>5483.34</v>
      </c>
      <c r="K50" s="50">
        <f>IFERROR(VLOOKUP(E50,'BD - E - Mvto Cx'!$AK$15:$AN$500,4,0),0)</f>
        <v>0</v>
      </c>
      <c r="L50" s="50">
        <f>IFERROR(VLOOKUP(E50,'BD - E - Mvto Cx'!$AT$15:$AW$500,4,0),0)</f>
        <v>0</v>
      </c>
      <c r="M50" s="50">
        <f>IFERROR(VLOOKUP(E50,'BD - E - Mvto Cx'!$BF$15:$BI$500,4,0),0)</f>
        <v>0</v>
      </c>
      <c r="N50" s="50">
        <f>IFERROR(VLOOKUP(E50,'BD - E - Mvto Cx'!$BO$15:$BR$500,4,0),0)</f>
        <v>0</v>
      </c>
      <c r="O50" s="50">
        <f>IFERROR(VLOOKUP(E50,'BD - E - Mvto Cx'!$BX$15:$CA$500,4,0),0)</f>
        <v>0</v>
      </c>
      <c r="P50" s="50">
        <f>IFERROR(VLOOKUP(E50,'BD - E - Mvto Cx'!$CG$15:$CJ$500,4,0),0)</f>
        <v>0</v>
      </c>
      <c r="Q50" s="50">
        <f>IFERROR(VLOOKUP(E50,'BD - E - Mvto Cx'!$CP$15:$CS$500,4,0),0)</f>
        <v>0</v>
      </c>
      <c r="R50" s="50">
        <f>IFERROR(VLOOKUP(E50,'BD - E - Mvto Cx'!$CY$15:$DB$500,4,0),0)</f>
        <v>0</v>
      </c>
    </row>
    <row r="51" spans="1:996">
      <c r="A51" s="37"/>
      <c r="B51" t="str">
        <f t="shared" si="0"/>
        <v>E213203</v>
      </c>
      <c r="C51" s="7" t="s">
        <v>367</v>
      </c>
      <c r="D51" s="26" t="s">
        <v>73</v>
      </c>
      <c r="E51" s="7">
        <v>213203</v>
      </c>
      <c r="F51" s="48" t="s">
        <v>473</v>
      </c>
      <c r="G51" s="49">
        <f>IFERROR(VLOOKUP(E51,'BD - E - Mvto Cx'!$A$15:$D$500,4,0),0)</f>
        <v>60269.72</v>
      </c>
      <c r="H51" s="50">
        <f>IFERROR(VLOOKUP(E51,'BD - E - Mvto Cx'!$J$15:$M$500,4,0),0)</f>
        <v>63416.43</v>
      </c>
      <c r="I51" s="50">
        <f>IFERROR(VLOOKUP(E51,'BD - E - Mvto Cx'!$S$15:$V$500,4,0),0)</f>
        <v>56343.85</v>
      </c>
      <c r="J51" s="50">
        <f>IFERROR(VLOOKUP(E51,'BD - E - Mvto Cx'!$AB$15:$AE$500,4,0),0)</f>
        <v>61330.7</v>
      </c>
      <c r="K51" s="50">
        <f>IFERROR(VLOOKUP(E51,'BD - E - Mvto Cx'!$AK$15:$AN$500,4,0),0)</f>
        <v>0</v>
      </c>
      <c r="L51" s="50">
        <f>IFERROR(VLOOKUP(E51,'BD - E - Mvto Cx'!$AT$15:$AW$500,4,0),0)</f>
        <v>0</v>
      </c>
      <c r="M51" s="50">
        <f>IFERROR(VLOOKUP(E51,'BD - E - Mvto Cx'!$BF$15:$BI$500,4,0),0)</f>
        <v>0</v>
      </c>
      <c r="N51" s="50">
        <f>IFERROR(VLOOKUP(E51,'BD - E - Mvto Cx'!$BO$15:$BR$500,4,0),0)</f>
        <v>0</v>
      </c>
      <c r="O51" s="50">
        <f>IFERROR(VLOOKUP(E51,'BD - E - Mvto Cx'!$BX$15:$CA$500,4,0),0)</f>
        <v>0</v>
      </c>
      <c r="P51" s="50">
        <f>IFERROR(VLOOKUP(E51,'BD - E - Mvto Cx'!$CG$15:$CJ$500,4,0),0)</f>
        <v>0</v>
      </c>
      <c r="Q51" s="50">
        <f>IFERROR(VLOOKUP(E51,'BD - E - Mvto Cx'!$CP$15:$CS$500,4,0),0)</f>
        <v>0</v>
      </c>
      <c r="R51" s="50">
        <f>IFERROR(VLOOKUP(E51,'BD - E - Mvto Cx'!$CY$15:$DB$500,4,0),0)</f>
        <v>0</v>
      </c>
    </row>
    <row r="52" spans="1:996">
      <c r="A52" s="37"/>
      <c r="B52" t="str">
        <f t="shared" si="0"/>
        <v>E213205</v>
      </c>
      <c r="C52" s="7" t="s">
        <v>367</v>
      </c>
      <c r="D52" s="26" t="s">
        <v>73</v>
      </c>
      <c r="E52" s="7">
        <v>213205</v>
      </c>
      <c r="F52" s="48" t="s">
        <v>111</v>
      </c>
      <c r="G52" s="49">
        <f>IFERROR(VLOOKUP(E52,'BD - E - Mvto Cx'!$A$15:$D$500,4,0),0)</f>
        <v>19754.12</v>
      </c>
      <c r="H52" s="50">
        <f>IFERROR(VLOOKUP(E52,'BD - E - Mvto Cx'!$J$15:$M$500,4,0),0)</f>
        <v>17229.48</v>
      </c>
      <c r="I52" s="50">
        <f>IFERROR(VLOOKUP(E52,'BD - E - Mvto Cx'!$S$15:$V$500,4,0),0)</f>
        <v>18372.89</v>
      </c>
      <c r="J52" s="50">
        <f>IFERROR(VLOOKUP(E52,'BD - E - Mvto Cx'!$AB$15:$AE$500,4,0),0)</f>
        <v>17415.61</v>
      </c>
      <c r="K52" s="50">
        <f>IFERROR(VLOOKUP(E52,'BD - E - Mvto Cx'!$AK$15:$AN$500,4,0),0)</f>
        <v>0</v>
      </c>
      <c r="L52" s="50">
        <f>IFERROR(VLOOKUP(E52,'BD - E - Mvto Cx'!$AT$15:$AW$500,4,0),0)</f>
        <v>0</v>
      </c>
      <c r="M52" s="50">
        <f>IFERROR(VLOOKUP(E52,'BD - E - Mvto Cx'!$BF$15:$BI$500,4,0),0)</f>
        <v>0</v>
      </c>
      <c r="N52" s="50">
        <f>IFERROR(VLOOKUP(E52,'BD - E - Mvto Cx'!$BO$15:$BR$500,4,0),0)</f>
        <v>0</v>
      </c>
      <c r="O52" s="50">
        <f>IFERROR(VLOOKUP(E52,'BD - E - Mvto Cx'!$BX$15:$CA$500,4,0),0)</f>
        <v>0</v>
      </c>
      <c r="P52" s="50">
        <f>IFERROR(VLOOKUP(E52,'BD - E - Mvto Cx'!$CG$15:$CJ$500,4,0),0)</f>
        <v>0</v>
      </c>
      <c r="Q52" s="50">
        <f>IFERROR(VLOOKUP(E52,'BD - E - Mvto Cx'!$CP$15:$CS$500,4,0),0)</f>
        <v>0</v>
      </c>
      <c r="R52" s="50">
        <f>IFERROR(VLOOKUP(E52,'BD - E - Mvto Cx'!$CY$15:$DB$500,4,0),0)</f>
        <v>0</v>
      </c>
    </row>
    <row r="53" spans="1:996">
      <c r="A53" s="37"/>
      <c r="B53" t="str">
        <f t="shared" si="0"/>
        <v>E213206</v>
      </c>
      <c r="C53" s="7" t="s">
        <v>367</v>
      </c>
      <c r="D53" s="26" t="s">
        <v>73</v>
      </c>
      <c r="E53" s="7">
        <v>213206</v>
      </c>
      <c r="F53" s="48" t="s">
        <v>112</v>
      </c>
      <c r="G53" s="49">
        <f>IFERROR(VLOOKUP(E53,'BD - E - Mvto Cx'!$A$15:$D$500,4,0),0)</f>
        <v>32911.910000000003</v>
      </c>
      <c r="H53" s="50">
        <f>IFERROR(VLOOKUP(E53,'BD - E - Mvto Cx'!$J$15:$M$500,4,0),0)</f>
        <v>51158.85</v>
      </c>
      <c r="I53" s="50">
        <f>IFERROR(VLOOKUP(E53,'BD - E - Mvto Cx'!$S$15:$V$500,4,0),0)</f>
        <v>29587.03</v>
      </c>
      <c r="J53" s="50">
        <f>IFERROR(VLOOKUP(E53,'BD - E - Mvto Cx'!$AB$15:$AE$500,4,0),0)</f>
        <v>29080.51</v>
      </c>
      <c r="K53" s="50">
        <f>IFERROR(VLOOKUP(E53,'BD - E - Mvto Cx'!$AK$15:$AN$500,4,0),0)</f>
        <v>0</v>
      </c>
      <c r="L53" s="50">
        <f>IFERROR(VLOOKUP(E53,'BD - E - Mvto Cx'!$AT$15:$AW$500,4,0),0)</f>
        <v>0</v>
      </c>
      <c r="M53" s="50">
        <f>IFERROR(VLOOKUP(E53,'BD - E - Mvto Cx'!$BF$15:$BI$500,4,0),0)</f>
        <v>0</v>
      </c>
      <c r="N53" s="50">
        <f>IFERROR(VLOOKUP(E53,'BD - E - Mvto Cx'!$BO$15:$BR$500,4,0),0)</f>
        <v>0</v>
      </c>
      <c r="O53" s="50">
        <f>IFERROR(VLOOKUP(E53,'BD - E - Mvto Cx'!$BX$15:$CA$500,4,0),0)</f>
        <v>0</v>
      </c>
      <c r="P53" s="50">
        <f>IFERROR(VLOOKUP(E53,'BD - E - Mvto Cx'!$CG$15:$CJ$500,4,0),0)</f>
        <v>0</v>
      </c>
      <c r="Q53" s="50">
        <f>IFERROR(VLOOKUP(E53,'BD - E - Mvto Cx'!$CP$15:$CS$500,4,0),0)</f>
        <v>0</v>
      </c>
      <c r="R53" s="50">
        <f>IFERROR(VLOOKUP(E53,'BD - E - Mvto Cx'!$CY$15:$DB$500,4,0),0)</f>
        <v>0</v>
      </c>
    </row>
    <row r="54" spans="1:996">
      <c r="A54" s="37"/>
      <c r="B54" t="str">
        <f t="shared" si="0"/>
        <v>E213210</v>
      </c>
      <c r="C54" s="7" t="s">
        <v>367</v>
      </c>
      <c r="D54" s="26" t="s">
        <v>73</v>
      </c>
      <c r="E54" s="7">
        <v>213210</v>
      </c>
      <c r="F54" s="48" t="s">
        <v>113</v>
      </c>
      <c r="G54" s="49">
        <f>IFERROR(VLOOKUP(E54,'BD - E - Mvto Cx'!$A$15:$D$500,4,0),0)</f>
        <v>21812.09</v>
      </c>
      <c r="H54" s="50">
        <f>IFERROR(VLOOKUP(E54,'BD - E - Mvto Cx'!$J$15:$M$500,4,0),0)</f>
        <v>20903.25</v>
      </c>
      <c r="I54" s="50">
        <f>IFERROR(VLOOKUP(E54,'BD - E - Mvto Cx'!$S$15:$V$500,4,0),0)</f>
        <v>18045.32</v>
      </c>
      <c r="J54" s="50">
        <f>IFERROR(VLOOKUP(E54,'BD - E - Mvto Cx'!$AB$15:$AE$500,4,0),0)</f>
        <v>19706.39</v>
      </c>
      <c r="K54" s="50">
        <f>IFERROR(VLOOKUP(E54,'BD - E - Mvto Cx'!$AK$15:$AN$500,4,0),0)</f>
        <v>0</v>
      </c>
      <c r="L54" s="50">
        <f>IFERROR(VLOOKUP(E54,'BD - E - Mvto Cx'!$AT$15:$AW$500,4,0),0)</f>
        <v>0</v>
      </c>
      <c r="M54" s="50">
        <f>IFERROR(VLOOKUP(E54,'BD - E - Mvto Cx'!$BF$15:$BI$500,4,0),0)</f>
        <v>0</v>
      </c>
      <c r="N54" s="50">
        <f>IFERROR(VLOOKUP(E54,'BD - E - Mvto Cx'!$BO$15:$BR$500,4,0),0)</f>
        <v>0</v>
      </c>
      <c r="O54" s="50">
        <f>IFERROR(VLOOKUP(E54,'BD - E - Mvto Cx'!$BX$15:$CA$500,4,0),0)</f>
        <v>0</v>
      </c>
      <c r="P54" s="50">
        <f>IFERROR(VLOOKUP(E54,'BD - E - Mvto Cx'!$CG$15:$CJ$500,4,0),0)</f>
        <v>0</v>
      </c>
      <c r="Q54" s="50">
        <f>IFERROR(VLOOKUP(E54,'BD - E - Mvto Cx'!$CP$15:$CS$500,4,0),0)</f>
        <v>0</v>
      </c>
      <c r="R54" s="50">
        <f>IFERROR(VLOOKUP(E54,'BD - E - Mvto Cx'!$CY$15:$DB$500,4,0),0)</f>
        <v>0</v>
      </c>
    </row>
    <row r="55" spans="1:996">
      <c r="A55" s="37"/>
      <c r="B55" t="str">
        <f t="shared" si="0"/>
        <v>E213211</v>
      </c>
      <c r="C55" s="7" t="s">
        <v>367</v>
      </c>
      <c r="D55" s="26" t="s">
        <v>73</v>
      </c>
      <c r="E55" s="7">
        <v>213211</v>
      </c>
      <c r="F55" s="48" t="s">
        <v>114</v>
      </c>
      <c r="G55" s="49">
        <f>IFERROR(VLOOKUP(E55,'BD - E - Mvto Cx'!$A$15:$D$500,4,0),0)</f>
        <v>361216.02</v>
      </c>
      <c r="H55" s="50">
        <f>IFERROR(VLOOKUP(E55,'BD - E - Mvto Cx'!$J$15:$M$500,4,0),0)</f>
        <v>185752.28</v>
      </c>
      <c r="I55" s="50">
        <f>IFERROR(VLOOKUP(E55,'BD - E - Mvto Cx'!$S$15:$V$500,4,0),0)</f>
        <v>265010.48</v>
      </c>
      <c r="J55" s="50">
        <f>IFERROR(VLOOKUP(E55,'BD - E - Mvto Cx'!$AB$15:$AE$500,4,0),0)</f>
        <v>231783.1</v>
      </c>
      <c r="K55" s="50">
        <f>IFERROR(VLOOKUP(E55,'BD - E - Mvto Cx'!$AK$15:$AN$500,4,0),0)</f>
        <v>0</v>
      </c>
      <c r="L55" s="50">
        <f>IFERROR(VLOOKUP(E55,'BD - E - Mvto Cx'!$AT$15:$AW$500,4,0),0)</f>
        <v>0</v>
      </c>
      <c r="M55" s="50">
        <f>IFERROR(VLOOKUP(E55,'BD - E - Mvto Cx'!$BF$15:$BI$500,4,0),0)</f>
        <v>0</v>
      </c>
      <c r="N55" s="50">
        <f>IFERROR(VLOOKUP(E55,'BD - E - Mvto Cx'!$BO$15:$BR$500,4,0),0)</f>
        <v>0</v>
      </c>
      <c r="O55" s="50">
        <f>IFERROR(VLOOKUP(E55,'BD - E - Mvto Cx'!$BX$15:$CA$500,4,0),0)</f>
        <v>0</v>
      </c>
      <c r="P55" s="50">
        <f>IFERROR(VLOOKUP(E55,'BD - E - Mvto Cx'!$CG$15:$CJ$500,4,0),0)</f>
        <v>0</v>
      </c>
      <c r="Q55" s="50">
        <f>IFERROR(VLOOKUP(E55,'BD - E - Mvto Cx'!$CP$15:$CS$500,4,0),0)</f>
        <v>0</v>
      </c>
      <c r="R55" s="50">
        <f>IFERROR(VLOOKUP(E55,'BD - E - Mvto Cx'!$CY$15:$DB$500,4,0),0)</f>
        <v>0</v>
      </c>
    </row>
    <row r="56" spans="1:996">
      <c r="A56" s="37"/>
      <c r="B56" t="str">
        <f t="shared" si="0"/>
        <v>E213212</v>
      </c>
      <c r="C56" s="7" t="s">
        <v>367</v>
      </c>
      <c r="D56" s="26" t="s">
        <v>73</v>
      </c>
      <c r="E56" s="7">
        <v>213212</v>
      </c>
      <c r="F56" s="48" t="s">
        <v>115</v>
      </c>
      <c r="G56" s="49">
        <f>IFERROR(VLOOKUP(E56,'BD - E - Mvto Cx'!$A$15:$D$500,4,0),0)</f>
        <v>6269.16</v>
      </c>
      <c r="H56" s="50">
        <f>IFERROR(VLOOKUP(E56,'BD - E - Mvto Cx'!$J$15:$M$500,4,0),0)</f>
        <v>5877.34</v>
      </c>
      <c r="I56" s="50">
        <f>IFERROR(VLOOKUP(E56,'BD - E - Mvto Cx'!$S$15:$V$500,4,0),0)</f>
        <v>4954.0200000000004</v>
      </c>
      <c r="J56" s="50">
        <f>IFERROR(VLOOKUP(E56,'BD - E - Mvto Cx'!$AB$15:$AE$500,4,0),0)</f>
        <v>5093.7</v>
      </c>
      <c r="K56" s="50">
        <f>IFERROR(VLOOKUP(E56,'BD - E - Mvto Cx'!$AK$15:$AN$500,4,0),0)</f>
        <v>0</v>
      </c>
      <c r="L56" s="50">
        <f>IFERROR(VLOOKUP(E56,'BD - E - Mvto Cx'!$AT$15:$AW$500,4,0),0)</f>
        <v>0</v>
      </c>
      <c r="M56" s="50">
        <f>IFERROR(VLOOKUP(E56,'BD - E - Mvto Cx'!$BF$15:$BI$500,4,0),0)</f>
        <v>0</v>
      </c>
      <c r="N56" s="50">
        <f>IFERROR(VLOOKUP(E56,'BD - E - Mvto Cx'!$BO$15:$BR$500,4,0),0)</f>
        <v>0</v>
      </c>
      <c r="O56" s="50">
        <f>IFERROR(VLOOKUP(E56,'BD - E - Mvto Cx'!$BX$15:$CA$500,4,0),0)</f>
        <v>0</v>
      </c>
      <c r="P56" s="50">
        <f>IFERROR(VLOOKUP(E56,'BD - E - Mvto Cx'!$CG$15:$CJ$500,4,0),0)</f>
        <v>0</v>
      </c>
      <c r="Q56" s="50">
        <f>IFERROR(VLOOKUP(E56,'BD - E - Mvto Cx'!$CP$15:$CS$500,4,0),0)</f>
        <v>0</v>
      </c>
      <c r="R56" s="50">
        <f>IFERROR(VLOOKUP(E56,'BD - E - Mvto Cx'!$CY$15:$DB$500,4,0),0)</f>
        <v>0</v>
      </c>
    </row>
    <row r="57" spans="1:996">
      <c r="A57" s="37"/>
      <c r="B57" t="str">
        <f t="shared" si="0"/>
        <v>E213406</v>
      </c>
      <c r="C57" s="7" t="s">
        <v>367</v>
      </c>
      <c r="D57" s="26" t="s">
        <v>73</v>
      </c>
      <c r="E57" s="7">
        <v>213406</v>
      </c>
      <c r="F57" s="48" t="s">
        <v>116</v>
      </c>
      <c r="G57" s="49">
        <f>IFERROR(VLOOKUP(E57,'BD - E - Mvto Cx'!$A$15:$D$500,4,0),0)</f>
        <v>33048.39</v>
      </c>
      <c r="H57" s="50">
        <f>IFERROR(VLOOKUP(E57,'BD - E - Mvto Cx'!$J$15:$M$500,4,0),0)</f>
        <v>29354.65</v>
      </c>
      <c r="I57" s="50">
        <f>IFERROR(VLOOKUP(E57,'BD - E - Mvto Cx'!$S$15:$V$500,4,0),0)</f>
        <v>32847.08</v>
      </c>
      <c r="J57" s="50">
        <f>IFERROR(VLOOKUP(E57,'BD - E - Mvto Cx'!$AB$15:$AE$500,4,0),0)</f>
        <v>32504.69</v>
      </c>
      <c r="K57" s="50">
        <f>IFERROR(VLOOKUP(E57,'BD - E - Mvto Cx'!$AK$15:$AN$500,4,0),0)</f>
        <v>0</v>
      </c>
      <c r="L57" s="50">
        <f>IFERROR(VLOOKUP(E57,'BD - E - Mvto Cx'!$AT$15:$AW$500,4,0),0)</f>
        <v>0</v>
      </c>
      <c r="M57" s="50">
        <f>IFERROR(VLOOKUP(E57,'BD - E - Mvto Cx'!$BF$15:$BI$500,4,0),0)</f>
        <v>0</v>
      </c>
      <c r="N57" s="50">
        <f>IFERROR(VLOOKUP(E57,'BD - E - Mvto Cx'!$BO$15:$BR$500,4,0),0)</f>
        <v>0</v>
      </c>
      <c r="O57" s="50">
        <f>IFERROR(VLOOKUP(E57,'BD - E - Mvto Cx'!$BX$15:$CA$500,4,0),0)</f>
        <v>0</v>
      </c>
      <c r="P57" s="50">
        <f>IFERROR(VLOOKUP(E57,'BD - E - Mvto Cx'!$CG$15:$CJ$500,4,0),0)</f>
        <v>0</v>
      </c>
      <c r="Q57" s="50">
        <f>IFERROR(VLOOKUP(E57,'BD - E - Mvto Cx'!$CP$15:$CS$500,4,0),0)</f>
        <v>0</v>
      </c>
      <c r="R57" s="50">
        <f>IFERROR(VLOOKUP(E57,'BD - E - Mvto Cx'!$CY$15:$DB$500,4,0),0)</f>
        <v>0</v>
      </c>
    </row>
    <row r="58" spans="1:996">
      <c r="A58" s="37"/>
      <c r="B58" t="str">
        <f t="shared" si="0"/>
        <v>E213901</v>
      </c>
      <c r="C58" s="7" t="s">
        <v>365</v>
      </c>
      <c r="D58" s="26" t="s">
        <v>73</v>
      </c>
      <c r="E58" s="7">
        <v>213901</v>
      </c>
      <c r="F58" s="48" t="s">
        <v>117</v>
      </c>
      <c r="G58" s="49">
        <f>IFERROR(VLOOKUP(E58,'BD - E - Mvto Cx'!$A$15:$D$500,4,0),0)</f>
        <v>0</v>
      </c>
      <c r="H58" s="50">
        <f>IFERROR(VLOOKUP(E58,'BD - E - Mvto Cx'!$J$15:$M$500,4,0),0)</f>
        <v>0</v>
      </c>
      <c r="I58" s="50">
        <f>IFERROR(VLOOKUP(E58,'BD - E - Mvto Cx'!$S$15:$V$500,4,0),0)</f>
        <v>0</v>
      </c>
      <c r="J58" s="50">
        <f>IFERROR(VLOOKUP(E58,'BD - E - Mvto Cx'!$AB$15:$AE$500,4,0),0)</f>
        <v>330000</v>
      </c>
      <c r="K58" s="50">
        <f>IFERROR(VLOOKUP(E58,'BD - E - Mvto Cx'!$AK$15:$AN$500,4,0),0)</f>
        <v>0</v>
      </c>
      <c r="L58" s="50">
        <f>IFERROR(VLOOKUP(E58,'BD - E - Mvto Cx'!$AT$15:$AW$500,4,0),0)</f>
        <v>0</v>
      </c>
      <c r="M58" s="50">
        <f>IFERROR(VLOOKUP(E58,'BD - E - Mvto Cx'!$BF$15:$BI$500,4,0),0)</f>
        <v>0</v>
      </c>
      <c r="N58" s="50">
        <f>IFERROR(VLOOKUP(E58,'BD - E - Mvto Cx'!$BO$15:$BR$500,4,0),0)</f>
        <v>0</v>
      </c>
      <c r="O58" s="50">
        <f>IFERROR(VLOOKUP(E58,'BD - E - Mvto Cx'!$BX$15:$CA$500,4,0),0)</f>
        <v>0</v>
      </c>
      <c r="P58" s="50">
        <f>IFERROR(VLOOKUP(E58,'BD - E - Mvto Cx'!$CG$15:$CJ$500,4,0),0)</f>
        <v>0</v>
      </c>
      <c r="Q58" s="50">
        <f>IFERROR(VLOOKUP(E58,'BD - E - Mvto Cx'!$CP$15:$CS$500,4,0),0)</f>
        <v>0</v>
      </c>
      <c r="R58" s="50">
        <f>IFERROR(VLOOKUP(E58,'BD - E - Mvto Cx'!$CY$15:$DB$500,4,0),0)</f>
        <v>0</v>
      </c>
    </row>
    <row r="59" spans="1:996">
      <c r="A59" s="37"/>
      <c r="B59" t="str">
        <f t="shared" si="0"/>
        <v>E215110</v>
      </c>
      <c r="C59" s="29" t="s">
        <v>422</v>
      </c>
      <c r="D59" s="26" t="s">
        <v>73</v>
      </c>
      <c r="E59" s="7">
        <v>215110</v>
      </c>
      <c r="F59" s="48" t="s">
        <v>169</v>
      </c>
      <c r="G59" s="49">
        <f>IFERROR(VLOOKUP(E59,'BD - E - Mvto Cx'!$A$15:$D$500,4,0),0)</f>
        <v>17.59</v>
      </c>
      <c r="H59" s="50">
        <f>IFERROR(VLOOKUP(E59,'BD - E - Mvto Cx'!$J$15:$M$500,4,0),0)</f>
        <v>26</v>
      </c>
      <c r="I59" s="50">
        <f>IFERROR(VLOOKUP(E59,'BD - E - Mvto Cx'!$S$15:$V$500,4,0),0)</f>
        <v>21.36</v>
      </c>
      <c r="J59" s="50">
        <f>IFERROR(VLOOKUP(E59,'BD - E - Mvto Cx'!$AB$15:$AE$500,4,0),0)</f>
        <v>21.79</v>
      </c>
      <c r="K59" s="50">
        <f>IFERROR(VLOOKUP(E59,'BD - E - Mvto Cx'!$AK$15:$AN$500,4,0),0)</f>
        <v>0</v>
      </c>
      <c r="L59" s="50">
        <f>IFERROR(VLOOKUP(E59,'BD - E - Mvto Cx'!$AT$15:$AW$500,4,0),0)</f>
        <v>0</v>
      </c>
      <c r="M59" s="50">
        <f>IFERROR(VLOOKUP(E59,'BD - E - Mvto Cx'!$BF$15:$BI$500,4,0),0)</f>
        <v>0</v>
      </c>
      <c r="N59" s="50">
        <f>IFERROR(VLOOKUP(E59,'BD - E - Mvto Cx'!$BO$15:$BR$500,4,0),0)</f>
        <v>0</v>
      </c>
      <c r="O59" s="50">
        <f>IFERROR(VLOOKUP(E59,'BD - E - Mvto Cx'!$BX$15:$CA$500,4,0),0)</f>
        <v>0</v>
      </c>
      <c r="P59" s="50">
        <f>IFERROR(VLOOKUP(E59,'BD - E - Mvto Cx'!$CG$15:$CJ$500,4,0),0)</f>
        <v>0</v>
      </c>
      <c r="Q59" s="50">
        <f>IFERROR(VLOOKUP(E59,'BD - E - Mvto Cx'!$CP$15:$CS$500,4,0),0)</f>
        <v>0</v>
      </c>
      <c r="R59" s="50">
        <f>IFERROR(VLOOKUP(E59,'BD - E - Mvto Cx'!$CY$15:$DB$500,4,0),0)</f>
        <v>0</v>
      </c>
    </row>
    <row r="60" spans="1:996">
      <c r="A60" s="37"/>
      <c r="B60" t="str">
        <f t="shared" si="0"/>
        <v>E215302</v>
      </c>
      <c r="C60" s="36" t="s">
        <v>355</v>
      </c>
      <c r="D60" s="26" t="s">
        <v>73</v>
      </c>
      <c r="E60" s="7">
        <v>215302</v>
      </c>
      <c r="F60" s="48" t="s">
        <v>170</v>
      </c>
      <c r="G60" s="49">
        <f>IFERROR(VLOOKUP(E60,'BD - E - Mvto Cx'!$A$15:$D$500,4,0),0)</f>
        <v>458</v>
      </c>
      <c r="H60" s="50">
        <f>IFERROR(VLOOKUP(E60,'BD - E - Mvto Cx'!$J$15:$M$500,4,0),0)</f>
        <v>0</v>
      </c>
      <c r="I60" s="50">
        <f>IFERROR(VLOOKUP(E60,'BD - E - Mvto Cx'!$S$15:$V$500,4,0),0)</f>
        <v>0</v>
      </c>
      <c r="J60" s="50">
        <f>IFERROR(VLOOKUP(E60,'BD - E - Mvto Cx'!$AB$15:$AE$500,4,0),0)</f>
        <v>1299.99</v>
      </c>
      <c r="K60" s="50">
        <f>IFERROR(VLOOKUP(E60,'BD - E - Mvto Cx'!$AK$15:$AN$500,4,0),0)</f>
        <v>0</v>
      </c>
      <c r="L60" s="50">
        <f>IFERROR(VLOOKUP(E60,'BD - E - Mvto Cx'!$AT$15:$AW$500,4,0),0)</f>
        <v>0</v>
      </c>
      <c r="M60" s="50">
        <f>IFERROR(VLOOKUP(E60,'BD - E - Mvto Cx'!$BF$15:$BI$500,4,0),0)</f>
        <v>0</v>
      </c>
      <c r="N60" s="50">
        <f>IFERROR(VLOOKUP(E60,'BD - E - Mvto Cx'!$BO$15:$BR$500,4,0),0)</f>
        <v>0</v>
      </c>
      <c r="O60" s="50">
        <f>IFERROR(VLOOKUP(E60,'BD - E - Mvto Cx'!$BX$15:$CA$500,4,0),0)</f>
        <v>0</v>
      </c>
      <c r="P60" s="50">
        <f>IFERROR(VLOOKUP(E60,'BD - E - Mvto Cx'!$CG$15:$CJ$500,4,0),0)</f>
        <v>0</v>
      </c>
      <c r="Q60" s="50">
        <f>IFERROR(VLOOKUP(E60,'BD - E - Mvto Cx'!$CP$15:$CS$500,4,0),0)</f>
        <v>0</v>
      </c>
      <c r="R60" s="50">
        <f>IFERROR(VLOOKUP(E60,'BD - E - Mvto Cx'!$CY$15:$DB$500,4,0),0)</f>
        <v>0</v>
      </c>
    </row>
    <row r="61" spans="1:996" customFormat="1">
      <c r="A61" s="37"/>
      <c r="B61" t="str">
        <f t="shared" si="0"/>
        <v>E215311</v>
      </c>
      <c r="C61" s="36" t="s">
        <v>422</v>
      </c>
      <c r="D61" s="26" t="s">
        <v>73</v>
      </c>
      <c r="E61">
        <v>215311</v>
      </c>
      <c r="F61" s="108" t="s">
        <v>390</v>
      </c>
      <c r="G61" s="397">
        <f>IFERROR(VLOOKUP(E61,'BD - E - Mvto Cx'!$A$15:$D$500,4,0),0)</f>
        <v>1302.52</v>
      </c>
      <c r="H61" s="39">
        <f>IFERROR(VLOOKUP(E61,'BD - E - Mvto Cx'!$J$15:$M$500,4,0),0)</f>
        <v>16.84</v>
      </c>
      <c r="I61" s="39">
        <f>IFERROR(VLOOKUP(E61,'BD - E - Mvto Cx'!$S$15:$V$500,4,0),0)</f>
        <v>889.13</v>
      </c>
      <c r="J61" s="39">
        <f>IFERROR(VLOOKUP(E61,'BD - E - Mvto Cx'!$AB$15:$AE$500,4,0),0)</f>
        <v>1050.8800000000001</v>
      </c>
      <c r="K61" s="39">
        <f>IFERROR(VLOOKUP(E61,'BD - E - Mvto Cx'!$AK$15:$AN$500,4,0),0)</f>
        <v>0</v>
      </c>
      <c r="L61" s="39">
        <f>IFERROR(VLOOKUP(E61,'BD - E - Mvto Cx'!$AT$15:$AW$500,4,0),0)</f>
        <v>0</v>
      </c>
      <c r="M61" s="39">
        <f>IFERROR(VLOOKUP(E61,'BD - E - Mvto Cx'!$BF$15:$BI$500,4,0),0)</f>
        <v>0</v>
      </c>
      <c r="N61" s="39">
        <f>IFERROR(VLOOKUP(E61,'BD - E - Mvto Cx'!$BO$15:$BR$500,4,0),0)</f>
        <v>0</v>
      </c>
      <c r="O61" s="39">
        <f>IFERROR(VLOOKUP(E61,'BD - E - Mvto Cx'!$BX$15:$CA$500,4,0),0)</f>
        <v>0</v>
      </c>
      <c r="P61" s="39">
        <f>IFERROR(VLOOKUP(E61,'BD - E - Mvto Cx'!$CG$15:$CJ$500,4,0),0)</f>
        <v>0</v>
      </c>
      <c r="Q61" s="39">
        <f>IFERROR(VLOOKUP(E61,'BD - E - Mvto Cx'!$CP$15:$CS$500,4,0),0)</f>
        <v>0</v>
      </c>
      <c r="R61" s="39">
        <f>IFERROR(VLOOKUP(E61,'BD - E - Mvto Cx'!$CY$15:$DB$500,4,0),0)</f>
        <v>0</v>
      </c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  <c r="IX61" s="37"/>
      <c r="IY61" s="37"/>
      <c r="IZ61" s="37"/>
      <c r="JA61" s="37"/>
      <c r="JB61" s="37"/>
      <c r="JC61" s="37"/>
      <c r="JD61" s="37"/>
      <c r="JE61" s="37"/>
      <c r="JF61" s="37"/>
      <c r="JG61" s="3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37"/>
      <c r="KB61" s="37"/>
      <c r="KC61" s="37"/>
      <c r="KD61" s="37"/>
      <c r="KE61" s="37"/>
      <c r="KF61" s="37"/>
      <c r="KG61" s="37"/>
      <c r="KH61" s="37"/>
      <c r="KI61" s="37"/>
      <c r="KJ61" s="37"/>
      <c r="KK61" s="37"/>
      <c r="KL61" s="37"/>
      <c r="KM61" s="37"/>
      <c r="KN61" s="37"/>
      <c r="KO61" s="37"/>
      <c r="KP61" s="37"/>
      <c r="KQ61" s="37"/>
      <c r="KR61" s="37"/>
      <c r="KS61" s="37"/>
      <c r="KT61" s="37"/>
      <c r="KU61" s="37"/>
      <c r="KV61" s="37"/>
      <c r="KW61" s="37"/>
      <c r="KX61" s="37"/>
      <c r="KY61" s="37"/>
      <c r="KZ61" s="37"/>
      <c r="LA61" s="37"/>
      <c r="LB61" s="37"/>
      <c r="LC61" s="37"/>
      <c r="LD61" s="37"/>
      <c r="LE61" s="37"/>
      <c r="LF61" s="37"/>
      <c r="LG61" s="37"/>
      <c r="LH61" s="37"/>
      <c r="LI61" s="37"/>
      <c r="LJ61" s="37"/>
      <c r="LK61" s="37"/>
      <c r="LL61" s="37"/>
      <c r="LM61" s="37"/>
      <c r="LN61" s="37"/>
      <c r="LO61" s="37"/>
      <c r="LP61" s="37"/>
      <c r="LQ61" s="37"/>
      <c r="LR61" s="37"/>
      <c r="LS61" s="37"/>
      <c r="LT61" s="37"/>
      <c r="LU61" s="37"/>
      <c r="LV61" s="37"/>
      <c r="LW61" s="37"/>
      <c r="LX61" s="37"/>
      <c r="LY61" s="37"/>
      <c r="LZ61" s="37"/>
      <c r="MA61" s="37"/>
      <c r="MB61" s="37"/>
      <c r="MC61" s="37"/>
      <c r="MD61" s="37"/>
      <c r="ME61" s="37"/>
      <c r="MF61" s="37"/>
      <c r="MG61" s="37"/>
      <c r="MH61" s="37"/>
      <c r="MI61" s="37"/>
      <c r="MJ61" s="37"/>
      <c r="MK61" s="37"/>
      <c r="ML61" s="37"/>
      <c r="MM61" s="37"/>
      <c r="MN61" s="37"/>
      <c r="MO61" s="37"/>
      <c r="MP61" s="37"/>
      <c r="MQ61" s="37"/>
      <c r="MR61" s="37"/>
      <c r="MS61" s="37"/>
      <c r="MT61" s="37"/>
      <c r="MU61" s="37"/>
      <c r="MV61" s="37"/>
      <c r="MW61" s="37"/>
      <c r="MX61" s="37"/>
      <c r="MY61" s="37"/>
      <c r="MZ61" s="37"/>
      <c r="NA61" s="37"/>
      <c r="NB61" s="37"/>
      <c r="NC61" s="37"/>
      <c r="ND61" s="37"/>
      <c r="NE61" s="37"/>
      <c r="NF61" s="37"/>
      <c r="NG61" s="37"/>
      <c r="NH61" s="37"/>
      <c r="NI61" s="37"/>
      <c r="NJ61" s="37"/>
      <c r="NK61" s="37"/>
      <c r="NL61" s="37"/>
      <c r="NM61" s="37"/>
      <c r="NN61" s="37"/>
      <c r="NO61" s="37"/>
      <c r="NP61" s="37"/>
      <c r="NQ61" s="37"/>
      <c r="NR61" s="37"/>
      <c r="NS61" s="37"/>
      <c r="NT61" s="37"/>
      <c r="NU61" s="37"/>
      <c r="NV61" s="37"/>
      <c r="NW61" s="37"/>
      <c r="NX61" s="37"/>
      <c r="NY61" s="37"/>
      <c r="NZ61" s="37"/>
      <c r="OA61" s="37"/>
      <c r="OB61" s="37"/>
      <c r="OC61" s="37"/>
      <c r="OD61" s="37"/>
      <c r="OE61" s="37"/>
      <c r="OF61" s="37"/>
      <c r="OG61" s="37"/>
      <c r="OH61" s="37"/>
      <c r="OI61" s="37"/>
      <c r="OJ61" s="37"/>
      <c r="OK61" s="37"/>
      <c r="OL61" s="37"/>
      <c r="OM61" s="37"/>
      <c r="ON61" s="37"/>
      <c r="OO61" s="37"/>
      <c r="OP61" s="37"/>
      <c r="OQ61" s="37"/>
      <c r="OR61" s="37"/>
      <c r="OS61" s="37"/>
      <c r="OT61" s="37"/>
      <c r="OU61" s="37"/>
      <c r="OV61" s="37"/>
      <c r="OW61" s="37"/>
      <c r="OX61" s="37"/>
      <c r="OY61" s="37"/>
      <c r="OZ61" s="37"/>
      <c r="PA61" s="37"/>
      <c r="PB61" s="37"/>
      <c r="PC61" s="37"/>
      <c r="PD61" s="37"/>
      <c r="PE61" s="37"/>
      <c r="PF61" s="37"/>
      <c r="PG61" s="37"/>
      <c r="PH61" s="37"/>
      <c r="PI61" s="37"/>
      <c r="PJ61" s="37"/>
      <c r="PK61" s="37"/>
      <c r="PL61" s="37"/>
      <c r="PM61" s="37"/>
      <c r="PN61" s="37"/>
      <c r="PO61" s="37"/>
      <c r="PP61" s="37"/>
      <c r="PQ61" s="37"/>
      <c r="PR61" s="37"/>
      <c r="PS61" s="37"/>
      <c r="PT61" s="37"/>
      <c r="PU61" s="37"/>
      <c r="PV61" s="37"/>
      <c r="PW61" s="37"/>
      <c r="PX61" s="37"/>
      <c r="PY61" s="37"/>
      <c r="PZ61" s="37"/>
      <c r="QA61" s="37"/>
      <c r="QB61" s="37"/>
      <c r="QC61" s="37"/>
      <c r="QD61" s="37"/>
      <c r="QE61" s="37"/>
      <c r="QF61" s="37"/>
      <c r="QG61" s="37"/>
      <c r="QH61" s="37"/>
      <c r="QI61" s="37"/>
      <c r="QJ61" s="37"/>
      <c r="QK61" s="37"/>
      <c r="QL61" s="37"/>
      <c r="QM61" s="37"/>
      <c r="QN61" s="37"/>
      <c r="QO61" s="37"/>
      <c r="QP61" s="37"/>
      <c r="QQ61" s="37"/>
      <c r="QR61" s="37"/>
      <c r="QS61" s="37"/>
      <c r="QT61" s="37"/>
      <c r="QU61" s="37"/>
      <c r="QV61" s="37"/>
      <c r="QW61" s="37"/>
      <c r="QX61" s="37"/>
      <c r="QY61" s="37"/>
      <c r="QZ61" s="37"/>
      <c r="RA61" s="37"/>
      <c r="RB61" s="37"/>
      <c r="RC61" s="37"/>
      <c r="RD61" s="37"/>
      <c r="RE61" s="37"/>
      <c r="RF61" s="37"/>
      <c r="RG61" s="37"/>
      <c r="RH61" s="37"/>
      <c r="RI61" s="37"/>
      <c r="RJ61" s="37"/>
      <c r="RK61" s="37"/>
      <c r="RL61" s="37"/>
      <c r="RM61" s="37"/>
      <c r="RN61" s="37"/>
      <c r="RO61" s="37"/>
      <c r="RP61" s="37"/>
      <c r="RQ61" s="37"/>
      <c r="RR61" s="37"/>
      <c r="RS61" s="37"/>
      <c r="RT61" s="37"/>
      <c r="RU61" s="37"/>
      <c r="RV61" s="37"/>
      <c r="RW61" s="37"/>
      <c r="RX61" s="37"/>
      <c r="RY61" s="37"/>
      <c r="RZ61" s="37"/>
      <c r="SA61" s="37"/>
      <c r="SB61" s="37"/>
      <c r="SC61" s="37"/>
      <c r="SD61" s="37"/>
      <c r="SE61" s="37"/>
      <c r="SF61" s="37"/>
      <c r="SG61" s="37"/>
      <c r="SH61" s="37"/>
      <c r="SI61" s="37"/>
      <c r="SJ61" s="37"/>
      <c r="SK61" s="37"/>
      <c r="SL61" s="37"/>
      <c r="SM61" s="37"/>
      <c r="SN61" s="37"/>
      <c r="SO61" s="37"/>
      <c r="SP61" s="37"/>
      <c r="SQ61" s="37"/>
      <c r="SR61" s="37"/>
      <c r="SS61" s="37"/>
      <c r="ST61" s="37"/>
      <c r="SU61" s="37"/>
      <c r="SV61" s="37"/>
      <c r="SW61" s="37"/>
      <c r="SX61" s="37"/>
      <c r="SY61" s="37"/>
      <c r="SZ61" s="37"/>
      <c r="TA61" s="37"/>
      <c r="TB61" s="37"/>
      <c r="TC61" s="37"/>
      <c r="TD61" s="37"/>
      <c r="TE61" s="37"/>
      <c r="TF61" s="37"/>
      <c r="TG61" s="37"/>
      <c r="TH61" s="37"/>
      <c r="TI61" s="37"/>
      <c r="TJ61" s="37"/>
      <c r="TK61" s="37"/>
      <c r="TL61" s="37"/>
      <c r="TM61" s="37"/>
      <c r="TN61" s="37"/>
      <c r="TO61" s="37"/>
      <c r="TP61" s="37"/>
      <c r="TQ61" s="37"/>
      <c r="TR61" s="37"/>
      <c r="TS61" s="37"/>
      <c r="TT61" s="37"/>
      <c r="TU61" s="37"/>
      <c r="TV61" s="37"/>
      <c r="TW61" s="37"/>
      <c r="TX61" s="37"/>
      <c r="TY61" s="37"/>
      <c r="TZ61" s="37"/>
      <c r="UA61" s="37"/>
      <c r="UB61" s="37"/>
      <c r="UC61" s="37"/>
      <c r="UD61" s="37"/>
      <c r="UE61" s="37"/>
      <c r="UF61" s="37"/>
      <c r="UG61" s="37"/>
      <c r="UH61" s="37"/>
      <c r="UI61" s="37"/>
      <c r="UJ61" s="37"/>
      <c r="UK61" s="37"/>
      <c r="UL61" s="37"/>
      <c r="UM61" s="37"/>
      <c r="UN61" s="37"/>
      <c r="UO61" s="37"/>
      <c r="UP61" s="37"/>
      <c r="UQ61" s="37"/>
      <c r="UR61" s="37"/>
      <c r="US61" s="37"/>
      <c r="UT61" s="37"/>
      <c r="UU61" s="37"/>
      <c r="UV61" s="37"/>
      <c r="UW61" s="37"/>
      <c r="UX61" s="37"/>
      <c r="UY61" s="37"/>
      <c r="UZ61" s="37"/>
      <c r="VA61" s="37"/>
      <c r="VB61" s="37"/>
      <c r="VC61" s="37"/>
      <c r="VD61" s="37"/>
      <c r="VE61" s="37"/>
      <c r="VF61" s="37"/>
      <c r="VG61" s="37"/>
      <c r="VH61" s="37"/>
      <c r="VI61" s="37"/>
      <c r="VJ61" s="37"/>
      <c r="VK61" s="37"/>
      <c r="VL61" s="37"/>
      <c r="VM61" s="37"/>
      <c r="VN61" s="37"/>
      <c r="VO61" s="37"/>
      <c r="VP61" s="37"/>
      <c r="VQ61" s="37"/>
      <c r="VR61" s="37"/>
      <c r="VS61" s="37"/>
      <c r="VT61" s="37"/>
      <c r="VU61" s="37"/>
      <c r="VV61" s="37"/>
      <c r="VW61" s="37"/>
      <c r="VX61" s="37"/>
      <c r="VY61" s="37"/>
      <c r="VZ61" s="37"/>
      <c r="WA61" s="37"/>
      <c r="WB61" s="37"/>
      <c r="WC61" s="37"/>
      <c r="WD61" s="37"/>
      <c r="WE61" s="37"/>
      <c r="WF61" s="37"/>
      <c r="WG61" s="37"/>
      <c r="WH61" s="37"/>
      <c r="WI61" s="37"/>
      <c r="WJ61" s="37"/>
      <c r="WK61" s="37"/>
      <c r="WL61" s="37"/>
      <c r="WM61" s="37"/>
      <c r="WN61" s="37"/>
      <c r="WO61" s="37"/>
      <c r="WP61" s="37"/>
      <c r="WQ61" s="37"/>
      <c r="WR61" s="37"/>
      <c r="WS61" s="37"/>
      <c r="WT61" s="37"/>
      <c r="WU61" s="37"/>
      <c r="WV61" s="37"/>
      <c r="WW61" s="37"/>
      <c r="WX61" s="37"/>
      <c r="WY61" s="37"/>
      <c r="WZ61" s="37"/>
      <c r="XA61" s="37"/>
      <c r="XB61" s="37"/>
      <c r="XC61" s="37"/>
      <c r="XD61" s="37"/>
      <c r="XE61" s="37"/>
      <c r="XF61" s="37"/>
      <c r="XG61" s="37"/>
      <c r="XH61" s="37"/>
      <c r="XI61" s="37"/>
      <c r="XJ61" s="37"/>
      <c r="XK61" s="37"/>
      <c r="XL61" s="37"/>
      <c r="XM61" s="37"/>
      <c r="XN61" s="37"/>
      <c r="XO61" s="37"/>
      <c r="XP61" s="37"/>
      <c r="XQ61" s="37"/>
      <c r="XR61" s="37"/>
      <c r="XS61" s="37"/>
      <c r="XT61" s="37"/>
      <c r="XU61" s="37"/>
      <c r="XV61" s="37"/>
      <c r="XW61" s="37"/>
      <c r="XX61" s="37"/>
      <c r="XY61" s="37"/>
      <c r="XZ61" s="37"/>
      <c r="YA61" s="37"/>
      <c r="YB61" s="37"/>
      <c r="YC61" s="37"/>
      <c r="YD61" s="37"/>
      <c r="YE61" s="37"/>
      <c r="YF61" s="37"/>
      <c r="YG61" s="37"/>
      <c r="YH61" s="37"/>
      <c r="YI61" s="37"/>
      <c r="YJ61" s="37"/>
      <c r="YK61" s="37"/>
      <c r="YL61" s="37"/>
      <c r="YM61" s="37"/>
      <c r="YN61" s="37"/>
      <c r="YO61" s="37"/>
      <c r="YP61" s="37"/>
      <c r="YQ61" s="37"/>
      <c r="YR61" s="37"/>
      <c r="YS61" s="37"/>
      <c r="YT61" s="37"/>
      <c r="YU61" s="37"/>
      <c r="YV61" s="37"/>
      <c r="YW61" s="37"/>
      <c r="YX61" s="37"/>
      <c r="YY61" s="37"/>
      <c r="YZ61" s="37"/>
      <c r="ZA61" s="37"/>
      <c r="ZB61" s="37"/>
      <c r="ZC61" s="37"/>
      <c r="ZD61" s="37"/>
      <c r="ZE61" s="37"/>
      <c r="ZF61" s="37"/>
      <c r="ZG61" s="37"/>
      <c r="ZH61" s="37"/>
      <c r="ZI61" s="37"/>
      <c r="ZJ61" s="37"/>
      <c r="ZK61" s="37"/>
      <c r="ZL61" s="37"/>
      <c r="ZM61" s="37"/>
      <c r="ZN61" s="37"/>
      <c r="ZO61" s="37"/>
      <c r="ZP61" s="37"/>
      <c r="ZQ61" s="37"/>
      <c r="ZR61" s="37"/>
      <c r="ZS61" s="37"/>
      <c r="ZT61" s="37"/>
      <c r="ZU61" s="37"/>
      <c r="ZV61" s="37"/>
      <c r="ZW61" s="37"/>
      <c r="ZX61" s="37"/>
      <c r="ZY61" s="37"/>
      <c r="ZZ61" s="37"/>
      <c r="AAA61" s="37"/>
      <c r="AAB61" s="37"/>
      <c r="AAC61" s="37"/>
      <c r="AAD61" s="37"/>
      <c r="AAE61" s="37"/>
      <c r="AAF61" s="37"/>
      <c r="AAG61" s="37"/>
      <c r="AAH61" s="37"/>
      <c r="AAI61" s="37"/>
      <c r="AAJ61" s="37"/>
      <c r="AAK61" s="37"/>
      <c r="AAL61" s="37"/>
      <c r="AAM61" s="37"/>
      <c r="AAN61" s="37"/>
      <c r="AAO61" s="37"/>
      <c r="AAP61" s="37"/>
      <c r="AAQ61" s="37"/>
      <c r="AAR61" s="37"/>
      <c r="AAS61" s="37"/>
      <c r="AAT61" s="37"/>
      <c r="AAU61" s="37"/>
      <c r="AAV61" s="37"/>
      <c r="AAW61" s="37"/>
      <c r="AAX61" s="37"/>
      <c r="AAY61" s="37"/>
      <c r="AAZ61" s="37"/>
      <c r="ABA61" s="37"/>
      <c r="ABB61" s="37"/>
      <c r="ABC61" s="37"/>
      <c r="ABD61" s="37"/>
      <c r="ABE61" s="37"/>
      <c r="ABF61" s="37"/>
      <c r="ABG61" s="37"/>
      <c r="ABH61" s="37"/>
      <c r="ABI61" s="37"/>
      <c r="ABJ61" s="37"/>
      <c r="ABK61" s="37"/>
      <c r="ABL61" s="37"/>
      <c r="ABM61" s="37"/>
      <c r="ABN61" s="37"/>
      <c r="ABO61" s="37"/>
      <c r="ABP61" s="37"/>
      <c r="ABQ61" s="37"/>
      <c r="ABR61" s="37"/>
      <c r="ABS61" s="37"/>
      <c r="ABT61" s="37"/>
      <c r="ABU61" s="37"/>
      <c r="ABV61" s="37"/>
      <c r="ABW61" s="37"/>
      <c r="ABX61" s="37"/>
      <c r="ABY61" s="37"/>
      <c r="ABZ61" s="37"/>
      <c r="ACA61" s="37"/>
      <c r="ACB61" s="37"/>
      <c r="ACC61" s="37"/>
      <c r="ACD61" s="37"/>
      <c r="ACE61" s="37"/>
      <c r="ACF61" s="37"/>
      <c r="ACG61" s="37"/>
      <c r="ACH61" s="37"/>
      <c r="ACI61" s="37"/>
      <c r="ACJ61" s="37"/>
      <c r="ACK61" s="37"/>
      <c r="ACL61" s="37"/>
      <c r="ACM61" s="37"/>
      <c r="ACN61" s="37"/>
      <c r="ACO61" s="37"/>
      <c r="ACP61" s="37"/>
      <c r="ACQ61" s="37"/>
      <c r="ACR61" s="37"/>
      <c r="ACS61" s="37"/>
      <c r="ACT61" s="37"/>
      <c r="ACU61" s="37"/>
      <c r="ACV61" s="37"/>
      <c r="ACW61" s="37"/>
      <c r="ACX61" s="37"/>
      <c r="ACY61" s="37"/>
      <c r="ACZ61" s="37"/>
      <c r="ADA61" s="37"/>
      <c r="ADB61" s="37"/>
      <c r="ADC61" s="37"/>
      <c r="ADD61" s="37"/>
      <c r="ADE61" s="37"/>
      <c r="ADF61" s="37"/>
      <c r="ADG61" s="37"/>
      <c r="ADH61" s="37"/>
      <c r="ADI61" s="37"/>
      <c r="ADJ61" s="37"/>
      <c r="ADK61" s="37"/>
      <c r="ADL61" s="37"/>
      <c r="ADM61" s="37"/>
      <c r="ADN61" s="37"/>
      <c r="ADO61" s="37"/>
      <c r="ADP61" s="37"/>
      <c r="ADQ61" s="37"/>
      <c r="ADR61" s="37"/>
      <c r="ADS61" s="37"/>
      <c r="ADT61" s="37"/>
      <c r="ADU61" s="37"/>
      <c r="ADV61" s="37"/>
      <c r="ADW61" s="37"/>
      <c r="ADX61" s="37"/>
      <c r="ADY61" s="37"/>
      <c r="ADZ61" s="37"/>
      <c r="AEA61" s="37"/>
      <c r="AEB61" s="37"/>
      <c r="AEC61" s="37"/>
      <c r="AED61" s="37"/>
      <c r="AEE61" s="37"/>
      <c r="AEF61" s="37"/>
      <c r="AEG61" s="37"/>
      <c r="AEH61" s="37"/>
      <c r="AEI61" s="37"/>
      <c r="AEJ61" s="37"/>
      <c r="AEK61" s="37"/>
      <c r="AEL61" s="37"/>
      <c r="AEM61" s="37"/>
      <c r="AEN61" s="37"/>
      <c r="AEO61" s="37"/>
      <c r="AEP61" s="37"/>
      <c r="AEQ61" s="37"/>
      <c r="AER61" s="37"/>
      <c r="AES61" s="37"/>
      <c r="AET61" s="37"/>
      <c r="AEU61" s="37"/>
      <c r="AEV61" s="37"/>
      <c r="AEW61" s="37"/>
      <c r="AEX61" s="37"/>
      <c r="AEY61" s="37"/>
      <c r="AEZ61" s="37"/>
      <c r="AFA61" s="37"/>
      <c r="AFB61" s="37"/>
      <c r="AFC61" s="37"/>
      <c r="AFD61" s="37"/>
      <c r="AFE61" s="37"/>
      <c r="AFF61" s="37"/>
      <c r="AFG61" s="37"/>
      <c r="AFH61" s="37"/>
      <c r="AFI61" s="37"/>
      <c r="AFJ61" s="37"/>
      <c r="AFK61" s="37"/>
      <c r="AFL61" s="37"/>
      <c r="AFM61" s="37"/>
      <c r="AFN61" s="37"/>
      <c r="AFO61" s="37"/>
      <c r="AFP61" s="37"/>
      <c r="AFQ61" s="37"/>
      <c r="AFR61" s="37"/>
      <c r="AFS61" s="37"/>
      <c r="AFT61" s="37"/>
      <c r="AFU61" s="37"/>
      <c r="AFV61" s="37"/>
      <c r="AFW61" s="37"/>
      <c r="AFX61" s="37"/>
      <c r="AFY61" s="37"/>
      <c r="AFZ61" s="37"/>
      <c r="AGA61" s="37"/>
      <c r="AGB61" s="37"/>
      <c r="AGC61" s="37"/>
      <c r="AGD61" s="37"/>
      <c r="AGE61" s="37"/>
      <c r="AGF61" s="37"/>
      <c r="AGG61" s="37"/>
      <c r="AGH61" s="37"/>
      <c r="AGI61" s="37"/>
      <c r="AGJ61" s="37"/>
      <c r="AGK61" s="37"/>
      <c r="AGL61" s="37"/>
      <c r="AGM61" s="37"/>
      <c r="AGN61" s="37"/>
      <c r="AGO61" s="37"/>
      <c r="AGP61" s="37"/>
      <c r="AGQ61" s="37"/>
      <c r="AGR61" s="37"/>
      <c r="AGS61" s="37"/>
      <c r="AGT61" s="37"/>
      <c r="AGU61" s="37"/>
      <c r="AGV61" s="37"/>
      <c r="AGW61" s="37"/>
      <c r="AGX61" s="37"/>
      <c r="AGY61" s="37"/>
      <c r="AGZ61" s="37"/>
      <c r="AHA61" s="37"/>
      <c r="AHB61" s="37"/>
      <c r="AHC61" s="37"/>
      <c r="AHD61" s="37"/>
      <c r="AHE61" s="37"/>
      <c r="AHF61" s="37"/>
      <c r="AHG61" s="37"/>
      <c r="AHH61" s="37"/>
      <c r="AHI61" s="37"/>
      <c r="AHJ61" s="37"/>
      <c r="AHK61" s="37"/>
      <c r="AHL61" s="37"/>
      <c r="AHM61" s="37"/>
      <c r="AHN61" s="37"/>
      <c r="AHO61" s="37"/>
      <c r="AHP61" s="37"/>
      <c r="AHQ61" s="37"/>
      <c r="AHR61" s="37"/>
      <c r="AHS61" s="37"/>
      <c r="AHT61" s="37"/>
      <c r="AHU61" s="37"/>
      <c r="AHV61" s="37"/>
      <c r="AHW61" s="37"/>
      <c r="AHX61" s="37"/>
      <c r="AHY61" s="37"/>
      <c r="AHZ61" s="37"/>
      <c r="AIA61" s="37"/>
      <c r="AIB61" s="37"/>
      <c r="AIC61" s="37"/>
      <c r="AID61" s="37"/>
      <c r="AIE61" s="37"/>
      <c r="AIF61" s="37"/>
      <c r="AIG61" s="37"/>
      <c r="AIH61" s="37"/>
      <c r="AII61" s="37"/>
      <c r="AIJ61" s="37"/>
      <c r="AIK61" s="37"/>
      <c r="AIL61" s="37"/>
      <c r="AIM61" s="37"/>
      <c r="AIN61" s="37"/>
      <c r="AIO61" s="37"/>
      <c r="AIP61" s="37"/>
      <c r="AIQ61" s="37"/>
      <c r="AIR61" s="37"/>
      <c r="AIS61" s="37"/>
      <c r="AIT61" s="37"/>
      <c r="AIU61" s="37"/>
      <c r="AIV61" s="37"/>
      <c r="AIW61" s="37"/>
      <c r="AIX61" s="37"/>
      <c r="AIY61" s="37"/>
      <c r="AIZ61" s="37"/>
      <c r="AJA61" s="37"/>
      <c r="AJB61" s="37"/>
      <c r="AJC61" s="37"/>
      <c r="AJD61" s="37"/>
      <c r="AJE61" s="37"/>
      <c r="AJF61" s="37"/>
      <c r="AJG61" s="37"/>
      <c r="AJH61" s="37"/>
      <c r="AJI61" s="37"/>
      <c r="AJJ61" s="37"/>
      <c r="AJK61" s="37"/>
      <c r="AJL61" s="37"/>
      <c r="AJM61" s="37"/>
      <c r="AJN61" s="37"/>
      <c r="AJO61" s="37"/>
      <c r="AJP61" s="37"/>
      <c r="AJQ61" s="37"/>
      <c r="AJR61" s="37"/>
      <c r="AJS61" s="37"/>
      <c r="AJT61" s="37"/>
      <c r="AJU61" s="37"/>
      <c r="AJV61" s="37"/>
      <c r="AJW61" s="37"/>
      <c r="AJX61" s="37"/>
      <c r="AJY61" s="37"/>
      <c r="AJZ61" s="37"/>
      <c r="AKA61" s="37"/>
      <c r="AKB61" s="37"/>
      <c r="AKC61" s="37"/>
      <c r="AKD61" s="37"/>
      <c r="AKE61" s="37"/>
      <c r="AKF61" s="37"/>
      <c r="AKG61" s="37"/>
      <c r="AKH61" s="37"/>
      <c r="AKI61" s="37"/>
      <c r="AKJ61" s="37"/>
      <c r="AKK61" s="37"/>
      <c r="AKL61" s="37"/>
      <c r="AKM61" s="37"/>
      <c r="AKN61" s="37"/>
      <c r="AKO61" s="37"/>
      <c r="AKP61" s="37"/>
      <c r="AKQ61" s="37"/>
      <c r="AKR61" s="37"/>
      <c r="AKS61" s="37"/>
      <c r="AKT61" s="37"/>
      <c r="AKU61" s="37"/>
      <c r="AKV61" s="37"/>
      <c r="AKW61" s="37"/>
      <c r="AKX61" s="37"/>
      <c r="AKY61" s="37"/>
      <c r="AKZ61" s="37"/>
      <c r="ALA61" s="37"/>
      <c r="ALB61" s="37"/>
      <c r="ALC61" s="37"/>
      <c r="ALD61" s="37"/>
      <c r="ALE61" s="37"/>
      <c r="ALF61" s="37"/>
      <c r="ALG61" s="37"/>
      <c r="ALH61" s="37"/>
    </row>
    <row r="62" spans="1:996" customFormat="1">
      <c r="A62" s="37"/>
      <c r="B62" t="str">
        <f t="shared" si="0"/>
        <v>E215315</v>
      </c>
      <c r="C62" s="36" t="s">
        <v>355</v>
      </c>
      <c r="D62" s="26" t="s">
        <v>73</v>
      </c>
      <c r="E62">
        <v>215315</v>
      </c>
      <c r="F62" s="108" t="s">
        <v>590</v>
      </c>
      <c r="G62" s="397">
        <f>IFERROR(VLOOKUP(E62,'BD - E - Mvto Cx'!$A$15:$D$500,4,0),0)</f>
        <v>2224.9899999999998</v>
      </c>
      <c r="H62" s="39">
        <f>IFERROR(VLOOKUP(E62,'BD - E - Mvto Cx'!$J$15:$M$500,4,0),0)</f>
        <v>1408.99</v>
      </c>
      <c r="I62" s="39">
        <f>IFERROR(VLOOKUP(E62,'BD - E - Mvto Cx'!$S$15:$V$500,4,0),0)</f>
        <v>3979.12</v>
      </c>
      <c r="J62" s="39">
        <f>IFERROR(VLOOKUP(E62,'BD - E - Mvto Cx'!$AB$15:$AE$500,4,0),0)</f>
        <v>4351.8999999999996</v>
      </c>
      <c r="K62" s="39">
        <f>IFERROR(VLOOKUP(E62,'BD - E - Mvto Cx'!$AK$15:$AN$500,4,0),0)</f>
        <v>0</v>
      </c>
      <c r="L62" s="39">
        <f>IFERROR(VLOOKUP(E62,'BD - E - Mvto Cx'!$AT$15:$AW$500,4,0),0)</f>
        <v>0</v>
      </c>
      <c r="M62" s="39">
        <f>IFERROR(VLOOKUP(E62,'BD - E - Mvto Cx'!$BF$15:$BI$500,4,0),0)</f>
        <v>0</v>
      </c>
      <c r="N62" s="39">
        <f>IFERROR(VLOOKUP(E62,'BD - E - Mvto Cx'!$BO$15:$BR$500,4,0),0)</f>
        <v>0</v>
      </c>
      <c r="O62" s="39">
        <f>IFERROR(VLOOKUP(E62,'BD - E - Mvto Cx'!$BX$15:$CA$500,4,0),0)</f>
        <v>0</v>
      </c>
      <c r="P62" s="39">
        <f>IFERROR(VLOOKUP(E62,'BD - E - Mvto Cx'!$CG$15:$CJ$500,4,0),0)</f>
        <v>0</v>
      </c>
      <c r="Q62" s="39">
        <f>IFERROR(VLOOKUP(E62,'BD - E - Mvto Cx'!$CP$15:$CS$500,4,0),0)</f>
        <v>0</v>
      </c>
      <c r="R62" s="39">
        <f>IFERROR(VLOOKUP(E62,'BD - E - Mvto Cx'!$CY$15:$DB$500,4,0),0)</f>
        <v>0</v>
      </c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37"/>
      <c r="JE62" s="37"/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  <c r="KF62" s="37"/>
      <c r="KG62" s="37"/>
      <c r="KH62" s="37"/>
      <c r="KI62" s="37"/>
      <c r="KJ62" s="37"/>
      <c r="KK62" s="37"/>
      <c r="KL62" s="37"/>
      <c r="KM62" s="37"/>
      <c r="KN62" s="37"/>
      <c r="KO62" s="37"/>
      <c r="KP62" s="37"/>
      <c r="KQ62" s="37"/>
      <c r="KR62" s="37"/>
      <c r="KS62" s="37"/>
      <c r="KT62" s="37"/>
      <c r="KU62" s="37"/>
      <c r="KV62" s="37"/>
      <c r="KW62" s="37"/>
      <c r="KX62" s="37"/>
      <c r="KY62" s="37"/>
      <c r="KZ62" s="37"/>
      <c r="LA62" s="37"/>
      <c r="LB62" s="37"/>
      <c r="LC62" s="37"/>
      <c r="LD62" s="37"/>
      <c r="LE62" s="37"/>
      <c r="LF62" s="37"/>
      <c r="LG62" s="37"/>
      <c r="LH62" s="37"/>
      <c r="LI62" s="37"/>
      <c r="LJ62" s="37"/>
      <c r="LK62" s="37"/>
      <c r="LL62" s="37"/>
      <c r="LM62" s="37"/>
      <c r="LN62" s="37"/>
      <c r="LO62" s="37"/>
      <c r="LP62" s="37"/>
      <c r="LQ62" s="37"/>
      <c r="LR62" s="37"/>
      <c r="LS62" s="37"/>
      <c r="LT62" s="37"/>
      <c r="LU62" s="37"/>
      <c r="LV62" s="37"/>
      <c r="LW62" s="37"/>
      <c r="LX62" s="37"/>
      <c r="LY62" s="37"/>
      <c r="LZ62" s="37"/>
      <c r="MA62" s="37"/>
      <c r="MB62" s="37"/>
      <c r="MC62" s="37"/>
      <c r="MD62" s="37"/>
      <c r="ME62" s="37"/>
      <c r="MF62" s="37"/>
      <c r="MG62" s="37"/>
      <c r="MH62" s="37"/>
      <c r="MI62" s="37"/>
      <c r="MJ62" s="37"/>
      <c r="MK62" s="37"/>
      <c r="ML62" s="37"/>
      <c r="MM62" s="37"/>
      <c r="MN62" s="37"/>
      <c r="MO62" s="37"/>
      <c r="MP62" s="37"/>
      <c r="MQ62" s="37"/>
      <c r="MR62" s="37"/>
      <c r="MS62" s="37"/>
      <c r="MT62" s="37"/>
      <c r="MU62" s="37"/>
      <c r="MV62" s="37"/>
      <c r="MW62" s="37"/>
      <c r="MX62" s="37"/>
      <c r="MY62" s="37"/>
      <c r="MZ62" s="37"/>
      <c r="NA62" s="37"/>
      <c r="NB62" s="37"/>
      <c r="NC62" s="37"/>
      <c r="ND62" s="37"/>
      <c r="NE62" s="37"/>
      <c r="NF62" s="37"/>
      <c r="NG62" s="37"/>
      <c r="NH62" s="37"/>
      <c r="NI62" s="37"/>
      <c r="NJ62" s="37"/>
      <c r="NK62" s="37"/>
      <c r="NL62" s="37"/>
      <c r="NM62" s="37"/>
      <c r="NN62" s="37"/>
      <c r="NO62" s="37"/>
      <c r="NP62" s="37"/>
      <c r="NQ62" s="37"/>
      <c r="NR62" s="37"/>
      <c r="NS62" s="37"/>
      <c r="NT62" s="37"/>
      <c r="NU62" s="37"/>
      <c r="NV62" s="37"/>
      <c r="NW62" s="37"/>
      <c r="NX62" s="37"/>
      <c r="NY62" s="37"/>
      <c r="NZ62" s="37"/>
      <c r="OA62" s="37"/>
      <c r="OB62" s="37"/>
      <c r="OC62" s="37"/>
      <c r="OD62" s="37"/>
      <c r="OE62" s="37"/>
      <c r="OF62" s="37"/>
      <c r="OG62" s="37"/>
      <c r="OH62" s="37"/>
      <c r="OI62" s="37"/>
      <c r="OJ62" s="37"/>
      <c r="OK62" s="37"/>
      <c r="OL62" s="37"/>
      <c r="OM62" s="37"/>
      <c r="ON62" s="37"/>
      <c r="OO62" s="37"/>
      <c r="OP62" s="37"/>
      <c r="OQ62" s="37"/>
      <c r="OR62" s="37"/>
      <c r="OS62" s="37"/>
      <c r="OT62" s="37"/>
      <c r="OU62" s="37"/>
      <c r="OV62" s="37"/>
      <c r="OW62" s="37"/>
      <c r="OX62" s="37"/>
      <c r="OY62" s="37"/>
      <c r="OZ62" s="37"/>
      <c r="PA62" s="37"/>
      <c r="PB62" s="37"/>
      <c r="PC62" s="37"/>
      <c r="PD62" s="37"/>
      <c r="PE62" s="37"/>
      <c r="PF62" s="37"/>
      <c r="PG62" s="37"/>
      <c r="PH62" s="37"/>
      <c r="PI62" s="37"/>
      <c r="PJ62" s="37"/>
      <c r="PK62" s="37"/>
      <c r="PL62" s="37"/>
      <c r="PM62" s="37"/>
      <c r="PN62" s="37"/>
      <c r="PO62" s="37"/>
      <c r="PP62" s="37"/>
      <c r="PQ62" s="37"/>
      <c r="PR62" s="37"/>
      <c r="PS62" s="37"/>
      <c r="PT62" s="37"/>
      <c r="PU62" s="37"/>
      <c r="PV62" s="37"/>
      <c r="PW62" s="37"/>
      <c r="PX62" s="37"/>
      <c r="PY62" s="37"/>
      <c r="PZ62" s="37"/>
      <c r="QA62" s="37"/>
      <c r="QB62" s="37"/>
      <c r="QC62" s="37"/>
      <c r="QD62" s="37"/>
      <c r="QE62" s="37"/>
      <c r="QF62" s="37"/>
      <c r="QG62" s="37"/>
      <c r="QH62" s="37"/>
      <c r="QI62" s="37"/>
      <c r="QJ62" s="37"/>
      <c r="QK62" s="37"/>
      <c r="QL62" s="37"/>
      <c r="QM62" s="37"/>
      <c r="QN62" s="37"/>
      <c r="QO62" s="37"/>
      <c r="QP62" s="37"/>
      <c r="QQ62" s="37"/>
      <c r="QR62" s="37"/>
      <c r="QS62" s="37"/>
      <c r="QT62" s="37"/>
      <c r="QU62" s="37"/>
      <c r="QV62" s="37"/>
      <c r="QW62" s="37"/>
      <c r="QX62" s="37"/>
      <c r="QY62" s="37"/>
      <c r="QZ62" s="37"/>
      <c r="RA62" s="37"/>
      <c r="RB62" s="37"/>
      <c r="RC62" s="37"/>
      <c r="RD62" s="37"/>
      <c r="RE62" s="37"/>
      <c r="RF62" s="37"/>
      <c r="RG62" s="37"/>
      <c r="RH62" s="37"/>
      <c r="RI62" s="37"/>
      <c r="RJ62" s="37"/>
      <c r="RK62" s="37"/>
      <c r="RL62" s="37"/>
      <c r="RM62" s="37"/>
      <c r="RN62" s="37"/>
      <c r="RO62" s="37"/>
      <c r="RP62" s="37"/>
      <c r="RQ62" s="37"/>
      <c r="RR62" s="37"/>
      <c r="RS62" s="37"/>
      <c r="RT62" s="37"/>
      <c r="RU62" s="37"/>
      <c r="RV62" s="37"/>
      <c r="RW62" s="37"/>
      <c r="RX62" s="37"/>
      <c r="RY62" s="37"/>
      <c r="RZ62" s="37"/>
      <c r="SA62" s="37"/>
      <c r="SB62" s="37"/>
      <c r="SC62" s="37"/>
      <c r="SD62" s="37"/>
      <c r="SE62" s="37"/>
      <c r="SF62" s="37"/>
      <c r="SG62" s="37"/>
      <c r="SH62" s="37"/>
      <c r="SI62" s="37"/>
      <c r="SJ62" s="37"/>
      <c r="SK62" s="37"/>
      <c r="SL62" s="37"/>
      <c r="SM62" s="37"/>
      <c r="SN62" s="37"/>
      <c r="SO62" s="37"/>
      <c r="SP62" s="37"/>
      <c r="SQ62" s="37"/>
      <c r="SR62" s="37"/>
      <c r="SS62" s="37"/>
      <c r="ST62" s="37"/>
      <c r="SU62" s="37"/>
      <c r="SV62" s="37"/>
      <c r="SW62" s="37"/>
      <c r="SX62" s="37"/>
      <c r="SY62" s="37"/>
      <c r="SZ62" s="37"/>
      <c r="TA62" s="37"/>
      <c r="TB62" s="37"/>
      <c r="TC62" s="37"/>
      <c r="TD62" s="37"/>
      <c r="TE62" s="37"/>
      <c r="TF62" s="37"/>
      <c r="TG62" s="37"/>
      <c r="TH62" s="37"/>
      <c r="TI62" s="37"/>
      <c r="TJ62" s="37"/>
      <c r="TK62" s="37"/>
      <c r="TL62" s="37"/>
      <c r="TM62" s="37"/>
      <c r="TN62" s="37"/>
      <c r="TO62" s="37"/>
      <c r="TP62" s="37"/>
      <c r="TQ62" s="37"/>
      <c r="TR62" s="37"/>
      <c r="TS62" s="37"/>
      <c r="TT62" s="37"/>
      <c r="TU62" s="37"/>
      <c r="TV62" s="37"/>
      <c r="TW62" s="37"/>
      <c r="TX62" s="37"/>
      <c r="TY62" s="37"/>
      <c r="TZ62" s="37"/>
      <c r="UA62" s="37"/>
      <c r="UB62" s="37"/>
      <c r="UC62" s="37"/>
      <c r="UD62" s="37"/>
      <c r="UE62" s="37"/>
      <c r="UF62" s="37"/>
      <c r="UG62" s="37"/>
      <c r="UH62" s="37"/>
      <c r="UI62" s="37"/>
      <c r="UJ62" s="37"/>
      <c r="UK62" s="37"/>
      <c r="UL62" s="37"/>
      <c r="UM62" s="37"/>
      <c r="UN62" s="37"/>
      <c r="UO62" s="37"/>
      <c r="UP62" s="37"/>
      <c r="UQ62" s="37"/>
      <c r="UR62" s="37"/>
      <c r="US62" s="37"/>
      <c r="UT62" s="37"/>
      <c r="UU62" s="37"/>
      <c r="UV62" s="37"/>
      <c r="UW62" s="37"/>
      <c r="UX62" s="37"/>
      <c r="UY62" s="37"/>
      <c r="UZ62" s="37"/>
      <c r="VA62" s="37"/>
      <c r="VB62" s="37"/>
      <c r="VC62" s="37"/>
      <c r="VD62" s="37"/>
      <c r="VE62" s="37"/>
      <c r="VF62" s="37"/>
      <c r="VG62" s="37"/>
      <c r="VH62" s="37"/>
      <c r="VI62" s="37"/>
      <c r="VJ62" s="37"/>
      <c r="VK62" s="37"/>
      <c r="VL62" s="37"/>
      <c r="VM62" s="37"/>
      <c r="VN62" s="37"/>
      <c r="VO62" s="37"/>
      <c r="VP62" s="37"/>
      <c r="VQ62" s="37"/>
      <c r="VR62" s="37"/>
      <c r="VS62" s="37"/>
      <c r="VT62" s="37"/>
      <c r="VU62" s="37"/>
      <c r="VV62" s="37"/>
      <c r="VW62" s="37"/>
      <c r="VX62" s="37"/>
      <c r="VY62" s="37"/>
      <c r="VZ62" s="37"/>
      <c r="WA62" s="37"/>
      <c r="WB62" s="37"/>
      <c r="WC62" s="37"/>
      <c r="WD62" s="37"/>
      <c r="WE62" s="37"/>
      <c r="WF62" s="37"/>
      <c r="WG62" s="37"/>
      <c r="WH62" s="37"/>
      <c r="WI62" s="37"/>
      <c r="WJ62" s="37"/>
      <c r="WK62" s="37"/>
      <c r="WL62" s="37"/>
      <c r="WM62" s="37"/>
      <c r="WN62" s="37"/>
      <c r="WO62" s="37"/>
      <c r="WP62" s="37"/>
      <c r="WQ62" s="37"/>
      <c r="WR62" s="37"/>
      <c r="WS62" s="37"/>
      <c r="WT62" s="37"/>
      <c r="WU62" s="37"/>
      <c r="WV62" s="37"/>
      <c r="WW62" s="37"/>
      <c r="WX62" s="37"/>
      <c r="WY62" s="37"/>
      <c r="WZ62" s="37"/>
      <c r="XA62" s="37"/>
      <c r="XB62" s="37"/>
      <c r="XC62" s="37"/>
      <c r="XD62" s="37"/>
      <c r="XE62" s="37"/>
      <c r="XF62" s="37"/>
      <c r="XG62" s="37"/>
      <c r="XH62" s="37"/>
      <c r="XI62" s="37"/>
      <c r="XJ62" s="37"/>
      <c r="XK62" s="37"/>
      <c r="XL62" s="37"/>
      <c r="XM62" s="37"/>
      <c r="XN62" s="37"/>
      <c r="XO62" s="37"/>
      <c r="XP62" s="37"/>
      <c r="XQ62" s="37"/>
      <c r="XR62" s="37"/>
      <c r="XS62" s="37"/>
      <c r="XT62" s="37"/>
      <c r="XU62" s="37"/>
      <c r="XV62" s="37"/>
      <c r="XW62" s="37"/>
      <c r="XX62" s="37"/>
      <c r="XY62" s="37"/>
      <c r="XZ62" s="37"/>
      <c r="YA62" s="37"/>
      <c r="YB62" s="37"/>
      <c r="YC62" s="37"/>
      <c r="YD62" s="37"/>
      <c r="YE62" s="37"/>
      <c r="YF62" s="37"/>
      <c r="YG62" s="37"/>
      <c r="YH62" s="37"/>
      <c r="YI62" s="37"/>
      <c r="YJ62" s="37"/>
      <c r="YK62" s="37"/>
      <c r="YL62" s="37"/>
      <c r="YM62" s="37"/>
      <c r="YN62" s="37"/>
      <c r="YO62" s="37"/>
      <c r="YP62" s="37"/>
      <c r="YQ62" s="37"/>
      <c r="YR62" s="37"/>
      <c r="YS62" s="37"/>
      <c r="YT62" s="37"/>
      <c r="YU62" s="37"/>
      <c r="YV62" s="37"/>
      <c r="YW62" s="37"/>
      <c r="YX62" s="37"/>
      <c r="YY62" s="37"/>
      <c r="YZ62" s="37"/>
      <c r="ZA62" s="37"/>
      <c r="ZB62" s="37"/>
      <c r="ZC62" s="37"/>
      <c r="ZD62" s="37"/>
      <c r="ZE62" s="37"/>
      <c r="ZF62" s="37"/>
      <c r="ZG62" s="37"/>
      <c r="ZH62" s="37"/>
      <c r="ZI62" s="37"/>
      <c r="ZJ62" s="37"/>
      <c r="ZK62" s="37"/>
      <c r="ZL62" s="37"/>
      <c r="ZM62" s="37"/>
      <c r="ZN62" s="37"/>
      <c r="ZO62" s="37"/>
      <c r="ZP62" s="37"/>
      <c r="ZQ62" s="37"/>
      <c r="ZR62" s="37"/>
      <c r="ZS62" s="37"/>
      <c r="ZT62" s="37"/>
      <c r="ZU62" s="37"/>
      <c r="ZV62" s="37"/>
      <c r="ZW62" s="37"/>
      <c r="ZX62" s="37"/>
      <c r="ZY62" s="37"/>
      <c r="ZZ62" s="37"/>
      <c r="AAA62" s="37"/>
      <c r="AAB62" s="37"/>
      <c r="AAC62" s="37"/>
      <c r="AAD62" s="37"/>
      <c r="AAE62" s="37"/>
      <c r="AAF62" s="37"/>
      <c r="AAG62" s="37"/>
      <c r="AAH62" s="37"/>
      <c r="AAI62" s="37"/>
      <c r="AAJ62" s="37"/>
      <c r="AAK62" s="37"/>
      <c r="AAL62" s="37"/>
      <c r="AAM62" s="37"/>
      <c r="AAN62" s="37"/>
      <c r="AAO62" s="37"/>
      <c r="AAP62" s="37"/>
      <c r="AAQ62" s="37"/>
      <c r="AAR62" s="37"/>
      <c r="AAS62" s="37"/>
      <c r="AAT62" s="37"/>
      <c r="AAU62" s="37"/>
      <c r="AAV62" s="37"/>
      <c r="AAW62" s="37"/>
      <c r="AAX62" s="37"/>
      <c r="AAY62" s="37"/>
      <c r="AAZ62" s="37"/>
      <c r="ABA62" s="37"/>
      <c r="ABB62" s="37"/>
      <c r="ABC62" s="37"/>
      <c r="ABD62" s="37"/>
      <c r="ABE62" s="37"/>
      <c r="ABF62" s="37"/>
      <c r="ABG62" s="37"/>
      <c r="ABH62" s="37"/>
      <c r="ABI62" s="37"/>
      <c r="ABJ62" s="37"/>
      <c r="ABK62" s="37"/>
      <c r="ABL62" s="37"/>
      <c r="ABM62" s="37"/>
      <c r="ABN62" s="37"/>
      <c r="ABO62" s="37"/>
      <c r="ABP62" s="37"/>
      <c r="ABQ62" s="37"/>
      <c r="ABR62" s="37"/>
      <c r="ABS62" s="37"/>
      <c r="ABT62" s="37"/>
      <c r="ABU62" s="37"/>
      <c r="ABV62" s="37"/>
      <c r="ABW62" s="37"/>
      <c r="ABX62" s="37"/>
      <c r="ABY62" s="37"/>
      <c r="ABZ62" s="37"/>
      <c r="ACA62" s="37"/>
      <c r="ACB62" s="37"/>
      <c r="ACC62" s="37"/>
      <c r="ACD62" s="37"/>
      <c r="ACE62" s="37"/>
      <c r="ACF62" s="37"/>
      <c r="ACG62" s="37"/>
      <c r="ACH62" s="37"/>
      <c r="ACI62" s="37"/>
      <c r="ACJ62" s="37"/>
      <c r="ACK62" s="37"/>
      <c r="ACL62" s="37"/>
      <c r="ACM62" s="37"/>
      <c r="ACN62" s="37"/>
      <c r="ACO62" s="37"/>
      <c r="ACP62" s="37"/>
      <c r="ACQ62" s="37"/>
      <c r="ACR62" s="37"/>
      <c r="ACS62" s="37"/>
      <c r="ACT62" s="37"/>
      <c r="ACU62" s="37"/>
      <c r="ACV62" s="37"/>
      <c r="ACW62" s="37"/>
      <c r="ACX62" s="37"/>
      <c r="ACY62" s="37"/>
      <c r="ACZ62" s="37"/>
      <c r="ADA62" s="37"/>
      <c r="ADB62" s="37"/>
      <c r="ADC62" s="37"/>
      <c r="ADD62" s="37"/>
      <c r="ADE62" s="37"/>
      <c r="ADF62" s="37"/>
      <c r="ADG62" s="37"/>
      <c r="ADH62" s="37"/>
      <c r="ADI62" s="37"/>
      <c r="ADJ62" s="37"/>
      <c r="ADK62" s="37"/>
      <c r="ADL62" s="37"/>
      <c r="ADM62" s="37"/>
      <c r="ADN62" s="37"/>
      <c r="ADO62" s="37"/>
      <c r="ADP62" s="37"/>
      <c r="ADQ62" s="37"/>
      <c r="ADR62" s="37"/>
      <c r="ADS62" s="37"/>
      <c r="ADT62" s="37"/>
      <c r="ADU62" s="37"/>
      <c r="ADV62" s="37"/>
      <c r="ADW62" s="37"/>
      <c r="ADX62" s="37"/>
      <c r="ADY62" s="37"/>
      <c r="ADZ62" s="37"/>
      <c r="AEA62" s="37"/>
      <c r="AEB62" s="37"/>
      <c r="AEC62" s="37"/>
      <c r="AED62" s="37"/>
      <c r="AEE62" s="37"/>
      <c r="AEF62" s="37"/>
      <c r="AEG62" s="37"/>
      <c r="AEH62" s="37"/>
      <c r="AEI62" s="37"/>
      <c r="AEJ62" s="37"/>
      <c r="AEK62" s="37"/>
      <c r="AEL62" s="37"/>
      <c r="AEM62" s="37"/>
      <c r="AEN62" s="37"/>
      <c r="AEO62" s="37"/>
      <c r="AEP62" s="37"/>
      <c r="AEQ62" s="37"/>
      <c r="AER62" s="37"/>
      <c r="AES62" s="37"/>
      <c r="AET62" s="37"/>
      <c r="AEU62" s="37"/>
      <c r="AEV62" s="37"/>
      <c r="AEW62" s="37"/>
      <c r="AEX62" s="37"/>
      <c r="AEY62" s="37"/>
      <c r="AEZ62" s="37"/>
      <c r="AFA62" s="37"/>
      <c r="AFB62" s="37"/>
      <c r="AFC62" s="37"/>
      <c r="AFD62" s="37"/>
      <c r="AFE62" s="37"/>
      <c r="AFF62" s="37"/>
      <c r="AFG62" s="37"/>
      <c r="AFH62" s="37"/>
      <c r="AFI62" s="37"/>
      <c r="AFJ62" s="37"/>
      <c r="AFK62" s="37"/>
      <c r="AFL62" s="37"/>
      <c r="AFM62" s="37"/>
      <c r="AFN62" s="37"/>
      <c r="AFO62" s="37"/>
      <c r="AFP62" s="37"/>
      <c r="AFQ62" s="37"/>
      <c r="AFR62" s="37"/>
      <c r="AFS62" s="37"/>
      <c r="AFT62" s="37"/>
      <c r="AFU62" s="37"/>
      <c r="AFV62" s="37"/>
      <c r="AFW62" s="37"/>
      <c r="AFX62" s="37"/>
      <c r="AFY62" s="37"/>
      <c r="AFZ62" s="37"/>
      <c r="AGA62" s="37"/>
      <c r="AGB62" s="37"/>
      <c r="AGC62" s="37"/>
      <c r="AGD62" s="37"/>
      <c r="AGE62" s="37"/>
      <c r="AGF62" s="37"/>
      <c r="AGG62" s="37"/>
      <c r="AGH62" s="37"/>
      <c r="AGI62" s="37"/>
      <c r="AGJ62" s="37"/>
      <c r="AGK62" s="37"/>
      <c r="AGL62" s="37"/>
      <c r="AGM62" s="37"/>
      <c r="AGN62" s="37"/>
      <c r="AGO62" s="37"/>
      <c r="AGP62" s="37"/>
      <c r="AGQ62" s="37"/>
      <c r="AGR62" s="37"/>
      <c r="AGS62" s="37"/>
      <c r="AGT62" s="37"/>
      <c r="AGU62" s="37"/>
      <c r="AGV62" s="37"/>
      <c r="AGW62" s="37"/>
      <c r="AGX62" s="37"/>
      <c r="AGY62" s="37"/>
      <c r="AGZ62" s="37"/>
      <c r="AHA62" s="37"/>
      <c r="AHB62" s="37"/>
      <c r="AHC62" s="37"/>
      <c r="AHD62" s="37"/>
      <c r="AHE62" s="37"/>
      <c r="AHF62" s="37"/>
      <c r="AHG62" s="37"/>
      <c r="AHH62" s="37"/>
      <c r="AHI62" s="37"/>
      <c r="AHJ62" s="37"/>
      <c r="AHK62" s="37"/>
      <c r="AHL62" s="37"/>
      <c r="AHM62" s="37"/>
      <c r="AHN62" s="37"/>
      <c r="AHO62" s="37"/>
      <c r="AHP62" s="37"/>
      <c r="AHQ62" s="37"/>
      <c r="AHR62" s="37"/>
      <c r="AHS62" s="37"/>
      <c r="AHT62" s="37"/>
      <c r="AHU62" s="37"/>
      <c r="AHV62" s="37"/>
      <c r="AHW62" s="37"/>
      <c r="AHX62" s="37"/>
      <c r="AHY62" s="37"/>
      <c r="AHZ62" s="37"/>
      <c r="AIA62" s="37"/>
      <c r="AIB62" s="37"/>
      <c r="AIC62" s="37"/>
      <c r="AID62" s="37"/>
      <c r="AIE62" s="37"/>
      <c r="AIF62" s="37"/>
      <c r="AIG62" s="37"/>
      <c r="AIH62" s="37"/>
      <c r="AII62" s="37"/>
      <c r="AIJ62" s="37"/>
      <c r="AIK62" s="37"/>
      <c r="AIL62" s="37"/>
      <c r="AIM62" s="37"/>
      <c r="AIN62" s="37"/>
      <c r="AIO62" s="37"/>
      <c r="AIP62" s="37"/>
      <c r="AIQ62" s="37"/>
      <c r="AIR62" s="37"/>
      <c r="AIS62" s="37"/>
      <c r="AIT62" s="37"/>
      <c r="AIU62" s="37"/>
      <c r="AIV62" s="37"/>
      <c r="AIW62" s="37"/>
      <c r="AIX62" s="37"/>
      <c r="AIY62" s="37"/>
      <c r="AIZ62" s="37"/>
      <c r="AJA62" s="37"/>
      <c r="AJB62" s="37"/>
      <c r="AJC62" s="37"/>
      <c r="AJD62" s="37"/>
      <c r="AJE62" s="37"/>
      <c r="AJF62" s="37"/>
      <c r="AJG62" s="37"/>
      <c r="AJH62" s="37"/>
      <c r="AJI62" s="37"/>
      <c r="AJJ62" s="37"/>
      <c r="AJK62" s="37"/>
      <c r="AJL62" s="37"/>
      <c r="AJM62" s="37"/>
      <c r="AJN62" s="37"/>
      <c r="AJO62" s="37"/>
      <c r="AJP62" s="37"/>
      <c r="AJQ62" s="37"/>
      <c r="AJR62" s="37"/>
      <c r="AJS62" s="37"/>
      <c r="AJT62" s="37"/>
      <c r="AJU62" s="37"/>
      <c r="AJV62" s="37"/>
      <c r="AJW62" s="37"/>
      <c r="AJX62" s="37"/>
      <c r="AJY62" s="37"/>
      <c r="AJZ62" s="37"/>
      <c r="AKA62" s="37"/>
      <c r="AKB62" s="37"/>
      <c r="AKC62" s="37"/>
      <c r="AKD62" s="37"/>
      <c r="AKE62" s="37"/>
      <c r="AKF62" s="37"/>
      <c r="AKG62" s="37"/>
      <c r="AKH62" s="37"/>
      <c r="AKI62" s="37"/>
      <c r="AKJ62" s="37"/>
      <c r="AKK62" s="37"/>
      <c r="AKL62" s="37"/>
      <c r="AKM62" s="37"/>
      <c r="AKN62" s="37"/>
      <c r="AKO62" s="37"/>
      <c r="AKP62" s="37"/>
      <c r="AKQ62" s="37"/>
      <c r="AKR62" s="37"/>
      <c r="AKS62" s="37"/>
      <c r="AKT62" s="37"/>
      <c r="AKU62" s="37"/>
      <c r="AKV62" s="37"/>
      <c r="AKW62" s="37"/>
      <c r="AKX62" s="37"/>
      <c r="AKY62" s="37"/>
      <c r="AKZ62" s="37"/>
      <c r="ALA62" s="37"/>
      <c r="ALB62" s="37"/>
      <c r="ALC62" s="37"/>
      <c r="ALD62" s="37"/>
      <c r="ALE62" s="37"/>
      <c r="ALF62" s="37"/>
      <c r="ALG62" s="37"/>
      <c r="ALH62" s="37"/>
    </row>
    <row r="63" spans="1:996">
      <c r="A63" s="37"/>
      <c r="B63" t="str">
        <f t="shared" si="0"/>
        <v>E215320</v>
      </c>
      <c r="C63" s="7" t="s">
        <v>237</v>
      </c>
      <c r="D63" s="26" t="s">
        <v>73</v>
      </c>
      <c r="E63" s="7">
        <v>215320</v>
      </c>
      <c r="F63" s="48" t="s">
        <v>118</v>
      </c>
      <c r="G63" s="49">
        <f>IFERROR(VLOOKUP(E63,'BD - E - Mvto Cx'!$A$15:$D$500,4,0),0)</f>
        <v>775931.97</v>
      </c>
      <c r="H63" s="50">
        <f>IFERROR(VLOOKUP(E63,'BD - E - Mvto Cx'!$J$15:$M$500,4,0),0)</f>
        <v>1172576.31</v>
      </c>
      <c r="I63" s="50">
        <f>IFERROR(VLOOKUP(E63,'BD - E - Mvto Cx'!$S$15:$V$500,4,0),0)</f>
        <v>648155.93000000005</v>
      </c>
      <c r="J63" s="50">
        <f>IFERROR(VLOOKUP(E63,'BD - E - Mvto Cx'!$AB$15:$AE$500,4,0),0)</f>
        <v>541143.31000000006</v>
      </c>
      <c r="K63" s="50">
        <f>IFERROR(VLOOKUP(E63,'BD - E - Mvto Cx'!$AK$15:$AN$500,4,0),0)</f>
        <v>0</v>
      </c>
      <c r="L63" s="50">
        <f>IFERROR(VLOOKUP(E63,'BD - E - Mvto Cx'!$AT$15:$AW$500,4,0),0)</f>
        <v>0</v>
      </c>
      <c r="M63" s="50">
        <f>IFERROR(VLOOKUP(E63,'BD - E - Mvto Cx'!$BF$15:$BI$500,4,0),0)</f>
        <v>0</v>
      </c>
      <c r="N63" s="50">
        <f>IFERROR(VLOOKUP(E63,'BD - E - Mvto Cx'!$BO$15:$BR$500,4,0),0)</f>
        <v>0</v>
      </c>
      <c r="O63" s="50">
        <f>IFERROR(VLOOKUP(E63,'BD - E - Mvto Cx'!$BX$15:$CA$500,4,0),0)</f>
        <v>0</v>
      </c>
      <c r="P63" s="50">
        <f>IFERROR(VLOOKUP(E63,'BD - E - Mvto Cx'!$CG$15:$CJ$500,4,0),0)</f>
        <v>0</v>
      </c>
      <c r="Q63" s="50">
        <f>IFERROR(VLOOKUP(E63,'BD - E - Mvto Cx'!$CP$15:$CS$500,4,0),0)</f>
        <v>0</v>
      </c>
      <c r="R63" s="50">
        <f>IFERROR(VLOOKUP(E63,'BD - E - Mvto Cx'!$CY$15:$DB$500,4,0),0)</f>
        <v>0</v>
      </c>
    </row>
    <row r="64" spans="1:996">
      <c r="A64" s="37"/>
      <c r="B64" t="str">
        <f t="shared" si="0"/>
        <v>E215321</v>
      </c>
      <c r="C64" s="36" t="s">
        <v>355</v>
      </c>
      <c r="D64" s="26" t="s">
        <v>73</v>
      </c>
      <c r="E64" s="7">
        <v>215321</v>
      </c>
      <c r="F64" s="48" t="s">
        <v>601</v>
      </c>
      <c r="G64" s="49">
        <f>IFERROR(VLOOKUP(E64,'BD - E - Mvto Cx'!$A$15:$D$500,4,0),0)</f>
        <v>0</v>
      </c>
      <c r="H64" s="50">
        <f>IFERROR(VLOOKUP(E64,'BD - E - Mvto Cx'!$J$15:$M$500,4,0),0)</f>
        <v>0</v>
      </c>
      <c r="I64" s="50">
        <f>IFERROR(VLOOKUP(E64,'BD - E - Mvto Cx'!$S$15:$V$500,4,0),0)</f>
        <v>0</v>
      </c>
      <c r="J64" s="50">
        <f>IFERROR(VLOOKUP(E64,'BD - E - Mvto Cx'!$AB$15:$AE$500,4,0),0)</f>
        <v>0</v>
      </c>
      <c r="K64" s="50">
        <f>IFERROR(VLOOKUP(E64,'BD - E - Mvto Cx'!$AK$15:$AN$500,4,0),0)</f>
        <v>0</v>
      </c>
      <c r="L64" s="50">
        <f>IFERROR(VLOOKUP(E64,'BD - E - Mvto Cx'!$AT$15:$AW$500,4,0),0)</f>
        <v>0</v>
      </c>
      <c r="M64" s="50">
        <f>IFERROR(VLOOKUP(E64,'BD - E - Mvto Cx'!$BF$15:$BI$500,4,0),0)</f>
        <v>0</v>
      </c>
      <c r="N64" s="50">
        <f>IFERROR(VLOOKUP(E64,'BD - E - Mvto Cx'!$BO$15:$BR$500,4,0),0)</f>
        <v>0</v>
      </c>
      <c r="O64" s="50">
        <f>IFERROR(VLOOKUP(E64,'BD - E - Mvto Cx'!$BX$15:$CA$500,4,0),0)</f>
        <v>0</v>
      </c>
      <c r="P64" s="50">
        <f>IFERROR(VLOOKUP(E64,'BD - E - Mvto Cx'!$CG$15:$CJ$500,4,0),0)</f>
        <v>0</v>
      </c>
      <c r="Q64" s="50">
        <f>IFERROR(VLOOKUP(E64,'BD - E - Mvto Cx'!$CP$15:$CS$500,4,0),0)</f>
        <v>0</v>
      </c>
      <c r="R64" s="50">
        <f>IFERROR(VLOOKUP(E64,'BD - E - Mvto Cx'!$CY$15:$DB$500,4,0),0)</f>
        <v>0</v>
      </c>
    </row>
    <row r="65" spans="1:996" s="229" customFormat="1">
      <c r="A65" s="37"/>
      <c r="B65" t="str">
        <f t="shared" si="0"/>
        <v>E215325</v>
      </c>
      <c r="C65" s="7" t="s">
        <v>119</v>
      </c>
      <c r="D65" s="26" t="s">
        <v>73</v>
      </c>
      <c r="E65" s="7">
        <v>215325</v>
      </c>
      <c r="F65" s="48" t="s">
        <v>466</v>
      </c>
      <c r="G65" s="49">
        <f>IFERROR(VLOOKUP(E65,'BD - E - Mvto Cx'!$A$15:$D$500,4,0),0)</f>
        <v>0</v>
      </c>
      <c r="H65" s="50">
        <f>IFERROR(VLOOKUP(E65,'BD - E - Mvto Cx'!$J$15:$M$500,4,0),0)</f>
        <v>0</v>
      </c>
      <c r="I65" s="50">
        <f>IFERROR(VLOOKUP(E65,'BD - E - Mvto Cx'!$S$15:$V$500,4,0),0)</f>
        <v>0</v>
      </c>
      <c r="J65" s="50">
        <f>IFERROR(VLOOKUP(E65,'BD - E - Mvto Cx'!$AB$15:$AE$500,4,0),0)</f>
        <v>0</v>
      </c>
      <c r="K65" s="50">
        <f>IFERROR(VLOOKUP(E65,'BD - E - Mvto Cx'!$AK$15:$AN$500,4,0),0)</f>
        <v>0</v>
      </c>
      <c r="L65" s="50">
        <f>IFERROR(VLOOKUP(E65,'BD - E - Mvto Cx'!$AT$15:$AW$500,4,0),0)</f>
        <v>0</v>
      </c>
      <c r="M65" s="50">
        <f>IFERROR(VLOOKUP(E65,'BD - E - Mvto Cx'!$BF$15:$BI$500,4,0),0)</f>
        <v>0</v>
      </c>
      <c r="N65" s="50">
        <f>IFERROR(VLOOKUP(E65,'BD - E - Mvto Cx'!$BO$15:$BR$500,4,0),0)</f>
        <v>0</v>
      </c>
      <c r="O65" s="50">
        <f>IFERROR(VLOOKUP(E65,'BD - E - Mvto Cx'!$BX$15:$CA$500,4,0),0)</f>
        <v>0</v>
      </c>
      <c r="P65" s="50">
        <f>IFERROR(VLOOKUP(E65,'BD - E - Mvto Cx'!$CG$15:$CJ$500,4,0),0)</f>
        <v>0</v>
      </c>
      <c r="Q65" s="50">
        <f>IFERROR(VLOOKUP(E65,'BD - E - Mvto Cx'!$CP$15:$CS$500,4,0),0)</f>
        <v>0</v>
      </c>
      <c r="R65" s="50">
        <f>IFERROR(VLOOKUP(E65,'BD - E - Mvto Cx'!$CY$15:$DB$500,4,0),0)</f>
        <v>0</v>
      </c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  <c r="AV65" s="228"/>
      <c r="AW65" s="228"/>
      <c r="AX65" s="228"/>
      <c r="AY65" s="228"/>
      <c r="AZ65" s="228"/>
      <c r="BA65" s="228"/>
      <c r="BB65" s="228"/>
      <c r="BC65" s="228"/>
      <c r="BD65" s="228"/>
      <c r="BE65" s="228"/>
      <c r="BF65" s="228"/>
      <c r="BG65" s="228"/>
      <c r="BH65" s="228"/>
      <c r="BI65" s="228"/>
      <c r="BJ65" s="228"/>
      <c r="BK65" s="228"/>
      <c r="BL65" s="228"/>
      <c r="BM65" s="228"/>
      <c r="BN65" s="228"/>
      <c r="BO65" s="228"/>
      <c r="BP65" s="228"/>
      <c r="BQ65" s="228"/>
      <c r="BR65" s="228"/>
      <c r="BS65" s="228"/>
      <c r="BT65" s="228"/>
      <c r="BU65" s="228"/>
      <c r="BV65" s="228"/>
      <c r="BW65" s="228"/>
      <c r="BX65" s="228"/>
      <c r="BY65" s="228"/>
      <c r="BZ65" s="228"/>
      <c r="CA65" s="228"/>
      <c r="CB65" s="228"/>
      <c r="CC65" s="228"/>
      <c r="CD65" s="228"/>
      <c r="CE65" s="228"/>
      <c r="CF65" s="228"/>
      <c r="CG65" s="228"/>
      <c r="CH65" s="228"/>
      <c r="CI65" s="228"/>
      <c r="CJ65" s="228"/>
      <c r="CK65" s="228"/>
      <c r="CL65" s="228"/>
      <c r="CM65" s="228"/>
      <c r="CN65" s="228"/>
      <c r="CO65" s="228"/>
      <c r="CP65" s="228"/>
      <c r="CQ65" s="228"/>
      <c r="CR65" s="228"/>
      <c r="CS65" s="228"/>
      <c r="CT65" s="228"/>
      <c r="CU65" s="228"/>
      <c r="CV65" s="228"/>
      <c r="CW65" s="228"/>
      <c r="CX65" s="228"/>
      <c r="CY65" s="228"/>
      <c r="CZ65" s="228"/>
      <c r="DA65" s="228"/>
      <c r="DB65" s="228"/>
      <c r="DC65" s="228"/>
      <c r="DD65" s="228"/>
      <c r="DE65" s="228"/>
      <c r="DF65" s="228"/>
      <c r="DG65" s="228"/>
      <c r="DH65" s="228"/>
      <c r="DI65" s="228"/>
      <c r="DJ65" s="228"/>
      <c r="DK65" s="228"/>
      <c r="DL65" s="228"/>
      <c r="DM65" s="228"/>
      <c r="DN65" s="228"/>
      <c r="DO65" s="228"/>
      <c r="DP65" s="228"/>
      <c r="DQ65" s="228"/>
      <c r="DR65" s="228"/>
      <c r="DS65" s="228"/>
      <c r="DT65" s="228"/>
      <c r="DU65" s="228"/>
      <c r="DV65" s="228"/>
      <c r="DW65" s="228"/>
      <c r="DX65" s="228"/>
      <c r="DY65" s="228"/>
      <c r="DZ65" s="228"/>
      <c r="EA65" s="228"/>
      <c r="EB65" s="228"/>
      <c r="EC65" s="228"/>
      <c r="ED65" s="228"/>
      <c r="EE65" s="228"/>
      <c r="EF65" s="228"/>
      <c r="EG65" s="228"/>
      <c r="EH65" s="228"/>
      <c r="EI65" s="228"/>
      <c r="EJ65" s="228"/>
      <c r="EK65" s="228"/>
      <c r="EL65" s="228"/>
      <c r="EM65" s="228"/>
      <c r="EN65" s="228"/>
      <c r="EO65" s="228"/>
      <c r="EP65" s="228"/>
      <c r="EQ65" s="228"/>
      <c r="ER65" s="228"/>
      <c r="ES65" s="228"/>
      <c r="ET65" s="228"/>
      <c r="EU65" s="228"/>
      <c r="EV65" s="228"/>
      <c r="EW65" s="228"/>
      <c r="EX65" s="228"/>
      <c r="EY65" s="228"/>
      <c r="EZ65" s="228"/>
      <c r="FA65" s="228"/>
      <c r="FB65" s="228"/>
      <c r="FC65" s="228"/>
      <c r="FD65" s="228"/>
      <c r="FE65" s="228"/>
      <c r="FF65" s="228"/>
      <c r="FG65" s="228"/>
      <c r="FH65" s="228"/>
      <c r="FI65" s="228"/>
      <c r="FJ65" s="228"/>
      <c r="FK65" s="228"/>
      <c r="FL65" s="228"/>
      <c r="FM65" s="228"/>
      <c r="FN65" s="228"/>
      <c r="FO65" s="228"/>
      <c r="FP65" s="228"/>
      <c r="FQ65" s="228"/>
      <c r="FR65" s="228"/>
      <c r="FS65" s="228"/>
      <c r="FT65" s="228"/>
      <c r="FU65" s="228"/>
      <c r="FV65" s="228"/>
      <c r="FW65" s="228"/>
      <c r="FX65" s="228"/>
      <c r="FY65" s="228"/>
      <c r="FZ65" s="228"/>
      <c r="GA65" s="228"/>
      <c r="GB65" s="228"/>
      <c r="GC65" s="228"/>
      <c r="GD65" s="228"/>
      <c r="GE65" s="228"/>
      <c r="GF65" s="228"/>
      <c r="GG65" s="228"/>
      <c r="GH65" s="228"/>
      <c r="GI65" s="228"/>
      <c r="GJ65" s="228"/>
      <c r="GK65" s="228"/>
      <c r="GL65" s="228"/>
      <c r="GM65" s="228"/>
      <c r="GN65" s="228"/>
      <c r="GO65" s="228"/>
      <c r="GP65" s="228"/>
      <c r="GQ65" s="228"/>
      <c r="GR65" s="228"/>
      <c r="GS65" s="228"/>
      <c r="GT65" s="228"/>
      <c r="GU65" s="228"/>
      <c r="GV65" s="228"/>
      <c r="GW65" s="228"/>
      <c r="GX65" s="228"/>
      <c r="GY65" s="228"/>
      <c r="GZ65" s="228"/>
      <c r="HA65" s="228"/>
      <c r="HB65" s="228"/>
      <c r="HC65" s="228"/>
      <c r="HD65" s="228"/>
      <c r="HE65" s="228"/>
      <c r="HF65" s="228"/>
      <c r="HG65" s="228"/>
      <c r="HH65" s="228"/>
      <c r="HI65" s="228"/>
      <c r="HJ65" s="228"/>
      <c r="HK65" s="228"/>
      <c r="HL65" s="228"/>
      <c r="HM65" s="228"/>
      <c r="HN65" s="228"/>
      <c r="HO65" s="228"/>
      <c r="HP65" s="228"/>
      <c r="HQ65" s="228"/>
      <c r="HR65" s="228"/>
      <c r="HS65" s="228"/>
      <c r="HT65" s="228"/>
      <c r="HU65" s="228"/>
      <c r="HV65" s="228"/>
      <c r="HW65" s="228"/>
      <c r="HX65" s="228"/>
      <c r="HY65" s="228"/>
      <c r="HZ65" s="228"/>
      <c r="IA65" s="228"/>
      <c r="IB65" s="228"/>
      <c r="IC65" s="228"/>
      <c r="ID65" s="228"/>
      <c r="IE65" s="228"/>
      <c r="IF65" s="228"/>
      <c r="IG65" s="228"/>
      <c r="IH65" s="228"/>
      <c r="II65" s="228"/>
      <c r="IJ65" s="228"/>
      <c r="IK65" s="228"/>
      <c r="IL65" s="228"/>
      <c r="IM65" s="228"/>
      <c r="IN65" s="228"/>
      <c r="IO65" s="228"/>
      <c r="IP65" s="228"/>
      <c r="IQ65" s="228"/>
      <c r="IR65" s="228"/>
      <c r="IS65" s="228"/>
      <c r="IT65" s="228"/>
      <c r="IU65" s="228"/>
      <c r="IV65" s="228"/>
      <c r="IW65" s="228"/>
      <c r="IX65" s="228"/>
      <c r="IY65" s="228"/>
      <c r="IZ65" s="228"/>
      <c r="JA65" s="228"/>
      <c r="JB65" s="228"/>
      <c r="JC65" s="228"/>
      <c r="JD65" s="228"/>
      <c r="JE65" s="228"/>
      <c r="JF65" s="228"/>
      <c r="JG65" s="228"/>
      <c r="JH65" s="228"/>
      <c r="JI65" s="228"/>
      <c r="JJ65" s="228"/>
      <c r="JK65" s="228"/>
      <c r="JL65" s="228"/>
      <c r="JM65" s="228"/>
      <c r="JN65" s="228"/>
      <c r="JO65" s="228"/>
      <c r="JP65" s="228"/>
      <c r="JQ65" s="228"/>
      <c r="JR65" s="228"/>
      <c r="JS65" s="228"/>
      <c r="JT65" s="228"/>
      <c r="JU65" s="228"/>
      <c r="JV65" s="228"/>
      <c r="JW65" s="228"/>
      <c r="JX65" s="228"/>
      <c r="JY65" s="228"/>
      <c r="JZ65" s="228"/>
      <c r="KA65" s="228"/>
      <c r="KB65" s="228"/>
      <c r="KC65" s="228"/>
      <c r="KD65" s="228"/>
      <c r="KE65" s="228"/>
      <c r="KF65" s="228"/>
      <c r="KG65" s="228"/>
      <c r="KH65" s="228"/>
      <c r="KI65" s="228"/>
      <c r="KJ65" s="228"/>
      <c r="KK65" s="228"/>
      <c r="KL65" s="228"/>
      <c r="KM65" s="228"/>
      <c r="KN65" s="228"/>
      <c r="KO65" s="228"/>
      <c r="KP65" s="228"/>
      <c r="KQ65" s="228"/>
      <c r="KR65" s="228"/>
      <c r="KS65" s="228"/>
      <c r="KT65" s="228"/>
      <c r="KU65" s="228"/>
      <c r="KV65" s="228"/>
      <c r="KW65" s="228"/>
      <c r="KX65" s="228"/>
      <c r="KY65" s="228"/>
      <c r="KZ65" s="228"/>
      <c r="LA65" s="228"/>
      <c r="LB65" s="228"/>
      <c r="LC65" s="228"/>
      <c r="LD65" s="228"/>
      <c r="LE65" s="228"/>
      <c r="LF65" s="228"/>
      <c r="LG65" s="228"/>
      <c r="LH65" s="228"/>
      <c r="LI65" s="228"/>
      <c r="LJ65" s="228"/>
      <c r="LK65" s="228"/>
      <c r="LL65" s="228"/>
      <c r="LM65" s="228"/>
      <c r="LN65" s="228"/>
      <c r="LO65" s="228"/>
      <c r="LP65" s="228"/>
      <c r="LQ65" s="228"/>
      <c r="LR65" s="228"/>
      <c r="LS65" s="228"/>
      <c r="LT65" s="228"/>
      <c r="LU65" s="228"/>
      <c r="LV65" s="228"/>
      <c r="LW65" s="228"/>
      <c r="LX65" s="228"/>
      <c r="LY65" s="228"/>
      <c r="LZ65" s="228"/>
      <c r="MA65" s="228"/>
      <c r="MB65" s="228"/>
      <c r="MC65" s="228"/>
      <c r="MD65" s="228"/>
      <c r="ME65" s="228"/>
      <c r="MF65" s="228"/>
      <c r="MG65" s="228"/>
      <c r="MH65" s="228"/>
      <c r="MI65" s="228"/>
      <c r="MJ65" s="228"/>
      <c r="MK65" s="228"/>
      <c r="ML65" s="228"/>
      <c r="MM65" s="228"/>
      <c r="MN65" s="228"/>
      <c r="MO65" s="228"/>
      <c r="MP65" s="228"/>
      <c r="MQ65" s="228"/>
      <c r="MR65" s="228"/>
      <c r="MS65" s="228"/>
      <c r="MT65" s="228"/>
      <c r="MU65" s="228"/>
      <c r="MV65" s="228"/>
      <c r="MW65" s="228"/>
      <c r="MX65" s="228"/>
      <c r="MY65" s="228"/>
      <c r="MZ65" s="228"/>
      <c r="NA65" s="228"/>
      <c r="NB65" s="228"/>
      <c r="NC65" s="228"/>
      <c r="ND65" s="228"/>
      <c r="NE65" s="228"/>
      <c r="NF65" s="228"/>
      <c r="NG65" s="228"/>
      <c r="NH65" s="228"/>
      <c r="NI65" s="228"/>
      <c r="NJ65" s="228"/>
      <c r="NK65" s="228"/>
      <c r="NL65" s="228"/>
      <c r="NM65" s="228"/>
      <c r="NN65" s="228"/>
      <c r="NO65" s="228"/>
      <c r="NP65" s="228"/>
      <c r="NQ65" s="228"/>
      <c r="NR65" s="228"/>
      <c r="NS65" s="228"/>
      <c r="NT65" s="228"/>
      <c r="NU65" s="228"/>
      <c r="NV65" s="228"/>
      <c r="NW65" s="228"/>
      <c r="NX65" s="228"/>
      <c r="NY65" s="228"/>
      <c r="NZ65" s="228"/>
      <c r="OA65" s="228"/>
      <c r="OB65" s="228"/>
      <c r="OC65" s="228"/>
      <c r="OD65" s="228"/>
      <c r="OE65" s="228"/>
      <c r="OF65" s="228"/>
      <c r="OG65" s="228"/>
      <c r="OH65" s="228"/>
      <c r="OI65" s="228"/>
      <c r="OJ65" s="228"/>
      <c r="OK65" s="228"/>
      <c r="OL65" s="228"/>
      <c r="OM65" s="228"/>
      <c r="ON65" s="228"/>
      <c r="OO65" s="228"/>
      <c r="OP65" s="228"/>
      <c r="OQ65" s="228"/>
      <c r="OR65" s="228"/>
      <c r="OS65" s="228"/>
      <c r="OT65" s="228"/>
      <c r="OU65" s="228"/>
      <c r="OV65" s="228"/>
      <c r="OW65" s="228"/>
      <c r="OX65" s="228"/>
      <c r="OY65" s="228"/>
      <c r="OZ65" s="228"/>
      <c r="PA65" s="228"/>
      <c r="PB65" s="228"/>
      <c r="PC65" s="228"/>
      <c r="PD65" s="228"/>
      <c r="PE65" s="228"/>
      <c r="PF65" s="228"/>
      <c r="PG65" s="228"/>
      <c r="PH65" s="228"/>
      <c r="PI65" s="228"/>
      <c r="PJ65" s="228"/>
      <c r="PK65" s="228"/>
      <c r="PL65" s="228"/>
      <c r="PM65" s="228"/>
      <c r="PN65" s="228"/>
      <c r="PO65" s="228"/>
      <c r="PP65" s="228"/>
      <c r="PQ65" s="228"/>
      <c r="PR65" s="228"/>
      <c r="PS65" s="228"/>
      <c r="PT65" s="228"/>
      <c r="PU65" s="228"/>
      <c r="PV65" s="228"/>
      <c r="PW65" s="228"/>
      <c r="PX65" s="228"/>
      <c r="PY65" s="228"/>
      <c r="PZ65" s="228"/>
      <c r="QA65" s="228"/>
      <c r="QB65" s="228"/>
      <c r="QC65" s="228"/>
      <c r="QD65" s="228"/>
      <c r="QE65" s="228"/>
      <c r="QF65" s="228"/>
      <c r="QG65" s="228"/>
      <c r="QH65" s="228"/>
      <c r="QI65" s="228"/>
      <c r="QJ65" s="228"/>
      <c r="QK65" s="228"/>
      <c r="QL65" s="228"/>
      <c r="QM65" s="228"/>
      <c r="QN65" s="228"/>
      <c r="QO65" s="228"/>
      <c r="QP65" s="228"/>
      <c r="QQ65" s="228"/>
      <c r="QR65" s="228"/>
      <c r="QS65" s="228"/>
      <c r="QT65" s="228"/>
      <c r="QU65" s="228"/>
      <c r="QV65" s="228"/>
      <c r="QW65" s="228"/>
      <c r="QX65" s="228"/>
      <c r="QY65" s="228"/>
      <c r="QZ65" s="228"/>
      <c r="RA65" s="228"/>
      <c r="RB65" s="228"/>
      <c r="RC65" s="228"/>
      <c r="RD65" s="228"/>
      <c r="RE65" s="228"/>
      <c r="RF65" s="228"/>
      <c r="RG65" s="228"/>
      <c r="RH65" s="228"/>
      <c r="RI65" s="228"/>
      <c r="RJ65" s="228"/>
      <c r="RK65" s="228"/>
      <c r="RL65" s="228"/>
      <c r="RM65" s="228"/>
      <c r="RN65" s="228"/>
      <c r="RO65" s="228"/>
      <c r="RP65" s="228"/>
      <c r="RQ65" s="228"/>
      <c r="RR65" s="228"/>
      <c r="RS65" s="228"/>
      <c r="RT65" s="228"/>
      <c r="RU65" s="228"/>
      <c r="RV65" s="228"/>
      <c r="RW65" s="228"/>
      <c r="RX65" s="228"/>
      <c r="RY65" s="228"/>
      <c r="RZ65" s="228"/>
      <c r="SA65" s="228"/>
      <c r="SB65" s="228"/>
      <c r="SC65" s="228"/>
      <c r="SD65" s="228"/>
      <c r="SE65" s="228"/>
      <c r="SF65" s="228"/>
      <c r="SG65" s="228"/>
      <c r="SH65" s="228"/>
      <c r="SI65" s="228"/>
      <c r="SJ65" s="228"/>
      <c r="SK65" s="228"/>
      <c r="SL65" s="228"/>
      <c r="SM65" s="228"/>
      <c r="SN65" s="228"/>
      <c r="SO65" s="228"/>
      <c r="SP65" s="228"/>
      <c r="SQ65" s="228"/>
      <c r="SR65" s="228"/>
      <c r="SS65" s="228"/>
      <c r="ST65" s="228"/>
      <c r="SU65" s="228"/>
      <c r="SV65" s="228"/>
      <c r="SW65" s="228"/>
      <c r="SX65" s="228"/>
      <c r="SY65" s="228"/>
      <c r="SZ65" s="228"/>
      <c r="TA65" s="228"/>
      <c r="TB65" s="228"/>
      <c r="TC65" s="228"/>
      <c r="TD65" s="228"/>
      <c r="TE65" s="228"/>
      <c r="TF65" s="228"/>
      <c r="TG65" s="228"/>
      <c r="TH65" s="228"/>
      <c r="TI65" s="228"/>
      <c r="TJ65" s="228"/>
      <c r="TK65" s="228"/>
      <c r="TL65" s="228"/>
      <c r="TM65" s="228"/>
      <c r="TN65" s="228"/>
      <c r="TO65" s="228"/>
      <c r="TP65" s="228"/>
      <c r="TQ65" s="228"/>
      <c r="TR65" s="228"/>
      <c r="TS65" s="228"/>
      <c r="TT65" s="228"/>
      <c r="TU65" s="228"/>
      <c r="TV65" s="228"/>
      <c r="TW65" s="228"/>
      <c r="TX65" s="228"/>
      <c r="TY65" s="228"/>
      <c r="TZ65" s="228"/>
      <c r="UA65" s="228"/>
      <c r="UB65" s="228"/>
      <c r="UC65" s="228"/>
      <c r="UD65" s="228"/>
      <c r="UE65" s="228"/>
      <c r="UF65" s="228"/>
      <c r="UG65" s="228"/>
      <c r="UH65" s="228"/>
      <c r="UI65" s="228"/>
      <c r="UJ65" s="228"/>
      <c r="UK65" s="228"/>
      <c r="UL65" s="228"/>
      <c r="UM65" s="228"/>
      <c r="UN65" s="228"/>
      <c r="UO65" s="228"/>
      <c r="UP65" s="228"/>
      <c r="UQ65" s="228"/>
      <c r="UR65" s="228"/>
      <c r="US65" s="228"/>
      <c r="UT65" s="228"/>
      <c r="UU65" s="228"/>
      <c r="UV65" s="228"/>
      <c r="UW65" s="228"/>
      <c r="UX65" s="228"/>
      <c r="UY65" s="228"/>
      <c r="UZ65" s="228"/>
      <c r="VA65" s="228"/>
      <c r="VB65" s="228"/>
      <c r="VC65" s="228"/>
      <c r="VD65" s="228"/>
      <c r="VE65" s="228"/>
      <c r="VF65" s="228"/>
      <c r="VG65" s="228"/>
      <c r="VH65" s="228"/>
      <c r="VI65" s="228"/>
      <c r="VJ65" s="228"/>
      <c r="VK65" s="228"/>
      <c r="VL65" s="228"/>
      <c r="VM65" s="228"/>
      <c r="VN65" s="228"/>
      <c r="VO65" s="228"/>
      <c r="VP65" s="228"/>
      <c r="VQ65" s="228"/>
      <c r="VR65" s="228"/>
      <c r="VS65" s="228"/>
      <c r="VT65" s="228"/>
      <c r="VU65" s="228"/>
      <c r="VV65" s="228"/>
      <c r="VW65" s="228"/>
      <c r="VX65" s="228"/>
      <c r="VY65" s="228"/>
      <c r="VZ65" s="228"/>
      <c r="WA65" s="228"/>
      <c r="WB65" s="228"/>
      <c r="WC65" s="228"/>
      <c r="WD65" s="228"/>
      <c r="WE65" s="228"/>
      <c r="WF65" s="228"/>
      <c r="WG65" s="228"/>
      <c r="WH65" s="228"/>
      <c r="WI65" s="228"/>
      <c r="WJ65" s="228"/>
      <c r="WK65" s="228"/>
      <c r="WL65" s="228"/>
      <c r="WM65" s="228"/>
      <c r="WN65" s="228"/>
      <c r="WO65" s="228"/>
      <c r="WP65" s="228"/>
      <c r="WQ65" s="228"/>
      <c r="WR65" s="228"/>
      <c r="WS65" s="228"/>
      <c r="WT65" s="228"/>
      <c r="WU65" s="228"/>
      <c r="WV65" s="228"/>
      <c r="WW65" s="228"/>
      <c r="WX65" s="228"/>
      <c r="WY65" s="228"/>
      <c r="WZ65" s="228"/>
      <c r="XA65" s="228"/>
      <c r="XB65" s="228"/>
      <c r="XC65" s="228"/>
      <c r="XD65" s="228"/>
      <c r="XE65" s="228"/>
      <c r="XF65" s="228"/>
      <c r="XG65" s="228"/>
      <c r="XH65" s="228"/>
      <c r="XI65" s="228"/>
      <c r="XJ65" s="228"/>
      <c r="XK65" s="228"/>
      <c r="XL65" s="228"/>
      <c r="XM65" s="228"/>
      <c r="XN65" s="228"/>
      <c r="XO65" s="228"/>
      <c r="XP65" s="228"/>
      <c r="XQ65" s="228"/>
      <c r="XR65" s="228"/>
      <c r="XS65" s="228"/>
      <c r="XT65" s="228"/>
      <c r="XU65" s="228"/>
      <c r="XV65" s="228"/>
      <c r="XW65" s="228"/>
      <c r="XX65" s="228"/>
      <c r="XY65" s="228"/>
      <c r="XZ65" s="228"/>
      <c r="YA65" s="228"/>
      <c r="YB65" s="228"/>
      <c r="YC65" s="228"/>
      <c r="YD65" s="228"/>
      <c r="YE65" s="228"/>
      <c r="YF65" s="228"/>
      <c r="YG65" s="228"/>
      <c r="YH65" s="228"/>
      <c r="YI65" s="228"/>
      <c r="YJ65" s="228"/>
      <c r="YK65" s="228"/>
      <c r="YL65" s="228"/>
      <c r="YM65" s="228"/>
      <c r="YN65" s="228"/>
      <c r="YO65" s="228"/>
      <c r="YP65" s="228"/>
      <c r="YQ65" s="228"/>
      <c r="YR65" s="228"/>
      <c r="YS65" s="228"/>
      <c r="YT65" s="228"/>
      <c r="YU65" s="228"/>
      <c r="YV65" s="228"/>
      <c r="YW65" s="228"/>
      <c r="YX65" s="228"/>
      <c r="YY65" s="228"/>
      <c r="YZ65" s="228"/>
      <c r="ZA65" s="228"/>
      <c r="ZB65" s="228"/>
      <c r="ZC65" s="228"/>
      <c r="ZD65" s="228"/>
      <c r="ZE65" s="228"/>
      <c r="ZF65" s="228"/>
      <c r="ZG65" s="228"/>
      <c r="ZH65" s="228"/>
      <c r="ZI65" s="228"/>
      <c r="ZJ65" s="228"/>
      <c r="ZK65" s="228"/>
      <c r="ZL65" s="228"/>
      <c r="ZM65" s="228"/>
      <c r="ZN65" s="228"/>
      <c r="ZO65" s="228"/>
      <c r="ZP65" s="228"/>
      <c r="ZQ65" s="228"/>
      <c r="ZR65" s="228"/>
      <c r="ZS65" s="228"/>
      <c r="ZT65" s="228"/>
      <c r="ZU65" s="228"/>
      <c r="ZV65" s="228"/>
      <c r="ZW65" s="228"/>
      <c r="ZX65" s="228"/>
      <c r="ZY65" s="228"/>
      <c r="ZZ65" s="228"/>
      <c r="AAA65" s="228"/>
      <c r="AAB65" s="228"/>
      <c r="AAC65" s="228"/>
      <c r="AAD65" s="228"/>
      <c r="AAE65" s="228"/>
      <c r="AAF65" s="228"/>
      <c r="AAG65" s="228"/>
      <c r="AAH65" s="228"/>
      <c r="AAI65" s="228"/>
      <c r="AAJ65" s="228"/>
      <c r="AAK65" s="228"/>
      <c r="AAL65" s="228"/>
      <c r="AAM65" s="228"/>
      <c r="AAN65" s="228"/>
      <c r="AAO65" s="228"/>
      <c r="AAP65" s="228"/>
      <c r="AAQ65" s="228"/>
      <c r="AAR65" s="228"/>
      <c r="AAS65" s="228"/>
      <c r="AAT65" s="228"/>
      <c r="AAU65" s="228"/>
      <c r="AAV65" s="228"/>
      <c r="AAW65" s="228"/>
      <c r="AAX65" s="228"/>
      <c r="AAY65" s="228"/>
      <c r="AAZ65" s="228"/>
      <c r="ABA65" s="228"/>
      <c r="ABB65" s="228"/>
      <c r="ABC65" s="228"/>
      <c r="ABD65" s="228"/>
      <c r="ABE65" s="228"/>
      <c r="ABF65" s="228"/>
      <c r="ABG65" s="228"/>
      <c r="ABH65" s="228"/>
      <c r="ABI65" s="228"/>
      <c r="ABJ65" s="228"/>
      <c r="ABK65" s="228"/>
      <c r="ABL65" s="228"/>
      <c r="ABM65" s="228"/>
      <c r="ABN65" s="228"/>
      <c r="ABO65" s="228"/>
      <c r="ABP65" s="228"/>
      <c r="ABQ65" s="228"/>
      <c r="ABR65" s="228"/>
      <c r="ABS65" s="228"/>
      <c r="ABT65" s="228"/>
      <c r="ABU65" s="228"/>
      <c r="ABV65" s="228"/>
      <c r="ABW65" s="228"/>
      <c r="ABX65" s="228"/>
      <c r="ABY65" s="228"/>
      <c r="ABZ65" s="228"/>
      <c r="ACA65" s="228"/>
      <c r="ACB65" s="228"/>
      <c r="ACC65" s="228"/>
      <c r="ACD65" s="228"/>
      <c r="ACE65" s="228"/>
      <c r="ACF65" s="228"/>
      <c r="ACG65" s="228"/>
      <c r="ACH65" s="228"/>
      <c r="ACI65" s="228"/>
      <c r="ACJ65" s="228"/>
      <c r="ACK65" s="228"/>
      <c r="ACL65" s="228"/>
      <c r="ACM65" s="228"/>
      <c r="ACN65" s="228"/>
      <c r="ACO65" s="228"/>
      <c r="ACP65" s="228"/>
      <c r="ACQ65" s="228"/>
      <c r="ACR65" s="228"/>
      <c r="ACS65" s="228"/>
      <c r="ACT65" s="228"/>
      <c r="ACU65" s="228"/>
      <c r="ACV65" s="228"/>
      <c r="ACW65" s="228"/>
      <c r="ACX65" s="228"/>
      <c r="ACY65" s="228"/>
      <c r="ACZ65" s="228"/>
      <c r="ADA65" s="228"/>
      <c r="ADB65" s="228"/>
      <c r="ADC65" s="228"/>
      <c r="ADD65" s="228"/>
      <c r="ADE65" s="228"/>
      <c r="ADF65" s="228"/>
      <c r="ADG65" s="228"/>
      <c r="ADH65" s="228"/>
      <c r="ADI65" s="228"/>
      <c r="ADJ65" s="228"/>
      <c r="ADK65" s="228"/>
      <c r="ADL65" s="228"/>
      <c r="ADM65" s="228"/>
      <c r="ADN65" s="228"/>
      <c r="ADO65" s="228"/>
      <c r="ADP65" s="228"/>
      <c r="ADQ65" s="228"/>
      <c r="ADR65" s="228"/>
      <c r="ADS65" s="228"/>
      <c r="ADT65" s="228"/>
      <c r="ADU65" s="228"/>
      <c r="ADV65" s="228"/>
      <c r="ADW65" s="228"/>
      <c r="ADX65" s="228"/>
      <c r="ADY65" s="228"/>
      <c r="ADZ65" s="228"/>
      <c r="AEA65" s="228"/>
      <c r="AEB65" s="228"/>
      <c r="AEC65" s="228"/>
      <c r="AED65" s="228"/>
      <c r="AEE65" s="228"/>
      <c r="AEF65" s="228"/>
      <c r="AEG65" s="228"/>
      <c r="AEH65" s="228"/>
      <c r="AEI65" s="228"/>
      <c r="AEJ65" s="228"/>
      <c r="AEK65" s="228"/>
      <c r="AEL65" s="228"/>
      <c r="AEM65" s="228"/>
      <c r="AEN65" s="228"/>
      <c r="AEO65" s="228"/>
      <c r="AEP65" s="228"/>
      <c r="AEQ65" s="228"/>
      <c r="AER65" s="228"/>
      <c r="AES65" s="228"/>
      <c r="AET65" s="228"/>
      <c r="AEU65" s="228"/>
      <c r="AEV65" s="228"/>
      <c r="AEW65" s="228"/>
      <c r="AEX65" s="228"/>
      <c r="AEY65" s="228"/>
      <c r="AEZ65" s="228"/>
      <c r="AFA65" s="228"/>
      <c r="AFB65" s="228"/>
      <c r="AFC65" s="228"/>
      <c r="AFD65" s="228"/>
      <c r="AFE65" s="228"/>
      <c r="AFF65" s="228"/>
      <c r="AFG65" s="228"/>
      <c r="AFH65" s="228"/>
      <c r="AFI65" s="228"/>
      <c r="AFJ65" s="228"/>
      <c r="AFK65" s="228"/>
      <c r="AFL65" s="228"/>
      <c r="AFM65" s="228"/>
      <c r="AFN65" s="228"/>
      <c r="AFO65" s="228"/>
      <c r="AFP65" s="228"/>
      <c r="AFQ65" s="228"/>
      <c r="AFR65" s="228"/>
      <c r="AFS65" s="228"/>
      <c r="AFT65" s="228"/>
      <c r="AFU65" s="228"/>
      <c r="AFV65" s="228"/>
      <c r="AFW65" s="228"/>
      <c r="AFX65" s="228"/>
      <c r="AFY65" s="228"/>
      <c r="AFZ65" s="228"/>
      <c r="AGA65" s="228"/>
      <c r="AGB65" s="228"/>
      <c r="AGC65" s="228"/>
      <c r="AGD65" s="228"/>
      <c r="AGE65" s="228"/>
      <c r="AGF65" s="228"/>
      <c r="AGG65" s="228"/>
      <c r="AGH65" s="228"/>
      <c r="AGI65" s="228"/>
      <c r="AGJ65" s="228"/>
      <c r="AGK65" s="228"/>
      <c r="AGL65" s="228"/>
      <c r="AGM65" s="228"/>
      <c r="AGN65" s="228"/>
      <c r="AGO65" s="228"/>
      <c r="AGP65" s="228"/>
      <c r="AGQ65" s="228"/>
      <c r="AGR65" s="228"/>
      <c r="AGS65" s="228"/>
      <c r="AGT65" s="228"/>
      <c r="AGU65" s="228"/>
      <c r="AGV65" s="228"/>
      <c r="AGW65" s="228"/>
      <c r="AGX65" s="228"/>
      <c r="AGY65" s="228"/>
      <c r="AGZ65" s="228"/>
      <c r="AHA65" s="228"/>
      <c r="AHB65" s="228"/>
      <c r="AHC65" s="228"/>
      <c r="AHD65" s="228"/>
      <c r="AHE65" s="228"/>
      <c r="AHF65" s="228"/>
      <c r="AHG65" s="228"/>
      <c r="AHH65" s="228"/>
      <c r="AHI65" s="228"/>
      <c r="AHJ65" s="228"/>
      <c r="AHK65" s="228"/>
      <c r="AHL65" s="228"/>
      <c r="AHM65" s="228"/>
      <c r="AHN65" s="228"/>
      <c r="AHO65" s="228"/>
      <c r="AHP65" s="228"/>
      <c r="AHQ65" s="228"/>
      <c r="AHR65" s="228"/>
      <c r="AHS65" s="228"/>
      <c r="AHT65" s="228"/>
      <c r="AHU65" s="228"/>
      <c r="AHV65" s="228"/>
      <c r="AHW65" s="228"/>
      <c r="AHX65" s="228"/>
      <c r="AHY65" s="228"/>
      <c r="AHZ65" s="228"/>
      <c r="AIA65" s="228"/>
      <c r="AIB65" s="228"/>
      <c r="AIC65" s="228"/>
      <c r="AID65" s="228"/>
      <c r="AIE65" s="228"/>
      <c r="AIF65" s="228"/>
      <c r="AIG65" s="228"/>
      <c r="AIH65" s="228"/>
      <c r="AII65" s="228"/>
      <c r="AIJ65" s="228"/>
      <c r="AIK65" s="228"/>
      <c r="AIL65" s="228"/>
      <c r="AIM65" s="228"/>
      <c r="AIN65" s="228"/>
      <c r="AIO65" s="228"/>
      <c r="AIP65" s="228"/>
      <c r="AIQ65" s="228"/>
      <c r="AIR65" s="228"/>
      <c r="AIS65" s="228"/>
      <c r="AIT65" s="228"/>
      <c r="AIU65" s="228"/>
      <c r="AIV65" s="228"/>
      <c r="AIW65" s="228"/>
      <c r="AIX65" s="228"/>
      <c r="AIY65" s="228"/>
      <c r="AIZ65" s="228"/>
      <c r="AJA65" s="228"/>
      <c r="AJB65" s="228"/>
      <c r="AJC65" s="228"/>
      <c r="AJD65" s="228"/>
      <c r="AJE65" s="228"/>
      <c r="AJF65" s="228"/>
      <c r="AJG65" s="228"/>
      <c r="AJH65" s="228"/>
      <c r="AJI65" s="228"/>
      <c r="AJJ65" s="228"/>
      <c r="AJK65" s="228"/>
      <c r="AJL65" s="228"/>
      <c r="AJM65" s="228"/>
      <c r="AJN65" s="228"/>
      <c r="AJO65" s="228"/>
      <c r="AJP65" s="228"/>
      <c r="AJQ65" s="228"/>
      <c r="AJR65" s="228"/>
      <c r="AJS65" s="228"/>
      <c r="AJT65" s="228"/>
      <c r="AJU65" s="228"/>
      <c r="AJV65" s="228"/>
      <c r="AJW65" s="228"/>
      <c r="AJX65" s="228"/>
      <c r="AJY65" s="228"/>
      <c r="AJZ65" s="228"/>
      <c r="AKA65" s="228"/>
      <c r="AKB65" s="228"/>
      <c r="AKC65" s="228"/>
      <c r="AKD65" s="228"/>
      <c r="AKE65" s="228"/>
      <c r="AKF65" s="228"/>
      <c r="AKG65" s="228"/>
      <c r="AKH65" s="228"/>
      <c r="AKI65" s="228"/>
      <c r="AKJ65" s="228"/>
      <c r="AKK65" s="228"/>
      <c r="AKL65" s="228"/>
      <c r="AKM65" s="228"/>
      <c r="AKN65" s="228"/>
      <c r="AKO65" s="228"/>
      <c r="AKP65" s="228"/>
      <c r="AKQ65" s="228"/>
      <c r="AKR65" s="228"/>
      <c r="AKS65" s="228"/>
      <c r="AKT65" s="228"/>
      <c r="AKU65" s="228"/>
      <c r="AKV65" s="228"/>
      <c r="AKW65" s="228"/>
      <c r="AKX65" s="228"/>
      <c r="AKY65" s="228"/>
      <c r="AKZ65" s="228"/>
      <c r="ALA65" s="228"/>
      <c r="ALB65" s="228"/>
      <c r="ALC65" s="228"/>
      <c r="ALD65" s="228"/>
      <c r="ALE65" s="228"/>
      <c r="ALF65" s="228"/>
      <c r="ALG65" s="228"/>
      <c r="ALH65" s="228"/>
    </row>
    <row r="66" spans="1:996" s="229" customFormat="1">
      <c r="A66" s="37"/>
      <c r="B66" t="str">
        <f t="shared" ref="B66" si="3">D66&amp;E66</f>
        <v>E218401</v>
      </c>
      <c r="C66" s="7" t="s">
        <v>119</v>
      </c>
      <c r="D66" s="26" t="s">
        <v>73</v>
      </c>
      <c r="E66" s="7">
        <v>218401</v>
      </c>
      <c r="F66" s="48" t="s">
        <v>1075</v>
      </c>
      <c r="G66" s="49">
        <f>IFERROR(VLOOKUP(E66,'BD - E - Mvto Cx'!$A$15:$D$500,4,0),0)</f>
        <v>0</v>
      </c>
      <c r="H66" s="50">
        <f>IFERROR(VLOOKUP(E66,'BD - E - Mvto Cx'!$J$15:$M$500,4,0),0)</f>
        <v>0</v>
      </c>
      <c r="I66" s="50">
        <f>IFERROR(VLOOKUP(E66,'BD - E - Mvto Cx'!$S$15:$V$500,4,0),0)</f>
        <v>0</v>
      </c>
      <c r="J66" s="50">
        <f>IFERROR(VLOOKUP(E66,'BD - E - Mvto Cx'!$AB$15:$AE$500,4,0),0)</f>
        <v>1804661</v>
      </c>
      <c r="K66" s="50">
        <f>IFERROR(VLOOKUP(E66,'BD - E - Mvto Cx'!$AK$15:$AN$500,4,0),0)</f>
        <v>0</v>
      </c>
      <c r="L66" s="50">
        <f>IFERROR(VLOOKUP(E66,'BD - E - Mvto Cx'!$AT$15:$AW$500,4,0),0)</f>
        <v>0</v>
      </c>
      <c r="M66" s="50">
        <f>IFERROR(VLOOKUP(E66,'BD - E - Mvto Cx'!$BF$15:$BI$500,4,0),0)</f>
        <v>0</v>
      </c>
      <c r="N66" s="50">
        <f>IFERROR(VLOOKUP(E66,'BD - E - Mvto Cx'!$BO$15:$BR$500,4,0),0)</f>
        <v>0</v>
      </c>
      <c r="O66" s="50">
        <f>IFERROR(VLOOKUP(E66,'BD - E - Mvto Cx'!$BX$15:$CA$500,4,0),0)</f>
        <v>0</v>
      </c>
      <c r="P66" s="50">
        <f>IFERROR(VLOOKUP(E66,'BD - E - Mvto Cx'!$CG$15:$CJ$500,4,0),0)</f>
        <v>0</v>
      </c>
      <c r="Q66" s="50">
        <f>IFERROR(VLOOKUP(E66,'BD - E - Mvto Cx'!$CP$15:$CS$500,4,0),0)</f>
        <v>0</v>
      </c>
      <c r="R66" s="50">
        <f>IFERROR(VLOOKUP(E66,'BD - E - Mvto Cx'!$CY$15:$DB$500,4,0),0)</f>
        <v>0</v>
      </c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A66" s="228"/>
      <c r="BB66" s="228"/>
      <c r="BC66" s="228"/>
      <c r="BD66" s="228"/>
      <c r="BE66" s="228"/>
      <c r="BF66" s="228"/>
      <c r="BG66" s="228"/>
      <c r="BH66" s="228"/>
      <c r="BI66" s="228"/>
      <c r="BJ66" s="228"/>
      <c r="BK66" s="228"/>
      <c r="BL66" s="228"/>
      <c r="BM66" s="228"/>
      <c r="BN66" s="228"/>
      <c r="BO66" s="228"/>
      <c r="BP66" s="228"/>
      <c r="BQ66" s="228"/>
      <c r="BR66" s="228"/>
      <c r="BS66" s="228"/>
      <c r="BT66" s="228"/>
      <c r="BU66" s="228"/>
      <c r="BV66" s="228"/>
      <c r="BW66" s="228"/>
      <c r="BX66" s="228"/>
      <c r="BY66" s="228"/>
      <c r="BZ66" s="228"/>
      <c r="CA66" s="228"/>
      <c r="CB66" s="228"/>
      <c r="CC66" s="228"/>
      <c r="CD66" s="228"/>
      <c r="CE66" s="228"/>
      <c r="CF66" s="228"/>
      <c r="CG66" s="228"/>
      <c r="CH66" s="228"/>
      <c r="CI66" s="228"/>
      <c r="CJ66" s="228"/>
      <c r="CK66" s="228"/>
      <c r="CL66" s="228"/>
      <c r="CM66" s="228"/>
      <c r="CN66" s="228"/>
      <c r="CO66" s="228"/>
      <c r="CP66" s="228"/>
      <c r="CQ66" s="228"/>
      <c r="CR66" s="228"/>
      <c r="CS66" s="228"/>
      <c r="CT66" s="228"/>
      <c r="CU66" s="228"/>
      <c r="CV66" s="228"/>
      <c r="CW66" s="228"/>
      <c r="CX66" s="228"/>
      <c r="CY66" s="228"/>
      <c r="CZ66" s="228"/>
      <c r="DA66" s="228"/>
      <c r="DB66" s="228"/>
      <c r="DC66" s="228"/>
      <c r="DD66" s="228"/>
      <c r="DE66" s="228"/>
      <c r="DF66" s="228"/>
      <c r="DG66" s="228"/>
      <c r="DH66" s="228"/>
      <c r="DI66" s="228"/>
      <c r="DJ66" s="228"/>
      <c r="DK66" s="228"/>
      <c r="DL66" s="228"/>
      <c r="DM66" s="228"/>
      <c r="DN66" s="228"/>
      <c r="DO66" s="228"/>
      <c r="DP66" s="228"/>
      <c r="DQ66" s="228"/>
      <c r="DR66" s="228"/>
      <c r="DS66" s="228"/>
      <c r="DT66" s="228"/>
      <c r="DU66" s="228"/>
      <c r="DV66" s="228"/>
      <c r="DW66" s="228"/>
      <c r="DX66" s="228"/>
      <c r="DY66" s="228"/>
      <c r="DZ66" s="228"/>
      <c r="EA66" s="228"/>
      <c r="EB66" s="228"/>
      <c r="EC66" s="228"/>
      <c r="ED66" s="228"/>
      <c r="EE66" s="228"/>
      <c r="EF66" s="228"/>
      <c r="EG66" s="228"/>
      <c r="EH66" s="228"/>
      <c r="EI66" s="228"/>
      <c r="EJ66" s="228"/>
      <c r="EK66" s="228"/>
      <c r="EL66" s="228"/>
      <c r="EM66" s="228"/>
      <c r="EN66" s="228"/>
      <c r="EO66" s="228"/>
      <c r="EP66" s="228"/>
      <c r="EQ66" s="228"/>
      <c r="ER66" s="228"/>
      <c r="ES66" s="228"/>
      <c r="ET66" s="228"/>
      <c r="EU66" s="228"/>
      <c r="EV66" s="228"/>
      <c r="EW66" s="228"/>
      <c r="EX66" s="228"/>
      <c r="EY66" s="228"/>
      <c r="EZ66" s="228"/>
      <c r="FA66" s="228"/>
      <c r="FB66" s="228"/>
      <c r="FC66" s="228"/>
      <c r="FD66" s="228"/>
      <c r="FE66" s="228"/>
      <c r="FF66" s="228"/>
      <c r="FG66" s="228"/>
      <c r="FH66" s="228"/>
      <c r="FI66" s="228"/>
      <c r="FJ66" s="228"/>
      <c r="FK66" s="228"/>
      <c r="FL66" s="228"/>
      <c r="FM66" s="228"/>
      <c r="FN66" s="228"/>
      <c r="FO66" s="228"/>
      <c r="FP66" s="228"/>
      <c r="FQ66" s="228"/>
      <c r="FR66" s="228"/>
      <c r="FS66" s="228"/>
      <c r="FT66" s="228"/>
      <c r="FU66" s="228"/>
      <c r="FV66" s="228"/>
      <c r="FW66" s="228"/>
      <c r="FX66" s="228"/>
      <c r="FY66" s="228"/>
      <c r="FZ66" s="228"/>
      <c r="GA66" s="228"/>
      <c r="GB66" s="228"/>
      <c r="GC66" s="228"/>
      <c r="GD66" s="228"/>
      <c r="GE66" s="228"/>
      <c r="GF66" s="228"/>
      <c r="GG66" s="228"/>
      <c r="GH66" s="228"/>
      <c r="GI66" s="228"/>
      <c r="GJ66" s="228"/>
      <c r="GK66" s="228"/>
      <c r="GL66" s="228"/>
      <c r="GM66" s="228"/>
      <c r="GN66" s="228"/>
      <c r="GO66" s="228"/>
      <c r="GP66" s="228"/>
      <c r="GQ66" s="228"/>
      <c r="GR66" s="228"/>
      <c r="GS66" s="228"/>
      <c r="GT66" s="228"/>
      <c r="GU66" s="228"/>
      <c r="GV66" s="228"/>
      <c r="GW66" s="228"/>
      <c r="GX66" s="228"/>
      <c r="GY66" s="228"/>
      <c r="GZ66" s="228"/>
      <c r="HA66" s="228"/>
      <c r="HB66" s="228"/>
      <c r="HC66" s="228"/>
      <c r="HD66" s="228"/>
      <c r="HE66" s="228"/>
      <c r="HF66" s="228"/>
      <c r="HG66" s="228"/>
      <c r="HH66" s="228"/>
      <c r="HI66" s="228"/>
      <c r="HJ66" s="228"/>
      <c r="HK66" s="228"/>
      <c r="HL66" s="228"/>
      <c r="HM66" s="228"/>
      <c r="HN66" s="228"/>
      <c r="HO66" s="228"/>
      <c r="HP66" s="228"/>
      <c r="HQ66" s="228"/>
      <c r="HR66" s="228"/>
      <c r="HS66" s="228"/>
      <c r="HT66" s="228"/>
      <c r="HU66" s="228"/>
      <c r="HV66" s="228"/>
      <c r="HW66" s="228"/>
      <c r="HX66" s="228"/>
      <c r="HY66" s="228"/>
      <c r="HZ66" s="228"/>
      <c r="IA66" s="228"/>
      <c r="IB66" s="228"/>
      <c r="IC66" s="228"/>
      <c r="ID66" s="228"/>
      <c r="IE66" s="228"/>
      <c r="IF66" s="228"/>
      <c r="IG66" s="228"/>
      <c r="IH66" s="228"/>
      <c r="II66" s="228"/>
      <c r="IJ66" s="228"/>
      <c r="IK66" s="228"/>
      <c r="IL66" s="228"/>
      <c r="IM66" s="228"/>
      <c r="IN66" s="228"/>
      <c r="IO66" s="228"/>
      <c r="IP66" s="228"/>
      <c r="IQ66" s="228"/>
      <c r="IR66" s="228"/>
      <c r="IS66" s="228"/>
      <c r="IT66" s="228"/>
      <c r="IU66" s="228"/>
      <c r="IV66" s="228"/>
      <c r="IW66" s="228"/>
      <c r="IX66" s="228"/>
      <c r="IY66" s="228"/>
      <c r="IZ66" s="228"/>
      <c r="JA66" s="228"/>
      <c r="JB66" s="228"/>
      <c r="JC66" s="228"/>
      <c r="JD66" s="228"/>
      <c r="JE66" s="228"/>
      <c r="JF66" s="228"/>
      <c r="JG66" s="228"/>
      <c r="JH66" s="228"/>
      <c r="JI66" s="228"/>
      <c r="JJ66" s="228"/>
      <c r="JK66" s="228"/>
      <c r="JL66" s="228"/>
      <c r="JM66" s="228"/>
      <c r="JN66" s="228"/>
      <c r="JO66" s="228"/>
      <c r="JP66" s="228"/>
      <c r="JQ66" s="228"/>
      <c r="JR66" s="228"/>
      <c r="JS66" s="228"/>
      <c r="JT66" s="228"/>
      <c r="JU66" s="228"/>
      <c r="JV66" s="228"/>
      <c r="JW66" s="228"/>
      <c r="JX66" s="228"/>
      <c r="JY66" s="228"/>
      <c r="JZ66" s="228"/>
      <c r="KA66" s="228"/>
      <c r="KB66" s="228"/>
      <c r="KC66" s="228"/>
      <c r="KD66" s="228"/>
      <c r="KE66" s="228"/>
      <c r="KF66" s="228"/>
      <c r="KG66" s="228"/>
      <c r="KH66" s="228"/>
      <c r="KI66" s="228"/>
      <c r="KJ66" s="228"/>
      <c r="KK66" s="228"/>
      <c r="KL66" s="228"/>
      <c r="KM66" s="228"/>
      <c r="KN66" s="228"/>
      <c r="KO66" s="228"/>
      <c r="KP66" s="228"/>
      <c r="KQ66" s="228"/>
      <c r="KR66" s="228"/>
      <c r="KS66" s="228"/>
      <c r="KT66" s="228"/>
      <c r="KU66" s="228"/>
      <c r="KV66" s="228"/>
      <c r="KW66" s="228"/>
      <c r="KX66" s="228"/>
      <c r="KY66" s="228"/>
      <c r="KZ66" s="228"/>
      <c r="LA66" s="228"/>
      <c r="LB66" s="228"/>
      <c r="LC66" s="228"/>
      <c r="LD66" s="228"/>
      <c r="LE66" s="228"/>
      <c r="LF66" s="228"/>
      <c r="LG66" s="228"/>
      <c r="LH66" s="228"/>
      <c r="LI66" s="228"/>
      <c r="LJ66" s="228"/>
      <c r="LK66" s="228"/>
      <c r="LL66" s="228"/>
      <c r="LM66" s="228"/>
      <c r="LN66" s="228"/>
      <c r="LO66" s="228"/>
      <c r="LP66" s="228"/>
      <c r="LQ66" s="228"/>
      <c r="LR66" s="228"/>
      <c r="LS66" s="228"/>
      <c r="LT66" s="228"/>
      <c r="LU66" s="228"/>
      <c r="LV66" s="228"/>
      <c r="LW66" s="228"/>
      <c r="LX66" s="228"/>
      <c r="LY66" s="228"/>
      <c r="LZ66" s="228"/>
      <c r="MA66" s="228"/>
      <c r="MB66" s="228"/>
      <c r="MC66" s="228"/>
      <c r="MD66" s="228"/>
      <c r="ME66" s="228"/>
      <c r="MF66" s="228"/>
      <c r="MG66" s="228"/>
      <c r="MH66" s="228"/>
      <c r="MI66" s="228"/>
      <c r="MJ66" s="228"/>
      <c r="MK66" s="228"/>
      <c r="ML66" s="228"/>
      <c r="MM66" s="228"/>
      <c r="MN66" s="228"/>
      <c r="MO66" s="228"/>
      <c r="MP66" s="228"/>
      <c r="MQ66" s="228"/>
      <c r="MR66" s="228"/>
      <c r="MS66" s="228"/>
      <c r="MT66" s="228"/>
      <c r="MU66" s="228"/>
      <c r="MV66" s="228"/>
      <c r="MW66" s="228"/>
      <c r="MX66" s="228"/>
      <c r="MY66" s="228"/>
      <c r="MZ66" s="228"/>
      <c r="NA66" s="228"/>
      <c r="NB66" s="228"/>
      <c r="NC66" s="228"/>
      <c r="ND66" s="228"/>
      <c r="NE66" s="228"/>
      <c r="NF66" s="228"/>
      <c r="NG66" s="228"/>
      <c r="NH66" s="228"/>
      <c r="NI66" s="228"/>
      <c r="NJ66" s="228"/>
      <c r="NK66" s="228"/>
      <c r="NL66" s="228"/>
      <c r="NM66" s="228"/>
      <c r="NN66" s="228"/>
      <c r="NO66" s="228"/>
      <c r="NP66" s="228"/>
      <c r="NQ66" s="228"/>
      <c r="NR66" s="228"/>
      <c r="NS66" s="228"/>
      <c r="NT66" s="228"/>
      <c r="NU66" s="228"/>
      <c r="NV66" s="228"/>
      <c r="NW66" s="228"/>
      <c r="NX66" s="228"/>
      <c r="NY66" s="228"/>
      <c r="NZ66" s="228"/>
      <c r="OA66" s="228"/>
      <c r="OB66" s="228"/>
      <c r="OC66" s="228"/>
      <c r="OD66" s="228"/>
      <c r="OE66" s="228"/>
      <c r="OF66" s="228"/>
      <c r="OG66" s="228"/>
      <c r="OH66" s="228"/>
      <c r="OI66" s="228"/>
      <c r="OJ66" s="228"/>
      <c r="OK66" s="228"/>
      <c r="OL66" s="228"/>
      <c r="OM66" s="228"/>
      <c r="ON66" s="228"/>
      <c r="OO66" s="228"/>
      <c r="OP66" s="228"/>
      <c r="OQ66" s="228"/>
      <c r="OR66" s="228"/>
      <c r="OS66" s="228"/>
      <c r="OT66" s="228"/>
      <c r="OU66" s="228"/>
      <c r="OV66" s="228"/>
      <c r="OW66" s="228"/>
      <c r="OX66" s="228"/>
      <c r="OY66" s="228"/>
      <c r="OZ66" s="228"/>
      <c r="PA66" s="228"/>
      <c r="PB66" s="228"/>
      <c r="PC66" s="228"/>
      <c r="PD66" s="228"/>
      <c r="PE66" s="228"/>
      <c r="PF66" s="228"/>
      <c r="PG66" s="228"/>
      <c r="PH66" s="228"/>
      <c r="PI66" s="228"/>
      <c r="PJ66" s="228"/>
      <c r="PK66" s="228"/>
      <c r="PL66" s="228"/>
      <c r="PM66" s="228"/>
      <c r="PN66" s="228"/>
      <c r="PO66" s="228"/>
      <c r="PP66" s="228"/>
      <c r="PQ66" s="228"/>
      <c r="PR66" s="228"/>
      <c r="PS66" s="228"/>
      <c r="PT66" s="228"/>
      <c r="PU66" s="228"/>
      <c r="PV66" s="228"/>
      <c r="PW66" s="228"/>
      <c r="PX66" s="228"/>
      <c r="PY66" s="228"/>
      <c r="PZ66" s="228"/>
      <c r="QA66" s="228"/>
      <c r="QB66" s="228"/>
      <c r="QC66" s="228"/>
      <c r="QD66" s="228"/>
      <c r="QE66" s="228"/>
      <c r="QF66" s="228"/>
      <c r="QG66" s="228"/>
      <c r="QH66" s="228"/>
      <c r="QI66" s="228"/>
      <c r="QJ66" s="228"/>
      <c r="QK66" s="228"/>
      <c r="QL66" s="228"/>
      <c r="QM66" s="228"/>
      <c r="QN66" s="228"/>
      <c r="QO66" s="228"/>
      <c r="QP66" s="228"/>
      <c r="QQ66" s="228"/>
      <c r="QR66" s="228"/>
      <c r="QS66" s="228"/>
      <c r="QT66" s="228"/>
      <c r="QU66" s="228"/>
      <c r="QV66" s="228"/>
      <c r="QW66" s="228"/>
      <c r="QX66" s="228"/>
      <c r="QY66" s="228"/>
      <c r="QZ66" s="228"/>
      <c r="RA66" s="228"/>
      <c r="RB66" s="228"/>
      <c r="RC66" s="228"/>
      <c r="RD66" s="228"/>
      <c r="RE66" s="228"/>
      <c r="RF66" s="228"/>
      <c r="RG66" s="228"/>
      <c r="RH66" s="228"/>
      <c r="RI66" s="228"/>
      <c r="RJ66" s="228"/>
      <c r="RK66" s="228"/>
      <c r="RL66" s="228"/>
      <c r="RM66" s="228"/>
      <c r="RN66" s="228"/>
      <c r="RO66" s="228"/>
      <c r="RP66" s="228"/>
      <c r="RQ66" s="228"/>
      <c r="RR66" s="228"/>
      <c r="RS66" s="228"/>
      <c r="RT66" s="228"/>
      <c r="RU66" s="228"/>
      <c r="RV66" s="228"/>
      <c r="RW66" s="228"/>
      <c r="RX66" s="228"/>
      <c r="RY66" s="228"/>
      <c r="RZ66" s="228"/>
      <c r="SA66" s="228"/>
      <c r="SB66" s="228"/>
      <c r="SC66" s="228"/>
      <c r="SD66" s="228"/>
      <c r="SE66" s="228"/>
      <c r="SF66" s="228"/>
      <c r="SG66" s="228"/>
      <c r="SH66" s="228"/>
      <c r="SI66" s="228"/>
      <c r="SJ66" s="228"/>
      <c r="SK66" s="228"/>
      <c r="SL66" s="228"/>
      <c r="SM66" s="228"/>
      <c r="SN66" s="228"/>
      <c r="SO66" s="228"/>
      <c r="SP66" s="228"/>
      <c r="SQ66" s="228"/>
      <c r="SR66" s="228"/>
      <c r="SS66" s="228"/>
      <c r="ST66" s="228"/>
      <c r="SU66" s="228"/>
      <c r="SV66" s="228"/>
      <c r="SW66" s="228"/>
      <c r="SX66" s="228"/>
      <c r="SY66" s="228"/>
      <c r="SZ66" s="228"/>
      <c r="TA66" s="228"/>
      <c r="TB66" s="228"/>
      <c r="TC66" s="228"/>
      <c r="TD66" s="228"/>
      <c r="TE66" s="228"/>
      <c r="TF66" s="228"/>
      <c r="TG66" s="228"/>
      <c r="TH66" s="228"/>
      <c r="TI66" s="228"/>
      <c r="TJ66" s="228"/>
      <c r="TK66" s="228"/>
      <c r="TL66" s="228"/>
      <c r="TM66" s="228"/>
      <c r="TN66" s="228"/>
      <c r="TO66" s="228"/>
      <c r="TP66" s="228"/>
      <c r="TQ66" s="228"/>
      <c r="TR66" s="228"/>
      <c r="TS66" s="228"/>
      <c r="TT66" s="228"/>
      <c r="TU66" s="228"/>
      <c r="TV66" s="228"/>
      <c r="TW66" s="228"/>
      <c r="TX66" s="228"/>
      <c r="TY66" s="228"/>
      <c r="TZ66" s="228"/>
      <c r="UA66" s="228"/>
      <c r="UB66" s="228"/>
      <c r="UC66" s="228"/>
      <c r="UD66" s="228"/>
      <c r="UE66" s="228"/>
      <c r="UF66" s="228"/>
      <c r="UG66" s="228"/>
      <c r="UH66" s="228"/>
      <c r="UI66" s="228"/>
      <c r="UJ66" s="228"/>
      <c r="UK66" s="228"/>
      <c r="UL66" s="228"/>
      <c r="UM66" s="228"/>
      <c r="UN66" s="228"/>
      <c r="UO66" s="228"/>
      <c r="UP66" s="228"/>
      <c r="UQ66" s="228"/>
      <c r="UR66" s="228"/>
      <c r="US66" s="228"/>
      <c r="UT66" s="228"/>
      <c r="UU66" s="228"/>
      <c r="UV66" s="228"/>
      <c r="UW66" s="228"/>
      <c r="UX66" s="228"/>
      <c r="UY66" s="228"/>
      <c r="UZ66" s="228"/>
      <c r="VA66" s="228"/>
      <c r="VB66" s="228"/>
      <c r="VC66" s="228"/>
      <c r="VD66" s="228"/>
      <c r="VE66" s="228"/>
      <c r="VF66" s="228"/>
      <c r="VG66" s="228"/>
      <c r="VH66" s="228"/>
      <c r="VI66" s="228"/>
      <c r="VJ66" s="228"/>
      <c r="VK66" s="228"/>
      <c r="VL66" s="228"/>
      <c r="VM66" s="228"/>
      <c r="VN66" s="228"/>
      <c r="VO66" s="228"/>
      <c r="VP66" s="228"/>
      <c r="VQ66" s="228"/>
      <c r="VR66" s="228"/>
      <c r="VS66" s="228"/>
      <c r="VT66" s="228"/>
      <c r="VU66" s="228"/>
      <c r="VV66" s="228"/>
      <c r="VW66" s="228"/>
      <c r="VX66" s="228"/>
      <c r="VY66" s="228"/>
      <c r="VZ66" s="228"/>
      <c r="WA66" s="228"/>
      <c r="WB66" s="228"/>
      <c r="WC66" s="228"/>
      <c r="WD66" s="228"/>
      <c r="WE66" s="228"/>
      <c r="WF66" s="228"/>
      <c r="WG66" s="228"/>
      <c r="WH66" s="228"/>
      <c r="WI66" s="228"/>
      <c r="WJ66" s="228"/>
      <c r="WK66" s="228"/>
      <c r="WL66" s="228"/>
      <c r="WM66" s="228"/>
      <c r="WN66" s="228"/>
      <c r="WO66" s="228"/>
      <c r="WP66" s="228"/>
      <c r="WQ66" s="228"/>
      <c r="WR66" s="228"/>
      <c r="WS66" s="228"/>
      <c r="WT66" s="228"/>
      <c r="WU66" s="228"/>
      <c r="WV66" s="228"/>
      <c r="WW66" s="228"/>
      <c r="WX66" s="228"/>
      <c r="WY66" s="228"/>
      <c r="WZ66" s="228"/>
      <c r="XA66" s="228"/>
      <c r="XB66" s="228"/>
      <c r="XC66" s="228"/>
      <c r="XD66" s="228"/>
      <c r="XE66" s="228"/>
      <c r="XF66" s="228"/>
      <c r="XG66" s="228"/>
      <c r="XH66" s="228"/>
      <c r="XI66" s="228"/>
      <c r="XJ66" s="228"/>
      <c r="XK66" s="228"/>
      <c r="XL66" s="228"/>
      <c r="XM66" s="228"/>
      <c r="XN66" s="228"/>
      <c r="XO66" s="228"/>
      <c r="XP66" s="228"/>
      <c r="XQ66" s="228"/>
      <c r="XR66" s="228"/>
      <c r="XS66" s="228"/>
      <c r="XT66" s="228"/>
      <c r="XU66" s="228"/>
      <c r="XV66" s="228"/>
      <c r="XW66" s="228"/>
      <c r="XX66" s="228"/>
      <c r="XY66" s="228"/>
      <c r="XZ66" s="228"/>
      <c r="YA66" s="228"/>
      <c r="YB66" s="228"/>
      <c r="YC66" s="228"/>
      <c r="YD66" s="228"/>
      <c r="YE66" s="228"/>
      <c r="YF66" s="228"/>
      <c r="YG66" s="228"/>
      <c r="YH66" s="228"/>
      <c r="YI66" s="228"/>
      <c r="YJ66" s="228"/>
      <c r="YK66" s="228"/>
      <c r="YL66" s="228"/>
      <c r="YM66" s="228"/>
      <c r="YN66" s="228"/>
      <c r="YO66" s="228"/>
      <c r="YP66" s="228"/>
      <c r="YQ66" s="228"/>
      <c r="YR66" s="228"/>
      <c r="YS66" s="228"/>
      <c r="YT66" s="228"/>
      <c r="YU66" s="228"/>
      <c r="YV66" s="228"/>
      <c r="YW66" s="228"/>
      <c r="YX66" s="228"/>
      <c r="YY66" s="228"/>
      <c r="YZ66" s="228"/>
      <c r="ZA66" s="228"/>
      <c r="ZB66" s="228"/>
      <c r="ZC66" s="228"/>
      <c r="ZD66" s="228"/>
      <c r="ZE66" s="228"/>
      <c r="ZF66" s="228"/>
      <c r="ZG66" s="228"/>
      <c r="ZH66" s="228"/>
      <c r="ZI66" s="228"/>
      <c r="ZJ66" s="228"/>
      <c r="ZK66" s="228"/>
      <c r="ZL66" s="228"/>
      <c r="ZM66" s="228"/>
      <c r="ZN66" s="228"/>
      <c r="ZO66" s="228"/>
      <c r="ZP66" s="228"/>
      <c r="ZQ66" s="228"/>
      <c r="ZR66" s="228"/>
      <c r="ZS66" s="228"/>
      <c r="ZT66" s="228"/>
      <c r="ZU66" s="228"/>
      <c r="ZV66" s="228"/>
      <c r="ZW66" s="228"/>
      <c r="ZX66" s="228"/>
      <c r="ZY66" s="228"/>
      <c r="ZZ66" s="228"/>
      <c r="AAA66" s="228"/>
      <c r="AAB66" s="228"/>
      <c r="AAC66" s="228"/>
      <c r="AAD66" s="228"/>
      <c r="AAE66" s="228"/>
      <c r="AAF66" s="228"/>
      <c r="AAG66" s="228"/>
      <c r="AAH66" s="228"/>
      <c r="AAI66" s="228"/>
      <c r="AAJ66" s="228"/>
      <c r="AAK66" s="228"/>
      <c r="AAL66" s="228"/>
      <c r="AAM66" s="228"/>
      <c r="AAN66" s="228"/>
      <c r="AAO66" s="228"/>
      <c r="AAP66" s="228"/>
      <c r="AAQ66" s="228"/>
      <c r="AAR66" s="228"/>
      <c r="AAS66" s="228"/>
      <c r="AAT66" s="228"/>
      <c r="AAU66" s="228"/>
      <c r="AAV66" s="228"/>
      <c r="AAW66" s="228"/>
      <c r="AAX66" s="228"/>
      <c r="AAY66" s="228"/>
      <c r="AAZ66" s="228"/>
      <c r="ABA66" s="228"/>
      <c r="ABB66" s="228"/>
      <c r="ABC66" s="228"/>
      <c r="ABD66" s="228"/>
      <c r="ABE66" s="228"/>
      <c r="ABF66" s="228"/>
      <c r="ABG66" s="228"/>
      <c r="ABH66" s="228"/>
      <c r="ABI66" s="228"/>
      <c r="ABJ66" s="228"/>
      <c r="ABK66" s="228"/>
      <c r="ABL66" s="228"/>
      <c r="ABM66" s="228"/>
      <c r="ABN66" s="228"/>
      <c r="ABO66" s="228"/>
      <c r="ABP66" s="228"/>
      <c r="ABQ66" s="228"/>
      <c r="ABR66" s="228"/>
      <c r="ABS66" s="228"/>
      <c r="ABT66" s="228"/>
      <c r="ABU66" s="228"/>
      <c r="ABV66" s="228"/>
      <c r="ABW66" s="228"/>
      <c r="ABX66" s="228"/>
      <c r="ABY66" s="228"/>
      <c r="ABZ66" s="228"/>
      <c r="ACA66" s="228"/>
      <c r="ACB66" s="228"/>
      <c r="ACC66" s="228"/>
      <c r="ACD66" s="228"/>
      <c r="ACE66" s="228"/>
      <c r="ACF66" s="228"/>
      <c r="ACG66" s="228"/>
      <c r="ACH66" s="228"/>
      <c r="ACI66" s="228"/>
      <c r="ACJ66" s="228"/>
      <c r="ACK66" s="228"/>
      <c r="ACL66" s="228"/>
      <c r="ACM66" s="228"/>
      <c r="ACN66" s="228"/>
      <c r="ACO66" s="228"/>
      <c r="ACP66" s="228"/>
      <c r="ACQ66" s="228"/>
      <c r="ACR66" s="228"/>
      <c r="ACS66" s="228"/>
      <c r="ACT66" s="228"/>
      <c r="ACU66" s="228"/>
      <c r="ACV66" s="228"/>
      <c r="ACW66" s="228"/>
      <c r="ACX66" s="228"/>
      <c r="ACY66" s="228"/>
      <c r="ACZ66" s="228"/>
      <c r="ADA66" s="228"/>
      <c r="ADB66" s="228"/>
      <c r="ADC66" s="228"/>
      <c r="ADD66" s="228"/>
      <c r="ADE66" s="228"/>
      <c r="ADF66" s="228"/>
      <c r="ADG66" s="228"/>
      <c r="ADH66" s="228"/>
      <c r="ADI66" s="228"/>
      <c r="ADJ66" s="228"/>
      <c r="ADK66" s="228"/>
      <c r="ADL66" s="228"/>
      <c r="ADM66" s="228"/>
      <c r="ADN66" s="228"/>
      <c r="ADO66" s="228"/>
      <c r="ADP66" s="228"/>
      <c r="ADQ66" s="228"/>
      <c r="ADR66" s="228"/>
      <c r="ADS66" s="228"/>
      <c r="ADT66" s="228"/>
      <c r="ADU66" s="228"/>
      <c r="ADV66" s="228"/>
      <c r="ADW66" s="228"/>
      <c r="ADX66" s="228"/>
      <c r="ADY66" s="228"/>
      <c r="ADZ66" s="228"/>
      <c r="AEA66" s="228"/>
      <c r="AEB66" s="228"/>
      <c r="AEC66" s="228"/>
      <c r="AED66" s="228"/>
      <c r="AEE66" s="228"/>
      <c r="AEF66" s="228"/>
      <c r="AEG66" s="228"/>
      <c r="AEH66" s="228"/>
      <c r="AEI66" s="228"/>
      <c r="AEJ66" s="228"/>
      <c r="AEK66" s="228"/>
      <c r="AEL66" s="228"/>
      <c r="AEM66" s="228"/>
      <c r="AEN66" s="228"/>
      <c r="AEO66" s="228"/>
      <c r="AEP66" s="228"/>
      <c r="AEQ66" s="228"/>
      <c r="AER66" s="228"/>
      <c r="AES66" s="228"/>
      <c r="AET66" s="228"/>
      <c r="AEU66" s="228"/>
      <c r="AEV66" s="228"/>
      <c r="AEW66" s="228"/>
      <c r="AEX66" s="228"/>
      <c r="AEY66" s="228"/>
      <c r="AEZ66" s="228"/>
      <c r="AFA66" s="228"/>
      <c r="AFB66" s="228"/>
      <c r="AFC66" s="228"/>
      <c r="AFD66" s="228"/>
      <c r="AFE66" s="228"/>
      <c r="AFF66" s="228"/>
      <c r="AFG66" s="228"/>
      <c r="AFH66" s="228"/>
      <c r="AFI66" s="228"/>
      <c r="AFJ66" s="228"/>
      <c r="AFK66" s="228"/>
      <c r="AFL66" s="228"/>
      <c r="AFM66" s="228"/>
      <c r="AFN66" s="228"/>
      <c r="AFO66" s="228"/>
      <c r="AFP66" s="228"/>
      <c r="AFQ66" s="228"/>
      <c r="AFR66" s="228"/>
      <c r="AFS66" s="228"/>
      <c r="AFT66" s="228"/>
      <c r="AFU66" s="228"/>
      <c r="AFV66" s="228"/>
      <c r="AFW66" s="228"/>
      <c r="AFX66" s="228"/>
      <c r="AFY66" s="228"/>
      <c r="AFZ66" s="228"/>
      <c r="AGA66" s="228"/>
      <c r="AGB66" s="228"/>
      <c r="AGC66" s="228"/>
      <c r="AGD66" s="228"/>
      <c r="AGE66" s="228"/>
      <c r="AGF66" s="228"/>
      <c r="AGG66" s="228"/>
      <c r="AGH66" s="228"/>
      <c r="AGI66" s="228"/>
      <c r="AGJ66" s="228"/>
      <c r="AGK66" s="228"/>
      <c r="AGL66" s="228"/>
      <c r="AGM66" s="228"/>
      <c r="AGN66" s="228"/>
      <c r="AGO66" s="228"/>
      <c r="AGP66" s="228"/>
      <c r="AGQ66" s="228"/>
      <c r="AGR66" s="228"/>
      <c r="AGS66" s="228"/>
      <c r="AGT66" s="228"/>
      <c r="AGU66" s="228"/>
      <c r="AGV66" s="228"/>
      <c r="AGW66" s="228"/>
      <c r="AGX66" s="228"/>
      <c r="AGY66" s="228"/>
      <c r="AGZ66" s="228"/>
      <c r="AHA66" s="228"/>
      <c r="AHB66" s="228"/>
      <c r="AHC66" s="228"/>
      <c r="AHD66" s="228"/>
      <c r="AHE66" s="228"/>
      <c r="AHF66" s="228"/>
      <c r="AHG66" s="228"/>
      <c r="AHH66" s="228"/>
      <c r="AHI66" s="228"/>
      <c r="AHJ66" s="228"/>
      <c r="AHK66" s="228"/>
      <c r="AHL66" s="228"/>
      <c r="AHM66" s="228"/>
      <c r="AHN66" s="228"/>
      <c r="AHO66" s="228"/>
      <c r="AHP66" s="228"/>
      <c r="AHQ66" s="228"/>
      <c r="AHR66" s="228"/>
      <c r="AHS66" s="228"/>
      <c r="AHT66" s="228"/>
      <c r="AHU66" s="228"/>
      <c r="AHV66" s="228"/>
      <c r="AHW66" s="228"/>
      <c r="AHX66" s="228"/>
      <c r="AHY66" s="228"/>
      <c r="AHZ66" s="228"/>
      <c r="AIA66" s="228"/>
      <c r="AIB66" s="228"/>
      <c r="AIC66" s="228"/>
      <c r="AID66" s="228"/>
      <c r="AIE66" s="228"/>
      <c r="AIF66" s="228"/>
      <c r="AIG66" s="228"/>
      <c r="AIH66" s="228"/>
      <c r="AII66" s="228"/>
      <c r="AIJ66" s="228"/>
      <c r="AIK66" s="228"/>
      <c r="AIL66" s="228"/>
      <c r="AIM66" s="228"/>
      <c r="AIN66" s="228"/>
      <c r="AIO66" s="228"/>
      <c r="AIP66" s="228"/>
      <c r="AIQ66" s="228"/>
      <c r="AIR66" s="228"/>
      <c r="AIS66" s="228"/>
      <c r="AIT66" s="228"/>
      <c r="AIU66" s="228"/>
      <c r="AIV66" s="228"/>
      <c r="AIW66" s="228"/>
      <c r="AIX66" s="228"/>
      <c r="AIY66" s="228"/>
      <c r="AIZ66" s="228"/>
      <c r="AJA66" s="228"/>
      <c r="AJB66" s="228"/>
      <c r="AJC66" s="228"/>
      <c r="AJD66" s="228"/>
      <c r="AJE66" s="228"/>
      <c r="AJF66" s="228"/>
      <c r="AJG66" s="228"/>
      <c r="AJH66" s="228"/>
      <c r="AJI66" s="228"/>
      <c r="AJJ66" s="228"/>
      <c r="AJK66" s="228"/>
      <c r="AJL66" s="228"/>
      <c r="AJM66" s="228"/>
      <c r="AJN66" s="228"/>
      <c r="AJO66" s="228"/>
      <c r="AJP66" s="228"/>
      <c r="AJQ66" s="228"/>
      <c r="AJR66" s="228"/>
      <c r="AJS66" s="228"/>
      <c r="AJT66" s="228"/>
      <c r="AJU66" s="228"/>
      <c r="AJV66" s="228"/>
      <c r="AJW66" s="228"/>
      <c r="AJX66" s="228"/>
      <c r="AJY66" s="228"/>
      <c r="AJZ66" s="228"/>
      <c r="AKA66" s="228"/>
      <c r="AKB66" s="228"/>
      <c r="AKC66" s="228"/>
      <c r="AKD66" s="228"/>
      <c r="AKE66" s="228"/>
      <c r="AKF66" s="228"/>
      <c r="AKG66" s="228"/>
      <c r="AKH66" s="228"/>
      <c r="AKI66" s="228"/>
      <c r="AKJ66" s="228"/>
      <c r="AKK66" s="228"/>
      <c r="AKL66" s="228"/>
      <c r="AKM66" s="228"/>
      <c r="AKN66" s="228"/>
      <c r="AKO66" s="228"/>
      <c r="AKP66" s="228"/>
      <c r="AKQ66" s="228"/>
      <c r="AKR66" s="228"/>
      <c r="AKS66" s="228"/>
      <c r="AKT66" s="228"/>
      <c r="AKU66" s="228"/>
      <c r="AKV66" s="228"/>
      <c r="AKW66" s="228"/>
      <c r="AKX66" s="228"/>
      <c r="AKY66" s="228"/>
      <c r="AKZ66" s="228"/>
      <c r="ALA66" s="228"/>
      <c r="ALB66" s="228"/>
      <c r="ALC66" s="228"/>
      <c r="ALD66" s="228"/>
      <c r="ALE66" s="228"/>
      <c r="ALF66" s="228"/>
      <c r="ALG66" s="228"/>
      <c r="ALH66" s="228"/>
    </row>
    <row r="67" spans="1:996" s="229" customFormat="1">
      <c r="A67" s="37"/>
      <c r="B67" t="str">
        <f t="shared" si="0"/>
        <v>E223211</v>
      </c>
      <c r="C67" s="29" t="s">
        <v>367</v>
      </c>
      <c r="D67" s="26" t="s">
        <v>73</v>
      </c>
      <c r="E67" s="7">
        <v>223211</v>
      </c>
      <c r="F67" s="48" t="s">
        <v>853</v>
      </c>
      <c r="G67" s="49">
        <f>IFERROR(VLOOKUP(E67,'BD - E - Mvto Cx'!$A$15:$D$500,4,0),0)</f>
        <v>44842.66</v>
      </c>
      <c r="H67" s="50">
        <f>IFERROR(VLOOKUP(E67,'BD - E - Mvto Cx'!$J$15:$M$500,4,0),0)</f>
        <v>0</v>
      </c>
      <c r="I67" s="50">
        <f>IFERROR(VLOOKUP(E67,'BD - E - Mvto Cx'!$S$15:$V$500,4,0),0)</f>
        <v>0</v>
      </c>
      <c r="J67" s="50">
        <f>IFERROR(VLOOKUP(E67,'BD - E - Mvto Cx'!$AB$15:$AE$500,4,0),0)</f>
        <v>0</v>
      </c>
      <c r="K67" s="50">
        <f>IFERROR(VLOOKUP(E67,'BD - E - Mvto Cx'!$AK$15:$AN$500,4,0),0)</f>
        <v>0</v>
      </c>
      <c r="L67" s="50">
        <f>IFERROR(VLOOKUP(E67,'BD - E - Mvto Cx'!$AT$15:$AW$500,4,0),0)</f>
        <v>0</v>
      </c>
      <c r="M67" s="50">
        <f>IFERROR(VLOOKUP(E67,'BD - E - Mvto Cx'!$BF$15:$BI$500,4,0),0)</f>
        <v>0</v>
      </c>
      <c r="N67" s="50">
        <f>IFERROR(VLOOKUP(E67,'BD - E - Mvto Cx'!$BO$15:$BR$500,4,0),0)</f>
        <v>0</v>
      </c>
      <c r="O67" s="50">
        <f>IFERROR(VLOOKUP(E67,'BD - E - Mvto Cx'!$BX$15:$CA$500,4,0),0)</f>
        <v>0</v>
      </c>
      <c r="P67" s="50">
        <f>IFERROR(VLOOKUP(E67,'BD - E - Mvto Cx'!$CG$15:$CJ$500,4,0),0)</f>
        <v>0</v>
      </c>
      <c r="Q67" s="50">
        <f>IFERROR(VLOOKUP(E67,'BD - E - Mvto Cx'!$CP$15:$CS$500,4,0),0)</f>
        <v>0</v>
      </c>
      <c r="R67" s="50">
        <f>IFERROR(VLOOKUP(E67,'BD - E - Mvto Cx'!$CY$15:$DB$500,4,0),0)</f>
        <v>0</v>
      </c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A67" s="228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8"/>
      <c r="BM67" s="228"/>
      <c r="BN67" s="228"/>
      <c r="BO67" s="228"/>
      <c r="BP67" s="228"/>
      <c r="BQ67" s="228"/>
      <c r="BR67" s="228"/>
      <c r="BS67" s="228"/>
      <c r="BT67" s="228"/>
      <c r="BU67" s="228"/>
      <c r="BV67" s="228"/>
      <c r="BW67" s="228"/>
      <c r="BX67" s="228"/>
      <c r="BY67" s="228"/>
      <c r="BZ67" s="228"/>
      <c r="CA67" s="228"/>
      <c r="CB67" s="228"/>
      <c r="CC67" s="228"/>
      <c r="CD67" s="228"/>
      <c r="CE67" s="228"/>
      <c r="CF67" s="228"/>
      <c r="CG67" s="228"/>
      <c r="CH67" s="228"/>
      <c r="CI67" s="228"/>
      <c r="CJ67" s="228"/>
      <c r="CK67" s="228"/>
      <c r="CL67" s="228"/>
      <c r="CM67" s="228"/>
      <c r="CN67" s="228"/>
      <c r="CO67" s="228"/>
      <c r="CP67" s="228"/>
      <c r="CQ67" s="228"/>
      <c r="CR67" s="228"/>
      <c r="CS67" s="228"/>
      <c r="CT67" s="228"/>
      <c r="CU67" s="228"/>
      <c r="CV67" s="228"/>
      <c r="CW67" s="228"/>
      <c r="CX67" s="228"/>
      <c r="CY67" s="228"/>
      <c r="CZ67" s="228"/>
      <c r="DA67" s="228"/>
      <c r="DB67" s="228"/>
      <c r="DC67" s="228"/>
      <c r="DD67" s="228"/>
      <c r="DE67" s="228"/>
      <c r="DF67" s="228"/>
      <c r="DG67" s="228"/>
      <c r="DH67" s="228"/>
      <c r="DI67" s="228"/>
      <c r="DJ67" s="228"/>
      <c r="DK67" s="228"/>
      <c r="DL67" s="228"/>
      <c r="DM67" s="228"/>
      <c r="DN67" s="228"/>
      <c r="DO67" s="228"/>
      <c r="DP67" s="228"/>
      <c r="DQ67" s="228"/>
      <c r="DR67" s="228"/>
      <c r="DS67" s="228"/>
      <c r="DT67" s="228"/>
      <c r="DU67" s="228"/>
      <c r="DV67" s="228"/>
      <c r="DW67" s="228"/>
      <c r="DX67" s="228"/>
      <c r="DY67" s="228"/>
      <c r="DZ67" s="228"/>
      <c r="EA67" s="228"/>
      <c r="EB67" s="228"/>
      <c r="EC67" s="228"/>
      <c r="ED67" s="228"/>
      <c r="EE67" s="228"/>
      <c r="EF67" s="228"/>
      <c r="EG67" s="228"/>
      <c r="EH67" s="228"/>
      <c r="EI67" s="228"/>
      <c r="EJ67" s="228"/>
      <c r="EK67" s="228"/>
      <c r="EL67" s="228"/>
      <c r="EM67" s="228"/>
      <c r="EN67" s="228"/>
      <c r="EO67" s="228"/>
      <c r="EP67" s="228"/>
      <c r="EQ67" s="228"/>
      <c r="ER67" s="228"/>
      <c r="ES67" s="228"/>
      <c r="ET67" s="228"/>
      <c r="EU67" s="228"/>
      <c r="EV67" s="228"/>
      <c r="EW67" s="228"/>
      <c r="EX67" s="228"/>
      <c r="EY67" s="228"/>
      <c r="EZ67" s="228"/>
      <c r="FA67" s="228"/>
      <c r="FB67" s="228"/>
      <c r="FC67" s="228"/>
      <c r="FD67" s="228"/>
      <c r="FE67" s="228"/>
      <c r="FF67" s="228"/>
      <c r="FG67" s="228"/>
      <c r="FH67" s="228"/>
      <c r="FI67" s="228"/>
      <c r="FJ67" s="228"/>
      <c r="FK67" s="228"/>
      <c r="FL67" s="228"/>
      <c r="FM67" s="228"/>
      <c r="FN67" s="228"/>
      <c r="FO67" s="228"/>
      <c r="FP67" s="228"/>
      <c r="FQ67" s="228"/>
      <c r="FR67" s="228"/>
      <c r="FS67" s="228"/>
      <c r="FT67" s="228"/>
      <c r="FU67" s="228"/>
      <c r="FV67" s="228"/>
      <c r="FW67" s="228"/>
      <c r="FX67" s="228"/>
      <c r="FY67" s="228"/>
      <c r="FZ67" s="228"/>
      <c r="GA67" s="228"/>
      <c r="GB67" s="228"/>
      <c r="GC67" s="228"/>
      <c r="GD67" s="228"/>
      <c r="GE67" s="228"/>
      <c r="GF67" s="228"/>
      <c r="GG67" s="228"/>
      <c r="GH67" s="228"/>
      <c r="GI67" s="228"/>
      <c r="GJ67" s="228"/>
      <c r="GK67" s="228"/>
      <c r="GL67" s="228"/>
      <c r="GM67" s="228"/>
      <c r="GN67" s="228"/>
      <c r="GO67" s="228"/>
      <c r="GP67" s="228"/>
      <c r="GQ67" s="228"/>
      <c r="GR67" s="228"/>
      <c r="GS67" s="228"/>
      <c r="GT67" s="228"/>
      <c r="GU67" s="228"/>
      <c r="GV67" s="228"/>
      <c r="GW67" s="228"/>
      <c r="GX67" s="228"/>
      <c r="GY67" s="228"/>
      <c r="GZ67" s="228"/>
      <c r="HA67" s="228"/>
      <c r="HB67" s="228"/>
      <c r="HC67" s="228"/>
      <c r="HD67" s="228"/>
      <c r="HE67" s="228"/>
      <c r="HF67" s="228"/>
      <c r="HG67" s="228"/>
      <c r="HH67" s="228"/>
      <c r="HI67" s="228"/>
      <c r="HJ67" s="228"/>
      <c r="HK67" s="228"/>
      <c r="HL67" s="228"/>
      <c r="HM67" s="228"/>
      <c r="HN67" s="228"/>
      <c r="HO67" s="228"/>
      <c r="HP67" s="228"/>
      <c r="HQ67" s="228"/>
      <c r="HR67" s="228"/>
      <c r="HS67" s="228"/>
      <c r="HT67" s="228"/>
      <c r="HU67" s="228"/>
      <c r="HV67" s="228"/>
      <c r="HW67" s="228"/>
      <c r="HX67" s="228"/>
      <c r="HY67" s="228"/>
      <c r="HZ67" s="228"/>
      <c r="IA67" s="228"/>
      <c r="IB67" s="228"/>
      <c r="IC67" s="228"/>
      <c r="ID67" s="228"/>
      <c r="IE67" s="228"/>
      <c r="IF67" s="228"/>
      <c r="IG67" s="228"/>
      <c r="IH67" s="228"/>
      <c r="II67" s="228"/>
      <c r="IJ67" s="228"/>
      <c r="IK67" s="228"/>
      <c r="IL67" s="228"/>
      <c r="IM67" s="228"/>
      <c r="IN67" s="228"/>
      <c r="IO67" s="228"/>
      <c r="IP67" s="228"/>
      <c r="IQ67" s="228"/>
      <c r="IR67" s="228"/>
      <c r="IS67" s="228"/>
      <c r="IT67" s="228"/>
      <c r="IU67" s="228"/>
      <c r="IV67" s="228"/>
      <c r="IW67" s="228"/>
      <c r="IX67" s="228"/>
      <c r="IY67" s="228"/>
      <c r="IZ67" s="228"/>
      <c r="JA67" s="228"/>
      <c r="JB67" s="228"/>
      <c r="JC67" s="228"/>
      <c r="JD67" s="228"/>
      <c r="JE67" s="228"/>
      <c r="JF67" s="228"/>
      <c r="JG67" s="228"/>
      <c r="JH67" s="228"/>
      <c r="JI67" s="228"/>
      <c r="JJ67" s="228"/>
      <c r="JK67" s="228"/>
      <c r="JL67" s="228"/>
      <c r="JM67" s="228"/>
      <c r="JN67" s="228"/>
      <c r="JO67" s="228"/>
      <c r="JP67" s="228"/>
      <c r="JQ67" s="228"/>
      <c r="JR67" s="228"/>
      <c r="JS67" s="228"/>
      <c r="JT67" s="228"/>
      <c r="JU67" s="228"/>
      <c r="JV67" s="228"/>
      <c r="JW67" s="228"/>
      <c r="JX67" s="228"/>
      <c r="JY67" s="228"/>
      <c r="JZ67" s="228"/>
      <c r="KA67" s="228"/>
      <c r="KB67" s="228"/>
      <c r="KC67" s="228"/>
      <c r="KD67" s="228"/>
      <c r="KE67" s="228"/>
      <c r="KF67" s="228"/>
      <c r="KG67" s="228"/>
      <c r="KH67" s="228"/>
      <c r="KI67" s="228"/>
      <c r="KJ67" s="228"/>
      <c r="KK67" s="228"/>
      <c r="KL67" s="228"/>
      <c r="KM67" s="228"/>
      <c r="KN67" s="228"/>
      <c r="KO67" s="228"/>
      <c r="KP67" s="228"/>
      <c r="KQ67" s="228"/>
      <c r="KR67" s="228"/>
      <c r="KS67" s="228"/>
      <c r="KT67" s="228"/>
      <c r="KU67" s="228"/>
      <c r="KV67" s="228"/>
      <c r="KW67" s="228"/>
      <c r="KX67" s="228"/>
      <c r="KY67" s="228"/>
      <c r="KZ67" s="228"/>
      <c r="LA67" s="228"/>
      <c r="LB67" s="228"/>
      <c r="LC67" s="228"/>
      <c r="LD67" s="228"/>
      <c r="LE67" s="228"/>
      <c r="LF67" s="228"/>
      <c r="LG67" s="228"/>
      <c r="LH67" s="228"/>
      <c r="LI67" s="228"/>
      <c r="LJ67" s="228"/>
      <c r="LK67" s="228"/>
      <c r="LL67" s="228"/>
      <c r="LM67" s="228"/>
      <c r="LN67" s="228"/>
      <c r="LO67" s="228"/>
      <c r="LP67" s="228"/>
      <c r="LQ67" s="228"/>
      <c r="LR67" s="228"/>
      <c r="LS67" s="228"/>
      <c r="LT67" s="228"/>
      <c r="LU67" s="228"/>
      <c r="LV67" s="228"/>
      <c r="LW67" s="228"/>
      <c r="LX67" s="228"/>
      <c r="LY67" s="228"/>
      <c r="LZ67" s="228"/>
      <c r="MA67" s="228"/>
      <c r="MB67" s="228"/>
      <c r="MC67" s="228"/>
      <c r="MD67" s="228"/>
      <c r="ME67" s="228"/>
      <c r="MF67" s="228"/>
      <c r="MG67" s="228"/>
      <c r="MH67" s="228"/>
      <c r="MI67" s="228"/>
      <c r="MJ67" s="228"/>
      <c r="MK67" s="228"/>
      <c r="ML67" s="228"/>
      <c r="MM67" s="228"/>
      <c r="MN67" s="228"/>
      <c r="MO67" s="228"/>
      <c r="MP67" s="228"/>
      <c r="MQ67" s="228"/>
      <c r="MR67" s="228"/>
      <c r="MS67" s="228"/>
      <c r="MT67" s="228"/>
      <c r="MU67" s="228"/>
      <c r="MV67" s="228"/>
      <c r="MW67" s="228"/>
      <c r="MX67" s="228"/>
      <c r="MY67" s="228"/>
      <c r="MZ67" s="228"/>
      <c r="NA67" s="228"/>
      <c r="NB67" s="228"/>
      <c r="NC67" s="228"/>
      <c r="ND67" s="228"/>
      <c r="NE67" s="228"/>
      <c r="NF67" s="228"/>
      <c r="NG67" s="228"/>
      <c r="NH67" s="228"/>
      <c r="NI67" s="228"/>
      <c r="NJ67" s="228"/>
      <c r="NK67" s="228"/>
      <c r="NL67" s="228"/>
      <c r="NM67" s="228"/>
      <c r="NN67" s="228"/>
      <c r="NO67" s="228"/>
      <c r="NP67" s="228"/>
      <c r="NQ67" s="228"/>
      <c r="NR67" s="228"/>
      <c r="NS67" s="228"/>
      <c r="NT67" s="228"/>
      <c r="NU67" s="228"/>
      <c r="NV67" s="228"/>
      <c r="NW67" s="228"/>
      <c r="NX67" s="228"/>
      <c r="NY67" s="228"/>
      <c r="NZ67" s="228"/>
      <c r="OA67" s="228"/>
      <c r="OB67" s="228"/>
      <c r="OC67" s="228"/>
      <c r="OD67" s="228"/>
      <c r="OE67" s="228"/>
      <c r="OF67" s="228"/>
      <c r="OG67" s="228"/>
      <c r="OH67" s="228"/>
      <c r="OI67" s="228"/>
      <c r="OJ67" s="228"/>
      <c r="OK67" s="228"/>
      <c r="OL67" s="228"/>
      <c r="OM67" s="228"/>
      <c r="ON67" s="228"/>
      <c r="OO67" s="228"/>
      <c r="OP67" s="228"/>
      <c r="OQ67" s="228"/>
      <c r="OR67" s="228"/>
      <c r="OS67" s="228"/>
      <c r="OT67" s="228"/>
      <c r="OU67" s="228"/>
      <c r="OV67" s="228"/>
      <c r="OW67" s="228"/>
      <c r="OX67" s="228"/>
      <c r="OY67" s="228"/>
      <c r="OZ67" s="228"/>
      <c r="PA67" s="228"/>
      <c r="PB67" s="228"/>
      <c r="PC67" s="228"/>
      <c r="PD67" s="228"/>
      <c r="PE67" s="228"/>
      <c r="PF67" s="228"/>
      <c r="PG67" s="228"/>
      <c r="PH67" s="228"/>
      <c r="PI67" s="228"/>
      <c r="PJ67" s="228"/>
      <c r="PK67" s="228"/>
      <c r="PL67" s="228"/>
      <c r="PM67" s="228"/>
      <c r="PN67" s="228"/>
      <c r="PO67" s="228"/>
      <c r="PP67" s="228"/>
      <c r="PQ67" s="228"/>
      <c r="PR67" s="228"/>
      <c r="PS67" s="228"/>
      <c r="PT67" s="228"/>
      <c r="PU67" s="228"/>
      <c r="PV67" s="228"/>
      <c r="PW67" s="228"/>
      <c r="PX67" s="228"/>
      <c r="PY67" s="228"/>
      <c r="PZ67" s="228"/>
      <c r="QA67" s="228"/>
      <c r="QB67" s="228"/>
      <c r="QC67" s="228"/>
      <c r="QD67" s="228"/>
      <c r="QE67" s="228"/>
      <c r="QF67" s="228"/>
      <c r="QG67" s="228"/>
      <c r="QH67" s="228"/>
      <c r="QI67" s="228"/>
      <c r="QJ67" s="228"/>
      <c r="QK67" s="228"/>
      <c r="QL67" s="228"/>
      <c r="QM67" s="228"/>
      <c r="QN67" s="228"/>
      <c r="QO67" s="228"/>
      <c r="QP67" s="228"/>
      <c r="QQ67" s="228"/>
      <c r="QR67" s="228"/>
      <c r="QS67" s="228"/>
      <c r="QT67" s="228"/>
      <c r="QU67" s="228"/>
      <c r="QV67" s="228"/>
      <c r="QW67" s="228"/>
      <c r="QX67" s="228"/>
      <c r="QY67" s="228"/>
      <c r="QZ67" s="228"/>
      <c r="RA67" s="228"/>
      <c r="RB67" s="228"/>
      <c r="RC67" s="228"/>
      <c r="RD67" s="228"/>
      <c r="RE67" s="228"/>
      <c r="RF67" s="228"/>
      <c r="RG67" s="228"/>
      <c r="RH67" s="228"/>
      <c r="RI67" s="228"/>
      <c r="RJ67" s="228"/>
      <c r="RK67" s="228"/>
      <c r="RL67" s="228"/>
      <c r="RM67" s="228"/>
      <c r="RN67" s="228"/>
      <c r="RO67" s="228"/>
      <c r="RP67" s="228"/>
      <c r="RQ67" s="228"/>
      <c r="RR67" s="228"/>
      <c r="RS67" s="228"/>
      <c r="RT67" s="228"/>
      <c r="RU67" s="228"/>
      <c r="RV67" s="228"/>
      <c r="RW67" s="228"/>
      <c r="RX67" s="228"/>
      <c r="RY67" s="228"/>
      <c r="RZ67" s="228"/>
      <c r="SA67" s="228"/>
      <c r="SB67" s="228"/>
      <c r="SC67" s="228"/>
      <c r="SD67" s="228"/>
      <c r="SE67" s="228"/>
      <c r="SF67" s="228"/>
      <c r="SG67" s="228"/>
      <c r="SH67" s="228"/>
      <c r="SI67" s="228"/>
      <c r="SJ67" s="228"/>
      <c r="SK67" s="228"/>
      <c r="SL67" s="228"/>
      <c r="SM67" s="228"/>
      <c r="SN67" s="228"/>
      <c r="SO67" s="228"/>
      <c r="SP67" s="228"/>
      <c r="SQ67" s="228"/>
      <c r="SR67" s="228"/>
      <c r="SS67" s="228"/>
      <c r="ST67" s="228"/>
      <c r="SU67" s="228"/>
      <c r="SV67" s="228"/>
      <c r="SW67" s="228"/>
      <c r="SX67" s="228"/>
      <c r="SY67" s="228"/>
      <c r="SZ67" s="228"/>
      <c r="TA67" s="228"/>
      <c r="TB67" s="228"/>
      <c r="TC67" s="228"/>
      <c r="TD67" s="228"/>
      <c r="TE67" s="228"/>
      <c r="TF67" s="228"/>
      <c r="TG67" s="228"/>
      <c r="TH67" s="228"/>
      <c r="TI67" s="228"/>
      <c r="TJ67" s="228"/>
      <c r="TK67" s="228"/>
      <c r="TL67" s="228"/>
      <c r="TM67" s="228"/>
      <c r="TN67" s="228"/>
      <c r="TO67" s="228"/>
      <c r="TP67" s="228"/>
      <c r="TQ67" s="228"/>
      <c r="TR67" s="228"/>
      <c r="TS67" s="228"/>
      <c r="TT67" s="228"/>
      <c r="TU67" s="228"/>
      <c r="TV67" s="228"/>
      <c r="TW67" s="228"/>
      <c r="TX67" s="228"/>
      <c r="TY67" s="228"/>
      <c r="TZ67" s="228"/>
      <c r="UA67" s="228"/>
      <c r="UB67" s="228"/>
      <c r="UC67" s="228"/>
      <c r="UD67" s="228"/>
      <c r="UE67" s="228"/>
      <c r="UF67" s="228"/>
      <c r="UG67" s="228"/>
      <c r="UH67" s="228"/>
      <c r="UI67" s="228"/>
      <c r="UJ67" s="228"/>
      <c r="UK67" s="228"/>
      <c r="UL67" s="228"/>
      <c r="UM67" s="228"/>
      <c r="UN67" s="228"/>
      <c r="UO67" s="228"/>
      <c r="UP67" s="228"/>
      <c r="UQ67" s="228"/>
      <c r="UR67" s="228"/>
      <c r="US67" s="228"/>
      <c r="UT67" s="228"/>
      <c r="UU67" s="228"/>
      <c r="UV67" s="228"/>
      <c r="UW67" s="228"/>
      <c r="UX67" s="228"/>
      <c r="UY67" s="228"/>
      <c r="UZ67" s="228"/>
      <c r="VA67" s="228"/>
      <c r="VB67" s="228"/>
      <c r="VC67" s="228"/>
      <c r="VD67" s="228"/>
      <c r="VE67" s="228"/>
      <c r="VF67" s="228"/>
      <c r="VG67" s="228"/>
      <c r="VH67" s="228"/>
      <c r="VI67" s="228"/>
      <c r="VJ67" s="228"/>
      <c r="VK67" s="228"/>
      <c r="VL67" s="228"/>
      <c r="VM67" s="228"/>
      <c r="VN67" s="228"/>
      <c r="VO67" s="228"/>
      <c r="VP67" s="228"/>
      <c r="VQ67" s="228"/>
      <c r="VR67" s="228"/>
      <c r="VS67" s="228"/>
      <c r="VT67" s="228"/>
      <c r="VU67" s="228"/>
      <c r="VV67" s="228"/>
      <c r="VW67" s="228"/>
      <c r="VX67" s="228"/>
      <c r="VY67" s="228"/>
      <c r="VZ67" s="228"/>
      <c r="WA67" s="228"/>
      <c r="WB67" s="228"/>
      <c r="WC67" s="228"/>
      <c r="WD67" s="228"/>
      <c r="WE67" s="228"/>
      <c r="WF67" s="228"/>
      <c r="WG67" s="228"/>
      <c r="WH67" s="228"/>
      <c r="WI67" s="228"/>
      <c r="WJ67" s="228"/>
      <c r="WK67" s="228"/>
      <c r="WL67" s="228"/>
      <c r="WM67" s="228"/>
      <c r="WN67" s="228"/>
      <c r="WO67" s="228"/>
      <c r="WP67" s="228"/>
      <c r="WQ67" s="228"/>
      <c r="WR67" s="228"/>
      <c r="WS67" s="228"/>
      <c r="WT67" s="228"/>
      <c r="WU67" s="228"/>
      <c r="WV67" s="228"/>
      <c r="WW67" s="228"/>
      <c r="WX67" s="228"/>
      <c r="WY67" s="228"/>
      <c r="WZ67" s="228"/>
      <c r="XA67" s="228"/>
      <c r="XB67" s="228"/>
      <c r="XC67" s="228"/>
      <c r="XD67" s="228"/>
      <c r="XE67" s="228"/>
      <c r="XF67" s="228"/>
      <c r="XG67" s="228"/>
      <c r="XH67" s="228"/>
      <c r="XI67" s="228"/>
      <c r="XJ67" s="228"/>
      <c r="XK67" s="228"/>
      <c r="XL67" s="228"/>
      <c r="XM67" s="228"/>
      <c r="XN67" s="228"/>
      <c r="XO67" s="228"/>
      <c r="XP67" s="228"/>
      <c r="XQ67" s="228"/>
      <c r="XR67" s="228"/>
      <c r="XS67" s="228"/>
      <c r="XT67" s="228"/>
      <c r="XU67" s="228"/>
      <c r="XV67" s="228"/>
      <c r="XW67" s="228"/>
      <c r="XX67" s="228"/>
      <c r="XY67" s="228"/>
      <c r="XZ67" s="228"/>
      <c r="YA67" s="228"/>
      <c r="YB67" s="228"/>
      <c r="YC67" s="228"/>
      <c r="YD67" s="228"/>
      <c r="YE67" s="228"/>
      <c r="YF67" s="228"/>
      <c r="YG67" s="228"/>
      <c r="YH67" s="228"/>
      <c r="YI67" s="228"/>
      <c r="YJ67" s="228"/>
      <c r="YK67" s="228"/>
      <c r="YL67" s="228"/>
      <c r="YM67" s="228"/>
      <c r="YN67" s="228"/>
      <c r="YO67" s="228"/>
      <c r="YP67" s="228"/>
      <c r="YQ67" s="228"/>
      <c r="YR67" s="228"/>
      <c r="YS67" s="228"/>
      <c r="YT67" s="228"/>
      <c r="YU67" s="228"/>
      <c r="YV67" s="228"/>
      <c r="YW67" s="228"/>
      <c r="YX67" s="228"/>
      <c r="YY67" s="228"/>
      <c r="YZ67" s="228"/>
      <c r="ZA67" s="228"/>
      <c r="ZB67" s="228"/>
      <c r="ZC67" s="228"/>
      <c r="ZD67" s="228"/>
      <c r="ZE67" s="228"/>
      <c r="ZF67" s="228"/>
      <c r="ZG67" s="228"/>
      <c r="ZH67" s="228"/>
      <c r="ZI67" s="228"/>
      <c r="ZJ67" s="228"/>
      <c r="ZK67" s="228"/>
      <c r="ZL67" s="228"/>
      <c r="ZM67" s="228"/>
      <c r="ZN67" s="228"/>
      <c r="ZO67" s="228"/>
      <c r="ZP67" s="228"/>
      <c r="ZQ67" s="228"/>
      <c r="ZR67" s="228"/>
      <c r="ZS67" s="228"/>
      <c r="ZT67" s="228"/>
      <c r="ZU67" s="228"/>
      <c r="ZV67" s="228"/>
      <c r="ZW67" s="228"/>
      <c r="ZX67" s="228"/>
      <c r="ZY67" s="228"/>
      <c r="ZZ67" s="228"/>
      <c r="AAA67" s="228"/>
      <c r="AAB67" s="228"/>
      <c r="AAC67" s="228"/>
      <c r="AAD67" s="228"/>
      <c r="AAE67" s="228"/>
      <c r="AAF67" s="228"/>
      <c r="AAG67" s="228"/>
      <c r="AAH67" s="228"/>
      <c r="AAI67" s="228"/>
      <c r="AAJ67" s="228"/>
      <c r="AAK67" s="228"/>
      <c r="AAL67" s="228"/>
      <c r="AAM67" s="228"/>
      <c r="AAN67" s="228"/>
      <c r="AAO67" s="228"/>
      <c r="AAP67" s="228"/>
      <c r="AAQ67" s="228"/>
      <c r="AAR67" s="228"/>
      <c r="AAS67" s="228"/>
      <c r="AAT67" s="228"/>
      <c r="AAU67" s="228"/>
      <c r="AAV67" s="228"/>
      <c r="AAW67" s="228"/>
      <c r="AAX67" s="228"/>
      <c r="AAY67" s="228"/>
      <c r="AAZ67" s="228"/>
      <c r="ABA67" s="228"/>
      <c r="ABB67" s="228"/>
      <c r="ABC67" s="228"/>
      <c r="ABD67" s="228"/>
      <c r="ABE67" s="228"/>
      <c r="ABF67" s="228"/>
      <c r="ABG67" s="228"/>
      <c r="ABH67" s="228"/>
      <c r="ABI67" s="228"/>
      <c r="ABJ67" s="228"/>
      <c r="ABK67" s="228"/>
      <c r="ABL67" s="228"/>
      <c r="ABM67" s="228"/>
      <c r="ABN67" s="228"/>
      <c r="ABO67" s="228"/>
      <c r="ABP67" s="228"/>
      <c r="ABQ67" s="228"/>
      <c r="ABR67" s="228"/>
      <c r="ABS67" s="228"/>
      <c r="ABT67" s="228"/>
      <c r="ABU67" s="228"/>
      <c r="ABV67" s="228"/>
      <c r="ABW67" s="228"/>
      <c r="ABX67" s="228"/>
      <c r="ABY67" s="228"/>
      <c r="ABZ67" s="228"/>
      <c r="ACA67" s="228"/>
      <c r="ACB67" s="228"/>
      <c r="ACC67" s="228"/>
      <c r="ACD67" s="228"/>
      <c r="ACE67" s="228"/>
      <c r="ACF67" s="228"/>
      <c r="ACG67" s="228"/>
      <c r="ACH67" s="228"/>
      <c r="ACI67" s="228"/>
      <c r="ACJ67" s="228"/>
      <c r="ACK67" s="228"/>
      <c r="ACL67" s="228"/>
      <c r="ACM67" s="228"/>
      <c r="ACN67" s="228"/>
      <c r="ACO67" s="228"/>
      <c r="ACP67" s="228"/>
      <c r="ACQ67" s="228"/>
      <c r="ACR67" s="228"/>
      <c r="ACS67" s="228"/>
      <c r="ACT67" s="228"/>
      <c r="ACU67" s="228"/>
      <c r="ACV67" s="228"/>
      <c r="ACW67" s="228"/>
      <c r="ACX67" s="228"/>
      <c r="ACY67" s="228"/>
      <c r="ACZ67" s="228"/>
      <c r="ADA67" s="228"/>
      <c r="ADB67" s="228"/>
      <c r="ADC67" s="228"/>
      <c r="ADD67" s="228"/>
      <c r="ADE67" s="228"/>
      <c r="ADF67" s="228"/>
      <c r="ADG67" s="228"/>
      <c r="ADH67" s="228"/>
      <c r="ADI67" s="228"/>
      <c r="ADJ67" s="228"/>
      <c r="ADK67" s="228"/>
      <c r="ADL67" s="228"/>
      <c r="ADM67" s="228"/>
      <c r="ADN67" s="228"/>
      <c r="ADO67" s="228"/>
      <c r="ADP67" s="228"/>
      <c r="ADQ67" s="228"/>
      <c r="ADR67" s="228"/>
      <c r="ADS67" s="228"/>
      <c r="ADT67" s="228"/>
      <c r="ADU67" s="228"/>
      <c r="ADV67" s="228"/>
      <c r="ADW67" s="228"/>
      <c r="ADX67" s="228"/>
      <c r="ADY67" s="228"/>
      <c r="ADZ67" s="228"/>
      <c r="AEA67" s="228"/>
      <c r="AEB67" s="228"/>
      <c r="AEC67" s="228"/>
      <c r="AED67" s="228"/>
      <c r="AEE67" s="228"/>
      <c r="AEF67" s="228"/>
      <c r="AEG67" s="228"/>
      <c r="AEH67" s="228"/>
      <c r="AEI67" s="228"/>
      <c r="AEJ67" s="228"/>
      <c r="AEK67" s="228"/>
      <c r="AEL67" s="228"/>
      <c r="AEM67" s="228"/>
      <c r="AEN67" s="228"/>
      <c r="AEO67" s="228"/>
      <c r="AEP67" s="228"/>
      <c r="AEQ67" s="228"/>
      <c r="AER67" s="228"/>
      <c r="AES67" s="228"/>
      <c r="AET67" s="228"/>
      <c r="AEU67" s="228"/>
      <c r="AEV67" s="228"/>
      <c r="AEW67" s="228"/>
      <c r="AEX67" s="228"/>
      <c r="AEY67" s="228"/>
      <c r="AEZ67" s="228"/>
      <c r="AFA67" s="228"/>
      <c r="AFB67" s="228"/>
      <c r="AFC67" s="228"/>
      <c r="AFD67" s="228"/>
      <c r="AFE67" s="228"/>
      <c r="AFF67" s="228"/>
      <c r="AFG67" s="228"/>
      <c r="AFH67" s="228"/>
      <c r="AFI67" s="228"/>
      <c r="AFJ67" s="228"/>
      <c r="AFK67" s="228"/>
      <c r="AFL67" s="228"/>
      <c r="AFM67" s="228"/>
      <c r="AFN67" s="228"/>
      <c r="AFO67" s="228"/>
      <c r="AFP67" s="228"/>
      <c r="AFQ67" s="228"/>
      <c r="AFR67" s="228"/>
      <c r="AFS67" s="228"/>
      <c r="AFT67" s="228"/>
      <c r="AFU67" s="228"/>
      <c r="AFV67" s="228"/>
      <c r="AFW67" s="228"/>
      <c r="AFX67" s="228"/>
      <c r="AFY67" s="228"/>
      <c r="AFZ67" s="228"/>
      <c r="AGA67" s="228"/>
      <c r="AGB67" s="228"/>
      <c r="AGC67" s="228"/>
      <c r="AGD67" s="228"/>
      <c r="AGE67" s="228"/>
      <c r="AGF67" s="228"/>
      <c r="AGG67" s="228"/>
      <c r="AGH67" s="228"/>
      <c r="AGI67" s="228"/>
      <c r="AGJ67" s="228"/>
      <c r="AGK67" s="228"/>
      <c r="AGL67" s="228"/>
      <c r="AGM67" s="228"/>
      <c r="AGN67" s="228"/>
      <c r="AGO67" s="228"/>
      <c r="AGP67" s="228"/>
      <c r="AGQ67" s="228"/>
      <c r="AGR67" s="228"/>
      <c r="AGS67" s="228"/>
      <c r="AGT67" s="228"/>
      <c r="AGU67" s="228"/>
      <c r="AGV67" s="228"/>
      <c r="AGW67" s="228"/>
      <c r="AGX67" s="228"/>
      <c r="AGY67" s="228"/>
      <c r="AGZ67" s="228"/>
      <c r="AHA67" s="228"/>
      <c r="AHB67" s="228"/>
      <c r="AHC67" s="228"/>
      <c r="AHD67" s="228"/>
      <c r="AHE67" s="228"/>
      <c r="AHF67" s="228"/>
      <c r="AHG67" s="228"/>
      <c r="AHH67" s="228"/>
      <c r="AHI67" s="228"/>
      <c r="AHJ67" s="228"/>
      <c r="AHK67" s="228"/>
      <c r="AHL67" s="228"/>
      <c r="AHM67" s="228"/>
      <c r="AHN67" s="228"/>
      <c r="AHO67" s="228"/>
      <c r="AHP67" s="228"/>
      <c r="AHQ67" s="228"/>
      <c r="AHR67" s="228"/>
      <c r="AHS67" s="228"/>
      <c r="AHT67" s="228"/>
      <c r="AHU67" s="228"/>
      <c r="AHV67" s="228"/>
      <c r="AHW67" s="228"/>
      <c r="AHX67" s="228"/>
      <c r="AHY67" s="228"/>
      <c r="AHZ67" s="228"/>
      <c r="AIA67" s="228"/>
      <c r="AIB67" s="228"/>
      <c r="AIC67" s="228"/>
      <c r="AID67" s="228"/>
      <c r="AIE67" s="228"/>
      <c r="AIF67" s="228"/>
      <c r="AIG67" s="228"/>
      <c r="AIH67" s="228"/>
      <c r="AII67" s="228"/>
      <c r="AIJ67" s="228"/>
      <c r="AIK67" s="228"/>
      <c r="AIL67" s="228"/>
      <c r="AIM67" s="228"/>
      <c r="AIN67" s="228"/>
      <c r="AIO67" s="228"/>
      <c r="AIP67" s="228"/>
      <c r="AIQ67" s="228"/>
      <c r="AIR67" s="228"/>
      <c r="AIS67" s="228"/>
      <c r="AIT67" s="228"/>
      <c r="AIU67" s="228"/>
      <c r="AIV67" s="228"/>
      <c r="AIW67" s="228"/>
      <c r="AIX67" s="228"/>
      <c r="AIY67" s="228"/>
      <c r="AIZ67" s="228"/>
      <c r="AJA67" s="228"/>
      <c r="AJB67" s="228"/>
      <c r="AJC67" s="228"/>
      <c r="AJD67" s="228"/>
      <c r="AJE67" s="228"/>
      <c r="AJF67" s="228"/>
      <c r="AJG67" s="228"/>
      <c r="AJH67" s="228"/>
      <c r="AJI67" s="228"/>
      <c r="AJJ67" s="228"/>
      <c r="AJK67" s="228"/>
      <c r="AJL67" s="228"/>
      <c r="AJM67" s="228"/>
      <c r="AJN67" s="228"/>
      <c r="AJO67" s="228"/>
      <c r="AJP67" s="228"/>
      <c r="AJQ67" s="228"/>
      <c r="AJR67" s="228"/>
      <c r="AJS67" s="228"/>
      <c r="AJT67" s="228"/>
      <c r="AJU67" s="228"/>
      <c r="AJV67" s="228"/>
      <c r="AJW67" s="228"/>
      <c r="AJX67" s="228"/>
      <c r="AJY67" s="228"/>
      <c r="AJZ67" s="228"/>
      <c r="AKA67" s="228"/>
      <c r="AKB67" s="228"/>
      <c r="AKC67" s="228"/>
      <c r="AKD67" s="228"/>
      <c r="AKE67" s="228"/>
      <c r="AKF67" s="228"/>
      <c r="AKG67" s="228"/>
      <c r="AKH67" s="228"/>
      <c r="AKI67" s="228"/>
      <c r="AKJ67" s="228"/>
      <c r="AKK67" s="228"/>
      <c r="AKL67" s="228"/>
      <c r="AKM67" s="228"/>
      <c r="AKN67" s="228"/>
      <c r="AKO67" s="228"/>
      <c r="AKP67" s="228"/>
      <c r="AKQ67" s="228"/>
      <c r="AKR67" s="228"/>
      <c r="AKS67" s="228"/>
      <c r="AKT67" s="228"/>
      <c r="AKU67" s="228"/>
      <c r="AKV67" s="228"/>
      <c r="AKW67" s="228"/>
      <c r="AKX67" s="228"/>
      <c r="AKY67" s="228"/>
      <c r="AKZ67" s="228"/>
      <c r="ALA67" s="228"/>
      <c r="ALB67" s="228"/>
      <c r="ALC67" s="228"/>
      <c r="ALD67" s="228"/>
      <c r="ALE67" s="228"/>
      <c r="ALF67" s="228"/>
      <c r="ALG67" s="228"/>
      <c r="ALH67" s="228"/>
    </row>
    <row r="68" spans="1:996" s="229" customFormat="1">
      <c r="A68" s="37"/>
      <c r="B68" t="str">
        <f t="shared" si="0"/>
        <v>E291601</v>
      </c>
      <c r="C68" s="7" t="s">
        <v>119</v>
      </c>
      <c r="D68" s="26" t="s">
        <v>73</v>
      </c>
      <c r="E68" s="7">
        <v>291601</v>
      </c>
      <c r="F68" s="48" t="s">
        <v>478</v>
      </c>
      <c r="G68" s="49">
        <f>IFERROR(VLOOKUP(E68,'BD - E - Mvto Cx'!$A$15:$D$500,4,0),0)</f>
        <v>10000</v>
      </c>
      <c r="H68" s="50">
        <f>IFERROR(VLOOKUP(E68,'BD - E - Mvto Cx'!$J$15:$M$500,4,0),0)</f>
        <v>0</v>
      </c>
      <c r="I68" s="50">
        <f>IFERROR(VLOOKUP(E68,'BD - E - Mvto Cx'!$S$15:$V$500,4,0),0)</f>
        <v>5000</v>
      </c>
      <c r="J68" s="50">
        <f>IFERROR(VLOOKUP(E68,'BD - E - Mvto Cx'!$AB$15:$AE$500,4,0),0)</f>
        <v>5000</v>
      </c>
      <c r="K68" s="50">
        <f>IFERROR(VLOOKUP(E68,'BD - E - Mvto Cx'!$AK$15:$AN$500,4,0),0)</f>
        <v>0</v>
      </c>
      <c r="L68" s="50">
        <f>IFERROR(VLOOKUP(E68,'BD - E - Mvto Cx'!$AT$15:$AW$500,4,0),0)</f>
        <v>0</v>
      </c>
      <c r="M68" s="50">
        <f>IFERROR(VLOOKUP(E68,'BD - E - Mvto Cx'!$BF$15:$BI$500,4,0),0)</f>
        <v>0</v>
      </c>
      <c r="N68" s="50">
        <f>IFERROR(VLOOKUP(E68,'BD - E - Mvto Cx'!$BO$15:$BR$500,4,0),0)</f>
        <v>0</v>
      </c>
      <c r="O68" s="50">
        <f>IFERROR(VLOOKUP(E68,'BD - E - Mvto Cx'!$BX$15:$CA$500,4,0),0)</f>
        <v>0</v>
      </c>
      <c r="P68" s="50">
        <f>IFERROR(VLOOKUP(E68,'BD - E - Mvto Cx'!$CG$15:$CJ$500,4,0),0)</f>
        <v>0</v>
      </c>
      <c r="Q68" s="50">
        <f>IFERROR(VLOOKUP(E68,'BD - E - Mvto Cx'!$CP$15:$CS$500,4,0),0)</f>
        <v>0</v>
      </c>
      <c r="R68" s="50">
        <f>IFERROR(VLOOKUP(E68,'BD - E - Mvto Cx'!$CY$15:$DB$500,4,0),0)</f>
        <v>0</v>
      </c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  <c r="AW68" s="228"/>
      <c r="AX68" s="228"/>
      <c r="AY68" s="228"/>
      <c r="AZ68" s="228"/>
      <c r="BA68" s="228"/>
      <c r="BB68" s="228"/>
      <c r="BC68" s="228"/>
      <c r="BD68" s="228"/>
      <c r="BE68" s="228"/>
      <c r="BF68" s="228"/>
      <c r="BG68" s="228"/>
      <c r="BH68" s="228"/>
      <c r="BI68" s="228"/>
      <c r="BJ68" s="228"/>
      <c r="BK68" s="228"/>
      <c r="BL68" s="228"/>
      <c r="BM68" s="228"/>
      <c r="BN68" s="228"/>
      <c r="BO68" s="228"/>
      <c r="BP68" s="228"/>
      <c r="BQ68" s="228"/>
      <c r="BR68" s="228"/>
      <c r="BS68" s="228"/>
      <c r="BT68" s="228"/>
      <c r="BU68" s="228"/>
      <c r="BV68" s="228"/>
      <c r="BW68" s="228"/>
      <c r="BX68" s="228"/>
      <c r="BY68" s="228"/>
      <c r="BZ68" s="228"/>
      <c r="CA68" s="228"/>
      <c r="CB68" s="228"/>
      <c r="CC68" s="228"/>
      <c r="CD68" s="228"/>
      <c r="CE68" s="228"/>
      <c r="CF68" s="228"/>
      <c r="CG68" s="228"/>
      <c r="CH68" s="228"/>
      <c r="CI68" s="228"/>
      <c r="CJ68" s="228"/>
      <c r="CK68" s="228"/>
      <c r="CL68" s="228"/>
      <c r="CM68" s="228"/>
      <c r="CN68" s="228"/>
      <c r="CO68" s="228"/>
      <c r="CP68" s="228"/>
      <c r="CQ68" s="228"/>
      <c r="CR68" s="228"/>
      <c r="CS68" s="228"/>
      <c r="CT68" s="228"/>
      <c r="CU68" s="228"/>
      <c r="CV68" s="228"/>
      <c r="CW68" s="228"/>
      <c r="CX68" s="228"/>
      <c r="CY68" s="228"/>
      <c r="CZ68" s="228"/>
      <c r="DA68" s="228"/>
      <c r="DB68" s="228"/>
      <c r="DC68" s="228"/>
      <c r="DD68" s="228"/>
      <c r="DE68" s="228"/>
      <c r="DF68" s="228"/>
      <c r="DG68" s="228"/>
      <c r="DH68" s="228"/>
      <c r="DI68" s="228"/>
      <c r="DJ68" s="228"/>
      <c r="DK68" s="228"/>
      <c r="DL68" s="228"/>
      <c r="DM68" s="228"/>
      <c r="DN68" s="228"/>
      <c r="DO68" s="228"/>
      <c r="DP68" s="228"/>
      <c r="DQ68" s="228"/>
      <c r="DR68" s="228"/>
      <c r="DS68" s="228"/>
      <c r="DT68" s="228"/>
      <c r="DU68" s="228"/>
      <c r="DV68" s="228"/>
      <c r="DW68" s="228"/>
      <c r="DX68" s="228"/>
      <c r="DY68" s="228"/>
      <c r="DZ68" s="228"/>
      <c r="EA68" s="228"/>
      <c r="EB68" s="228"/>
      <c r="EC68" s="228"/>
      <c r="ED68" s="228"/>
      <c r="EE68" s="228"/>
      <c r="EF68" s="228"/>
      <c r="EG68" s="228"/>
      <c r="EH68" s="228"/>
      <c r="EI68" s="228"/>
      <c r="EJ68" s="228"/>
      <c r="EK68" s="228"/>
      <c r="EL68" s="228"/>
      <c r="EM68" s="228"/>
      <c r="EN68" s="228"/>
      <c r="EO68" s="228"/>
      <c r="EP68" s="228"/>
      <c r="EQ68" s="228"/>
      <c r="ER68" s="228"/>
      <c r="ES68" s="228"/>
      <c r="ET68" s="228"/>
      <c r="EU68" s="228"/>
      <c r="EV68" s="228"/>
      <c r="EW68" s="228"/>
      <c r="EX68" s="228"/>
      <c r="EY68" s="228"/>
      <c r="EZ68" s="228"/>
      <c r="FA68" s="228"/>
      <c r="FB68" s="228"/>
      <c r="FC68" s="228"/>
      <c r="FD68" s="228"/>
      <c r="FE68" s="228"/>
      <c r="FF68" s="228"/>
      <c r="FG68" s="228"/>
      <c r="FH68" s="228"/>
      <c r="FI68" s="228"/>
      <c r="FJ68" s="228"/>
      <c r="FK68" s="228"/>
      <c r="FL68" s="228"/>
      <c r="FM68" s="228"/>
      <c r="FN68" s="228"/>
      <c r="FO68" s="228"/>
      <c r="FP68" s="228"/>
      <c r="FQ68" s="228"/>
      <c r="FR68" s="228"/>
      <c r="FS68" s="228"/>
      <c r="FT68" s="228"/>
      <c r="FU68" s="228"/>
      <c r="FV68" s="228"/>
      <c r="FW68" s="228"/>
      <c r="FX68" s="228"/>
      <c r="FY68" s="228"/>
      <c r="FZ68" s="228"/>
      <c r="GA68" s="228"/>
      <c r="GB68" s="228"/>
      <c r="GC68" s="228"/>
      <c r="GD68" s="228"/>
      <c r="GE68" s="228"/>
      <c r="GF68" s="228"/>
      <c r="GG68" s="228"/>
      <c r="GH68" s="228"/>
      <c r="GI68" s="228"/>
      <c r="GJ68" s="228"/>
      <c r="GK68" s="228"/>
      <c r="GL68" s="228"/>
      <c r="GM68" s="228"/>
      <c r="GN68" s="228"/>
      <c r="GO68" s="228"/>
      <c r="GP68" s="228"/>
      <c r="GQ68" s="228"/>
      <c r="GR68" s="228"/>
      <c r="GS68" s="228"/>
      <c r="GT68" s="228"/>
      <c r="GU68" s="228"/>
      <c r="GV68" s="228"/>
      <c r="GW68" s="228"/>
      <c r="GX68" s="228"/>
      <c r="GY68" s="228"/>
      <c r="GZ68" s="228"/>
      <c r="HA68" s="228"/>
      <c r="HB68" s="228"/>
      <c r="HC68" s="228"/>
      <c r="HD68" s="228"/>
      <c r="HE68" s="228"/>
      <c r="HF68" s="228"/>
      <c r="HG68" s="228"/>
      <c r="HH68" s="228"/>
      <c r="HI68" s="228"/>
      <c r="HJ68" s="228"/>
      <c r="HK68" s="228"/>
      <c r="HL68" s="228"/>
      <c r="HM68" s="228"/>
      <c r="HN68" s="228"/>
      <c r="HO68" s="228"/>
      <c r="HP68" s="228"/>
      <c r="HQ68" s="228"/>
      <c r="HR68" s="228"/>
      <c r="HS68" s="228"/>
      <c r="HT68" s="228"/>
      <c r="HU68" s="228"/>
      <c r="HV68" s="228"/>
      <c r="HW68" s="228"/>
      <c r="HX68" s="228"/>
      <c r="HY68" s="228"/>
      <c r="HZ68" s="228"/>
      <c r="IA68" s="228"/>
      <c r="IB68" s="228"/>
      <c r="IC68" s="228"/>
      <c r="ID68" s="228"/>
      <c r="IE68" s="228"/>
      <c r="IF68" s="228"/>
      <c r="IG68" s="228"/>
      <c r="IH68" s="228"/>
      <c r="II68" s="228"/>
      <c r="IJ68" s="228"/>
      <c r="IK68" s="228"/>
      <c r="IL68" s="228"/>
      <c r="IM68" s="228"/>
      <c r="IN68" s="228"/>
      <c r="IO68" s="228"/>
      <c r="IP68" s="228"/>
      <c r="IQ68" s="228"/>
      <c r="IR68" s="228"/>
      <c r="IS68" s="228"/>
      <c r="IT68" s="228"/>
      <c r="IU68" s="228"/>
      <c r="IV68" s="228"/>
      <c r="IW68" s="228"/>
      <c r="IX68" s="228"/>
      <c r="IY68" s="228"/>
      <c r="IZ68" s="228"/>
      <c r="JA68" s="228"/>
      <c r="JB68" s="228"/>
      <c r="JC68" s="228"/>
      <c r="JD68" s="228"/>
      <c r="JE68" s="228"/>
      <c r="JF68" s="228"/>
      <c r="JG68" s="228"/>
      <c r="JH68" s="228"/>
      <c r="JI68" s="228"/>
      <c r="JJ68" s="228"/>
      <c r="JK68" s="228"/>
      <c r="JL68" s="228"/>
      <c r="JM68" s="228"/>
      <c r="JN68" s="228"/>
      <c r="JO68" s="228"/>
      <c r="JP68" s="228"/>
      <c r="JQ68" s="228"/>
      <c r="JR68" s="228"/>
      <c r="JS68" s="228"/>
      <c r="JT68" s="228"/>
      <c r="JU68" s="228"/>
      <c r="JV68" s="228"/>
      <c r="JW68" s="228"/>
      <c r="JX68" s="228"/>
      <c r="JY68" s="228"/>
      <c r="JZ68" s="228"/>
      <c r="KA68" s="228"/>
      <c r="KB68" s="228"/>
      <c r="KC68" s="228"/>
      <c r="KD68" s="228"/>
      <c r="KE68" s="228"/>
      <c r="KF68" s="228"/>
      <c r="KG68" s="228"/>
      <c r="KH68" s="228"/>
      <c r="KI68" s="228"/>
      <c r="KJ68" s="228"/>
      <c r="KK68" s="228"/>
      <c r="KL68" s="228"/>
      <c r="KM68" s="228"/>
      <c r="KN68" s="228"/>
      <c r="KO68" s="228"/>
      <c r="KP68" s="228"/>
      <c r="KQ68" s="228"/>
      <c r="KR68" s="228"/>
      <c r="KS68" s="228"/>
      <c r="KT68" s="228"/>
      <c r="KU68" s="228"/>
      <c r="KV68" s="228"/>
      <c r="KW68" s="228"/>
      <c r="KX68" s="228"/>
      <c r="KY68" s="228"/>
      <c r="KZ68" s="228"/>
      <c r="LA68" s="228"/>
      <c r="LB68" s="228"/>
      <c r="LC68" s="228"/>
      <c r="LD68" s="228"/>
      <c r="LE68" s="228"/>
      <c r="LF68" s="228"/>
      <c r="LG68" s="228"/>
      <c r="LH68" s="228"/>
      <c r="LI68" s="228"/>
      <c r="LJ68" s="228"/>
      <c r="LK68" s="228"/>
      <c r="LL68" s="228"/>
      <c r="LM68" s="228"/>
      <c r="LN68" s="228"/>
      <c r="LO68" s="228"/>
      <c r="LP68" s="228"/>
      <c r="LQ68" s="228"/>
      <c r="LR68" s="228"/>
      <c r="LS68" s="228"/>
      <c r="LT68" s="228"/>
      <c r="LU68" s="228"/>
      <c r="LV68" s="228"/>
      <c r="LW68" s="228"/>
      <c r="LX68" s="228"/>
      <c r="LY68" s="228"/>
      <c r="LZ68" s="228"/>
      <c r="MA68" s="228"/>
      <c r="MB68" s="228"/>
      <c r="MC68" s="228"/>
      <c r="MD68" s="228"/>
      <c r="ME68" s="228"/>
      <c r="MF68" s="228"/>
      <c r="MG68" s="228"/>
      <c r="MH68" s="228"/>
      <c r="MI68" s="228"/>
      <c r="MJ68" s="228"/>
      <c r="MK68" s="228"/>
      <c r="ML68" s="228"/>
      <c r="MM68" s="228"/>
      <c r="MN68" s="228"/>
      <c r="MO68" s="228"/>
      <c r="MP68" s="228"/>
      <c r="MQ68" s="228"/>
      <c r="MR68" s="228"/>
      <c r="MS68" s="228"/>
      <c r="MT68" s="228"/>
      <c r="MU68" s="228"/>
      <c r="MV68" s="228"/>
      <c r="MW68" s="228"/>
      <c r="MX68" s="228"/>
      <c r="MY68" s="228"/>
      <c r="MZ68" s="228"/>
      <c r="NA68" s="228"/>
      <c r="NB68" s="228"/>
      <c r="NC68" s="228"/>
      <c r="ND68" s="228"/>
      <c r="NE68" s="228"/>
      <c r="NF68" s="228"/>
      <c r="NG68" s="228"/>
      <c r="NH68" s="228"/>
      <c r="NI68" s="228"/>
      <c r="NJ68" s="228"/>
      <c r="NK68" s="228"/>
      <c r="NL68" s="228"/>
      <c r="NM68" s="228"/>
      <c r="NN68" s="228"/>
      <c r="NO68" s="228"/>
      <c r="NP68" s="228"/>
      <c r="NQ68" s="228"/>
      <c r="NR68" s="228"/>
      <c r="NS68" s="228"/>
      <c r="NT68" s="228"/>
      <c r="NU68" s="228"/>
      <c r="NV68" s="228"/>
      <c r="NW68" s="228"/>
      <c r="NX68" s="228"/>
      <c r="NY68" s="228"/>
      <c r="NZ68" s="228"/>
      <c r="OA68" s="228"/>
      <c r="OB68" s="228"/>
      <c r="OC68" s="228"/>
      <c r="OD68" s="228"/>
      <c r="OE68" s="228"/>
      <c r="OF68" s="228"/>
      <c r="OG68" s="228"/>
      <c r="OH68" s="228"/>
      <c r="OI68" s="228"/>
      <c r="OJ68" s="228"/>
      <c r="OK68" s="228"/>
      <c r="OL68" s="228"/>
      <c r="OM68" s="228"/>
      <c r="ON68" s="228"/>
      <c r="OO68" s="228"/>
      <c r="OP68" s="228"/>
      <c r="OQ68" s="228"/>
      <c r="OR68" s="228"/>
      <c r="OS68" s="228"/>
      <c r="OT68" s="228"/>
      <c r="OU68" s="228"/>
      <c r="OV68" s="228"/>
      <c r="OW68" s="228"/>
      <c r="OX68" s="228"/>
      <c r="OY68" s="228"/>
      <c r="OZ68" s="228"/>
      <c r="PA68" s="228"/>
      <c r="PB68" s="228"/>
      <c r="PC68" s="228"/>
      <c r="PD68" s="228"/>
      <c r="PE68" s="228"/>
      <c r="PF68" s="228"/>
      <c r="PG68" s="228"/>
      <c r="PH68" s="228"/>
      <c r="PI68" s="228"/>
      <c r="PJ68" s="228"/>
      <c r="PK68" s="228"/>
      <c r="PL68" s="228"/>
      <c r="PM68" s="228"/>
      <c r="PN68" s="228"/>
      <c r="PO68" s="228"/>
      <c r="PP68" s="228"/>
      <c r="PQ68" s="228"/>
      <c r="PR68" s="228"/>
      <c r="PS68" s="228"/>
      <c r="PT68" s="228"/>
      <c r="PU68" s="228"/>
      <c r="PV68" s="228"/>
      <c r="PW68" s="228"/>
      <c r="PX68" s="228"/>
      <c r="PY68" s="228"/>
      <c r="PZ68" s="228"/>
      <c r="QA68" s="228"/>
      <c r="QB68" s="228"/>
      <c r="QC68" s="228"/>
      <c r="QD68" s="228"/>
      <c r="QE68" s="228"/>
      <c r="QF68" s="228"/>
      <c r="QG68" s="228"/>
      <c r="QH68" s="228"/>
      <c r="QI68" s="228"/>
      <c r="QJ68" s="228"/>
      <c r="QK68" s="228"/>
      <c r="QL68" s="228"/>
      <c r="QM68" s="228"/>
      <c r="QN68" s="228"/>
      <c r="QO68" s="228"/>
      <c r="QP68" s="228"/>
      <c r="QQ68" s="228"/>
      <c r="QR68" s="228"/>
      <c r="QS68" s="228"/>
      <c r="QT68" s="228"/>
      <c r="QU68" s="228"/>
      <c r="QV68" s="228"/>
      <c r="QW68" s="228"/>
      <c r="QX68" s="228"/>
      <c r="QY68" s="228"/>
      <c r="QZ68" s="228"/>
      <c r="RA68" s="228"/>
      <c r="RB68" s="228"/>
      <c r="RC68" s="228"/>
      <c r="RD68" s="228"/>
      <c r="RE68" s="228"/>
      <c r="RF68" s="228"/>
      <c r="RG68" s="228"/>
      <c r="RH68" s="228"/>
      <c r="RI68" s="228"/>
      <c r="RJ68" s="228"/>
      <c r="RK68" s="228"/>
      <c r="RL68" s="228"/>
      <c r="RM68" s="228"/>
      <c r="RN68" s="228"/>
      <c r="RO68" s="228"/>
      <c r="RP68" s="228"/>
      <c r="RQ68" s="228"/>
      <c r="RR68" s="228"/>
      <c r="RS68" s="228"/>
      <c r="RT68" s="228"/>
      <c r="RU68" s="228"/>
      <c r="RV68" s="228"/>
      <c r="RW68" s="228"/>
      <c r="RX68" s="228"/>
      <c r="RY68" s="228"/>
      <c r="RZ68" s="228"/>
      <c r="SA68" s="228"/>
      <c r="SB68" s="228"/>
      <c r="SC68" s="228"/>
      <c r="SD68" s="228"/>
      <c r="SE68" s="228"/>
      <c r="SF68" s="228"/>
      <c r="SG68" s="228"/>
      <c r="SH68" s="228"/>
      <c r="SI68" s="228"/>
      <c r="SJ68" s="228"/>
      <c r="SK68" s="228"/>
      <c r="SL68" s="228"/>
      <c r="SM68" s="228"/>
      <c r="SN68" s="228"/>
      <c r="SO68" s="228"/>
      <c r="SP68" s="228"/>
      <c r="SQ68" s="228"/>
      <c r="SR68" s="228"/>
      <c r="SS68" s="228"/>
      <c r="ST68" s="228"/>
      <c r="SU68" s="228"/>
      <c r="SV68" s="228"/>
      <c r="SW68" s="228"/>
      <c r="SX68" s="228"/>
      <c r="SY68" s="228"/>
      <c r="SZ68" s="228"/>
      <c r="TA68" s="228"/>
      <c r="TB68" s="228"/>
      <c r="TC68" s="228"/>
      <c r="TD68" s="228"/>
      <c r="TE68" s="228"/>
      <c r="TF68" s="228"/>
      <c r="TG68" s="228"/>
      <c r="TH68" s="228"/>
      <c r="TI68" s="228"/>
      <c r="TJ68" s="228"/>
      <c r="TK68" s="228"/>
      <c r="TL68" s="228"/>
      <c r="TM68" s="228"/>
      <c r="TN68" s="228"/>
      <c r="TO68" s="228"/>
      <c r="TP68" s="228"/>
      <c r="TQ68" s="228"/>
      <c r="TR68" s="228"/>
      <c r="TS68" s="228"/>
      <c r="TT68" s="228"/>
      <c r="TU68" s="228"/>
      <c r="TV68" s="228"/>
      <c r="TW68" s="228"/>
      <c r="TX68" s="228"/>
      <c r="TY68" s="228"/>
      <c r="TZ68" s="228"/>
      <c r="UA68" s="228"/>
      <c r="UB68" s="228"/>
      <c r="UC68" s="228"/>
      <c r="UD68" s="228"/>
      <c r="UE68" s="228"/>
      <c r="UF68" s="228"/>
      <c r="UG68" s="228"/>
      <c r="UH68" s="228"/>
      <c r="UI68" s="228"/>
      <c r="UJ68" s="228"/>
      <c r="UK68" s="228"/>
      <c r="UL68" s="228"/>
      <c r="UM68" s="228"/>
      <c r="UN68" s="228"/>
      <c r="UO68" s="228"/>
      <c r="UP68" s="228"/>
      <c r="UQ68" s="228"/>
      <c r="UR68" s="228"/>
      <c r="US68" s="228"/>
      <c r="UT68" s="228"/>
      <c r="UU68" s="228"/>
      <c r="UV68" s="228"/>
      <c r="UW68" s="228"/>
      <c r="UX68" s="228"/>
      <c r="UY68" s="228"/>
      <c r="UZ68" s="228"/>
      <c r="VA68" s="228"/>
      <c r="VB68" s="228"/>
      <c r="VC68" s="228"/>
      <c r="VD68" s="228"/>
      <c r="VE68" s="228"/>
      <c r="VF68" s="228"/>
      <c r="VG68" s="228"/>
      <c r="VH68" s="228"/>
      <c r="VI68" s="228"/>
      <c r="VJ68" s="228"/>
      <c r="VK68" s="228"/>
      <c r="VL68" s="228"/>
      <c r="VM68" s="228"/>
      <c r="VN68" s="228"/>
      <c r="VO68" s="228"/>
      <c r="VP68" s="228"/>
      <c r="VQ68" s="228"/>
      <c r="VR68" s="228"/>
      <c r="VS68" s="228"/>
      <c r="VT68" s="228"/>
      <c r="VU68" s="228"/>
      <c r="VV68" s="228"/>
      <c r="VW68" s="228"/>
      <c r="VX68" s="228"/>
      <c r="VY68" s="228"/>
      <c r="VZ68" s="228"/>
      <c r="WA68" s="228"/>
      <c r="WB68" s="228"/>
      <c r="WC68" s="228"/>
      <c r="WD68" s="228"/>
      <c r="WE68" s="228"/>
      <c r="WF68" s="228"/>
      <c r="WG68" s="228"/>
      <c r="WH68" s="228"/>
      <c r="WI68" s="228"/>
      <c r="WJ68" s="228"/>
      <c r="WK68" s="228"/>
      <c r="WL68" s="228"/>
      <c r="WM68" s="228"/>
      <c r="WN68" s="228"/>
      <c r="WO68" s="228"/>
      <c r="WP68" s="228"/>
      <c r="WQ68" s="228"/>
      <c r="WR68" s="228"/>
      <c r="WS68" s="228"/>
      <c r="WT68" s="228"/>
      <c r="WU68" s="228"/>
      <c r="WV68" s="228"/>
      <c r="WW68" s="228"/>
      <c r="WX68" s="228"/>
      <c r="WY68" s="228"/>
      <c r="WZ68" s="228"/>
      <c r="XA68" s="228"/>
      <c r="XB68" s="228"/>
      <c r="XC68" s="228"/>
      <c r="XD68" s="228"/>
      <c r="XE68" s="228"/>
      <c r="XF68" s="228"/>
      <c r="XG68" s="228"/>
      <c r="XH68" s="228"/>
      <c r="XI68" s="228"/>
      <c r="XJ68" s="228"/>
      <c r="XK68" s="228"/>
      <c r="XL68" s="228"/>
      <c r="XM68" s="228"/>
      <c r="XN68" s="228"/>
      <c r="XO68" s="228"/>
      <c r="XP68" s="228"/>
      <c r="XQ68" s="228"/>
      <c r="XR68" s="228"/>
      <c r="XS68" s="228"/>
      <c r="XT68" s="228"/>
      <c r="XU68" s="228"/>
      <c r="XV68" s="228"/>
      <c r="XW68" s="228"/>
      <c r="XX68" s="228"/>
      <c r="XY68" s="228"/>
      <c r="XZ68" s="228"/>
      <c r="YA68" s="228"/>
      <c r="YB68" s="228"/>
      <c r="YC68" s="228"/>
      <c r="YD68" s="228"/>
      <c r="YE68" s="228"/>
      <c r="YF68" s="228"/>
      <c r="YG68" s="228"/>
      <c r="YH68" s="228"/>
      <c r="YI68" s="228"/>
      <c r="YJ68" s="228"/>
      <c r="YK68" s="228"/>
      <c r="YL68" s="228"/>
      <c r="YM68" s="228"/>
      <c r="YN68" s="228"/>
      <c r="YO68" s="228"/>
      <c r="YP68" s="228"/>
      <c r="YQ68" s="228"/>
      <c r="YR68" s="228"/>
      <c r="YS68" s="228"/>
      <c r="YT68" s="228"/>
      <c r="YU68" s="228"/>
      <c r="YV68" s="228"/>
      <c r="YW68" s="228"/>
      <c r="YX68" s="228"/>
      <c r="YY68" s="228"/>
      <c r="YZ68" s="228"/>
      <c r="ZA68" s="228"/>
      <c r="ZB68" s="228"/>
      <c r="ZC68" s="228"/>
      <c r="ZD68" s="228"/>
      <c r="ZE68" s="228"/>
      <c r="ZF68" s="228"/>
      <c r="ZG68" s="228"/>
      <c r="ZH68" s="228"/>
      <c r="ZI68" s="228"/>
      <c r="ZJ68" s="228"/>
      <c r="ZK68" s="228"/>
      <c r="ZL68" s="228"/>
      <c r="ZM68" s="228"/>
      <c r="ZN68" s="228"/>
      <c r="ZO68" s="228"/>
      <c r="ZP68" s="228"/>
      <c r="ZQ68" s="228"/>
      <c r="ZR68" s="228"/>
      <c r="ZS68" s="228"/>
      <c r="ZT68" s="228"/>
      <c r="ZU68" s="228"/>
      <c r="ZV68" s="228"/>
      <c r="ZW68" s="228"/>
      <c r="ZX68" s="228"/>
      <c r="ZY68" s="228"/>
      <c r="ZZ68" s="228"/>
      <c r="AAA68" s="228"/>
      <c r="AAB68" s="228"/>
      <c r="AAC68" s="228"/>
      <c r="AAD68" s="228"/>
      <c r="AAE68" s="228"/>
      <c r="AAF68" s="228"/>
      <c r="AAG68" s="228"/>
      <c r="AAH68" s="228"/>
      <c r="AAI68" s="228"/>
      <c r="AAJ68" s="228"/>
      <c r="AAK68" s="228"/>
      <c r="AAL68" s="228"/>
      <c r="AAM68" s="228"/>
      <c r="AAN68" s="228"/>
      <c r="AAO68" s="228"/>
      <c r="AAP68" s="228"/>
      <c r="AAQ68" s="228"/>
      <c r="AAR68" s="228"/>
      <c r="AAS68" s="228"/>
      <c r="AAT68" s="228"/>
      <c r="AAU68" s="228"/>
      <c r="AAV68" s="228"/>
      <c r="AAW68" s="228"/>
      <c r="AAX68" s="228"/>
      <c r="AAY68" s="228"/>
      <c r="AAZ68" s="228"/>
      <c r="ABA68" s="228"/>
      <c r="ABB68" s="228"/>
      <c r="ABC68" s="228"/>
      <c r="ABD68" s="228"/>
      <c r="ABE68" s="228"/>
      <c r="ABF68" s="228"/>
      <c r="ABG68" s="228"/>
      <c r="ABH68" s="228"/>
      <c r="ABI68" s="228"/>
      <c r="ABJ68" s="228"/>
      <c r="ABK68" s="228"/>
      <c r="ABL68" s="228"/>
      <c r="ABM68" s="228"/>
      <c r="ABN68" s="228"/>
      <c r="ABO68" s="228"/>
      <c r="ABP68" s="228"/>
      <c r="ABQ68" s="228"/>
      <c r="ABR68" s="228"/>
      <c r="ABS68" s="228"/>
      <c r="ABT68" s="228"/>
      <c r="ABU68" s="228"/>
      <c r="ABV68" s="228"/>
      <c r="ABW68" s="228"/>
      <c r="ABX68" s="228"/>
      <c r="ABY68" s="228"/>
      <c r="ABZ68" s="228"/>
      <c r="ACA68" s="228"/>
      <c r="ACB68" s="228"/>
      <c r="ACC68" s="228"/>
      <c r="ACD68" s="228"/>
      <c r="ACE68" s="228"/>
      <c r="ACF68" s="228"/>
      <c r="ACG68" s="228"/>
      <c r="ACH68" s="228"/>
      <c r="ACI68" s="228"/>
      <c r="ACJ68" s="228"/>
      <c r="ACK68" s="228"/>
      <c r="ACL68" s="228"/>
      <c r="ACM68" s="228"/>
      <c r="ACN68" s="228"/>
      <c r="ACO68" s="228"/>
      <c r="ACP68" s="228"/>
      <c r="ACQ68" s="228"/>
      <c r="ACR68" s="228"/>
      <c r="ACS68" s="228"/>
      <c r="ACT68" s="228"/>
      <c r="ACU68" s="228"/>
      <c r="ACV68" s="228"/>
      <c r="ACW68" s="228"/>
      <c r="ACX68" s="228"/>
      <c r="ACY68" s="228"/>
      <c r="ACZ68" s="228"/>
      <c r="ADA68" s="228"/>
      <c r="ADB68" s="228"/>
      <c r="ADC68" s="228"/>
      <c r="ADD68" s="228"/>
      <c r="ADE68" s="228"/>
      <c r="ADF68" s="228"/>
      <c r="ADG68" s="228"/>
      <c r="ADH68" s="228"/>
      <c r="ADI68" s="228"/>
      <c r="ADJ68" s="228"/>
      <c r="ADK68" s="228"/>
      <c r="ADL68" s="228"/>
      <c r="ADM68" s="228"/>
      <c r="ADN68" s="228"/>
      <c r="ADO68" s="228"/>
      <c r="ADP68" s="228"/>
      <c r="ADQ68" s="228"/>
      <c r="ADR68" s="228"/>
      <c r="ADS68" s="228"/>
      <c r="ADT68" s="228"/>
      <c r="ADU68" s="228"/>
      <c r="ADV68" s="228"/>
      <c r="ADW68" s="228"/>
      <c r="ADX68" s="228"/>
      <c r="ADY68" s="228"/>
      <c r="ADZ68" s="228"/>
      <c r="AEA68" s="228"/>
      <c r="AEB68" s="228"/>
      <c r="AEC68" s="228"/>
      <c r="AED68" s="228"/>
      <c r="AEE68" s="228"/>
      <c r="AEF68" s="228"/>
      <c r="AEG68" s="228"/>
      <c r="AEH68" s="228"/>
      <c r="AEI68" s="228"/>
      <c r="AEJ68" s="228"/>
      <c r="AEK68" s="228"/>
      <c r="AEL68" s="228"/>
      <c r="AEM68" s="228"/>
      <c r="AEN68" s="228"/>
      <c r="AEO68" s="228"/>
      <c r="AEP68" s="228"/>
      <c r="AEQ68" s="228"/>
      <c r="AER68" s="228"/>
      <c r="AES68" s="228"/>
      <c r="AET68" s="228"/>
      <c r="AEU68" s="228"/>
      <c r="AEV68" s="228"/>
      <c r="AEW68" s="228"/>
      <c r="AEX68" s="228"/>
      <c r="AEY68" s="228"/>
      <c r="AEZ68" s="228"/>
      <c r="AFA68" s="228"/>
      <c r="AFB68" s="228"/>
      <c r="AFC68" s="228"/>
      <c r="AFD68" s="228"/>
      <c r="AFE68" s="228"/>
      <c r="AFF68" s="228"/>
      <c r="AFG68" s="228"/>
      <c r="AFH68" s="228"/>
      <c r="AFI68" s="228"/>
      <c r="AFJ68" s="228"/>
      <c r="AFK68" s="228"/>
      <c r="AFL68" s="228"/>
      <c r="AFM68" s="228"/>
      <c r="AFN68" s="228"/>
      <c r="AFO68" s="228"/>
      <c r="AFP68" s="228"/>
      <c r="AFQ68" s="228"/>
      <c r="AFR68" s="228"/>
      <c r="AFS68" s="228"/>
      <c r="AFT68" s="228"/>
      <c r="AFU68" s="228"/>
      <c r="AFV68" s="228"/>
      <c r="AFW68" s="228"/>
      <c r="AFX68" s="228"/>
      <c r="AFY68" s="228"/>
      <c r="AFZ68" s="228"/>
      <c r="AGA68" s="228"/>
      <c r="AGB68" s="228"/>
      <c r="AGC68" s="228"/>
      <c r="AGD68" s="228"/>
      <c r="AGE68" s="228"/>
      <c r="AGF68" s="228"/>
      <c r="AGG68" s="228"/>
      <c r="AGH68" s="228"/>
      <c r="AGI68" s="228"/>
      <c r="AGJ68" s="228"/>
      <c r="AGK68" s="228"/>
      <c r="AGL68" s="228"/>
      <c r="AGM68" s="228"/>
      <c r="AGN68" s="228"/>
      <c r="AGO68" s="228"/>
      <c r="AGP68" s="228"/>
      <c r="AGQ68" s="228"/>
      <c r="AGR68" s="228"/>
      <c r="AGS68" s="228"/>
      <c r="AGT68" s="228"/>
      <c r="AGU68" s="228"/>
      <c r="AGV68" s="228"/>
      <c r="AGW68" s="228"/>
      <c r="AGX68" s="228"/>
      <c r="AGY68" s="228"/>
      <c r="AGZ68" s="228"/>
      <c r="AHA68" s="228"/>
      <c r="AHB68" s="228"/>
      <c r="AHC68" s="228"/>
      <c r="AHD68" s="228"/>
      <c r="AHE68" s="228"/>
      <c r="AHF68" s="228"/>
      <c r="AHG68" s="228"/>
      <c r="AHH68" s="228"/>
      <c r="AHI68" s="228"/>
      <c r="AHJ68" s="228"/>
      <c r="AHK68" s="228"/>
      <c r="AHL68" s="228"/>
      <c r="AHM68" s="228"/>
      <c r="AHN68" s="228"/>
      <c r="AHO68" s="228"/>
      <c r="AHP68" s="228"/>
      <c r="AHQ68" s="228"/>
      <c r="AHR68" s="228"/>
      <c r="AHS68" s="228"/>
      <c r="AHT68" s="228"/>
      <c r="AHU68" s="228"/>
      <c r="AHV68" s="228"/>
      <c r="AHW68" s="228"/>
      <c r="AHX68" s="228"/>
      <c r="AHY68" s="228"/>
      <c r="AHZ68" s="228"/>
      <c r="AIA68" s="228"/>
      <c r="AIB68" s="228"/>
      <c r="AIC68" s="228"/>
      <c r="AID68" s="228"/>
      <c r="AIE68" s="228"/>
      <c r="AIF68" s="228"/>
      <c r="AIG68" s="228"/>
      <c r="AIH68" s="228"/>
      <c r="AII68" s="228"/>
      <c r="AIJ68" s="228"/>
      <c r="AIK68" s="228"/>
      <c r="AIL68" s="228"/>
      <c r="AIM68" s="228"/>
      <c r="AIN68" s="228"/>
      <c r="AIO68" s="228"/>
      <c r="AIP68" s="228"/>
      <c r="AIQ68" s="228"/>
      <c r="AIR68" s="228"/>
      <c r="AIS68" s="228"/>
      <c r="AIT68" s="228"/>
      <c r="AIU68" s="228"/>
      <c r="AIV68" s="228"/>
      <c r="AIW68" s="228"/>
      <c r="AIX68" s="228"/>
      <c r="AIY68" s="228"/>
      <c r="AIZ68" s="228"/>
      <c r="AJA68" s="228"/>
      <c r="AJB68" s="228"/>
      <c r="AJC68" s="228"/>
      <c r="AJD68" s="228"/>
      <c r="AJE68" s="228"/>
      <c r="AJF68" s="228"/>
      <c r="AJG68" s="228"/>
      <c r="AJH68" s="228"/>
      <c r="AJI68" s="228"/>
      <c r="AJJ68" s="228"/>
      <c r="AJK68" s="228"/>
      <c r="AJL68" s="228"/>
      <c r="AJM68" s="228"/>
      <c r="AJN68" s="228"/>
      <c r="AJO68" s="228"/>
      <c r="AJP68" s="228"/>
      <c r="AJQ68" s="228"/>
      <c r="AJR68" s="228"/>
      <c r="AJS68" s="228"/>
      <c r="AJT68" s="228"/>
      <c r="AJU68" s="228"/>
      <c r="AJV68" s="228"/>
      <c r="AJW68" s="228"/>
      <c r="AJX68" s="228"/>
      <c r="AJY68" s="228"/>
      <c r="AJZ68" s="228"/>
      <c r="AKA68" s="228"/>
      <c r="AKB68" s="228"/>
      <c r="AKC68" s="228"/>
      <c r="AKD68" s="228"/>
      <c r="AKE68" s="228"/>
      <c r="AKF68" s="228"/>
      <c r="AKG68" s="228"/>
      <c r="AKH68" s="228"/>
      <c r="AKI68" s="228"/>
      <c r="AKJ68" s="228"/>
      <c r="AKK68" s="228"/>
      <c r="AKL68" s="228"/>
      <c r="AKM68" s="228"/>
      <c r="AKN68" s="228"/>
      <c r="AKO68" s="228"/>
      <c r="AKP68" s="228"/>
      <c r="AKQ68" s="228"/>
      <c r="AKR68" s="228"/>
      <c r="AKS68" s="228"/>
      <c r="AKT68" s="228"/>
      <c r="AKU68" s="228"/>
      <c r="AKV68" s="228"/>
      <c r="AKW68" s="228"/>
      <c r="AKX68" s="228"/>
      <c r="AKY68" s="228"/>
      <c r="AKZ68" s="228"/>
      <c r="ALA68" s="228"/>
      <c r="ALB68" s="228"/>
      <c r="ALC68" s="228"/>
      <c r="ALD68" s="228"/>
      <c r="ALE68" s="228"/>
      <c r="ALF68" s="228"/>
      <c r="ALG68" s="228"/>
      <c r="ALH68" s="228"/>
    </row>
    <row r="69" spans="1:996" s="229" customFormat="1">
      <c r="A69" s="37"/>
      <c r="B69" t="str">
        <f t="shared" si="0"/>
        <v>E311101</v>
      </c>
      <c r="C69" s="36" t="s">
        <v>216</v>
      </c>
      <c r="D69" s="26" t="s">
        <v>73</v>
      </c>
      <c r="E69" s="7">
        <v>311101</v>
      </c>
      <c r="F69" s="48" t="s">
        <v>578</v>
      </c>
      <c r="G69" s="49">
        <f>IFERROR(VLOOKUP(E69,'BD - E - Mvto Cx'!$A$15:$D$500,4,0),0)</f>
        <v>159206.6</v>
      </c>
      <c r="H69" s="50">
        <f>IFERROR(VLOOKUP(E69,'BD - E - Mvto Cx'!$J$15:$M$500,4,0),0)</f>
        <v>120839.6</v>
      </c>
      <c r="I69" s="50">
        <f>IFERROR(VLOOKUP(E69,'BD - E - Mvto Cx'!$S$15:$V$500,4,0),0)</f>
        <v>116407.11</v>
      </c>
      <c r="J69" s="50">
        <f>IFERROR(VLOOKUP(E69,'BD - E - Mvto Cx'!$AB$15:$AE$500,4,0),0)</f>
        <v>130642.75</v>
      </c>
      <c r="K69" s="50">
        <f>IFERROR(VLOOKUP(E69,'BD - E - Mvto Cx'!$AK$15:$AN$500,4,0),0)</f>
        <v>0</v>
      </c>
      <c r="L69" s="50">
        <f>IFERROR(VLOOKUP(E69,'BD - E - Mvto Cx'!$AT$15:$AW$500,4,0),0)</f>
        <v>0</v>
      </c>
      <c r="M69" s="50">
        <f>IFERROR(VLOOKUP(E69,'BD - E - Mvto Cx'!$BF$15:$BI$500,4,0),0)</f>
        <v>0</v>
      </c>
      <c r="N69" s="50">
        <f>IFERROR(VLOOKUP(E69,'BD - E - Mvto Cx'!$BO$15:$BR$500,4,0),0)</f>
        <v>0</v>
      </c>
      <c r="O69" s="50">
        <f>IFERROR(VLOOKUP(E69,'BD - E - Mvto Cx'!$BX$15:$CA$500,4,0),0)</f>
        <v>0</v>
      </c>
      <c r="P69" s="50">
        <f>IFERROR(VLOOKUP(E69,'BD - E - Mvto Cx'!$CG$15:$CJ$500,4,0),0)</f>
        <v>0</v>
      </c>
      <c r="Q69" s="50">
        <f>IFERROR(VLOOKUP(E69,'BD - E - Mvto Cx'!$CP$15:$CS$500,4,0),0)</f>
        <v>0</v>
      </c>
      <c r="R69" s="50">
        <f>IFERROR(VLOOKUP(E69,'BD - E - Mvto Cx'!$CY$15:$DB$500,4,0),0)</f>
        <v>0</v>
      </c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A69" s="228"/>
      <c r="BB69" s="228"/>
      <c r="BC69" s="228"/>
      <c r="BD69" s="228"/>
      <c r="BE69" s="228"/>
      <c r="BF69" s="228"/>
      <c r="BG69" s="228"/>
      <c r="BH69" s="228"/>
      <c r="BI69" s="228"/>
      <c r="BJ69" s="228"/>
      <c r="BK69" s="228"/>
      <c r="BL69" s="228"/>
      <c r="BM69" s="228"/>
      <c r="BN69" s="228"/>
      <c r="BO69" s="228"/>
      <c r="BP69" s="228"/>
      <c r="BQ69" s="228"/>
      <c r="BR69" s="228"/>
      <c r="BS69" s="228"/>
      <c r="BT69" s="228"/>
      <c r="BU69" s="228"/>
      <c r="BV69" s="228"/>
      <c r="BW69" s="228"/>
      <c r="BX69" s="228"/>
      <c r="BY69" s="228"/>
      <c r="BZ69" s="228"/>
      <c r="CA69" s="228"/>
      <c r="CB69" s="228"/>
      <c r="CC69" s="228"/>
      <c r="CD69" s="228"/>
      <c r="CE69" s="228"/>
      <c r="CF69" s="228"/>
      <c r="CG69" s="228"/>
      <c r="CH69" s="228"/>
      <c r="CI69" s="228"/>
      <c r="CJ69" s="228"/>
      <c r="CK69" s="228"/>
      <c r="CL69" s="228"/>
      <c r="CM69" s="228"/>
      <c r="CN69" s="228"/>
      <c r="CO69" s="228"/>
      <c r="CP69" s="228"/>
      <c r="CQ69" s="228"/>
      <c r="CR69" s="228"/>
      <c r="CS69" s="228"/>
      <c r="CT69" s="228"/>
      <c r="CU69" s="228"/>
      <c r="CV69" s="228"/>
      <c r="CW69" s="228"/>
      <c r="CX69" s="228"/>
      <c r="CY69" s="228"/>
      <c r="CZ69" s="228"/>
      <c r="DA69" s="228"/>
      <c r="DB69" s="228"/>
      <c r="DC69" s="228"/>
      <c r="DD69" s="228"/>
      <c r="DE69" s="228"/>
      <c r="DF69" s="228"/>
      <c r="DG69" s="228"/>
      <c r="DH69" s="228"/>
      <c r="DI69" s="228"/>
      <c r="DJ69" s="228"/>
      <c r="DK69" s="228"/>
      <c r="DL69" s="228"/>
      <c r="DM69" s="228"/>
      <c r="DN69" s="228"/>
      <c r="DO69" s="228"/>
      <c r="DP69" s="228"/>
      <c r="DQ69" s="228"/>
      <c r="DR69" s="228"/>
      <c r="DS69" s="228"/>
      <c r="DT69" s="228"/>
      <c r="DU69" s="228"/>
      <c r="DV69" s="228"/>
      <c r="DW69" s="228"/>
      <c r="DX69" s="228"/>
      <c r="DY69" s="228"/>
      <c r="DZ69" s="228"/>
      <c r="EA69" s="228"/>
      <c r="EB69" s="228"/>
      <c r="EC69" s="228"/>
      <c r="ED69" s="228"/>
      <c r="EE69" s="228"/>
      <c r="EF69" s="228"/>
      <c r="EG69" s="228"/>
      <c r="EH69" s="228"/>
      <c r="EI69" s="228"/>
      <c r="EJ69" s="228"/>
      <c r="EK69" s="228"/>
      <c r="EL69" s="228"/>
      <c r="EM69" s="228"/>
      <c r="EN69" s="228"/>
      <c r="EO69" s="228"/>
      <c r="EP69" s="228"/>
      <c r="EQ69" s="228"/>
      <c r="ER69" s="228"/>
      <c r="ES69" s="228"/>
      <c r="ET69" s="228"/>
      <c r="EU69" s="228"/>
      <c r="EV69" s="228"/>
      <c r="EW69" s="228"/>
      <c r="EX69" s="228"/>
      <c r="EY69" s="228"/>
      <c r="EZ69" s="228"/>
      <c r="FA69" s="228"/>
      <c r="FB69" s="228"/>
      <c r="FC69" s="228"/>
      <c r="FD69" s="228"/>
      <c r="FE69" s="228"/>
      <c r="FF69" s="228"/>
      <c r="FG69" s="228"/>
      <c r="FH69" s="228"/>
      <c r="FI69" s="228"/>
      <c r="FJ69" s="228"/>
      <c r="FK69" s="228"/>
      <c r="FL69" s="228"/>
      <c r="FM69" s="228"/>
      <c r="FN69" s="228"/>
      <c r="FO69" s="228"/>
      <c r="FP69" s="228"/>
      <c r="FQ69" s="228"/>
      <c r="FR69" s="228"/>
      <c r="FS69" s="228"/>
      <c r="FT69" s="228"/>
      <c r="FU69" s="228"/>
      <c r="FV69" s="228"/>
      <c r="FW69" s="228"/>
      <c r="FX69" s="228"/>
      <c r="FY69" s="228"/>
      <c r="FZ69" s="228"/>
      <c r="GA69" s="228"/>
      <c r="GB69" s="228"/>
      <c r="GC69" s="228"/>
      <c r="GD69" s="228"/>
      <c r="GE69" s="228"/>
      <c r="GF69" s="228"/>
      <c r="GG69" s="228"/>
      <c r="GH69" s="228"/>
      <c r="GI69" s="228"/>
      <c r="GJ69" s="228"/>
      <c r="GK69" s="228"/>
      <c r="GL69" s="228"/>
      <c r="GM69" s="228"/>
      <c r="GN69" s="228"/>
      <c r="GO69" s="228"/>
      <c r="GP69" s="228"/>
      <c r="GQ69" s="228"/>
      <c r="GR69" s="228"/>
      <c r="GS69" s="228"/>
      <c r="GT69" s="228"/>
      <c r="GU69" s="228"/>
      <c r="GV69" s="228"/>
      <c r="GW69" s="228"/>
      <c r="GX69" s="228"/>
      <c r="GY69" s="228"/>
      <c r="GZ69" s="228"/>
      <c r="HA69" s="228"/>
      <c r="HB69" s="228"/>
      <c r="HC69" s="228"/>
      <c r="HD69" s="228"/>
      <c r="HE69" s="228"/>
      <c r="HF69" s="228"/>
      <c r="HG69" s="228"/>
      <c r="HH69" s="228"/>
      <c r="HI69" s="228"/>
      <c r="HJ69" s="228"/>
      <c r="HK69" s="228"/>
      <c r="HL69" s="228"/>
      <c r="HM69" s="228"/>
      <c r="HN69" s="228"/>
      <c r="HO69" s="228"/>
      <c r="HP69" s="228"/>
      <c r="HQ69" s="228"/>
      <c r="HR69" s="228"/>
      <c r="HS69" s="228"/>
      <c r="HT69" s="228"/>
      <c r="HU69" s="228"/>
      <c r="HV69" s="228"/>
      <c r="HW69" s="228"/>
      <c r="HX69" s="228"/>
      <c r="HY69" s="228"/>
      <c r="HZ69" s="228"/>
      <c r="IA69" s="228"/>
      <c r="IB69" s="228"/>
      <c r="IC69" s="228"/>
      <c r="ID69" s="228"/>
      <c r="IE69" s="228"/>
      <c r="IF69" s="228"/>
      <c r="IG69" s="228"/>
      <c r="IH69" s="228"/>
      <c r="II69" s="228"/>
      <c r="IJ69" s="228"/>
      <c r="IK69" s="228"/>
      <c r="IL69" s="228"/>
      <c r="IM69" s="228"/>
      <c r="IN69" s="228"/>
      <c r="IO69" s="228"/>
      <c r="IP69" s="228"/>
      <c r="IQ69" s="228"/>
      <c r="IR69" s="228"/>
      <c r="IS69" s="228"/>
      <c r="IT69" s="228"/>
      <c r="IU69" s="228"/>
      <c r="IV69" s="228"/>
      <c r="IW69" s="228"/>
      <c r="IX69" s="228"/>
      <c r="IY69" s="228"/>
      <c r="IZ69" s="228"/>
      <c r="JA69" s="228"/>
      <c r="JB69" s="228"/>
      <c r="JC69" s="228"/>
      <c r="JD69" s="228"/>
      <c r="JE69" s="228"/>
      <c r="JF69" s="228"/>
      <c r="JG69" s="228"/>
      <c r="JH69" s="228"/>
      <c r="JI69" s="228"/>
      <c r="JJ69" s="228"/>
      <c r="JK69" s="228"/>
      <c r="JL69" s="228"/>
      <c r="JM69" s="228"/>
      <c r="JN69" s="228"/>
      <c r="JO69" s="228"/>
      <c r="JP69" s="228"/>
      <c r="JQ69" s="228"/>
      <c r="JR69" s="228"/>
      <c r="JS69" s="228"/>
      <c r="JT69" s="228"/>
      <c r="JU69" s="228"/>
      <c r="JV69" s="228"/>
      <c r="JW69" s="228"/>
      <c r="JX69" s="228"/>
      <c r="JY69" s="228"/>
      <c r="JZ69" s="228"/>
      <c r="KA69" s="228"/>
      <c r="KB69" s="228"/>
      <c r="KC69" s="228"/>
      <c r="KD69" s="228"/>
      <c r="KE69" s="228"/>
      <c r="KF69" s="228"/>
      <c r="KG69" s="228"/>
      <c r="KH69" s="228"/>
      <c r="KI69" s="228"/>
      <c r="KJ69" s="228"/>
      <c r="KK69" s="228"/>
      <c r="KL69" s="228"/>
      <c r="KM69" s="228"/>
      <c r="KN69" s="228"/>
      <c r="KO69" s="228"/>
      <c r="KP69" s="228"/>
      <c r="KQ69" s="228"/>
      <c r="KR69" s="228"/>
      <c r="KS69" s="228"/>
      <c r="KT69" s="228"/>
      <c r="KU69" s="228"/>
      <c r="KV69" s="228"/>
      <c r="KW69" s="228"/>
      <c r="KX69" s="228"/>
      <c r="KY69" s="228"/>
      <c r="KZ69" s="228"/>
      <c r="LA69" s="228"/>
      <c r="LB69" s="228"/>
      <c r="LC69" s="228"/>
      <c r="LD69" s="228"/>
      <c r="LE69" s="228"/>
      <c r="LF69" s="228"/>
      <c r="LG69" s="228"/>
      <c r="LH69" s="228"/>
      <c r="LI69" s="228"/>
      <c r="LJ69" s="228"/>
      <c r="LK69" s="228"/>
      <c r="LL69" s="228"/>
      <c r="LM69" s="228"/>
      <c r="LN69" s="228"/>
      <c r="LO69" s="228"/>
      <c r="LP69" s="228"/>
      <c r="LQ69" s="228"/>
      <c r="LR69" s="228"/>
      <c r="LS69" s="228"/>
      <c r="LT69" s="228"/>
      <c r="LU69" s="228"/>
      <c r="LV69" s="228"/>
      <c r="LW69" s="228"/>
      <c r="LX69" s="228"/>
      <c r="LY69" s="228"/>
      <c r="LZ69" s="228"/>
      <c r="MA69" s="228"/>
      <c r="MB69" s="228"/>
      <c r="MC69" s="228"/>
      <c r="MD69" s="228"/>
      <c r="ME69" s="228"/>
      <c r="MF69" s="228"/>
      <c r="MG69" s="228"/>
      <c r="MH69" s="228"/>
      <c r="MI69" s="228"/>
      <c r="MJ69" s="228"/>
      <c r="MK69" s="228"/>
      <c r="ML69" s="228"/>
      <c r="MM69" s="228"/>
      <c r="MN69" s="228"/>
      <c r="MO69" s="228"/>
      <c r="MP69" s="228"/>
      <c r="MQ69" s="228"/>
      <c r="MR69" s="228"/>
      <c r="MS69" s="228"/>
      <c r="MT69" s="228"/>
      <c r="MU69" s="228"/>
      <c r="MV69" s="228"/>
      <c r="MW69" s="228"/>
      <c r="MX69" s="228"/>
      <c r="MY69" s="228"/>
      <c r="MZ69" s="228"/>
      <c r="NA69" s="228"/>
      <c r="NB69" s="228"/>
      <c r="NC69" s="228"/>
      <c r="ND69" s="228"/>
      <c r="NE69" s="228"/>
      <c r="NF69" s="228"/>
      <c r="NG69" s="228"/>
      <c r="NH69" s="228"/>
      <c r="NI69" s="228"/>
      <c r="NJ69" s="228"/>
      <c r="NK69" s="228"/>
      <c r="NL69" s="228"/>
      <c r="NM69" s="228"/>
      <c r="NN69" s="228"/>
      <c r="NO69" s="228"/>
      <c r="NP69" s="228"/>
      <c r="NQ69" s="228"/>
      <c r="NR69" s="228"/>
      <c r="NS69" s="228"/>
      <c r="NT69" s="228"/>
      <c r="NU69" s="228"/>
      <c r="NV69" s="228"/>
      <c r="NW69" s="228"/>
      <c r="NX69" s="228"/>
      <c r="NY69" s="228"/>
      <c r="NZ69" s="228"/>
      <c r="OA69" s="228"/>
      <c r="OB69" s="228"/>
      <c r="OC69" s="228"/>
      <c r="OD69" s="228"/>
      <c r="OE69" s="228"/>
      <c r="OF69" s="228"/>
      <c r="OG69" s="228"/>
      <c r="OH69" s="228"/>
      <c r="OI69" s="228"/>
      <c r="OJ69" s="228"/>
      <c r="OK69" s="228"/>
      <c r="OL69" s="228"/>
      <c r="OM69" s="228"/>
      <c r="ON69" s="228"/>
      <c r="OO69" s="228"/>
      <c r="OP69" s="228"/>
      <c r="OQ69" s="228"/>
      <c r="OR69" s="228"/>
      <c r="OS69" s="228"/>
      <c r="OT69" s="228"/>
      <c r="OU69" s="228"/>
      <c r="OV69" s="228"/>
      <c r="OW69" s="228"/>
      <c r="OX69" s="228"/>
      <c r="OY69" s="228"/>
      <c r="OZ69" s="228"/>
      <c r="PA69" s="228"/>
      <c r="PB69" s="228"/>
      <c r="PC69" s="228"/>
      <c r="PD69" s="228"/>
      <c r="PE69" s="228"/>
      <c r="PF69" s="228"/>
      <c r="PG69" s="228"/>
      <c r="PH69" s="228"/>
      <c r="PI69" s="228"/>
      <c r="PJ69" s="228"/>
      <c r="PK69" s="228"/>
      <c r="PL69" s="228"/>
      <c r="PM69" s="228"/>
      <c r="PN69" s="228"/>
      <c r="PO69" s="228"/>
      <c r="PP69" s="228"/>
      <c r="PQ69" s="228"/>
      <c r="PR69" s="228"/>
      <c r="PS69" s="228"/>
      <c r="PT69" s="228"/>
      <c r="PU69" s="228"/>
      <c r="PV69" s="228"/>
      <c r="PW69" s="228"/>
      <c r="PX69" s="228"/>
      <c r="PY69" s="228"/>
      <c r="PZ69" s="228"/>
      <c r="QA69" s="228"/>
      <c r="QB69" s="228"/>
      <c r="QC69" s="228"/>
      <c r="QD69" s="228"/>
      <c r="QE69" s="228"/>
      <c r="QF69" s="228"/>
      <c r="QG69" s="228"/>
      <c r="QH69" s="228"/>
      <c r="QI69" s="228"/>
      <c r="QJ69" s="228"/>
      <c r="QK69" s="228"/>
      <c r="QL69" s="228"/>
      <c r="QM69" s="228"/>
      <c r="QN69" s="228"/>
      <c r="QO69" s="228"/>
      <c r="QP69" s="228"/>
      <c r="QQ69" s="228"/>
      <c r="QR69" s="228"/>
      <c r="QS69" s="228"/>
      <c r="QT69" s="228"/>
      <c r="QU69" s="228"/>
      <c r="QV69" s="228"/>
      <c r="QW69" s="228"/>
      <c r="QX69" s="228"/>
      <c r="QY69" s="228"/>
      <c r="QZ69" s="228"/>
      <c r="RA69" s="228"/>
      <c r="RB69" s="228"/>
      <c r="RC69" s="228"/>
      <c r="RD69" s="228"/>
      <c r="RE69" s="228"/>
      <c r="RF69" s="228"/>
      <c r="RG69" s="228"/>
      <c r="RH69" s="228"/>
      <c r="RI69" s="228"/>
      <c r="RJ69" s="228"/>
      <c r="RK69" s="228"/>
      <c r="RL69" s="228"/>
      <c r="RM69" s="228"/>
      <c r="RN69" s="228"/>
      <c r="RO69" s="228"/>
      <c r="RP69" s="228"/>
      <c r="RQ69" s="228"/>
      <c r="RR69" s="228"/>
      <c r="RS69" s="228"/>
      <c r="RT69" s="228"/>
      <c r="RU69" s="228"/>
      <c r="RV69" s="228"/>
      <c r="RW69" s="228"/>
      <c r="RX69" s="228"/>
      <c r="RY69" s="228"/>
      <c r="RZ69" s="228"/>
      <c r="SA69" s="228"/>
      <c r="SB69" s="228"/>
      <c r="SC69" s="228"/>
      <c r="SD69" s="228"/>
      <c r="SE69" s="228"/>
      <c r="SF69" s="228"/>
      <c r="SG69" s="228"/>
      <c r="SH69" s="228"/>
      <c r="SI69" s="228"/>
      <c r="SJ69" s="228"/>
      <c r="SK69" s="228"/>
      <c r="SL69" s="228"/>
      <c r="SM69" s="228"/>
      <c r="SN69" s="228"/>
      <c r="SO69" s="228"/>
      <c r="SP69" s="228"/>
      <c r="SQ69" s="228"/>
      <c r="SR69" s="228"/>
      <c r="SS69" s="228"/>
      <c r="ST69" s="228"/>
      <c r="SU69" s="228"/>
      <c r="SV69" s="228"/>
      <c r="SW69" s="228"/>
      <c r="SX69" s="228"/>
      <c r="SY69" s="228"/>
      <c r="SZ69" s="228"/>
      <c r="TA69" s="228"/>
      <c r="TB69" s="228"/>
      <c r="TC69" s="228"/>
      <c r="TD69" s="228"/>
      <c r="TE69" s="228"/>
      <c r="TF69" s="228"/>
      <c r="TG69" s="228"/>
      <c r="TH69" s="228"/>
      <c r="TI69" s="228"/>
      <c r="TJ69" s="228"/>
      <c r="TK69" s="228"/>
      <c r="TL69" s="228"/>
      <c r="TM69" s="228"/>
      <c r="TN69" s="228"/>
      <c r="TO69" s="228"/>
      <c r="TP69" s="228"/>
      <c r="TQ69" s="228"/>
      <c r="TR69" s="228"/>
      <c r="TS69" s="228"/>
      <c r="TT69" s="228"/>
      <c r="TU69" s="228"/>
      <c r="TV69" s="228"/>
      <c r="TW69" s="228"/>
      <c r="TX69" s="228"/>
      <c r="TY69" s="228"/>
      <c r="TZ69" s="228"/>
      <c r="UA69" s="228"/>
      <c r="UB69" s="228"/>
      <c r="UC69" s="228"/>
      <c r="UD69" s="228"/>
      <c r="UE69" s="228"/>
      <c r="UF69" s="228"/>
      <c r="UG69" s="228"/>
      <c r="UH69" s="228"/>
      <c r="UI69" s="228"/>
      <c r="UJ69" s="228"/>
      <c r="UK69" s="228"/>
      <c r="UL69" s="228"/>
      <c r="UM69" s="228"/>
      <c r="UN69" s="228"/>
      <c r="UO69" s="228"/>
      <c r="UP69" s="228"/>
      <c r="UQ69" s="228"/>
      <c r="UR69" s="228"/>
      <c r="US69" s="228"/>
      <c r="UT69" s="228"/>
      <c r="UU69" s="228"/>
      <c r="UV69" s="228"/>
      <c r="UW69" s="228"/>
      <c r="UX69" s="228"/>
      <c r="UY69" s="228"/>
      <c r="UZ69" s="228"/>
      <c r="VA69" s="228"/>
      <c r="VB69" s="228"/>
      <c r="VC69" s="228"/>
      <c r="VD69" s="228"/>
      <c r="VE69" s="228"/>
      <c r="VF69" s="228"/>
      <c r="VG69" s="228"/>
      <c r="VH69" s="228"/>
      <c r="VI69" s="228"/>
      <c r="VJ69" s="228"/>
      <c r="VK69" s="228"/>
      <c r="VL69" s="228"/>
      <c r="VM69" s="228"/>
      <c r="VN69" s="228"/>
      <c r="VO69" s="228"/>
      <c r="VP69" s="228"/>
      <c r="VQ69" s="228"/>
      <c r="VR69" s="228"/>
      <c r="VS69" s="228"/>
      <c r="VT69" s="228"/>
      <c r="VU69" s="228"/>
      <c r="VV69" s="228"/>
      <c r="VW69" s="228"/>
      <c r="VX69" s="228"/>
      <c r="VY69" s="228"/>
      <c r="VZ69" s="228"/>
      <c r="WA69" s="228"/>
      <c r="WB69" s="228"/>
      <c r="WC69" s="228"/>
      <c r="WD69" s="228"/>
      <c r="WE69" s="228"/>
      <c r="WF69" s="228"/>
      <c r="WG69" s="228"/>
      <c r="WH69" s="228"/>
      <c r="WI69" s="228"/>
      <c r="WJ69" s="228"/>
      <c r="WK69" s="228"/>
      <c r="WL69" s="228"/>
      <c r="WM69" s="228"/>
      <c r="WN69" s="228"/>
      <c r="WO69" s="228"/>
      <c r="WP69" s="228"/>
      <c r="WQ69" s="228"/>
      <c r="WR69" s="228"/>
      <c r="WS69" s="228"/>
      <c r="WT69" s="228"/>
      <c r="WU69" s="228"/>
      <c r="WV69" s="228"/>
      <c r="WW69" s="228"/>
      <c r="WX69" s="228"/>
      <c r="WY69" s="228"/>
      <c r="WZ69" s="228"/>
      <c r="XA69" s="228"/>
      <c r="XB69" s="228"/>
      <c r="XC69" s="228"/>
      <c r="XD69" s="228"/>
      <c r="XE69" s="228"/>
      <c r="XF69" s="228"/>
      <c r="XG69" s="228"/>
      <c r="XH69" s="228"/>
      <c r="XI69" s="228"/>
      <c r="XJ69" s="228"/>
      <c r="XK69" s="228"/>
      <c r="XL69" s="228"/>
      <c r="XM69" s="228"/>
      <c r="XN69" s="228"/>
      <c r="XO69" s="228"/>
      <c r="XP69" s="228"/>
      <c r="XQ69" s="228"/>
      <c r="XR69" s="228"/>
      <c r="XS69" s="228"/>
      <c r="XT69" s="228"/>
      <c r="XU69" s="228"/>
      <c r="XV69" s="228"/>
      <c r="XW69" s="228"/>
      <c r="XX69" s="228"/>
      <c r="XY69" s="228"/>
      <c r="XZ69" s="228"/>
      <c r="YA69" s="228"/>
      <c r="YB69" s="228"/>
      <c r="YC69" s="228"/>
      <c r="YD69" s="228"/>
      <c r="YE69" s="228"/>
      <c r="YF69" s="228"/>
      <c r="YG69" s="228"/>
      <c r="YH69" s="228"/>
      <c r="YI69" s="228"/>
      <c r="YJ69" s="228"/>
      <c r="YK69" s="228"/>
      <c r="YL69" s="228"/>
      <c r="YM69" s="228"/>
      <c r="YN69" s="228"/>
      <c r="YO69" s="228"/>
      <c r="YP69" s="228"/>
      <c r="YQ69" s="228"/>
      <c r="YR69" s="228"/>
      <c r="YS69" s="228"/>
      <c r="YT69" s="228"/>
      <c r="YU69" s="228"/>
      <c r="YV69" s="228"/>
      <c r="YW69" s="228"/>
      <c r="YX69" s="228"/>
      <c r="YY69" s="228"/>
      <c r="YZ69" s="228"/>
      <c r="ZA69" s="228"/>
      <c r="ZB69" s="228"/>
      <c r="ZC69" s="228"/>
      <c r="ZD69" s="228"/>
      <c r="ZE69" s="228"/>
      <c r="ZF69" s="228"/>
      <c r="ZG69" s="228"/>
      <c r="ZH69" s="228"/>
      <c r="ZI69" s="228"/>
      <c r="ZJ69" s="228"/>
      <c r="ZK69" s="228"/>
      <c r="ZL69" s="228"/>
      <c r="ZM69" s="228"/>
      <c r="ZN69" s="228"/>
      <c r="ZO69" s="228"/>
      <c r="ZP69" s="228"/>
      <c r="ZQ69" s="228"/>
      <c r="ZR69" s="228"/>
      <c r="ZS69" s="228"/>
      <c r="ZT69" s="228"/>
      <c r="ZU69" s="228"/>
      <c r="ZV69" s="228"/>
      <c r="ZW69" s="228"/>
      <c r="ZX69" s="228"/>
      <c r="ZY69" s="228"/>
      <c r="ZZ69" s="228"/>
      <c r="AAA69" s="228"/>
      <c r="AAB69" s="228"/>
      <c r="AAC69" s="228"/>
      <c r="AAD69" s="228"/>
      <c r="AAE69" s="228"/>
      <c r="AAF69" s="228"/>
      <c r="AAG69" s="228"/>
      <c r="AAH69" s="228"/>
      <c r="AAI69" s="228"/>
      <c r="AAJ69" s="228"/>
      <c r="AAK69" s="228"/>
      <c r="AAL69" s="228"/>
      <c r="AAM69" s="228"/>
      <c r="AAN69" s="228"/>
      <c r="AAO69" s="228"/>
      <c r="AAP69" s="228"/>
      <c r="AAQ69" s="228"/>
      <c r="AAR69" s="228"/>
      <c r="AAS69" s="228"/>
      <c r="AAT69" s="228"/>
      <c r="AAU69" s="228"/>
      <c r="AAV69" s="228"/>
      <c r="AAW69" s="228"/>
      <c r="AAX69" s="228"/>
      <c r="AAY69" s="228"/>
      <c r="AAZ69" s="228"/>
      <c r="ABA69" s="228"/>
      <c r="ABB69" s="228"/>
      <c r="ABC69" s="228"/>
      <c r="ABD69" s="228"/>
      <c r="ABE69" s="228"/>
      <c r="ABF69" s="228"/>
      <c r="ABG69" s="228"/>
      <c r="ABH69" s="228"/>
      <c r="ABI69" s="228"/>
      <c r="ABJ69" s="228"/>
      <c r="ABK69" s="228"/>
      <c r="ABL69" s="228"/>
      <c r="ABM69" s="228"/>
      <c r="ABN69" s="228"/>
      <c r="ABO69" s="228"/>
      <c r="ABP69" s="228"/>
      <c r="ABQ69" s="228"/>
      <c r="ABR69" s="228"/>
      <c r="ABS69" s="228"/>
      <c r="ABT69" s="228"/>
      <c r="ABU69" s="228"/>
      <c r="ABV69" s="228"/>
      <c r="ABW69" s="228"/>
      <c r="ABX69" s="228"/>
      <c r="ABY69" s="228"/>
      <c r="ABZ69" s="228"/>
      <c r="ACA69" s="228"/>
      <c r="ACB69" s="228"/>
      <c r="ACC69" s="228"/>
      <c r="ACD69" s="228"/>
      <c r="ACE69" s="228"/>
      <c r="ACF69" s="228"/>
      <c r="ACG69" s="228"/>
      <c r="ACH69" s="228"/>
      <c r="ACI69" s="228"/>
      <c r="ACJ69" s="228"/>
      <c r="ACK69" s="228"/>
      <c r="ACL69" s="228"/>
      <c r="ACM69" s="228"/>
      <c r="ACN69" s="228"/>
      <c r="ACO69" s="228"/>
      <c r="ACP69" s="228"/>
      <c r="ACQ69" s="228"/>
      <c r="ACR69" s="228"/>
      <c r="ACS69" s="228"/>
      <c r="ACT69" s="228"/>
      <c r="ACU69" s="228"/>
      <c r="ACV69" s="228"/>
      <c r="ACW69" s="228"/>
      <c r="ACX69" s="228"/>
      <c r="ACY69" s="228"/>
      <c r="ACZ69" s="228"/>
      <c r="ADA69" s="228"/>
      <c r="ADB69" s="228"/>
      <c r="ADC69" s="228"/>
      <c r="ADD69" s="228"/>
      <c r="ADE69" s="228"/>
      <c r="ADF69" s="228"/>
      <c r="ADG69" s="228"/>
      <c r="ADH69" s="228"/>
      <c r="ADI69" s="228"/>
      <c r="ADJ69" s="228"/>
      <c r="ADK69" s="228"/>
      <c r="ADL69" s="228"/>
      <c r="ADM69" s="228"/>
      <c r="ADN69" s="228"/>
      <c r="ADO69" s="228"/>
      <c r="ADP69" s="228"/>
      <c r="ADQ69" s="228"/>
      <c r="ADR69" s="228"/>
      <c r="ADS69" s="228"/>
      <c r="ADT69" s="228"/>
      <c r="ADU69" s="228"/>
      <c r="ADV69" s="228"/>
      <c r="ADW69" s="228"/>
      <c r="ADX69" s="228"/>
      <c r="ADY69" s="228"/>
      <c r="ADZ69" s="228"/>
      <c r="AEA69" s="228"/>
      <c r="AEB69" s="228"/>
      <c r="AEC69" s="228"/>
      <c r="AED69" s="228"/>
      <c r="AEE69" s="228"/>
      <c r="AEF69" s="228"/>
      <c r="AEG69" s="228"/>
      <c r="AEH69" s="228"/>
      <c r="AEI69" s="228"/>
      <c r="AEJ69" s="228"/>
      <c r="AEK69" s="228"/>
      <c r="AEL69" s="228"/>
      <c r="AEM69" s="228"/>
      <c r="AEN69" s="228"/>
      <c r="AEO69" s="228"/>
      <c r="AEP69" s="228"/>
      <c r="AEQ69" s="228"/>
      <c r="AER69" s="228"/>
      <c r="AES69" s="228"/>
      <c r="AET69" s="228"/>
      <c r="AEU69" s="228"/>
      <c r="AEV69" s="228"/>
      <c r="AEW69" s="228"/>
      <c r="AEX69" s="228"/>
      <c r="AEY69" s="228"/>
      <c r="AEZ69" s="228"/>
      <c r="AFA69" s="228"/>
      <c r="AFB69" s="228"/>
      <c r="AFC69" s="228"/>
      <c r="AFD69" s="228"/>
      <c r="AFE69" s="228"/>
      <c r="AFF69" s="228"/>
      <c r="AFG69" s="228"/>
      <c r="AFH69" s="228"/>
      <c r="AFI69" s="228"/>
      <c r="AFJ69" s="228"/>
      <c r="AFK69" s="228"/>
      <c r="AFL69" s="228"/>
      <c r="AFM69" s="228"/>
      <c r="AFN69" s="228"/>
      <c r="AFO69" s="228"/>
      <c r="AFP69" s="228"/>
      <c r="AFQ69" s="228"/>
      <c r="AFR69" s="228"/>
      <c r="AFS69" s="228"/>
      <c r="AFT69" s="228"/>
      <c r="AFU69" s="228"/>
      <c r="AFV69" s="228"/>
      <c r="AFW69" s="228"/>
      <c r="AFX69" s="228"/>
      <c r="AFY69" s="228"/>
      <c r="AFZ69" s="228"/>
      <c r="AGA69" s="228"/>
      <c r="AGB69" s="228"/>
      <c r="AGC69" s="228"/>
      <c r="AGD69" s="228"/>
      <c r="AGE69" s="228"/>
      <c r="AGF69" s="228"/>
      <c r="AGG69" s="228"/>
      <c r="AGH69" s="228"/>
      <c r="AGI69" s="228"/>
      <c r="AGJ69" s="228"/>
      <c r="AGK69" s="228"/>
      <c r="AGL69" s="228"/>
      <c r="AGM69" s="228"/>
      <c r="AGN69" s="228"/>
      <c r="AGO69" s="228"/>
      <c r="AGP69" s="228"/>
      <c r="AGQ69" s="228"/>
      <c r="AGR69" s="228"/>
      <c r="AGS69" s="228"/>
      <c r="AGT69" s="228"/>
      <c r="AGU69" s="228"/>
      <c r="AGV69" s="228"/>
      <c r="AGW69" s="228"/>
      <c r="AGX69" s="228"/>
      <c r="AGY69" s="228"/>
      <c r="AGZ69" s="228"/>
      <c r="AHA69" s="228"/>
      <c r="AHB69" s="228"/>
      <c r="AHC69" s="228"/>
      <c r="AHD69" s="228"/>
      <c r="AHE69" s="228"/>
      <c r="AHF69" s="228"/>
      <c r="AHG69" s="228"/>
      <c r="AHH69" s="228"/>
      <c r="AHI69" s="228"/>
      <c r="AHJ69" s="228"/>
      <c r="AHK69" s="228"/>
      <c r="AHL69" s="228"/>
      <c r="AHM69" s="228"/>
      <c r="AHN69" s="228"/>
      <c r="AHO69" s="228"/>
      <c r="AHP69" s="228"/>
      <c r="AHQ69" s="228"/>
      <c r="AHR69" s="228"/>
      <c r="AHS69" s="228"/>
      <c r="AHT69" s="228"/>
      <c r="AHU69" s="228"/>
      <c r="AHV69" s="228"/>
      <c r="AHW69" s="228"/>
      <c r="AHX69" s="228"/>
      <c r="AHY69" s="228"/>
      <c r="AHZ69" s="228"/>
      <c r="AIA69" s="228"/>
      <c r="AIB69" s="228"/>
      <c r="AIC69" s="228"/>
      <c r="AID69" s="228"/>
      <c r="AIE69" s="228"/>
      <c r="AIF69" s="228"/>
      <c r="AIG69" s="228"/>
      <c r="AIH69" s="228"/>
      <c r="AII69" s="228"/>
      <c r="AIJ69" s="228"/>
      <c r="AIK69" s="228"/>
      <c r="AIL69" s="228"/>
      <c r="AIM69" s="228"/>
      <c r="AIN69" s="228"/>
      <c r="AIO69" s="228"/>
      <c r="AIP69" s="228"/>
      <c r="AIQ69" s="228"/>
      <c r="AIR69" s="228"/>
      <c r="AIS69" s="228"/>
      <c r="AIT69" s="228"/>
      <c r="AIU69" s="228"/>
      <c r="AIV69" s="228"/>
      <c r="AIW69" s="228"/>
      <c r="AIX69" s="228"/>
      <c r="AIY69" s="228"/>
      <c r="AIZ69" s="228"/>
      <c r="AJA69" s="228"/>
      <c r="AJB69" s="228"/>
      <c r="AJC69" s="228"/>
      <c r="AJD69" s="228"/>
      <c r="AJE69" s="228"/>
      <c r="AJF69" s="228"/>
      <c r="AJG69" s="228"/>
      <c r="AJH69" s="228"/>
      <c r="AJI69" s="228"/>
      <c r="AJJ69" s="228"/>
      <c r="AJK69" s="228"/>
      <c r="AJL69" s="228"/>
      <c r="AJM69" s="228"/>
      <c r="AJN69" s="228"/>
      <c r="AJO69" s="228"/>
      <c r="AJP69" s="228"/>
      <c r="AJQ69" s="228"/>
      <c r="AJR69" s="228"/>
      <c r="AJS69" s="228"/>
      <c r="AJT69" s="228"/>
      <c r="AJU69" s="228"/>
      <c r="AJV69" s="228"/>
      <c r="AJW69" s="228"/>
      <c r="AJX69" s="228"/>
      <c r="AJY69" s="228"/>
      <c r="AJZ69" s="228"/>
      <c r="AKA69" s="228"/>
      <c r="AKB69" s="228"/>
      <c r="AKC69" s="228"/>
      <c r="AKD69" s="228"/>
      <c r="AKE69" s="228"/>
      <c r="AKF69" s="228"/>
      <c r="AKG69" s="228"/>
      <c r="AKH69" s="228"/>
      <c r="AKI69" s="228"/>
      <c r="AKJ69" s="228"/>
      <c r="AKK69" s="228"/>
      <c r="AKL69" s="228"/>
      <c r="AKM69" s="228"/>
      <c r="AKN69" s="228"/>
      <c r="AKO69" s="228"/>
      <c r="AKP69" s="228"/>
      <c r="AKQ69" s="228"/>
      <c r="AKR69" s="228"/>
      <c r="AKS69" s="228"/>
      <c r="AKT69" s="228"/>
      <c r="AKU69" s="228"/>
      <c r="AKV69" s="228"/>
      <c r="AKW69" s="228"/>
      <c r="AKX69" s="228"/>
      <c r="AKY69" s="228"/>
      <c r="AKZ69" s="228"/>
      <c r="ALA69" s="228"/>
      <c r="ALB69" s="228"/>
      <c r="ALC69" s="228"/>
      <c r="ALD69" s="228"/>
      <c r="ALE69" s="228"/>
      <c r="ALF69" s="228"/>
      <c r="ALG69" s="228"/>
      <c r="ALH69" s="228"/>
    </row>
    <row r="70" spans="1:996" s="229" customFormat="1">
      <c r="A70" s="37"/>
      <c r="B70" t="str">
        <f t="shared" si="0"/>
        <v>E311104</v>
      </c>
      <c r="C70" s="29" t="s">
        <v>224</v>
      </c>
      <c r="D70" s="26" t="s">
        <v>73</v>
      </c>
      <c r="E70" s="7">
        <v>311104</v>
      </c>
      <c r="F70" s="48" t="s">
        <v>579</v>
      </c>
      <c r="G70" s="49">
        <f>IFERROR(VLOOKUP(E70,'BD - E - Mvto Cx'!$A$15:$D$500,4,0),0)</f>
        <v>629616.79</v>
      </c>
      <c r="H70" s="50">
        <f>IFERROR(VLOOKUP(E70,'BD - E - Mvto Cx'!$J$15:$M$500,4,0),0)</f>
        <v>466470.53</v>
      </c>
      <c r="I70" s="50">
        <f>IFERROR(VLOOKUP(E70,'BD - E - Mvto Cx'!$S$15:$V$500,4,0),0)</f>
        <v>423648.11</v>
      </c>
      <c r="J70" s="50">
        <f>IFERROR(VLOOKUP(E70,'BD - E - Mvto Cx'!$AB$15:$AE$500,4,0),0)</f>
        <v>433050.54</v>
      </c>
      <c r="K70" s="50">
        <f>IFERROR(VLOOKUP(E70,'BD - E - Mvto Cx'!$AK$15:$AN$500,4,0),0)</f>
        <v>0</v>
      </c>
      <c r="L70" s="50">
        <f>IFERROR(VLOOKUP(E70,'BD - E - Mvto Cx'!$AT$15:$AW$500,4,0),0)</f>
        <v>0</v>
      </c>
      <c r="M70" s="50">
        <f>IFERROR(VLOOKUP(E70,'BD - E - Mvto Cx'!$BF$15:$BI$500,4,0),0)</f>
        <v>0</v>
      </c>
      <c r="N70" s="50">
        <f>IFERROR(VLOOKUP(E70,'BD - E - Mvto Cx'!$BO$15:$BR$500,4,0),0)</f>
        <v>0</v>
      </c>
      <c r="O70" s="50">
        <f>IFERROR(VLOOKUP(E70,'BD - E - Mvto Cx'!$BX$15:$CA$500,4,0),0)</f>
        <v>0</v>
      </c>
      <c r="P70" s="50">
        <f>IFERROR(VLOOKUP(E70,'BD - E - Mvto Cx'!$CG$15:$CJ$500,4,0),0)</f>
        <v>0</v>
      </c>
      <c r="Q70" s="50">
        <f>IFERROR(VLOOKUP(E70,'BD - E - Mvto Cx'!$CP$15:$CS$500,4,0),0)</f>
        <v>0</v>
      </c>
      <c r="R70" s="50">
        <f>IFERROR(VLOOKUP(E70,'BD - E - Mvto Cx'!$CY$15:$DB$500,4,0),0)</f>
        <v>0</v>
      </c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  <c r="AW70" s="228"/>
      <c r="AX70" s="228"/>
      <c r="AY70" s="228"/>
      <c r="AZ70" s="228"/>
      <c r="BA70" s="228"/>
      <c r="BB70" s="228"/>
      <c r="BC70" s="228"/>
      <c r="BD70" s="228"/>
      <c r="BE70" s="228"/>
      <c r="BF70" s="228"/>
      <c r="BG70" s="228"/>
      <c r="BH70" s="228"/>
      <c r="BI70" s="228"/>
      <c r="BJ70" s="228"/>
      <c r="BK70" s="228"/>
      <c r="BL70" s="228"/>
      <c r="BM70" s="228"/>
      <c r="BN70" s="228"/>
      <c r="BO70" s="228"/>
      <c r="BP70" s="228"/>
      <c r="BQ70" s="228"/>
      <c r="BR70" s="228"/>
      <c r="BS70" s="228"/>
      <c r="BT70" s="228"/>
      <c r="BU70" s="228"/>
      <c r="BV70" s="228"/>
      <c r="BW70" s="228"/>
      <c r="BX70" s="228"/>
      <c r="BY70" s="228"/>
      <c r="BZ70" s="228"/>
      <c r="CA70" s="228"/>
      <c r="CB70" s="228"/>
      <c r="CC70" s="228"/>
      <c r="CD70" s="228"/>
      <c r="CE70" s="228"/>
      <c r="CF70" s="228"/>
      <c r="CG70" s="228"/>
      <c r="CH70" s="228"/>
      <c r="CI70" s="228"/>
      <c r="CJ70" s="228"/>
      <c r="CK70" s="228"/>
      <c r="CL70" s="228"/>
      <c r="CM70" s="228"/>
      <c r="CN70" s="228"/>
      <c r="CO70" s="228"/>
      <c r="CP70" s="228"/>
      <c r="CQ70" s="228"/>
      <c r="CR70" s="228"/>
      <c r="CS70" s="228"/>
      <c r="CT70" s="228"/>
      <c r="CU70" s="228"/>
      <c r="CV70" s="228"/>
      <c r="CW70" s="228"/>
      <c r="CX70" s="228"/>
      <c r="CY70" s="228"/>
      <c r="CZ70" s="228"/>
      <c r="DA70" s="228"/>
      <c r="DB70" s="228"/>
      <c r="DC70" s="228"/>
      <c r="DD70" s="228"/>
      <c r="DE70" s="228"/>
      <c r="DF70" s="228"/>
      <c r="DG70" s="228"/>
      <c r="DH70" s="228"/>
      <c r="DI70" s="228"/>
      <c r="DJ70" s="228"/>
      <c r="DK70" s="228"/>
      <c r="DL70" s="228"/>
      <c r="DM70" s="228"/>
      <c r="DN70" s="228"/>
      <c r="DO70" s="228"/>
      <c r="DP70" s="228"/>
      <c r="DQ70" s="228"/>
      <c r="DR70" s="228"/>
      <c r="DS70" s="228"/>
      <c r="DT70" s="228"/>
      <c r="DU70" s="228"/>
      <c r="DV70" s="228"/>
      <c r="DW70" s="228"/>
      <c r="DX70" s="228"/>
      <c r="DY70" s="228"/>
      <c r="DZ70" s="228"/>
      <c r="EA70" s="228"/>
      <c r="EB70" s="228"/>
      <c r="EC70" s="228"/>
      <c r="ED70" s="228"/>
      <c r="EE70" s="228"/>
      <c r="EF70" s="228"/>
      <c r="EG70" s="228"/>
      <c r="EH70" s="228"/>
      <c r="EI70" s="228"/>
      <c r="EJ70" s="228"/>
      <c r="EK70" s="228"/>
      <c r="EL70" s="228"/>
      <c r="EM70" s="228"/>
      <c r="EN70" s="228"/>
      <c r="EO70" s="228"/>
      <c r="EP70" s="228"/>
      <c r="EQ70" s="228"/>
      <c r="ER70" s="228"/>
      <c r="ES70" s="228"/>
      <c r="ET70" s="228"/>
      <c r="EU70" s="228"/>
      <c r="EV70" s="228"/>
      <c r="EW70" s="228"/>
      <c r="EX70" s="228"/>
      <c r="EY70" s="228"/>
      <c r="EZ70" s="228"/>
      <c r="FA70" s="228"/>
      <c r="FB70" s="228"/>
      <c r="FC70" s="228"/>
      <c r="FD70" s="228"/>
      <c r="FE70" s="228"/>
      <c r="FF70" s="228"/>
      <c r="FG70" s="228"/>
      <c r="FH70" s="228"/>
      <c r="FI70" s="228"/>
      <c r="FJ70" s="228"/>
      <c r="FK70" s="228"/>
      <c r="FL70" s="228"/>
      <c r="FM70" s="228"/>
      <c r="FN70" s="228"/>
      <c r="FO70" s="228"/>
      <c r="FP70" s="228"/>
      <c r="FQ70" s="228"/>
      <c r="FR70" s="228"/>
      <c r="FS70" s="228"/>
      <c r="FT70" s="228"/>
      <c r="FU70" s="228"/>
      <c r="FV70" s="228"/>
      <c r="FW70" s="228"/>
      <c r="FX70" s="228"/>
      <c r="FY70" s="228"/>
      <c r="FZ70" s="228"/>
      <c r="GA70" s="228"/>
      <c r="GB70" s="228"/>
      <c r="GC70" s="228"/>
      <c r="GD70" s="228"/>
      <c r="GE70" s="228"/>
      <c r="GF70" s="228"/>
      <c r="GG70" s="228"/>
      <c r="GH70" s="228"/>
      <c r="GI70" s="228"/>
      <c r="GJ70" s="228"/>
      <c r="GK70" s="228"/>
      <c r="GL70" s="228"/>
      <c r="GM70" s="228"/>
      <c r="GN70" s="228"/>
      <c r="GO70" s="228"/>
      <c r="GP70" s="228"/>
      <c r="GQ70" s="228"/>
      <c r="GR70" s="228"/>
      <c r="GS70" s="228"/>
      <c r="GT70" s="228"/>
      <c r="GU70" s="228"/>
      <c r="GV70" s="228"/>
      <c r="GW70" s="228"/>
      <c r="GX70" s="228"/>
      <c r="GY70" s="228"/>
      <c r="GZ70" s="228"/>
      <c r="HA70" s="228"/>
      <c r="HB70" s="228"/>
      <c r="HC70" s="228"/>
      <c r="HD70" s="228"/>
      <c r="HE70" s="228"/>
      <c r="HF70" s="228"/>
      <c r="HG70" s="228"/>
      <c r="HH70" s="228"/>
      <c r="HI70" s="228"/>
      <c r="HJ70" s="228"/>
      <c r="HK70" s="228"/>
      <c r="HL70" s="228"/>
      <c r="HM70" s="228"/>
      <c r="HN70" s="228"/>
      <c r="HO70" s="228"/>
      <c r="HP70" s="228"/>
      <c r="HQ70" s="228"/>
      <c r="HR70" s="228"/>
      <c r="HS70" s="228"/>
      <c r="HT70" s="228"/>
      <c r="HU70" s="228"/>
      <c r="HV70" s="228"/>
      <c r="HW70" s="228"/>
      <c r="HX70" s="228"/>
      <c r="HY70" s="228"/>
      <c r="HZ70" s="228"/>
      <c r="IA70" s="228"/>
      <c r="IB70" s="228"/>
      <c r="IC70" s="228"/>
      <c r="ID70" s="228"/>
      <c r="IE70" s="228"/>
      <c r="IF70" s="228"/>
      <c r="IG70" s="228"/>
      <c r="IH70" s="228"/>
      <c r="II70" s="228"/>
      <c r="IJ70" s="228"/>
      <c r="IK70" s="228"/>
      <c r="IL70" s="228"/>
      <c r="IM70" s="228"/>
      <c r="IN70" s="228"/>
      <c r="IO70" s="228"/>
      <c r="IP70" s="228"/>
      <c r="IQ70" s="228"/>
      <c r="IR70" s="228"/>
      <c r="IS70" s="228"/>
      <c r="IT70" s="228"/>
      <c r="IU70" s="228"/>
      <c r="IV70" s="228"/>
      <c r="IW70" s="228"/>
      <c r="IX70" s="228"/>
      <c r="IY70" s="228"/>
      <c r="IZ70" s="228"/>
      <c r="JA70" s="228"/>
      <c r="JB70" s="228"/>
      <c r="JC70" s="228"/>
      <c r="JD70" s="228"/>
      <c r="JE70" s="228"/>
      <c r="JF70" s="228"/>
      <c r="JG70" s="228"/>
      <c r="JH70" s="228"/>
      <c r="JI70" s="228"/>
      <c r="JJ70" s="228"/>
      <c r="JK70" s="228"/>
      <c r="JL70" s="228"/>
      <c r="JM70" s="228"/>
      <c r="JN70" s="228"/>
      <c r="JO70" s="228"/>
      <c r="JP70" s="228"/>
      <c r="JQ70" s="228"/>
      <c r="JR70" s="228"/>
      <c r="JS70" s="228"/>
      <c r="JT70" s="228"/>
      <c r="JU70" s="228"/>
      <c r="JV70" s="228"/>
      <c r="JW70" s="228"/>
      <c r="JX70" s="228"/>
      <c r="JY70" s="228"/>
      <c r="JZ70" s="228"/>
      <c r="KA70" s="228"/>
      <c r="KB70" s="228"/>
      <c r="KC70" s="228"/>
      <c r="KD70" s="228"/>
      <c r="KE70" s="228"/>
      <c r="KF70" s="228"/>
      <c r="KG70" s="228"/>
      <c r="KH70" s="228"/>
      <c r="KI70" s="228"/>
      <c r="KJ70" s="228"/>
      <c r="KK70" s="228"/>
      <c r="KL70" s="228"/>
      <c r="KM70" s="228"/>
      <c r="KN70" s="228"/>
      <c r="KO70" s="228"/>
      <c r="KP70" s="228"/>
      <c r="KQ70" s="228"/>
      <c r="KR70" s="228"/>
      <c r="KS70" s="228"/>
      <c r="KT70" s="228"/>
      <c r="KU70" s="228"/>
      <c r="KV70" s="228"/>
      <c r="KW70" s="228"/>
      <c r="KX70" s="228"/>
      <c r="KY70" s="228"/>
      <c r="KZ70" s="228"/>
      <c r="LA70" s="228"/>
      <c r="LB70" s="228"/>
      <c r="LC70" s="228"/>
      <c r="LD70" s="228"/>
      <c r="LE70" s="228"/>
      <c r="LF70" s="228"/>
      <c r="LG70" s="228"/>
      <c r="LH70" s="228"/>
      <c r="LI70" s="228"/>
      <c r="LJ70" s="228"/>
      <c r="LK70" s="228"/>
      <c r="LL70" s="228"/>
      <c r="LM70" s="228"/>
      <c r="LN70" s="228"/>
      <c r="LO70" s="228"/>
      <c r="LP70" s="228"/>
      <c r="LQ70" s="228"/>
      <c r="LR70" s="228"/>
      <c r="LS70" s="228"/>
      <c r="LT70" s="228"/>
      <c r="LU70" s="228"/>
      <c r="LV70" s="228"/>
      <c r="LW70" s="228"/>
      <c r="LX70" s="228"/>
      <c r="LY70" s="228"/>
      <c r="LZ70" s="228"/>
      <c r="MA70" s="228"/>
      <c r="MB70" s="228"/>
      <c r="MC70" s="228"/>
      <c r="MD70" s="228"/>
      <c r="ME70" s="228"/>
      <c r="MF70" s="228"/>
      <c r="MG70" s="228"/>
      <c r="MH70" s="228"/>
      <c r="MI70" s="228"/>
      <c r="MJ70" s="228"/>
      <c r="MK70" s="228"/>
      <c r="ML70" s="228"/>
      <c r="MM70" s="228"/>
      <c r="MN70" s="228"/>
      <c r="MO70" s="228"/>
      <c r="MP70" s="228"/>
      <c r="MQ70" s="228"/>
      <c r="MR70" s="228"/>
      <c r="MS70" s="228"/>
      <c r="MT70" s="228"/>
      <c r="MU70" s="228"/>
      <c r="MV70" s="228"/>
      <c r="MW70" s="228"/>
      <c r="MX70" s="228"/>
      <c r="MY70" s="228"/>
      <c r="MZ70" s="228"/>
      <c r="NA70" s="228"/>
      <c r="NB70" s="228"/>
      <c r="NC70" s="228"/>
      <c r="ND70" s="228"/>
      <c r="NE70" s="228"/>
      <c r="NF70" s="228"/>
      <c r="NG70" s="228"/>
      <c r="NH70" s="228"/>
      <c r="NI70" s="228"/>
      <c r="NJ70" s="228"/>
      <c r="NK70" s="228"/>
      <c r="NL70" s="228"/>
      <c r="NM70" s="228"/>
      <c r="NN70" s="228"/>
      <c r="NO70" s="228"/>
      <c r="NP70" s="228"/>
      <c r="NQ70" s="228"/>
      <c r="NR70" s="228"/>
      <c r="NS70" s="228"/>
      <c r="NT70" s="228"/>
      <c r="NU70" s="228"/>
      <c r="NV70" s="228"/>
      <c r="NW70" s="228"/>
      <c r="NX70" s="228"/>
      <c r="NY70" s="228"/>
      <c r="NZ70" s="228"/>
      <c r="OA70" s="228"/>
      <c r="OB70" s="228"/>
      <c r="OC70" s="228"/>
      <c r="OD70" s="228"/>
      <c r="OE70" s="228"/>
      <c r="OF70" s="228"/>
      <c r="OG70" s="228"/>
      <c r="OH70" s="228"/>
      <c r="OI70" s="228"/>
      <c r="OJ70" s="228"/>
      <c r="OK70" s="228"/>
      <c r="OL70" s="228"/>
      <c r="OM70" s="228"/>
      <c r="ON70" s="228"/>
      <c r="OO70" s="228"/>
      <c r="OP70" s="228"/>
      <c r="OQ70" s="228"/>
      <c r="OR70" s="228"/>
      <c r="OS70" s="228"/>
      <c r="OT70" s="228"/>
      <c r="OU70" s="228"/>
      <c r="OV70" s="228"/>
      <c r="OW70" s="228"/>
      <c r="OX70" s="228"/>
      <c r="OY70" s="228"/>
      <c r="OZ70" s="228"/>
      <c r="PA70" s="228"/>
      <c r="PB70" s="228"/>
      <c r="PC70" s="228"/>
      <c r="PD70" s="228"/>
      <c r="PE70" s="228"/>
      <c r="PF70" s="228"/>
      <c r="PG70" s="228"/>
      <c r="PH70" s="228"/>
      <c r="PI70" s="228"/>
      <c r="PJ70" s="228"/>
      <c r="PK70" s="228"/>
      <c r="PL70" s="228"/>
      <c r="PM70" s="228"/>
      <c r="PN70" s="228"/>
      <c r="PO70" s="228"/>
      <c r="PP70" s="228"/>
      <c r="PQ70" s="228"/>
      <c r="PR70" s="228"/>
      <c r="PS70" s="228"/>
      <c r="PT70" s="228"/>
      <c r="PU70" s="228"/>
      <c r="PV70" s="228"/>
      <c r="PW70" s="228"/>
      <c r="PX70" s="228"/>
      <c r="PY70" s="228"/>
      <c r="PZ70" s="228"/>
      <c r="QA70" s="228"/>
      <c r="QB70" s="228"/>
      <c r="QC70" s="228"/>
      <c r="QD70" s="228"/>
      <c r="QE70" s="228"/>
      <c r="QF70" s="228"/>
      <c r="QG70" s="228"/>
      <c r="QH70" s="228"/>
      <c r="QI70" s="228"/>
      <c r="QJ70" s="228"/>
      <c r="QK70" s="228"/>
      <c r="QL70" s="228"/>
      <c r="QM70" s="228"/>
      <c r="QN70" s="228"/>
      <c r="QO70" s="228"/>
      <c r="QP70" s="228"/>
      <c r="QQ70" s="228"/>
      <c r="QR70" s="228"/>
      <c r="QS70" s="228"/>
      <c r="QT70" s="228"/>
      <c r="QU70" s="228"/>
      <c r="QV70" s="228"/>
      <c r="QW70" s="228"/>
      <c r="QX70" s="228"/>
      <c r="QY70" s="228"/>
      <c r="QZ70" s="228"/>
      <c r="RA70" s="228"/>
      <c r="RB70" s="228"/>
      <c r="RC70" s="228"/>
      <c r="RD70" s="228"/>
      <c r="RE70" s="228"/>
      <c r="RF70" s="228"/>
      <c r="RG70" s="228"/>
      <c r="RH70" s="228"/>
      <c r="RI70" s="228"/>
      <c r="RJ70" s="228"/>
      <c r="RK70" s="228"/>
      <c r="RL70" s="228"/>
      <c r="RM70" s="228"/>
      <c r="RN70" s="228"/>
      <c r="RO70" s="228"/>
      <c r="RP70" s="228"/>
      <c r="RQ70" s="228"/>
      <c r="RR70" s="228"/>
      <c r="RS70" s="228"/>
      <c r="RT70" s="228"/>
      <c r="RU70" s="228"/>
      <c r="RV70" s="228"/>
      <c r="RW70" s="228"/>
      <c r="RX70" s="228"/>
      <c r="RY70" s="228"/>
      <c r="RZ70" s="228"/>
      <c r="SA70" s="228"/>
      <c r="SB70" s="228"/>
      <c r="SC70" s="228"/>
      <c r="SD70" s="228"/>
      <c r="SE70" s="228"/>
      <c r="SF70" s="228"/>
      <c r="SG70" s="228"/>
      <c r="SH70" s="228"/>
      <c r="SI70" s="228"/>
      <c r="SJ70" s="228"/>
      <c r="SK70" s="228"/>
      <c r="SL70" s="228"/>
      <c r="SM70" s="228"/>
      <c r="SN70" s="228"/>
      <c r="SO70" s="228"/>
      <c r="SP70" s="228"/>
      <c r="SQ70" s="228"/>
      <c r="SR70" s="228"/>
      <c r="SS70" s="228"/>
      <c r="ST70" s="228"/>
      <c r="SU70" s="228"/>
      <c r="SV70" s="228"/>
      <c r="SW70" s="228"/>
      <c r="SX70" s="228"/>
      <c r="SY70" s="228"/>
      <c r="SZ70" s="228"/>
      <c r="TA70" s="228"/>
      <c r="TB70" s="228"/>
      <c r="TC70" s="228"/>
      <c r="TD70" s="228"/>
      <c r="TE70" s="228"/>
      <c r="TF70" s="228"/>
      <c r="TG70" s="228"/>
      <c r="TH70" s="228"/>
      <c r="TI70" s="228"/>
      <c r="TJ70" s="228"/>
      <c r="TK70" s="228"/>
      <c r="TL70" s="228"/>
      <c r="TM70" s="228"/>
      <c r="TN70" s="228"/>
      <c r="TO70" s="228"/>
      <c r="TP70" s="228"/>
      <c r="TQ70" s="228"/>
      <c r="TR70" s="228"/>
      <c r="TS70" s="228"/>
      <c r="TT70" s="228"/>
      <c r="TU70" s="228"/>
      <c r="TV70" s="228"/>
      <c r="TW70" s="228"/>
      <c r="TX70" s="228"/>
      <c r="TY70" s="228"/>
      <c r="TZ70" s="228"/>
      <c r="UA70" s="228"/>
      <c r="UB70" s="228"/>
      <c r="UC70" s="228"/>
      <c r="UD70" s="228"/>
      <c r="UE70" s="228"/>
      <c r="UF70" s="228"/>
      <c r="UG70" s="228"/>
      <c r="UH70" s="228"/>
      <c r="UI70" s="228"/>
      <c r="UJ70" s="228"/>
      <c r="UK70" s="228"/>
      <c r="UL70" s="228"/>
      <c r="UM70" s="228"/>
      <c r="UN70" s="228"/>
      <c r="UO70" s="228"/>
      <c r="UP70" s="228"/>
      <c r="UQ70" s="228"/>
      <c r="UR70" s="228"/>
      <c r="US70" s="228"/>
      <c r="UT70" s="228"/>
      <c r="UU70" s="228"/>
      <c r="UV70" s="228"/>
      <c r="UW70" s="228"/>
      <c r="UX70" s="228"/>
      <c r="UY70" s="228"/>
      <c r="UZ70" s="228"/>
      <c r="VA70" s="228"/>
      <c r="VB70" s="228"/>
      <c r="VC70" s="228"/>
      <c r="VD70" s="228"/>
      <c r="VE70" s="228"/>
      <c r="VF70" s="228"/>
      <c r="VG70" s="228"/>
      <c r="VH70" s="228"/>
      <c r="VI70" s="228"/>
      <c r="VJ70" s="228"/>
      <c r="VK70" s="228"/>
      <c r="VL70" s="228"/>
      <c r="VM70" s="228"/>
      <c r="VN70" s="228"/>
      <c r="VO70" s="228"/>
      <c r="VP70" s="228"/>
      <c r="VQ70" s="228"/>
      <c r="VR70" s="228"/>
      <c r="VS70" s="228"/>
      <c r="VT70" s="228"/>
      <c r="VU70" s="228"/>
      <c r="VV70" s="228"/>
      <c r="VW70" s="228"/>
      <c r="VX70" s="228"/>
      <c r="VY70" s="228"/>
      <c r="VZ70" s="228"/>
      <c r="WA70" s="228"/>
      <c r="WB70" s="228"/>
      <c r="WC70" s="228"/>
      <c r="WD70" s="228"/>
      <c r="WE70" s="228"/>
      <c r="WF70" s="228"/>
      <c r="WG70" s="228"/>
      <c r="WH70" s="228"/>
      <c r="WI70" s="228"/>
      <c r="WJ70" s="228"/>
      <c r="WK70" s="228"/>
      <c r="WL70" s="228"/>
      <c r="WM70" s="228"/>
      <c r="WN70" s="228"/>
      <c r="WO70" s="228"/>
      <c r="WP70" s="228"/>
      <c r="WQ70" s="228"/>
      <c r="WR70" s="228"/>
      <c r="WS70" s="228"/>
      <c r="WT70" s="228"/>
      <c r="WU70" s="228"/>
      <c r="WV70" s="228"/>
      <c r="WW70" s="228"/>
      <c r="WX70" s="228"/>
      <c r="WY70" s="228"/>
      <c r="WZ70" s="228"/>
      <c r="XA70" s="228"/>
      <c r="XB70" s="228"/>
      <c r="XC70" s="228"/>
      <c r="XD70" s="228"/>
      <c r="XE70" s="228"/>
      <c r="XF70" s="228"/>
      <c r="XG70" s="228"/>
      <c r="XH70" s="228"/>
      <c r="XI70" s="228"/>
      <c r="XJ70" s="228"/>
      <c r="XK70" s="228"/>
      <c r="XL70" s="228"/>
      <c r="XM70" s="228"/>
      <c r="XN70" s="228"/>
      <c r="XO70" s="228"/>
      <c r="XP70" s="228"/>
      <c r="XQ70" s="228"/>
      <c r="XR70" s="228"/>
      <c r="XS70" s="228"/>
      <c r="XT70" s="228"/>
      <c r="XU70" s="228"/>
      <c r="XV70" s="228"/>
      <c r="XW70" s="228"/>
      <c r="XX70" s="228"/>
      <c r="XY70" s="228"/>
      <c r="XZ70" s="228"/>
      <c r="YA70" s="228"/>
      <c r="YB70" s="228"/>
      <c r="YC70" s="228"/>
      <c r="YD70" s="228"/>
      <c r="YE70" s="228"/>
      <c r="YF70" s="228"/>
      <c r="YG70" s="228"/>
      <c r="YH70" s="228"/>
      <c r="YI70" s="228"/>
      <c r="YJ70" s="228"/>
      <c r="YK70" s="228"/>
      <c r="YL70" s="228"/>
      <c r="YM70" s="228"/>
      <c r="YN70" s="228"/>
      <c r="YO70" s="228"/>
      <c r="YP70" s="228"/>
      <c r="YQ70" s="228"/>
      <c r="YR70" s="228"/>
      <c r="YS70" s="228"/>
      <c r="YT70" s="228"/>
      <c r="YU70" s="228"/>
      <c r="YV70" s="228"/>
      <c r="YW70" s="228"/>
      <c r="YX70" s="228"/>
      <c r="YY70" s="228"/>
      <c r="YZ70" s="228"/>
      <c r="ZA70" s="228"/>
      <c r="ZB70" s="228"/>
      <c r="ZC70" s="228"/>
      <c r="ZD70" s="228"/>
      <c r="ZE70" s="228"/>
      <c r="ZF70" s="228"/>
      <c r="ZG70" s="228"/>
      <c r="ZH70" s="228"/>
      <c r="ZI70" s="228"/>
      <c r="ZJ70" s="228"/>
      <c r="ZK70" s="228"/>
      <c r="ZL70" s="228"/>
      <c r="ZM70" s="228"/>
      <c r="ZN70" s="228"/>
      <c r="ZO70" s="228"/>
      <c r="ZP70" s="228"/>
      <c r="ZQ70" s="228"/>
      <c r="ZR70" s="228"/>
      <c r="ZS70" s="228"/>
      <c r="ZT70" s="228"/>
      <c r="ZU70" s="228"/>
      <c r="ZV70" s="228"/>
      <c r="ZW70" s="228"/>
      <c r="ZX70" s="228"/>
      <c r="ZY70" s="228"/>
      <c r="ZZ70" s="228"/>
      <c r="AAA70" s="228"/>
      <c r="AAB70" s="228"/>
      <c r="AAC70" s="228"/>
      <c r="AAD70" s="228"/>
      <c r="AAE70" s="228"/>
      <c r="AAF70" s="228"/>
      <c r="AAG70" s="228"/>
      <c r="AAH70" s="228"/>
      <c r="AAI70" s="228"/>
      <c r="AAJ70" s="228"/>
      <c r="AAK70" s="228"/>
      <c r="AAL70" s="228"/>
      <c r="AAM70" s="228"/>
      <c r="AAN70" s="228"/>
      <c r="AAO70" s="228"/>
      <c r="AAP70" s="228"/>
      <c r="AAQ70" s="228"/>
      <c r="AAR70" s="228"/>
      <c r="AAS70" s="228"/>
      <c r="AAT70" s="228"/>
      <c r="AAU70" s="228"/>
      <c r="AAV70" s="228"/>
      <c r="AAW70" s="228"/>
      <c r="AAX70" s="228"/>
      <c r="AAY70" s="228"/>
      <c r="AAZ70" s="228"/>
      <c r="ABA70" s="228"/>
      <c r="ABB70" s="228"/>
      <c r="ABC70" s="228"/>
      <c r="ABD70" s="228"/>
      <c r="ABE70" s="228"/>
      <c r="ABF70" s="228"/>
      <c r="ABG70" s="228"/>
      <c r="ABH70" s="228"/>
      <c r="ABI70" s="228"/>
      <c r="ABJ70" s="228"/>
      <c r="ABK70" s="228"/>
      <c r="ABL70" s="228"/>
      <c r="ABM70" s="228"/>
      <c r="ABN70" s="228"/>
      <c r="ABO70" s="228"/>
      <c r="ABP70" s="228"/>
      <c r="ABQ70" s="228"/>
      <c r="ABR70" s="228"/>
      <c r="ABS70" s="228"/>
      <c r="ABT70" s="228"/>
      <c r="ABU70" s="228"/>
      <c r="ABV70" s="228"/>
      <c r="ABW70" s="228"/>
      <c r="ABX70" s="228"/>
      <c r="ABY70" s="228"/>
      <c r="ABZ70" s="228"/>
      <c r="ACA70" s="228"/>
      <c r="ACB70" s="228"/>
      <c r="ACC70" s="228"/>
      <c r="ACD70" s="228"/>
      <c r="ACE70" s="228"/>
      <c r="ACF70" s="228"/>
      <c r="ACG70" s="228"/>
      <c r="ACH70" s="228"/>
      <c r="ACI70" s="228"/>
      <c r="ACJ70" s="228"/>
      <c r="ACK70" s="228"/>
      <c r="ACL70" s="228"/>
      <c r="ACM70" s="228"/>
      <c r="ACN70" s="228"/>
      <c r="ACO70" s="228"/>
      <c r="ACP70" s="228"/>
      <c r="ACQ70" s="228"/>
      <c r="ACR70" s="228"/>
      <c r="ACS70" s="228"/>
      <c r="ACT70" s="228"/>
      <c r="ACU70" s="228"/>
      <c r="ACV70" s="228"/>
      <c r="ACW70" s="228"/>
      <c r="ACX70" s="228"/>
      <c r="ACY70" s="228"/>
      <c r="ACZ70" s="228"/>
      <c r="ADA70" s="228"/>
      <c r="ADB70" s="228"/>
      <c r="ADC70" s="228"/>
      <c r="ADD70" s="228"/>
      <c r="ADE70" s="228"/>
      <c r="ADF70" s="228"/>
      <c r="ADG70" s="228"/>
      <c r="ADH70" s="228"/>
      <c r="ADI70" s="228"/>
      <c r="ADJ70" s="228"/>
      <c r="ADK70" s="228"/>
      <c r="ADL70" s="228"/>
      <c r="ADM70" s="228"/>
      <c r="ADN70" s="228"/>
      <c r="ADO70" s="228"/>
      <c r="ADP70" s="228"/>
      <c r="ADQ70" s="228"/>
      <c r="ADR70" s="228"/>
      <c r="ADS70" s="228"/>
      <c r="ADT70" s="228"/>
      <c r="ADU70" s="228"/>
      <c r="ADV70" s="228"/>
      <c r="ADW70" s="228"/>
      <c r="ADX70" s="228"/>
      <c r="ADY70" s="228"/>
      <c r="ADZ70" s="228"/>
      <c r="AEA70" s="228"/>
      <c r="AEB70" s="228"/>
      <c r="AEC70" s="228"/>
      <c r="AED70" s="228"/>
      <c r="AEE70" s="228"/>
      <c r="AEF70" s="228"/>
      <c r="AEG70" s="228"/>
      <c r="AEH70" s="228"/>
      <c r="AEI70" s="228"/>
      <c r="AEJ70" s="228"/>
      <c r="AEK70" s="228"/>
      <c r="AEL70" s="228"/>
      <c r="AEM70" s="228"/>
      <c r="AEN70" s="228"/>
      <c r="AEO70" s="228"/>
      <c r="AEP70" s="228"/>
      <c r="AEQ70" s="228"/>
      <c r="AER70" s="228"/>
      <c r="AES70" s="228"/>
      <c r="AET70" s="228"/>
      <c r="AEU70" s="228"/>
      <c r="AEV70" s="228"/>
      <c r="AEW70" s="228"/>
      <c r="AEX70" s="228"/>
      <c r="AEY70" s="228"/>
      <c r="AEZ70" s="228"/>
      <c r="AFA70" s="228"/>
      <c r="AFB70" s="228"/>
      <c r="AFC70" s="228"/>
      <c r="AFD70" s="228"/>
      <c r="AFE70" s="228"/>
      <c r="AFF70" s="228"/>
      <c r="AFG70" s="228"/>
      <c r="AFH70" s="228"/>
      <c r="AFI70" s="228"/>
      <c r="AFJ70" s="228"/>
      <c r="AFK70" s="228"/>
      <c r="AFL70" s="228"/>
      <c r="AFM70" s="228"/>
      <c r="AFN70" s="228"/>
      <c r="AFO70" s="228"/>
      <c r="AFP70" s="228"/>
      <c r="AFQ70" s="228"/>
      <c r="AFR70" s="228"/>
      <c r="AFS70" s="228"/>
      <c r="AFT70" s="228"/>
      <c r="AFU70" s="228"/>
      <c r="AFV70" s="228"/>
      <c r="AFW70" s="228"/>
      <c r="AFX70" s="228"/>
      <c r="AFY70" s="228"/>
      <c r="AFZ70" s="228"/>
      <c r="AGA70" s="228"/>
      <c r="AGB70" s="228"/>
      <c r="AGC70" s="228"/>
      <c r="AGD70" s="228"/>
      <c r="AGE70" s="228"/>
      <c r="AGF70" s="228"/>
      <c r="AGG70" s="228"/>
      <c r="AGH70" s="228"/>
      <c r="AGI70" s="228"/>
      <c r="AGJ70" s="228"/>
      <c r="AGK70" s="228"/>
      <c r="AGL70" s="228"/>
      <c r="AGM70" s="228"/>
      <c r="AGN70" s="228"/>
      <c r="AGO70" s="228"/>
      <c r="AGP70" s="228"/>
      <c r="AGQ70" s="228"/>
      <c r="AGR70" s="228"/>
      <c r="AGS70" s="228"/>
      <c r="AGT70" s="228"/>
      <c r="AGU70" s="228"/>
      <c r="AGV70" s="228"/>
      <c r="AGW70" s="228"/>
      <c r="AGX70" s="228"/>
      <c r="AGY70" s="228"/>
      <c r="AGZ70" s="228"/>
      <c r="AHA70" s="228"/>
      <c r="AHB70" s="228"/>
      <c r="AHC70" s="228"/>
      <c r="AHD70" s="228"/>
      <c r="AHE70" s="228"/>
      <c r="AHF70" s="228"/>
      <c r="AHG70" s="228"/>
      <c r="AHH70" s="228"/>
      <c r="AHI70" s="228"/>
      <c r="AHJ70" s="228"/>
      <c r="AHK70" s="228"/>
      <c r="AHL70" s="228"/>
      <c r="AHM70" s="228"/>
      <c r="AHN70" s="228"/>
      <c r="AHO70" s="228"/>
      <c r="AHP70" s="228"/>
      <c r="AHQ70" s="228"/>
      <c r="AHR70" s="228"/>
      <c r="AHS70" s="228"/>
      <c r="AHT70" s="228"/>
      <c r="AHU70" s="228"/>
      <c r="AHV70" s="228"/>
      <c r="AHW70" s="228"/>
      <c r="AHX70" s="228"/>
      <c r="AHY70" s="228"/>
      <c r="AHZ70" s="228"/>
      <c r="AIA70" s="228"/>
      <c r="AIB70" s="228"/>
      <c r="AIC70" s="228"/>
      <c r="AID70" s="228"/>
      <c r="AIE70" s="228"/>
      <c r="AIF70" s="228"/>
      <c r="AIG70" s="228"/>
      <c r="AIH70" s="228"/>
      <c r="AII70" s="228"/>
      <c r="AIJ70" s="228"/>
      <c r="AIK70" s="228"/>
      <c r="AIL70" s="228"/>
      <c r="AIM70" s="228"/>
      <c r="AIN70" s="228"/>
      <c r="AIO70" s="228"/>
      <c r="AIP70" s="228"/>
      <c r="AIQ70" s="228"/>
      <c r="AIR70" s="228"/>
      <c r="AIS70" s="228"/>
      <c r="AIT70" s="228"/>
      <c r="AIU70" s="228"/>
      <c r="AIV70" s="228"/>
      <c r="AIW70" s="228"/>
      <c r="AIX70" s="228"/>
      <c r="AIY70" s="228"/>
      <c r="AIZ70" s="228"/>
      <c r="AJA70" s="228"/>
      <c r="AJB70" s="228"/>
      <c r="AJC70" s="228"/>
      <c r="AJD70" s="228"/>
      <c r="AJE70" s="228"/>
      <c r="AJF70" s="228"/>
      <c r="AJG70" s="228"/>
      <c r="AJH70" s="228"/>
      <c r="AJI70" s="228"/>
      <c r="AJJ70" s="228"/>
      <c r="AJK70" s="228"/>
      <c r="AJL70" s="228"/>
      <c r="AJM70" s="228"/>
      <c r="AJN70" s="228"/>
      <c r="AJO70" s="228"/>
      <c r="AJP70" s="228"/>
      <c r="AJQ70" s="228"/>
      <c r="AJR70" s="228"/>
      <c r="AJS70" s="228"/>
      <c r="AJT70" s="228"/>
      <c r="AJU70" s="228"/>
      <c r="AJV70" s="228"/>
      <c r="AJW70" s="228"/>
      <c r="AJX70" s="228"/>
      <c r="AJY70" s="228"/>
      <c r="AJZ70" s="228"/>
      <c r="AKA70" s="228"/>
      <c r="AKB70" s="228"/>
      <c r="AKC70" s="228"/>
      <c r="AKD70" s="228"/>
      <c r="AKE70" s="228"/>
      <c r="AKF70" s="228"/>
      <c r="AKG70" s="228"/>
      <c r="AKH70" s="228"/>
      <c r="AKI70" s="228"/>
      <c r="AKJ70" s="228"/>
      <c r="AKK70" s="228"/>
      <c r="AKL70" s="228"/>
      <c r="AKM70" s="228"/>
      <c r="AKN70" s="228"/>
      <c r="AKO70" s="228"/>
      <c r="AKP70" s="228"/>
      <c r="AKQ70" s="228"/>
      <c r="AKR70" s="228"/>
      <c r="AKS70" s="228"/>
      <c r="AKT70" s="228"/>
      <c r="AKU70" s="228"/>
      <c r="AKV70" s="228"/>
      <c r="AKW70" s="228"/>
      <c r="AKX70" s="228"/>
      <c r="AKY70" s="228"/>
      <c r="AKZ70" s="228"/>
      <c r="ALA70" s="228"/>
      <c r="ALB70" s="228"/>
      <c r="ALC70" s="228"/>
      <c r="ALD70" s="228"/>
      <c r="ALE70" s="228"/>
      <c r="ALF70" s="228"/>
      <c r="ALG70" s="228"/>
      <c r="ALH70" s="228"/>
    </row>
    <row r="71" spans="1:996" s="229" customFormat="1">
      <c r="A71" s="37"/>
      <c r="B71" t="str">
        <f t="shared" si="0"/>
        <v>E311105</v>
      </c>
      <c r="C71" s="29" t="s">
        <v>225</v>
      </c>
      <c r="D71" s="26" t="s">
        <v>73</v>
      </c>
      <c r="E71" s="7">
        <v>311105</v>
      </c>
      <c r="F71" s="48" t="s">
        <v>580</v>
      </c>
      <c r="G71" s="49">
        <f>IFERROR(VLOOKUP(E71,'BD - E - Mvto Cx'!$A$15:$D$500,4,0),0)</f>
        <v>267698.65000000002</v>
      </c>
      <c r="H71" s="50">
        <f>IFERROR(VLOOKUP(E71,'BD - E - Mvto Cx'!$J$15:$M$500,4,0),0)</f>
        <v>186679.19</v>
      </c>
      <c r="I71" s="50">
        <f>IFERROR(VLOOKUP(E71,'BD - E - Mvto Cx'!$S$15:$V$500,4,0),0)</f>
        <v>190258.13</v>
      </c>
      <c r="J71" s="50">
        <f>IFERROR(VLOOKUP(E71,'BD - E - Mvto Cx'!$AB$15:$AE$500,4,0),0)</f>
        <v>185534.53</v>
      </c>
      <c r="K71" s="50">
        <f>IFERROR(VLOOKUP(E71,'BD - E - Mvto Cx'!$AK$15:$AN$500,4,0),0)</f>
        <v>0</v>
      </c>
      <c r="L71" s="50">
        <f>IFERROR(VLOOKUP(E71,'BD - E - Mvto Cx'!$AT$15:$AW$500,4,0),0)</f>
        <v>0</v>
      </c>
      <c r="M71" s="50">
        <f>IFERROR(VLOOKUP(E71,'BD - E - Mvto Cx'!$BF$15:$BI$500,4,0),0)</f>
        <v>0</v>
      </c>
      <c r="N71" s="50">
        <f>IFERROR(VLOOKUP(E71,'BD - E - Mvto Cx'!$BO$15:$BR$500,4,0),0)</f>
        <v>0</v>
      </c>
      <c r="O71" s="50">
        <f>IFERROR(VLOOKUP(E71,'BD - E - Mvto Cx'!$BX$15:$CA$500,4,0),0)</f>
        <v>0</v>
      </c>
      <c r="P71" s="50">
        <f>IFERROR(VLOOKUP(E71,'BD - E - Mvto Cx'!$CG$15:$CJ$500,4,0),0)</f>
        <v>0</v>
      </c>
      <c r="Q71" s="50">
        <f>IFERROR(VLOOKUP(E71,'BD - E - Mvto Cx'!$CP$15:$CS$500,4,0),0)</f>
        <v>0</v>
      </c>
      <c r="R71" s="50">
        <f>IFERROR(VLOOKUP(E71,'BD - E - Mvto Cx'!$CY$15:$DB$500,4,0),0)</f>
        <v>0</v>
      </c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A71" s="228"/>
      <c r="BB71" s="228"/>
      <c r="BC71" s="228"/>
      <c r="BD71" s="228"/>
      <c r="BE71" s="228"/>
      <c r="BF71" s="228"/>
      <c r="BG71" s="228"/>
      <c r="BH71" s="228"/>
      <c r="BI71" s="228"/>
      <c r="BJ71" s="228"/>
      <c r="BK71" s="228"/>
      <c r="BL71" s="228"/>
      <c r="BM71" s="228"/>
      <c r="BN71" s="228"/>
      <c r="BO71" s="228"/>
      <c r="BP71" s="228"/>
      <c r="BQ71" s="228"/>
      <c r="BR71" s="228"/>
      <c r="BS71" s="228"/>
      <c r="BT71" s="228"/>
      <c r="BU71" s="228"/>
      <c r="BV71" s="228"/>
      <c r="BW71" s="228"/>
      <c r="BX71" s="228"/>
      <c r="BY71" s="228"/>
      <c r="BZ71" s="228"/>
      <c r="CA71" s="228"/>
      <c r="CB71" s="228"/>
      <c r="CC71" s="228"/>
      <c r="CD71" s="228"/>
      <c r="CE71" s="228"/>
      <c r="CF71" s="228"/>
      <c r="CG71" s="228"/>
      <c r="CH71" s="228"/>
      <c r="CI71" s="228"/>
      <c r="CJ71" s="228"/>
      <c r="CK71" s="228"/>
      <c r="CL71" s="228"/>
      <c r="CM71" s="228"/>
      <c r="CN71" s="228"/>
      <c r="CO71" s="228"/>
      <c r="CP71" s="228"/>
      <c r="CQ71" s="228"/>
      <c r="CR71" s="228"/>
      <c r="CS71" s="228"/>
      <c r="CT71" s="228"/>
      <c r="CU71" s="228"/>
      <c r="CV71" s="228"/>
      <c r="CW71" s="228"/>
      <c r="CX71" s="228"/>
      <c r="CY71" s="228"/>
      <c r="CZ71" s="228"/>
      <c r="DA71" s="228"/>
      <c r="DB71" s="228"/>
      <c r="DC71" s="228"/>
      <c r="DD71" s="228"/>
      <c r="DE71" s="228"/>
      <c r="DF71" s="228"/>
      <c r="DG71" s="228"/>
      <c r="DH71" s="228"/>
      <c r="DI71" s="228"/>
      <c r="DJ71" s="228"/>
      <c r="DK71" s="228"/>
      <c r="DL71" s="228"/>
      <c r="DM71" s="228"/>
      <c r="DN71" s="228"/>
      <c r="DO71" s="228"/>
      <c r="DP71" s="228"/>
      <c r="DQ71" s="228"/>
      <c r="DR71" s="228"/>
      <c r="DS71" s="228"/>
      <c r="DT71" s="228"/>
      <c r="DU71" s="228"/>
      <c r="DV71" s="228"/>
      <c r="DW71" s="228"/>
      <c r="DX71" s="228"/>
      <c r="DY71" s="228"/>
      <c r="DZ71" s="228"/>
      <c r="EA71" s="228"/>
      <c r="EB71" s="228"/>
      <c r="EC71" s="228"/>
      <c r="ED71" s="228"/>
      <c r="EE71" s="228"/>
      <c r="EF71" s="228"/>
      <c r="EG71" s="228"/>
      <c r="EH71" s="228"/>
      <c r="EI71" s="228"/>
      <c r="EJ71" s="228"/>
      <c r="EK71" s="228"/>
      <c r="EL71" s="228"/>
      <c r="EM71" s="228"/>
      <c r="EN71" s="228"/>
      <c r="EO71" s="228"/>
      <c r="EP71" s="228"/>
      <c r="EQ71" s="228"/>
      <c r="ER71" s="228"/>
      <c r="ES71" s="228"/>
      <c r="ET71" s="228"/>
      <c r="EU71" s="228"/>
      <c r="EV71" s="228"/>
      <c r="EW71" s="228"/>
      <c r="EX71" s="228"/>
      <c r="EY71" s="228"/>
      <c r="EZ71" s="228"/>
      <c r="FA71" s="228"/>
      <c r="FB71" s="228"/>
      <c r="FC71" s="228"/>
      <c r="FD71" s="228"/>
      <c r="FE71" s="228"/>
      <c r="FF71" s="228"/>
      <c r="FG71" s="228"/>
      <c r="FH71" s="228"/>
      <c r="FI71" s="228"/>
      <c r="FJ71" s="228"/>
      <c r="FK71" s="228"/>
      <c r="FL71" s="228"/>
      <c r="FM71" s="228"/>
      <c r="FN71" s="228"/>
      <c r="FO71" s="228"/>
      <c r="FP71" s="228"/>
      <c r="FQ71" s="228"/>
      <c r="FR71" s="228"/>
      <c r="FS71" s="228"/>
      <c r="FT71" s="228"/>
      <c r="FU71" s="228"/>
      <c r="FV71" s="228"/>
      <c r="FW71" s="228"/>
      <c r="FX71" s="228"/>
      <c r="FY71" s="228"/>
      <c r="FZ71" s="228"/>
      <c r="GA71" s="228"/>
      <c r="GB71" s="228"/>
      <c r="GC71" s="228"/>
      <c r="GD71" s="228"/>
      <c r="GE71" s="228"/>
      <c r="GF71" s="228"/>
      <c r="GG71" s="228"/>
      <c r="GH71" s="228"/>
      <c r="GI71" s="228"/>
      <c r="GJ71" s="228"/>
      <c r="GK71" s="228"/>
      <c r="GL71" s="228"/>
      <c r="GM71" s="228"/>
      <c r="GN71" s="228"/>
      <c r="GO71" s="228"/>
      <c r="GP71" s="228"/>
      <c r="GQ71" s="228"/>
      <c r="GR71" s="228"/>
      <c r="GS71" s="228"/>
      <c r="GT71" s="228"/>
      <c r="GU71" s="228"/>
      <c r="GV71" s="228"/>
      <c r="GW71" s="228"/>
      <c r="GX71" s="228"/>
      <c r="GY71" s="228"/>
      <c r="GZ71" s="228"/>
      <c r="HA71" s="228"/>
      <c r="HB71" s="228"/>
      <c r="HC71" s="228"/>
      <c r="HD71" s="228"/>
      <c r="HE71" s="228"/>
      <c r="HF71" s="228"/>
      <c r="HG71" s="228"/>
      <c r="HH71" s="228"/>
      <c r="HI71" s="228"/>
      <c r="HJ71" s="228"/>
      <c r="HK71" s="228"/>
      <c r="HL71" s="228"/>
      <c r="HM71" s="228"/>
      <c r="HN71" s="228"/>
      <c r="HO71" s="228"/>
      <c r="HP71" s="228"/>
      <c r="HQ71" s="228"/>
      <c r="HR71" s="228"/>
      <c r="HS71" s="228"/>
      <c r="HT71" s="228"/>
      <c r="HU71" s="228"/>
      <c r="HV71" s="228"/>
      <c r="HW71" s="228"/>
      <c r="HX71" s="228"/>
      <c r="HY71" s="228"/>
      <c r="HZ71" s="228"/>
      <c r="IA71" s="228"/>
      <c r="IB71" s="228"/>
      <c r="IC71" s="228"/>
      <c r="ID71" s="228"/>
      <c r="IE71" s="228"/>
      <c r="IF71" s="228"/>
      <c r="IG71" s="228"/>
      <c r="IH71" s="228"/>
      <c r="II71" s="228"/>
      <c r="IJ71" s="228"/>
      <c r="IK71" s="228"/>
      <c r="IL71" s="228"/>
      <c r="IM71" s="228"/>
      <c r="IN71" s="228"/>
      <c r="IO71" s="228"/>
      <c r="IP71" s="228"/>
      <c r="IQ71" s="228"/>
      <c r="IR71" s="228"/>
      <c r="IS71" s="228"/>
      <c r="IT71" s="228"/>
      <c r="IU71" s="228"/>
      <c r="IV71" s="228"/>
      <c r="IW71" s="228"/>
      <c r="IX71" s="228"/>
      <c r="IY71" s="228"/>
      <c r="IZ71" s="228"/>
      <c r="JA71" s="228"/>
      <c r="JB71" s="228"/>
      <c r="JC71" s="228"/>
      <c r="JD71" s="228"/>
      <c r="JE71" s="228"/>
      <c r="JF71" s="228"/>
      <c r="JG71" s="228"/>
      <c r="JH71" s="228"/>
      <c r="JI71" s="228"/>
      <c r="JJ71" s="228"/>
      <c r="JK71" s="228"/>
      <c r="JL71" s="228"/>
      <c r="JM71" s="228"/>
      <c r="JN71" s="228"/>
      <c r="JO71" s="228"/>
      <c r="JP71" s="228"/>
      <c r="JQ71" s="228"/>
      <c r="JR71" s="228"/>
      <c r="JS71" s="228"/>
      <c r="JT71" s="228"/>
      <c r="JU71" s="228"/>
      <c r="JV71" s="228"/>
      <c r="JW71" s="228"/>
      <c r="JX71" s="228"/>
      <c r="JY71" s="228"/>
      <c r="JZ71" s="228"/>
      <c r="KA71" s="228"/>
      <c r="KB71" s="228"/>
      <c r="KC71" s="228"/>
      <c r="KD71" s="228"/>
      <c r="KE71" s="228"/>
      <c r="KF71" s="228"/>
      <c r="KG71" s="228"/>
      <c r="KH71" s="228"/>
      <c r="KI71" s="228"/>
      <c r="KJ71" s="228"/>
      <c r="KK71" s="228"/>
      <c r="KL71" s="228"/>
      <c r="KM71" s="228"/>
      <c r="KN71" s="228"/>
      <c r="KO71" s="228"/>
      <c r="KP71" s="228"/>
      <c r="KQ71" s="228"/>
      <c r="KR71" s="228"/>
      <c r="KS71" s="228"/>
      <c r="KT71" s="228"/>
      <c r="KU71" s="228"/>
      <c r="KV71" s="228"/>
      <c r="KW71" s="228"/>
      <c r="KX71" s="228"/>
      <c r="KY71" s="228"/>
      <c r="KZ71" s="228"/>
      <c r="LA71" s="228"/>
      <c r="LB71" s="228"/>
      <c r="LC71" s="228"/>
      <c r="LD71" s="228"/>
      <c r="LE71" s="228"/>
      <c r="LF71" s="228"/>
      <c r="LG71" s="228"/>
      <c r="LH71" s="228"/>
      <c r="LI71" s="228"/>
      <c r="LJ71" s="228"/>
      <c r="LK71" s="228"/>
      <c r="LL71" s="228"/>
      <c r="LM71" s="228"/>
      <c r="LN71" s="228"/>
      <c r="LO71" s="228"/>
      <c r="LP71" s="228"/>
      <c r="LQ71" s="228"/>
      <c r="LR71" s="228"/>
      <c r="LS71" s="228"/>
      <c r="LT71" s="228"/>
      <c r="LU71" s="228"/>
      <c r="LV71" s="228"/>
      <c r="LW71" s="228"/>
      <c r="LX71" s="228"/>
      <c r="LY71" s="228"/>
      <c r="LZ71" s="228"/>
      <c r="MA71" s="228"/>
      <c r="MB71" s="228"/>
      <c r="MC71" s="228"/>
      <c r="MD71" s="228"/>
      <c r="ME71" s="228"/>
      <c r="MF71" s="228"/>
      <c r="MG71" s="228"/>
      <c r="MH71" s="228"/>
      <c r="MI71" s="228"/>
      <c r="MJ71" s="228"/>
      <c r="MK71" s="228"/>
      <c r="ML71" s="228"/>
      <c r="MM71" s="228"/>
      <c r="MN71" s="228"/>
      <c r="MO71" s="228"/>
      <c r="MP71" s="228"/>
      <c r="MQ71" s="228"/>
      <c r="MR71" s="228"/>
      <c r="MS71" s="228"/>
      <c r="MT71" s="228"/>
      <c r="MU71" s="228"/>
      <c r="MV71" s="228"/>
      <c r="MW71" s="228"/>
      <c r="MX71" s="228"/>
      <c r="MY71" s="228"/>
      <c r="MZ71" s="228"/>
      <c r="NA71" s="228"/>
      <c r="NB71" s="228"/>
      <c r="NC71" s="228"/>
      <c r="ND71" s="228"/>
      <c r="NE71" s="228"/>
      <c r="NF71" s="228"/>
      <c r="NG71" s="228"/>
      <c r="NH71" s="228"/>
      <c r="NI71" s="228"/>
      <c r="NJ71" s="228"/>
      <c r="NK71" s="228"/>
      <c r="NL71" s="228"/>
      <c r="NM71" s="228"/>
      <c r="NN71" s="228"/>
      <c r="NO71" s="228"/>
      <c r="NP71" s="228"/>
      <c r="NQ71" s="228"/>
      <c r="NR71" s="228"/>
      <c r="NS71" s="228"/>
      <c r="NT71" s="228"/>
      <c r="NU71" s="228"/>
      <c r="NV71" s="228"/>
      <c r="NW71" s="228"/>
      <c r="NX71" s="228"/>
      <c r="NY71" s="228"/>
      <c r="NZ71" s="228"/>
      <c r="OA71" s="228"/>
      <c r="OB71" s="228"/>
      <c r="OC71" s="228"/>
      <c r="OD71" s="228"/>
      <c r="OE71" s="228"/>
      <c r="OF71" s="228"/>
      <c r="OG71" s="228"/>
      <c r="OH71" s="228"/>
      <c r="OI71" s="228"/>
      <c r="OJ71" s="228"/>
      <c r="OK71" s="228"/>
      <c r="OL71" s="228"/>
      <c r="OM71" s="228"/>
      <c r="ON71" s="228"/>
      <c r="OO71" s="228"/>
      <c r="OP71" s="228"/>
      <c r="OQ71" s="228"/>
      <c r="OR71" s="228"/>
      <c r="OS71" s="228"/>
      <c r="OT71" s="228"/>
      <c r="OU71" s="228"/>
      <c r="OV71" s="228"/>
      <c r="OW71" s="228"/>
      <c r="OX71" s="228"/>
      <c r="OY71" s="228"/>
      <c r="OZ71" s="228"/>
      <c r="PA71" s="228"/>
      <c r="PB71" s="228"/>
      <c r="PC71" s="228"/>
      <c r="PD71" s="228"/>
      <c r="PE71" s="228"/>
      <c r="PF71" s="228"/>
      <c r="PG71" s="228"/>
      <c r="PH71" s="228"/>
      <c r="PI71" s="228"/>
      <c r="PJ71" s="228"/>
      <c r="PK71" s="228"/>
      <c r="PL71" s="228"/>
      <c r="PM71" s="228"/>
      <c r="PN71" s="228"/>
      <c r="PO71" s="228"/>
      <c r="PP71" s="228"/>
      <c r="PQ71" s="228"/>
      <c r="PR71" s="228"/>
      <c r="PS71" s="228"/>
      <c r="PT71" s="228"/>
      <c r="PU71" s="228"/>
      <c r="PV71" s="228"/>
      <c r="PW71" s="228"/>
      <c r="PX71" s="228"/>
      <c r="PY71" s="228"/>
      <c r="PZ71" s="228"/>
      <c r="QA71" s="228"/>
      <c r="QB71" s="228"/>
      <c r="QC71" s="228"/>
      <c r="QD71" s="228"/>
      <c r="QE71" s="228"/>
      <c r="QF71" s="228"/>
      <c r="QG71" s="228"/>
      <c r="QH71" s="228"/>
      <c r="QI71" s="228"/>
      <c r="QJ71" s="228"/>
      <c r="QK71" s="228"/>
      <c r="QL71" s="228"/>
      <c r="QM71" s="228"/>
      <c r="QN71" s="228"/>
      <c r="QO71" s="228"/>
      <c r="QP71" s="228"/>
      <c r="QQ71" s="228"/>
      <c r="QR71" s="228"/>
      <c r="QS71" s="228"/>
      <c r="QT71" s="228"/>
      <c r="QU71" s="228"/>
      <c r="QV71" s="228"/>
      <c r="QW71" s="228"/>
      <c r="QX71" s="228"/>
      <c r="QY71" s="228"/>
      <c r="QZ71" s="228"/>
      <c r="RA71" s="228"/>
      <c r="RB71" s="228"/>
      <c r="RC71" s="228"/>
      <c r="RD71" s="228"/>
      <c r="RE71" s="228"/>
      <c r="RF71" s="228"/>
      <c r="RG71" s="228"/>
      <c r="RH71" s="228"/>
      <c r="RI71" s="228"/>
      <c r="RJ71" s="228"/>
      <c r="RK71" s="228"/>
      <c r="RL71" s="228"/>
      <c r="RM71" s="228"/>
      <c r="RN71" s="228"/>
      <c r="RO71" s="228"/>
      <c r="RP71" s="228"/>
      <c r="RQ71" s="228"/>
      <c r="RR71" s="228"/>
      <c r="RS71" s="228"/>
      <c r="RT71" s="228"/>
      <c r="RU71" s="228"/>
      <c r="RV71" s="228"/>
      <c r="RW71" s="228"/>
      <c r="RX71" s="228"/>
      <c r="RY71" s="228"/>
      <c r="RZ71" s="228"/>
      <c r="SA71" s="228"/>
      <c r="SB71" s="228"/>
      <c r="SC71" s="228"/>
      <c r="SD71" s="228"/>
      <c r="SE71" s="228"/>
      <c r="SF71" s="228"/>
      <c r="SG71" s="228"/>
      <c r="SH71" s="228"/>
      <c r="SI71" s="228"/>
      <c r="SJ71" s="228"/>
      <c r="SK71" s="228"/>
      <c r="SL71" s="228"/>
      <c r="SM71" s="228"/>
      <c r="SN71" s="228"/>
      <c r="SO71" s="228"/>
      <c r="SP71" s="228"/>
      <c r="SQ71" s="228"/>
      <c r="SR71" s="228"/>
      <c r="SS71" s="228"/>
      <c r="ST71" s="228"/>
      <c r="SU71" s="228"/>
      <c r="SV71" s="228"/>
      <c r="SW71" s="228"/>
      <c r="SX71" s="228"/>
      <c r="SY71" s="228"/>
      <c r="SZ71" s="228"/>
      <c r="TA71" s="228"/>
      <c r="TB71" s="228"/>
      <c r="TC71" s="228"/>
      <c r="TD71" s="228"/>
      <c r="TE71" s="228"/>
      <c r="TF71" s="228"/>
      <c r="TG71" s="228"/>
      <c r="TH71" s="228"/>
      <c r="TI71" s="228"/>
      <c r="TJ71" s="228"/>
      <c r="TK71" s="228"/>
      <c r="TL71" s="228"/>
      <c r="TM71" s="228"/>
      <c r="TN71" s="228"/>
      <c r="TO71" s="228"/>
      <c r="TP71" s="228"/>
      <c r="TQ71" s="228"/>
      <c r="TR71" s="228"/>
      <c r="TS71" s="228"/>
      <c r="TT71" s="228"/>
      <c r="TU71" s="228"/>
      <c r="TV71" s="228"/>
      <c r="TW71" s="228"/>
      <c r="TX71" s="228"/>
      <c r="TY71" s="228"/>
      <c r="TZ71" s="228"/>
      <c r="UA71" s="228"/>
      <c r="UB71" s="228"/>
      <c r="UC71" s="228"/>
      <c r="UD71" s="228"/>
      <c r="UE71" s="228"/>
      <c r="UF71" s="228"/>
      <c r="UG71" s="228"/>
      <c r="UH71" s="228"/>
      <c r="UI71" s="228"/>
      <c r="UJ71" s="228"/>
      <c r="UK71" s="228"/>
      <c r="UL71" s="228"/>
      <c r="UM71" s="228"/>
      <c r="UN71" s="228"/>
      <c r="UO71" s="228"/>
      <c r="UP71" s="228"/>
      <c r="UQ71" s="228"/>
      <c r="UR71" s="228"/>
      <c r="US71" s="228"/>
      <c r="UT71" s="228"/>
      <c r="UU71" s="228"/>
      <c r="UV71" s="228"/>
      <c r="UW71" s="228"/>
      <c r="UX71" s="228"/>
      <c r="UY71" s="228"/>
      <c r="UZ71" s="228"/>
      <c r="VA71" s="228"/>
      <c r="VB71" s="228"/>
      <c r="VC71" s="228"/>
      <c r="VD71" s="228"/>
      <c r="VE71" s="228"/>
      <c r="VF71" s="228"/>
      <c r="VG71" s="228"/>
      <c r="VH71" s="228"/>
      <c r="VI71" s="228"/>
      <c r="VJ71" s="228"/>
      <c r="VK71" s="228"/>
      <c r="VL71" s="228"/>
      <c r="VM71" s="228"/>
      <c r="VN71" s="228"/>
      <c r="VO71" s="228"/>
      <c r="VP71" s="228"/>
      <c r="VQ71" s="228"/>
      <c r="VR71" s="228"/>
      <c r="VS71" s="228"/>
      <c r="VT71" s="228"/>
      <c r="VU71" s="228"/>
      <c r="VV71" s="228"/>
      <c r="VW71" s="228"/>
      <c r="VX71" s="228"/>
      <c r="VY71" s="228"/>
      <c r="VZ71" s="228"/>
      <c r="WA71" s="228"/>
      <c r="WB71" s="228"/>
      <c r="WC71" s="228"/>
      <c r="WD71" s="228"/>
      <c r="WE71" s="228"/>
      <c r="WF71" s="228"/>
      <c r="WG71" s="228"/>
      <c r="WH71" s="228"/>
      <c r="WI71" s="228"/>
      <c r="WJ71" s="228"/>
      <c r="WK71" s="228"/>
      <c r="WL71" s="228"/>
      <c r="WM71" s="228"/>
      <c r="WN71" s="228"/>
      <c r="WO71" s="228"/>
      <c r="WP71" s="228"/>
      <c r="WQ71" s="228"/>
      <c r="WR71" s="228"/>
      <c r="WS71" s="228"/>
      <c r="WT71" s="228"/>
      <c r="WU71" s="228"/>
      <c r="WV71" s="228"/>
      <c r="WW71" s="228"/>
      <c r="WX71" s="228"/>
      <c r="WY71" s="228"/>
      <c r="WZ71" s="228"/>
      <c r="XA71" s="228"/>
      <c r="XB71" s="228"/>
      <c r="XC71" s="228"/>
      <c r="XD71" s="228"/>
      <c r="XE71" s="228"/>
      <c r="XF71" s="228"/>
      <c r="XG71" s="228"/>
      <c r="XH71" s="228"/>
      <c r="XI71" s="228"/>
      <c r="XJ71" s="228"/>
      <c r="XK71" s="228"/>
      <c r="XL71" s="228"/>
      <c r="XM71" s="228"/>
      <c r="XN71" s="228"/>
      <c r="XO71" s="228"/>
      <c r="XP71" s="228"/>
      <c r="XQ71" s="228"/>
      <c r="XR71" s="228"/>
      <c r="XS71" s="228"/>
      <c r="XT71" s="228"/>
      <c r="XU71" s="228"/>
      <c r="XV71" s="228"/>
      <c r="XW71" s="228"/>
      <c r="XX71" s="228"/>
      <c r="XY71" s="228"/>
      <c r="XZ71" s="228"/>
      <c r="YA71" s="228"/>
      <c r="YB71" s="228"/>
      <c r="YC71" s="228"/>
      <c r="YD71" s="228"/>
      <c r="YE71" s="228"/>
      <c r="YF71" s="228"/>
      <c r="YG71" s="228"/>
      <c r="YH71" s="228"/>
      <c r="YI71" s="228"/>
      <c r="YJ71" s="228"/>
      <c r="YK71" s="228"/>
      <c r="YL71" s="228"/>
      <c r="YM71" s="228"/>
      <c r="YN71" s="228"/>
      <c r="YO71" s="228"/>
      <c r="YP71" s="228"/>
      <c r="YQ71" s="228"/>
      <c r="YR71" s="228"/>
      <c r="YS71" s="228"/>
      <c r="YT71" s="228"/>
      <c r="YU71" s="228"/>
      <c r="YV71" s="228"/>
      <c r="YW71" s="228"/>
      <c r="YX71" s="228"/>
      <c r="YY71" s="228"/>
      <c r="YZ71" s="228"/>
      <c r="ZA71" s="228"/>
      <c r="ZB71" s="228"/>
      <c r="ZC71" s="228"/>
      <c r="ZD71" s="228"/>
      <c r="ZE71" s="228"/>
      <c r="ZF71" s="228"/>
      <c r="ZG71" s="228"/>
      <c r="ZH71" s="228"/>
      <c r="ZI71" s="228"/>
      <c r="ZJ71" s="228"/>
      <c r="ZK71" s="228"/>
      <c r="ZL71" s="228"/>
      <c r="ZM71" s="228"/>
      <c r="ZN71" s="228"/>
      <c r="ZO71" s="228"/>
      <c r="ZP71" s="228"/>
      <c r="ZQ71" s="228"/>
      <c r="ZR71" s="228"/>
      <c r="ZS71" s="228"/>
      <c r="ZT71" s="228"/>
      <c r="ZU71" s="228"/>
      <c r="ZV71" s="228"/>
      <c r="ZW71" s="228"/>
      <c r="ZX71" s="228"/>
      <c r="ZY71" s="228"/>
      <c r="ZZ71" s="228"/>
      <c r="AAA71" s="228"/>
      <c r="AAB71" s="228"/>
      <c r="AAC71" s="228"/>
      <c r="AAD71" s="228"/>
      <c r="AAE71" s="228"/>
      <c r="AAF71" s="228"/>
      <c r="AAG71" s="228"/>
      <c r="AAH71" s="228"/>
      <c r="AAI71" s="228"/>
      <c r="AAJ71" s="228"/>
      <c r="AAK71" s="228"/>
      <c r="AAL71" s="228"/>
      <c r="AAM71" s="228"/>
      <c r="AAN71" s="228"/>
      <c r="AAO71" s="228"/>
      <c r="AAP71" s="228"/>
      <c r="AAQ71" s="228"/>
      <c r="AAR71" s="228"/>
      <c r="AAS71" s="228"/>
      <c r="AAT71" s="228"/>
      <c r="AAU71" s="228"/>
      <c r="AAV71" s="228"/>
      <c r="AAW71" s="228"/>
      <c r="AAX71" s="228"/>
      <c r="AAY71" s="228"/>
      <c r="AAZ71" s="228"/>
      <c r="ABA71" s="228"/>
      <c r="ABB71" s="228"/>
      <c r="ABC71" s="228"/>
      <c r="ABD71" s="228"/>
      <c r="ABE71" s="228"/>
      <c r="ABF71" s="228"/>
      <c r="ABG71" s="228"/>
      <c r="ABH71" s="228"/>
      <c r="ABI71" s="228"/>
      <c r="ABJ71" s="228"/>
      <c r="ABK71" s="228"/>
      <c r="ABL71" s="228"/>
      <c r="ABM71" s="228"/>
      <c r="ABN71" s="228"/>
      <c r="ABO71" s="228"/>
      <c r="ABP71" s="228"/>
      <c r="ABQ71" s="228"/>
      <c r="ABR71" s="228"/>
      <c r="ABS71" s="228"/>
      <c r="ABT71" s="228"/>
      <c r="ABU71" s="228"/>
      <c r="ABV71" s="228"/>
      <c r="ABW71" s="228"/>
      <c r="ABX71" s="228"/>
      <c r="ABY71" s="228"/>
      <c r="ABZ71" s="228"/>
      <c r="ACA71" s="228"/>
      <c r="ACB71" s="228"/>
      <c r="ACC71" s="228"/>
      <c r="ACD71" s="228"/>
      <c r="ACE71" s="228"/>
      <c r="ACF71" s="228"/>
      <c r="ACG71" s="228"/>
      <c r="ACH71" s="228"/>
      <c r="ACI71" s="228"/>
      <c r="ACJ71" s="228"/>
      <c r="ACK71" s="228"/>
      <c r="ACL71" s="228"/>
      <c r="ACM71" s="228"/>
      <c r="ACN71" s="228"/>
      <c r="ACO71" s="228"/>
      <c r="ACP71" s="228"/>
      <c r="ACQ71" s="228"/>
      <c r="ACR71" s="228"/>
      <c r="ACS71" s="228"/>
      <c r="ACT71" s="228"/>
      <c r="ACU71" s="228"/>
      <c r="ACV71" s="228"/>
      <c r="ACW71" s="228"/>
      <c r="ACX71" s="228"/>
      <c r="ACY71" s="228"/>
      <c r="ACZ71" s="228"/>
      <c r="ADA71" s="228"/>
      <c r="ADB71" s="228"/>
      <c r="ADC71" s="228"/>
      <c r="ADD71" s="228"/>
      <c r="ADE71" s="228"/>
      <c r="ADF71" s="228"/>
      <c r="ADG71" s="228"/>
      <c r="ADH71" s="228"/>
      <c r="ADI71" s="228"/>
      <c r="ADJ71" s="228"/>
      <c r="ADK71" s="228"/>
      <c r="ADL71" s="228"/>
      <c r="ADM71" s="228"/>
      <c r="ADN71" s="228"/>
      <c r="ADO71" s="228"/>
      <c r="ADP71" s="228"/>
      <c r="ADQ71" s="228"/>
      <c r="ADR71" s="228"/>
      <c r="ADS71" s="228"/>
      <c r="ADT71" s="228"/>
      <c r="ADU71" s="228"/>
      <c r="ADV71" s="228"/>
      <c r="ADW71" s="228"/>
      <c r="ADX71" s="228"/>
      <c r="ADY71" s="228"/>
      <c r="ADZ71" s="228"/>
      <c r="AEA71" s="228"/>
      <c r="AEB71" s="228"/>
      <c r="AEC71" s="228"/>
      <c r="AED71" s="228"/>
      <c r="AEE71" s="228"/>
      <c r="AEF71" s="228"/>
      <c r="AEG71" s="228"/>
      <c r="AEH71" s="228"/>
      <c r="AEI71" s="228"/>
      <c r="AEJ71" s="228"/>
      <c r="AEK71" s="228"/>
      <c r="AEL71" s="228"/>
      <c r="AEM71" s="228"/>
      <c r="AEN71" s="228"/>
      <c r="AEO71" s="228"/>
      <c r="AEP71" s="228"/>
      <c r="AEQ71" s="228"/>
      <c r="AER71" s="228"/>
      <c r="AES71" s="228"/>
      <c r="AET71" s="228"/>
      <c r="AEU71" s="228"/>
      <c r="AEV71" s="228"/>
      <c r="AEW71" s="228"/>
      <c r="AEX71" s="228"/>
      <c r="AEY71" s="228"/>
      <c r="AEZ71" s="228"/>
      <c r="AFA71" s="228"/>
      <c r="AFB71" s="228"/>
      <c r="AFC71" s="228"/>
      <c r="AFD71" s="228"/>
      <c r="AFE71" s="228"/>
      <c r="AFF71" s="228"/>
      <c r="AFG71" s="228"/>
      <c r="AFH71" s="228"/>
      <c r="AFI71" s="228"/>
      <c r="AFJ71" s="228"/>
      <c r="AFK71" s="228"/>
      <c r="AFL71" s="228"/>
      <c r="AFM71" s="228"/>
      <c r="AFN71" s="228"/>
      <c r="AFO71" s="228"/>
      <c r="AFP71" s="228"/>
      <c r="AFQ71" s="228"/>
      <c r="AFR71" s="228"/>
      <c r="AFS71" s="228"/>
      <c r="AFT71" s="228"/>
      <c r="AFU71" s="228"/>
      <c r="AFV71" s="228"/>
      <c r="AFW71" s="228"/>
      <c r="AFX71" s="228"/>
      <c r="AFY71" s="228"/>
      <c r="AFZ71" s="228"/>
      <c r="AGA71" s="228"/>
      <c r="AGB71" s="228"/>
      <c r="AGC71" s="228"/>
      <c r="AGD71" s="228"/>
      <c r="AGE71" s="228"/>
      <c r="AGF71" s="228"/>
      <c r="AGG71" s="228"/>
      <c r="AGH71" s="228"/>
      <c r="AGI71" s="228"/>
      <c r="AGJ71" s="228"/>
      <c r="AGK71" s="228"/>
      <c r="AGL71" s="228"/>
      <c r="AGM71" s="228"/>
      <c r="AGN71" s="228"/>
      <c r="AGO71" s="228"/>
      <c r="AGP71" s="228"/>
      <c r="AGQ71" s="228"/>
      <c r="AGR71" s="228"/>
      <c r="AGS71" s="228"/>
      <c r="AGT71" s="228"/>
      <c r="AGU71" s="228"/>
      <c r="AGV71" s="228"/>
      <c r="AGW71" s="228"/>
      <c r="AGX71" s="228"/>
      <c r="AGY71" s="228"/>
      <c r="AGZ71" s="228"/>
      <c r="AHA71" s="228"/>
      <c r="AHB71" s="228"/>
      <c r="AHC71" s="228"/>
      <c r="AHD71" s="228"/>
      <c r="AHE71" s="228"/>
      <c r="AHF71" s="228"/>
      <c r="AHG71" s="228"/>
      <c r="AHH71" s="228"/>
      <c r="AHI71" s="228"/>
      <c r="AHJ71" s="228"/>
      <c r="AHK71" s="228"/>
      <c r="AHL71" s="228"/>
      <c r="AHM71" s="228"/>
      <c r="AHN71" s="228"/>
      <c r="AHO71" s="228"/>
      <c r="AHP71" s="228"/>
      <c r="AHQ71" s="228"/>
      <c r="AHR71" s="228"/>
      <c r="AHS71" s="228"/>
      <c r="AHT71" s="228"/>
      <c r="AHU71" s="228"/>
      <c r="AHV71" s="228"/>
      <c r="AHW71" s="228"/>
      <c r="AHX71" s="228"/>
      <c r="AHY71" s="228"/>
      <c r="AHZ71" s="228"/>
      <c r="AIA71" s="228"/>
      <c r="AIB71" s="228"/>
      <c r="AIC71" s="228"/>
      <c r="AID71" s="228"/>
      <c r="AIE71" s="228"/>
      <c r="AIF71" s="228"/>
      <c r="AIG71" s="228"/>
      <c r="AIH71" s="228"/>
      <c r="AII71" s="228"/>
      <c r="AIJ71" s="228"/>
      <c r="AIK71" s="228"/>
      <c r="AIL71" s="228"/>
      <c r="AIM71" s="228"/>
      <c r="AIN71" s="228"/>
      <c r="AIO71" s="228"/>
      <c r="AIP71" s="228"/>
      <c r="AIQ71" s="228"/>
      <c r="AIR71" s="228"/>
      <c r="AIS71" s="228"/>
      <c r="AIT71" s="228"/>
      <c r="AIU71" s="228"/>
      <c r="AIV71" s="228"/>
      <c r="AIW71" s="228"/>
      <c r="AIX71" s="228"/>
      <c r="AIY71" s="228"/>
      <c r="AIZ71" s="228"/>
      <c r="AJA71" s="228"/>
      <c r="AJB71" s="228"/>
      <c r="AJC71" s="228"/>
      <c r="AJD71" s="228"/>
      <c r="AJE71" s="228"/>
      <c r="AJF71" s="228"/>
      <c r="AJG71" s="228"/>
      <c r="AJH71" s="228"/>
      <c r="AJI71" s="228"/>
      <c r="AJJ71" s="228"/>
      <c r="AJK71" s="228"/>
      <c r="AJL71" s="228"/>
      <c r="AJM71" s="228"/>
      <c r="AJN71" s="228"/>
      <c r="AJO71" s="228"/>
      <c r="AJP71" s="228"/>
      <c r="AJQ71" s="228"/>
      <c r="AJR71" s="228"/>
      <c r="AJS71" s="228"/>
      <c r="AJT71" s="228"/>
      <c r="AJU71" s="228"/>
      <c r="AJV71" s="228"/>
      <c r="AJW71" s="228"/>
      <c r="AJX71" s="228"/>
      <c r="AJY71" s="228"/>
      <c r="AJZ71" s="228"/>
      <c r="AKA71" s="228"/>
      <c r="AKB71" s="228"/>
      <c r="AKC71" s="228"/>
      <c r="AKD71" s="228"/>
      <c r="AKE71" s="228"/>
      <c r="AKF71" s="228"/>
      <c r="AKG71" s="228"/>
      <c r="AKH71" s="228"/>
      <c r="AKI71" s="228"/>
      <c r="AKJ71" s="228"/>
      <c r="AKK71" s="228"/>
      <c r="AKL71" s="228"/>
      <c r="AKM71" s="228"/>
      <c r="AKN71" s="228"/>
      <c r="AKO71" s="228"/>
      <c r="AKP71" s="228"/>
      <c r="AKQ71" s="228"/>
      <c r="AKR71" s="228"/>
      <c r="AKS71" s="228"/>
      <c r="AKT71" s="228"/>
      <c r="AKU71" s="228"/>
      <c r="AKV71" s="228"/>
      <c r="AKW71" s="228"/>
      <c r="AKX71" s="228"/>
      <c r="AKY71" s="228"/>
      <c r="AKZ71" s="228"/>
      <c r="ALA71" s="228"/>
      <c r="ALB71" s="228"/>
      <c r="ALC71" s="228"/>
      <c r="ALD71" s="228"/>
      <c r="ALE71" s="228"/>
      <c r="ALF71" s="228"/>
      <c r="ALG71" s="228"/>
      <c r="ALH71" s="228"/>
    </row>
    <row r="72" spans="1:996" s="229" customFormat="1">
      <c r="A72" s="37"/>
      <c r="B72" t="str">
        <f t="shared" si="0"/>
        <v>E311106</v>
      </c>
      <c r="C72" s="29" t="s">
        <v>226</v>
      </c>
      <c r="D72" s="26" t="s">
        <v>73</v>
      </c>
      <c r="E72" s="7">
        <v>311106</v>
      </c>
      <c r="F72" s="48" t="s">
        <v>584</v>
      </c>
      <c r="G72" s="49">
        <f>IFERROR(VLOOKUP(E72,'BD - E - Mvto Cx'!$A$15:$D$500,4,0),0)</f>
        <v>39319.82</v>
      </c>
      <c r="H72" s="50">
        <f>IFERROR(VLOOKUP(E72,'BD - E - Mvto Cx'!$J$15:$M$500,4,0),0)</f>
        <v>29661.9</v>
      </c>
      <c r="I72" s="50">
        <f>IFERROR(VLOOKUP(E72,'BD - E - Mvto Cx'!$S$15:$V$500,4,0),0)</f>
        <v>29495.59</v>
      </c>
      <c r="J72" s="50">
        <f>IFERROR(VLOOKUP(E72,'BD - E - Mvto Cx'!$AB$15:$AE$500,4,0),0)</f>
        <v>28340.98</v>
      </c>
      <c r="K72" s="50">
        <f>IFERROR(VLOOKUP(E72,'BD - E - Mvto Cx'!$AK$15:$AN$500,4,0),0)</f>
        <v>0</v>
      </c>
      <c r="L72" s="50">
        <f>IFERROR(VLOOKUP(E72,'BD - E - Mvto Cx'!$AT$15:$AW$500,4,0),0)</f>
        <v>0</v>
      </c>
      <c r="M72" s="50">
        <f>IFERROR(VLOOKUP(E72,'BD - E - Mvto Cx'!$BF$15:$BI$500,4,0),0)</f>
        <v>0</v>
      </c>
      <c r="N72" s="50">
        <f>IFERROR(VLOOKUP(E72,'BD - E - Mvto Cx'!$BO$15:$BR$500,4,0),0)</f>
        <v>0</v>
      </c>
      <c r="O72" s="50">
        <f>IFERROR(VLOOKUP(E72,'BD - E - Mvto Cx'!$BX$15:$CA$500,4,0),0)</f>
        <v>0</v>
      </c>
      <c r="P72" s="50">
        <f>IFERROR(VLOOKUP(E72,'BD - E - Mvto Cx'!$CG$15:$CJ$500,4,0),0)</f>
        <v>0</v>
      </c>
      <c r="Q72" s="50">
        <f>IFERROR(VLOOKUP(E72,'BD - E - Mvto Cx'!$CP$15:$CS$500,4,0),0)</f>
        <v>0</v>
      </c>
      <c r="R72" s="50">
        <f>IFERROR(VLOOKUP(E72,'BD - E - Mvto Cx'!$CY$15:$DB$500,4,0),0)</f>
        <v>0</v>
      </c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A72" s="228"/>
      <c r="BB72" s="228"/>
      <c r="BC72" s="228"/>
      <c r="BD72" s="228"/>
      <c r="BE72" s="228"/>
      <c r="BF72" s="228"/>
      <c r="BG72" s="228"/>
      <c r="BH72" s="228"/>
      <c r="BI72" s="228"/>
      <c r="BJ72" s="228"/>
      <c r="BK72" s="228"/>
      <c r="BL72" s="228"/>
      <c r="BM72" s="228"/>
      <c r="BN72" s="228"/>
      <c r="BO72" s="228"/>
      <c r="BP72" s="228"/>
      <c r="BQ72" s="228"/>
      <c r="BR72" s="228"/>
      <c r="BS72" s="228"/>
      <c r="BT72" s="228"/>
      <c r="BU72" s="228"/>
      <c r="BV72" s="228"/>
      <c r="BW72" s="228"/>
      <c r="BX72" s="228"/>
      <c r="BY72" s="228"/>
      <c r="BZ72" s="228"/>
      <c r="CA72" s="228"/>
      <c r="CB72" s="228"/>
      <c r="CC72" s="228"/>
      <c r="CD72" s="228"/>
      <c r="CE72" s="228"/>
      <c r="CF72" s="228"/>
      <c r="CG72" s="228"/>
      <c r="CH72" s="228"/>
      <c r="CI72" s="228"/>
      <c r="CJ72" s="228"/>
      <c r="CK72" s="228"/>
      <c r="CL72" s="228"/>
      <c r="CM72" s="228"/>
      <c r="CN72" s="228"/>
      <c r="CO72" s="228"/>
      <c r="CP72" s="228"/>
      <c r="CQ72" s="228"/>
      <c r="CR72" s="228"/>
      <c r="CS72" s="228"/>
      <c r="CT72" s="228"/>
      <c r="CU72" s="228"/>
      <c r="CV72" s="228"/>
      <c r="CW72" s="228"/>
      <c r="CX72" s="228"/>
      <c r="CY72" s="228"/>
      <c r="CZ72" s="228"/>
      <c r="DA72" s="228"/>
      <c r="DB72" s="228"/>
      <c r="DC72" s="228"/>
      <c r="DD72" s="228"/>
      <c r="DE72" s="228"/>
      <c r="DF72" s="228"/>
      <c r="DG72" s="228"/>
      <c r="DH72" s="228"/>
      <c r="DI72" s="228"/>
      <c r="DJ72" s="228"/>
      <c r="DK72" s="228"/>
      <c r="DL72" s="228"/>
      <c r="DM72" s="228"/>
      <c r="DN72" s="228"/>
      <c r="DO72" s="228"/>
      <c r="DP72" s="228"/>
      <c r="DQ72" s="228"/>
      <c r="DR72" s="228"/>
      <c r="DS72" s="228"/>
      <c r="DT72" s="228"/>
      <c r="DU72" s="228"/>
      <c r="DV72" s="228"/>
      <c r="DW72" s="228"/>
      <c r="DX72" s="228"/>
      <c r="DY72" s="228"/>
      <c r="DZ72" s="228"/>
      <c r="EA72" s="228"/>
      <c r="EB72" s="228"/>
      <c r="EC72" s="228"/>
      <c r="ED72" s="228"/>
      <c r="EE72" s="228"/>
      <c r="EF72" s="228"/>
      <c r="EG72" s="228"/>
      <c r="EH72" s="228"/>
      <c r="EI72" s="228"/>
      <c r="EJ72" s="228"/>
      <c r="EK72" s="228"/>
      <c r="EL72" s="228"/>
      <c r="EM72" s="228"/>
      <c r="EN72" s="228"/>
      <c r="EO72" s="228"/>
      <c r="EP72" s="228"/>
      <c r="EQ72" s="228"/>
      <c r="ER72" s="228"/>
      <c r="ES72" s="228"/>
      <c r="ET72" s="228"/>
      <c r="EU72" s="228"/>
      <c r="EV72" s="228"/>
      <c r="EW72" s="228"/>
      <c r="EX72" s="228"/>
      <c r="EY72" s="228"/>
      <c r="EZ72" s="228"/>
      <c r="FA72" s="228"/>
      <c r="FB72" s="228"/>
      <c r="FC72" s="228"/>
      <c r="FD72" s="228"/>
      <c r="FE72" s="228"/>
      <c r="FF72" s="228"/>
      <c r="FG72" s="228"/>
      <c r="FH72" s="228"/>
      <c r="FI72" s="228"/>
      <c r="FJ72" s="228"/>
      <c r="FK72" s="228"/>
      <c r="FL72" s="228"/>
      <c r="FM72" s="228"/>
      <c r="FN72" s="228"/>
      <c r="FO72" s="228"/>
      <c r="FP72" s="228"/>
      <c r="FQ72" s="228"/>
      <c r="FR72" s="228"/>
      <c r="FS72" s="228"/>
      <c r="FT72" s="228"/>
      <c r="FU72" s="228"/>
      <c r="FV72" s="228"/>
      <c r="FW72" s="228"/>
      <c r="FX72" s="228"/>
      <c r="FY72" s="228"/>
      <c r="FZ72" s="228"/>
      <c r="GA72" s="228"/>
      <c r="GB72" s="228"/>
      <c r="GC72" s="228"/>
      <c r="GD72" s="228"/>
      <c r="GE72" s="228"/>
      <c r="GF72" s="228"/>
      <c r="GG72" s="228"/>
      <c r="GH72" s="228"/>
      <c r="GI72" s="228"/>
      <c r="GJ72" s="228"/>
      <c r="GK72" s="228"/>
      <c r="GL72" s="228"/>
      <c r="GM72" s="228"/>
      <c r="GN72" s="228"/>
      <c r="GO72" s="228"/>
      <c r="GP72" s="228"/>
      <c r="GQ72" s="228"/>
      <c r="GR72" s="228"/>
      <c r="GS72" s="228"/>
      <c r="GT72" s="228"/>
      <c r="GU72" s="228"/>
      <c r="GV72" s="228"/>
      <c r="GW72" s="228"/>
      <c r="GX72" s="228"/>
      <c r="GY72" s="228"/>
      <c r="GZ72" s="228"/>
      <c r="HA72" s="228"/>
      <c r="HB72" s="228"/>
      <c r="HC72" s="228"/>
      <c r="HD72" s="228"/>
      <c r="HE72" s="228"/>
      <c r="HF72" s="228"/>
      <c r="HG72" s="228"/>
      <c r="HH72" s="228"/>
      <c r="HI72" s="228"/>
      <c r="HJ72" s="228"/>
      <c r="HK72" s="228"/>
      <c r="HL72" s="228"/>
      <c r="HM72" s="228"/>
      <c r="HN72" s="228"/>
      <c r="HO72" s="228"/>
      <c r="HP72" s="228"/>
      <c r="HQ72" s="228"/>
      <c r="HR72" s="228"/>
      <c r="HS72" s="228"/>
      <c r="HT72" s="228"/>
      <c r="HU72" s="228"/>
      <c r="HV72" s="228"/>
      <c r="HW72" s="228"/>
      <c r="HX72" s="228"/>
      <c r="HY72" s="228"/>
      <c r="HZ72" s="228"/>
      <c r="IA72" s="228"/>
      <c r="IB72" s="228"/>
      <c r="IC72" s="228"/>
      <c r="ID72" s="228"/>
      <c r="IE72" s="228"/>
      <c r="IF72" s="228"/>
      <c r="IG72" s="228"/>
      <c r="IH72" s="228"/>
      <c r="II72" s="228"/>
      <c r="IJ72" s="228"/>
      <c r="IK72" s="228"/>
      <c r="IL72" s="228"/>
      <c r="IM72" s="228"/>
      <c r="IN72" s="228"/>
      <c r="IO72" s="228"/>
      <c r="IP72" s="228"/>
      <c r="IQ72" s="228"/>
      <c r="IR72" s="228"/>
      <c r="IS72" s="228"/>
      <c r="IT72" s="228"/>
      <c r="IU72" s="228"/>
      <c r="IV72" s="228"/>
      <c r="IW72" s="228"/>
      <c r="IX72" s="228"/>
      <c r="IY72" s="228"/>
      <c r="IZ72" s="228"/>
      <c r="JA72" s="228"/>
      <c r="JB72" s="228"/>
      <c r="JC72" s="228"/>
      <c r="JD72" s="228"/>
      <c r="JE72" s="228"/>
      <c r="JF72" s="228"/>
      <c r="JG72" s="228"/>
      <c r="JH72" s="228"/>
      <c r="JI72" s="228"/>
      <c r="JJ72" s="228"/>
      <c r="JK72" s="228"/>
      <c r="JL72" s="228"/>
      <c r="JM72" s="228"/>
      <c r="JN72" s="228"/>
      <c r="JO72" s="228"/>
      <c r="JP72" s="228"/>
      <c r="JQ72" s="228"/>
      <c r="JR72" s="228"/>
      <c r="JS72" s="228"/>
      <c r="JT72" s="228"/>
      <c r="JU72" s="228"/>
      <c r="JV72" s="228"/>
      <c r="JW72" s="228"/>
      <c r="JX72" s="228"/>
      <c r="JY72" s="228"/>
      <c r="JZ72" s="228"/>
      <c r="KA72" s="228"/>
      <c r="KB72" s="228"/>
      <c r="KC72" s="228"/>
      <c r="KD72" s="228"/>
      <c r="KE72" s="228"/>
      <c r="KF72" s="228"/>
      <c r="KG72" s="228"/>
      <c r="KH72" s="228"/>
      <c r="KI72" s="228"/>
      <c r="KJ72" s="228"/>
      <c r="KK72" s="228"/>
      <c r="KL72" s="228"/>
      <c r="KM72" s="228"/>
      <c r="KN72" s="228"/>
      <c r="KO72" s="228"/>
      <c r="KP72" s="228"/>
      <c r="KQ72" s="228"/>
      <c r="KR72" s="228"/>
      <c r="KS72" s="228"/>
      <c r="KT72" s="228"/>
      <c r="KU72" s="228"/>
      <c r="KV72" s="228"/>
      <c r="KW72" s="228"/>
      <c r="KX72" s="228"/>
      <c r="KY72" s="228"/>
      <c r="KZ72" s="228"/>
      <c r="LA72" s="228"/>
      <c r="LB72" s="228"/>
      <c r="LC72" s="228"/>
      <c r="LD72" s="228"/>
      <c r="LE72" s="228"/>
      <c r="LF72" s="228"/>
      <c r="LG72" s="228"/>
      <c r="LH72" s="228"/>
      <c r="LI72" s="228"/>
      <c r="LJ72" s="228"/>
      <c r="LK72" s="228"/>
      <c r="LL72" s="228"/>
      <c r="LM72" s="228"/>
      <c r="LN72" s="228"/>
      <c r="LO72" s="228"/>
      <c r="LP72" s="228"/>
      <c r="LQ72" s="228"/>
      <c r="LR72" s="228"/>
      <c r="LS72" s="228"/>
      <c r="LT72" s="228"/>
      <c r="LU72" s="228"/>
      <c r="LV72" s="228"/>
      <c r="LW72" s="228"/>
      <c r="LX72" s="228"/>
      <c r="LY72" s="228"/>
      <c r="LZ72" s="228"/>
      <c r="MA72" s="228"/>
      <c r="MB72" s="228"/>
      <c r="MC72" s="228"/>
      <c r="MD72" s="228"/>
      <c r="ME72" s="228"/>
      <c r="MF72" s="228"/>
      <c r="MG72" s="228"/>
      <c r="MH72" s="228"/>
      <c r="MI72" s="228"/>
      <c r="MJ72" s="228"/>
      <c r="MK72" s="228"/>
      <c r="ML72" s="228"/>
      <c r="MM72" s="228"/>
      <c r="MN72" s="228"/>
      <c r="MO72" s="228"/>
      <c r="MP72" s="228"/>
      <c r="MQ72" s="228"/>
      <c r="MR72" s="228"/>
      <c r="MS72" s="228"/>
      <c r="MT72" s="228"/>
      <c r="MU72" s="228"/>
      <c r="MV72" s="228"/>
      <c r="MW72" s="228"/>
      <c r="MX72" s="228"/>
      <c r="MY72" s="228"/>
      <c r="MZ72" s="228"/>
      <c r="NA72" s="228"/>
      <c r="NB72" s="228"/>
      <c r="NC72" s="228"/>
      <c r="ND72" s="228"/>
      <c r="NE72" s="228"/>
      <c r="NF72" s="228"/>
      <c r="NG72" s="228"/>
      <c r="NH72" s="228"/>
      <c r="NI72" s="228"/>
      <c r="NJ72" s="228"/>
      <c r="NK72" s="228"/>
      <c r="NL72" s="228"/>
      <c r="NM72" s="228"/>
      <c r="NN72" s="228"/>
      <c r="NO72" s="228"/>
      <c r="NP72" s="228"/>
      <c r="NQ72" s="228"/>
      <c r="NR72" s="228"/>
      <c r="NS72" s="228"/>
      <c r="NT72" s="228"/>
      <c r="NU72" s="228"/>
      <c r="NV72" s="228"/>
      <c r="NW72" s="228"/>
      <c r="NX72" s="228"/>
      <c r="NY72" s="228"/>
      <c r="NZ72" s="228"/>
      <c r="OA72" s="228"/>
      <c r="OB72" s="228"/>
      <c r="OC72" s="228"/>
      <c r="OD72" s="228"/>
      <c r="OE72" s="228"/>
      <c r="OF72" s="228"/>
      <c r="OG72" s="228"/>
      <c r="OH72" s="228"/>
      <c r="OI72" s="228"/>
      <c r="OJ72" s="228"/>
      <c r="OK72" s="228"/>
      <c r="OL72" s="228"/>
      <c r="OM72" s="228"/>
      <c r="ON72" s="228"/>
      <c r="OO72" s="228"/>
      <c r="OP72" s="228"/>
      <c r="OQ72" s="228"/>
      <c r="OR72" s="228"/>
      <c r="OS72" s="228"/>
      <c r="OT72" s="228"/>
      <c r="OU72" s="228"/>
      <c r="OV72" s="228"/>
      <c r="OW72" s="228"/>
      <c r="OX72" s="228"/>
      <c r="OY72" s="228"/>
      <c r="OZ72" s="228"/>
      <c r="PA72" s="228"/>
      <c r="PB72" s="228"/>
      <c r="PC72" s="228"/>
      <c r="PD72" s="228"/>
      <c r="PE72" s="228"/>
      <c r="PF72" s="228"/>
      <c r="PG72" s="228"/>
      <c r="PH72" s="228"/>
      <c r="PI72" s="228"/>
      <c r="PJ72" s="228"/>
      <c r="PK72" s="228"/>
      <c r="PL72" s="228"/>
      <c r="PM72" s="228"/>
      <c r="PN72" s="228"/>
      <c r="PO72" s="228"/>
      <c r="PP72" s="228"/>
      <c r="PQ72" s="228"/>
      <c r="PR72" s="228"/>
      <c r="PS72" s="228"/>
      <c r="PT72" s="228"/>
      <c r="PU72" s="228"/>
      <c r="PV72" s="228"/>
      <c r="PW72" s="228"/>
      <c r="PX72" s="228"/>
      <c r="PY72" s="228"/>
      <c r="PZ72" s="228"/>
      <c r="QA72" s="228"/>
      <c r="QB72" s="228"/>
      <c r="QC72" s="228"/>
      <c r="QD72" s="228"/>
      <c r="QE72" s="228"/>
      <c r="QF72" s="228"/>
      <c r="QG72" s="228"/>
      <c r="QH72" s="228"/>
      <c r="QI72" s="228"/>
      <c r="QJ72" s="228"/>
      <c r="QK72" s="228"/>
      <c r="QL72" s="228"/>
      <c r="QM72" s="228"/>
      <c r="QN72" s="228"/>
      <c r="QO72" s="228"/>
      <c r="QP72" s="228"/>
      <c r="QQ72" s="228"/>
      <c r="QR72" s="228"/>
      <c r="QS72" s="228"/>
      <c r="QT72" s="228"/>
      <c r="QU72" s="228"/>
      <c r="QV72" s="228"/>
      <c r="QW72" s="228"/>
      <c r="QX72" s="228"/>
      <c r="QY72" s="228"/>
      <c r="QZ72" s="228"/>
      <c r="RA72" s="228"/>
      <c r="RB72" s="228"/>
      <c r="RC72" s="228"/>
      <c r="RD72" s="228"/>
      <c r="RE72" s="228"/>
      <c r="RF72" s="228"/>
      <c r="RG72" s="228"/>
      <c r="RH72" s="228"/>
      <c r="RI72" s="228"/>
      <c r="RJ72" s="228"/>
      <c r="RK72" s="228"/>
      <c r="RL72" s="228"/>
      <c r="RM72" s="228"/>
      <c r="RN72" s="228"/>
      <c r="RO72" s="228"/>
      <c r="RP72" s="228"/>
      <c r="RQ72" s="228"/>
      <c r="RR72" s="228"/>
      <c r="RS72" s="228"/>
      <c r="RT72" s="228"/>
      <c r="RU72" s="228"/>
      <c r="RV72" s="228"/>
      <c r="RW72" s="228"/>
      <c r="RX72" s="228"/>
      <c r="RY72" s="228"/>
      <c r="RZ72" s="228"/>
      <c r="SA72" s="228"/>
      <c r="SB72" s="228"/>
      <c r="SC72" s="228"/>
      <c r="SD72" s="228"/>
      <c r="SE72" s="228"/>
      <c r="SF72" s="228"/>
      <c r="SG72" s="228"/>
      <c r="SH72" s="228"/>
      <c r="SI72" s="228"/>
      <c r="SJ72" s="228"/>
      <c r="SK72" s="228"/>
      <c r="SL72" s="228"/>
      <c r="SM72" s="228"/>
      <c r="SN72" s="228"/>
      <c r="SO72" s="228"/>
      <c r="SP72" s="228"/>
      <c r="SQ72" s="228"/>
      <c r="SR72" s="228"/>
      <c r="SS72" s="228"/>
      <c r="ST72" s="228"/>
      <c r="SU72" s="228"/>
      <c r="SV72" s="228"/>
      <c r="SW72" s="228"/>
      <c r="SX72" s="228"/>
      <c r="SY72" s="228"/>
      <c r="SZ72" s="228"/>
      <c r="TA72" s="228"/>
      <c r="TB72" s="228"/>
      <c r="TC72" s="228"/>
      <c r="TD72" s="228"/>
      <c r="TE72" s="228"/>
      <c r="TF72" s="228"/>
      <c r="TG72" s="228"/>
      <c r="TH72" s="228"/>
      <c r="TI72" s="228"/>
      <c r="TJ72" s="228"/>
      <c r="TK72" s="228"/>
      <c r="TL72" s="228"/>
      <c r="TM72" s="228"/>
      <c r="TN72" s="228"/>
      <c r="TO72" s="228"/>
      <c r="TP72" s="228"/>
      <c r="TQ72" s="228"/>
      <c r="TR72" s="228"/>
      <c r="TS72" s="228"/>
      <c r="TT72" s="228"/>
      <c r="TU72" s="228"/>
      <c r="TV72" s="228"/>
      <c r="TW72" s="228"/>
      <c r="TX72" s="228"/>
      <c r="TY72" s="228"/>
      <c r="TZ72" s="228"/>
      <c r="UA72" s="228"/>
      <c r="UB72" s="228"/>
      <c r="UC72" s="228"/>
      <c r="UD72" s="228"/>
      <c r="UE72" s="228"/>
      <c r="UF72" s="228"/>
      <c r="UG72" s="228"/>
      <c r="UH72" s="228"/>
      <c r="UI72" s="228"/>
      <c r="UJ72" s="228"/>
      <c r="UK72" s="228"/>
      <c r="UL72" s="228"/>
      <c r="UM72" s="228"/>
      <c r="UN72" s="228"/>
      <c r="UO72" s="228"/>
      <c r="UP72" s="228"/>
      <c r="UQ72" s="228"/>
      <c r="UR72" s="228"/>
      <c r="US72" s="228"/>
      <c r="UT72" s="228"/>
      <c r="UU72" s="228"/>
      <c r="UV72" s="228"/>
      <c r="UW72" s="228"/>
      <c r="UX72" s="228"/>
      <c r="UY72" s="228"/>
      <c r="UZ72" s="228"/>
      <c r="VA72" s="228"/>
      <c r="VB72" s="228"/>
      <c r="VC72" s="228"/>
      <c r="VD72" s="228"/>
      <c r="VE72" s="228"/>
      <c r="VF72" s="228"/>
      <c r="VG72" s="228"/>
      <c r="VH72" s="228"/>
      <c r="VI72" s="228"/>
      <c r="VJ72" s="228"/>
      <c r="VK72" s="228"/>
      <c r="VL72" s="228"/>
      <c r="VM72" s="228"/>
      <c r="VN72" s="228"/>
      <c r="VO72" s="228"/>
      <c r="VP72" s="228"/>
      <c r="VQ72" s="228"/>
      <c r="VR72" s="228"/>
      <c r="VS72" s="228"/>
      <c r="VT72" s="228"/>
      <c r="VU72" s="228"/>
      <c r="VV72" s="228"/>
      <c r="VW72" s="228"/>
      <c r="VX72" s="228"/>
      <c r="VY72" s="228"/>
      <c r="VZ72" s="228"/>
      <c r="WA72" s="228"/>
      <c r="WB72" s="228"/>
      <c r="WC72" s="228"/>
      <c r="WD72" s="228"/>
      <c r="WE72" s="228"/>
      <c r="WF72" s="228"/>
      <c r="WG72" s="228"/>
      <c r="WH72" s="228"/>
      <c r="WI72" s="228"/>
      <c r="WJ72" s="228"/>
      <c r="WK72" s="228"/>
      <c r="WL72" s="228"/>
      <c r="WM72" s="228"/>
      <c r="WN72" s="228"/>
      <c r="WO72" s="228"/>
      <c r="WP72" s="228"/>
      <c r="WQ72" s="228"/>
      <c r="WR72" s="228"/>
      <c r="WS72" s="228"/>
      <c r="WT72" s="228"/>
      <c r="WU72" s="228"/>
      <c r="WV72" s="228"/>
      <c r="WW72" s="228"/>
      <c r="WX72" s="228"/>
      <c r="WY72" s="228"/>
      <c r="WZ72" s="228"/>
      <c r="XA72" s="228"/>
      <c r="XB72" s="228"/>
      <c r="XC72" s="228"/>
      <c r="XD72" s="228"/>
      <c r="XE72" s="228"/>
      <c r="XF72" s="228"/>
      <c r="XG72" s="228"/>
      <c r="XH72" s="228"/>
      <c r="XI72" s="228"/>
      <c r="XJ72" s="228"/>
      <c r="XK72" s="228"/>
      <c r="XL72" s="228"/>
      <c r="XM72" s="228"/>
      <c r="XN72" s="228"/>
      <c r="XO72" s="228"/>
      <c r="XP72" s="228"/>
      <c r="XQ72" s="228"/>
      <c r="XR72" s="228"/>
      <c r="XS72" s="228"/>
      <c r="XT72" s="228"/>
      <c r="XU72" s="228"/>
      <c r="XV72" s="228"/>
      <c r="XW72" s="228"/>
      <c r="XX72" s="228"/>
      <c r="XY72" s="228"/>
      <c r="XZ72" s="228"/>
      <c r="YA72" s="228"/>
      <c r="YB72" s="228"/>
      <c r="YC72" s="228"/>
      <c r="YD72" s="228"/>
      <c r="YE72" s="228"/>
      <c r="YF72" s="228"/>
      <c r="YG72" s="228"/>
      <c r="YH72" s="228"/>
      <c r="YI72" s="228"/>
      <c r="YJ72" s="228"/>
      <c r="YK72" s="228"/>
      <c r="YL72" s="228"/>
      <c r="YM72" s="228"/>
      <c r="YN72" s="228"/>
      <c r="YO72" s="228"/>
      <c r="YP72" s="228"/>
      <c r="YQ72" s="228"/>
      <c r="YR72" s="228"/>
      <c r="YS72" s="228"/>
      <c r="YT72" s="228"/>
      <c r="YU72" s="228"/>
      <c r="YV72" s="228"/>
      <c r="YW72" s="228"/>
      <c r="YX72" s="228"/>
      <c r="YY72" s="228"/>
      <c r="YZ72" s="228"/>
      <c r="ZA72" s="228"/>
      <c r="ZB72" s="228"/>
      <c r="ZC72" s="228"/>
      <c r="ZD72" s="228"/>
      <c r="ZE72" s="228"/>
      <c r="ZF72" s="228"/>
      <c r="ZG72" s="228"/>
      <c r="ZH72" s="228"/>
      <c r="ZI72" s="228"/>
      <c r="ZJ72" s="228"/>
      <c r="ZK72" s="228"/>
      <c r="ZL72" s="228"/>
      <c r="ZM72" s="228"/>
      <c r="ZN72" s="228"/>
      <c r="ZO72" s="228"/>
      <c r="ZP72" s="228"/>
      <c r="ZQ72" s="228"/>
      <c r="ZR72" s="228"/>
      <c r="ZS72" s="228"/>
      <c r="ZT72" s="228"/>
      <c r="ZU72" s="228"/>
      <c r="ZV72" s="228"/>
      <c r="ZW72" s="228"/>
      <c r="ZX72" s="228"/>
      <c r="ZY72" s="228"/>
      <c r="ZZ72" s="228"/>
      <c r="AAA72" s="228"/>
      <c r="AAB72" s="228"/>
      <c r="AAC72" s="228"/>
      <c r="AAD72" s="228"/>
      <c r="AAE72" s="228"/>
      <c r="AAF72" s="228"/>
      <c r="AAG72" s="228"/>
      <c r="AAH72" s="228"/>
      <c r="AAI72" s="228"/>
      <c r="AAJ72" s="228"/>
      <c r="AAK72" s="228"/>
      <c r="AAL72" s="228"/>
      <c r="AAM72" s="228"/>
      <c r="AAN72" s="228"/>
      <c r="AAO72" s="228"/>
      <c r="AAP72" s="228"/>
      <c r="AAQ72" s="228"/>
      <c r="AAR72" s="228"/>
      <c r="AAS72" s="228"/>
      <c r="AAT72" s="228"/>
      <c r="AAU72" s="228"/>
      <c r="AAV72" s="228"/>
      <c r="AAW72" s="228"/>
      <c r="AAX72" s="228"/>
      <c r="AAY72" s="228"/>
      <c r="AAZ72" s="228"/>
      <c r="ABA72" s="228"/>
      <c r="ABB72" s="228"/>
      <c r="ABC72" s="228"/>
      <c r="ABD72" s="228"/>
      <c r="ABE72" s="228"/>
      <c r="ABF72" s="228"/>
      <c r="ABG72" s="228"/>
      <c r="ABH72" s="228"/>
      <c r="ABI72" s="228"/>
      <c r="ABJ72" s="228"/>
      <c r="ABK72" s="228"/>
      <c r="ABL72" s="228"/>
      <c r="ABM72" s="228"/>
      <c r="ABN72" s="228"/>
      <c r="ABO72" s="228"/>
      <c r="ABP72" s="228"/>
      <c r="ABQ72" s="228"/>
      <c r="ABR72" s="228"/>
      <c r="ABS72" s="228"/>
      <c r="ABT72" s="228"/>
      <c r="ABU72" s="228"/>
      <c r="ABV72" s="228"/>
      <c r="ABW72" s="228"/>
      <c r="ABX72" s="228"/>
      <c r="ABY72" s="228"/>
      <c r="ABZ72" s="228"/>
      <c r="ACA72" s="228"/>
      <c r="ACB72" s="228"/>
      <c r="ACC72" s="228"/>
      <c r="ACD72" s="228"/>
      <c r="ACE72" s="228"/>
      <c r="ACF72" s="228"/>
      <c r="ACG72" s="228"/>
      <c r="ACH72" s="228"/>
      <c r="ACI72" s="228"/>
      <c r="ACJ72" s="228"/>
      <c r="ACK72" s="228"/>
      <c r="ACL72" s="228"/>
      <c r="ACM72" s="228"/>
      <c r="ACN72" s="228"/>
      <c r="ACO72" s="228"/>
      <c r="ACP72" s="228"/>
      <c r="ACQ72" s="228"/>
      <c r="ACR72" s="228"/>
      <c r="ACS72" s="228"/>
      <c r="ACT72" s="228"/>
      <c r="ACU72" s="228"/>
      <c r="ACV72" s="228"/>
      <c r="ACW72" s="228"/>
      <c r="ACX72" s="228"/>
      <c r="ACY72" s="228"/>
      <c r="ACZ72" s="228"/>
      <c r="ADA72" s="228"/>
      <c r="ADB72" s="228"/>
      <c r="ADC72" s="228"/>
      <c r="ADD72" s="228"/>
      <c r="ADE72" s="228"/>
      <c r="ADF72" s="228"/>
      <c r="ADG72" s="228"/>
      <c r="ADH72" s="228"/>
      <c r="ADI72" s="228"/>
      <c r="ADJ72" s="228"/>
      <c r="ADK72" s="228"/>
      <c r="ADL72" s="228"/>
      <c r="ADM72" s="228"/>
      <c r="ADN72" s="228"/>
      <c r="ADO72" s="228"/>
      <c r="ADP72" s="228"/>
      <c r="ADQ72" s="228"/>
      <c r="ADR72" s="228"/>
      <c r="ADS72" s="228"/>
      <c r="ADT72" s="228"/>
      <c r="ADU72" s="228"/>
      <c r="ADV72" s="228"/>
      <c r="ADW72" s="228"/>
      <c r="ADX72" s="228"/>
      <c r="ADY72" s="228"/>
      <c r="ADZ72" s="228"/>
      <c r="AEA72" s="228"/>
      <c r="AEB72" s="228"/>
      <c r="AEC72" s="228"/>
      <c r="AED72" s="228"/>
      <c r="AEE72" s="228"/>
      <c r="AEF72" s="228"/>
      <c r="AEG72" s="228"/>
      <c r="AEH72" s="228"/>
      <c r="AEI72" s="228"/>
      <c r="AEJ72" s="228"/>
      <c r="AEK72" s="228"/>
      <c r="AEL72" s="228"/>
      <c r="AEM72" s="228"/>
      <c r="AEN72" s="228"/>
      <c r="AEO72" s="228"/>
      <c r="AEP72" s="228"/>
      <c r="AEQ72" s="228"/>
      <c r="AER72" s="228"/>
      <c r="AES72" s="228"/>
      <c r="AET72" s="228"/>
      <c r="AEU72" s="228"/>
      <c r="AEV72" s="228"/>
      <c r="AEW72" s="228"/>
      <c r="AEX72" s="228"/>
      <c r="AEY72" s="228"/>
      <c r="AEZ72" s="228"/>
      <c r="AFA72" s="228"/>
      <c r="AFB72" s="228"/>
      <c r="AFC72" s="228"/>
      <c r="AFD72" s="228"/>
      <c r="AFE72" s="228"/>
      <c r="AFF72" s="228"/>
      <c r="AFG72" s="228"/>
      <c r="AFH72" s="228"/>
      <c r="AFI72" s="228"/>
      <c r="AFJ72" s="228"/>
      <c r="AFK72" s="228"/>
      <c r="AFL72" s="228"/>
      <c r="AFM72" s="228"/>
      <c r="AFN72" s="228"/>
      <c r="AFO72" s="228"/>
      <c r="AFP72" s="228"/>
      <c r="AFQ72" s="228"/>
      <c r="AFR72" s="228"/>
      <c r="AFS72" s="228"/>
      <c r="AFT72" s="228"/>
      <c r="AFU72" s="228"/>
      <c r="AFV72" s="228"/>
      <c r="AFW72" s="228"/>
      <c r="AFX72" s="228"/>
      <c r="AFY72" s="228"/>
      <c r="AFZ72" s="228"/>
      <c r="AGA72" s="228"/>
      <c r="AGB72" s="228"/>
      <c r="AGC72" s="228"/>
      <c r="AGD72" s="228"/>
      <c r="AGE72" s="228"/>
      <c r="AGF72" s="228"/>
      <c r="AGG72" s="228"/>
      <c r="AGH72" s="228"/>
      <c r="AGI72" s="228"/>
      <c r="AGJ72" s="228"/>
      <c r="AGK72" s="228"/>
      <c r="AGL72" s="228"/>
      <c r="AGM72" s="228"/>
      <c r="AGN72" s="228"/>
      <c r="AGO72" s="228"/>
      <c r="AGP72" s="228"/>
      <c r="AGQ72" s="228"/>
      <c r="AGR72" s="228"/>
      <c r="AGS72" s="228"/>
      <c r="AGT72" s="228"/>
      <c r="AGU72" s="228"/>
      <c r="AGV72" s="228"/>
      <c r="AGW72" s="228"/>
      <c r="AGX72" s="228"/>
      <c r="AGY72" s="228"/>
      <c r="AGZ72" s="228"/>
      <c r="AHA72" s="228"/>
      <c r="AHB72" s="228"/>
      <c r="AHC72" s="228"/>
      <c r="AHD72" s="228"/>
      <c r="AHE72" s="228"/>
      <c r="AHF72" s="228"/>
      <c r="AHG72" s="228"/>
      <c r="AHH72" s="228"/>
      <c r="AHI72" s="228"/>
      <c r="AHJ72" s="228"/>
      <c r="AHK72" s="228"/>
      <c r="AHL72" s="228"/>
      <c r="AHM72" s="228"/>
      <c r="AHN72" s="228"/>
      <c r="AHO72" s="228"/>
      <c r="AHP72" s="228"/>
      <c r="AHQ72" s="228"/>
      <c r="AHR72" s="228"/>
      <c r="AHS72" s="228"/>
      <c r="AHT72" s="228"/>
      <c r="AHU72" s="228"/>
      <c r="AHV72" s="228"/>
      <c r="AHW72" s="228"/>
      <c r="AHX72" s="228"/>
      <c r="AHY72" s="228"/>
      <c r="AHZ72" s="228"/>
      <c r="AIA72" s="228"/>
      <c r="AIB72" s="228"/>
      <c r="AIC72" s="228"/>
      <c r="AID72" s="228"/>
      <c r="AIE72" s="228"/>
      <c r="AIF72" s="228"/>
      <c r="AIG72" s="228"/>
      <c r="AIH72" s="228"/>
      <c r="AII72" s="228"/>
      <c r="AIJ72" s="228"/>
      <c r="AIK72" s="228"/>
      <c r="AIL72" s="228"/>
      <c r="AIM72" s="228"/>
      <c r="AIN72" s="228"/>
      <c r="AIO72" s="228"/>
      <c r="AIP72" s="228"/>
      <c r="AIQ72" s="228"/>
      <c r="AIR72" s="228"/>
      <c r="AIS72" s="228"/>
      <c r="AIT72" s="228"/>
      <c r="AIU72" s="228"/>
      <c r="AIV72" s="228"/>
      <c r="AIW72" s="228"/>
      <c r="AIX72" s="228"/>
      <c r="AIY72" s="228"/>
      <c r="AIZ72" s="228"/>
      <c r="AJA72" s="228"/>
      <c r="AJB72" s="228"/>
      <c r="AJC72" s="228"/>
      <c r="AJD72" s="228"/>
      <c r="AJE72" s="228"/>
      <c r="AJF72" s="228"/>
      <c r="AJG72" s="228"/>
      <c r="AJH72" s="228"/>
      <c r="AJI72" s="228"/>
      <c r="AJJ72" s="228"/>
      <c r="AJK72" s="228"/>
      <c r="AJL72" s="228"/>
      <c r="AJM72" s="228"/>
      <c r="AJN72" s="228"/>
      <c r="AJO72" s="228"/>
      <c r="AJP72" s="228"/>
      <c r="AJQ72" s="228"/>
      <c r="AJR72" s="228"/>
      <c r="AJS72" s="228"/>
      <c r="AJT72" s="228"/>
      <c r="AJU72" s="228"/>
      <c r="AJV72" s="228"/>
      <c r="AJW72" s="228"/>
      <c r="AJX72" s="228"/>
      <c r="AJY72" s="228"/>
      <c r="AJZ72" s="228"/>
      <c r="AKA72" s="228"/>
      <c r="AKB72" s="228"/>
      <c r="AKC72" s="228"/>
      <c r="AKD72" s="228"/>
      <c r="AKE72" s="228"/>
      <c r="AKF72" s="228"/>
      <c r="AKG72" s="228"/>
      <c r="AKH72" s="228"/>
      <c r="AKI72" s="228"/>
      <c r="AKJ72" s="228"/>
      <c r="AKK72" s="228"/>
      <c r="AKL72" s="228"/>
      <c r="AKM72" s="228"/>
      <c r="AKN72" s="228"/>
      <c r="AKO72" s="228"/>
      <c r="AKP72" s="228"/>
      <c r="AKQ72" s="228"/>
      <c r="AKR72" s="228"/>
      <c r="AKS72" s="228"/>
      <c r="AKT72" s="228"/>
      <c r="AKU72" s="228"/>
      <c r="AKV72" s="228"/>
      <c r="AKW72" s="228"/>
      <c r="AKX72" s="228"/>
      <c r="AKY72" s="228"/>
      <c r="AKZ72" s="228"/>
      <c r="ALA72" s="228"/>
      <c r="ALB72" s="228"/>
      <c r="ALC72" s="228"/>
      <c r="ALD72" s="228"/>
      <c r="ALE72" s="228"/>
      <c r="ALF72" s="228"/>
      <c r="ALG72" s="228"/>
      <c r="ALH72" s="228"/>
    </row>
    <row r="73" spans="1:996" s="229" customFormat="1">
      <c r="A73" s="37"/>
      <c r="B73" t="str">
        <f t="shared" si="0"/>
        <v>E311107</v>
      </c>
      <c r="C73" s="7" t="s">
        <v>219</v>
      </c>
      <c r="D73" s="26" t="s">
        <v>73</v>
      </c>
      <c r="E73" s="7">
        <v>311107</v>
      </c>
      <c r="F73" s="48" t="s">
        <v>591</v>
      </c>
      <c r="G73" s="49">
        <f>IFERROR(VLOOKUP(E73,'BD - E - Mvto Cx'!$A$15:$D$500,4,0),0)</f>
        <v>5425.84</v>
      </c>
      <c r="H73" s="50">
        <f>IFERROR(VLOOKUP(E73,'BD - E - Mvto Cx'!$J$15:$M$500,4,0),0)</f>
        <v>508.76</v>
      </c>
      <c r="I73" s="50">
        <f>IFERROR(VLOOKUP(E73,'BD - E - Mvto Cx'!$S$15:$V$500,4,0),0)</f>
        <v>2539.3200000000002</v>
      </c>
      <c r="J73" s="50">
        <f>IFERROR(VLOOKUP(E73,'BD - E - Mvto Cx'!$AB$15:$AE$500,4,0),0)</f>
        <v>5821.06</v>
      </c>
      <c r="K73" s="50">
        <f>IFERROR(VLOOKUP(E73,'BD - E - Mvto Cx'!$AK$15:$AN$500,4,0),0)</f>
        <v>0</v>
      </c>
      <c r="L73" s="50">
        <f>IFERROR(VLOOKUP(E73,'BD - E - Mvto Cx'!$AT$15:$AW$500,4,0),0)</f>
        <v>0</v>
      </c>
      <c r="M73" s="50">
        <f>IFERROR(VLOOKUP(E73,'BD - E - Mvto Cx'!$BF$15:$BI$500,4,0),0)</f>
        <v>0</v>
      </c>
      <c r="N73" s="50">
        <f>IFERROR(VLOOKUP(E73,'BD - E - Mvto Cx'!$BO$15:$BR$500,4,0),0)</f>
        <v>0</v>
      </c>
      <c r="O73" s="50">
        <f>IFERROR(VLOOKUP(E73,'BD - E - Mvto Cx'!$BX$15:$CA$500,4,0),0)</f>
        <v>0</v>
      </c>
      <c r="P73" s="50">
        <f>IFERROR(VLOOKUP(E73,'BD - E - Mvto Cx'!$CG$15:$CJ$500,4,0),0)</f>
        <v>0</v>
      </c>
      <c r="Q73" s="50">
        <f>IFERROR(VLOOKUP(E73,'BD - E - Mvto Cx'!$CP$15:$CS$500,4,0),0)</f>
        <v>0</v>
      </c>
      <c r="R73" s="50">
        <f>IFERROR(VLOOKUP(E73,'BD - E - Mvto Cx'!$CY$15:$DB$500,4,0),0)</f>
        <v>0</v>
      </c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A73" s="228"/>
      <c r="BB73" s="228"/>
      <c r="BC73" s="228"/>
      <c r="BD73" s="228"/>
      <c r="BE73" s="228"/>
      <c r="BF73" s="228"/>
      <c r="BG73" s="228"/>
      <c r="BH73" s="228"/>
      <c r="BI73" s="228"/>
      <c r="BJ73" s="228"/>
      <c r="BK73" s="228"/>
      <c r="BL73" s="228"/>
      <c r="BM73" s="228"/>
      <c r="BN73" s="228"/>
      <c r="BO73" s="228"/>
      <c r="BP73" s="228"/>
      <c r="BQ73" s="228"/>
      <c r="BR73" s="228"/>
      <c r="BS73" s="228"/>
      <c r="BT73" s="228"/>
      <c r="BU73" s="228"/>
      <c r="BV73" s="228"/>
      <c r="BW73" s="228"/>
      <c r="BX73" s="228"/>
      <c r="BY73" s="228"/>
      <c r="BZ73" s="228"/>
      <c r="CA73" s="228"/>
      <c r="CB73" s="228"/>
      <c r="CC73" s="228"/>
      <c r="CD73" s="228"/>
      <c r="CE73" s="228"/>
      <c r="CF73" s="228"/>
      <c r="CG73" s="228"/>
      <c r="CH73" s="228"/>
      <c r="CI73" s="228"/>
      <c r="CJ73" s="228"/>
      <c r="CK73" s="228"/>
      <c r="CL73" s="228"/>
      <c r="CM73" s="228"/>
      <c r="CN73" s="228"/>
      <c r="CO73" s="228"/>
      <c r="CP73" s="228"/>
      <c r="CQ73" s="228"/>
      <c r="CR73" s="228"/>
      <c r="CS73" s="228"/>
      <c r="CT73" s="228"/>
      <c r="CU73" s="228"/>
      <c r="CV73" s="228"/>
      <c r="CW73" s="228"/>
      <c r="CX73" s="228"/>
      <c r="CY73" s="228"/>
      <c r="CZ73" s="228"/>
      <c r="DA73" s="228"/>
      <c r="DB73" s="228"/>
      <c r="DC73" s="228"/>
      <c r="DD73" s="228"/>
      <c r="DE73" s="228"/>
      <c r="DF73" s="228"/>
      <c r="DG73" s="228"/>
      <c r="DH73" s="228"/>
      <c r="DI73" s="228"/>
      <c r="DJ73" s="228"/>
      <c r="DK73" s="228"/>
      <c r="DL73" s="228"/>
      <c r="DM73" s="228"/>
      <c r="DN73" s="228"/>
      <c r="DO73" s="228"/>
      <c r="DP73" s="228"/>
      <c r="DQ73" s="228"/>
      <c r="DR73" s="228"/>
      <c r="DS73" s="228"/>
      <c r="DT73" s="228"/>
      <c r="DU73" s="228"/>
      <c r="DV73" s="228"/>
      <c r="DW73" s="228"/>
      <c r="DX73" s="228"/>
      <c r="DY73" s="228"/>
      <c r="DZ73" s="228"/>
      <c r="EA73" s="228"/>
      <c r="EB73" s="228"/>
      <c r="EC73" s="228"/>
      <c r="ED73" s="228"/>
      <c r="EE73" s="228"/>
      <c r="EF73" s="228"/>
      <c r="EG73" s="228"/>
      <c r="EH73" s="228"/>
      <c r="EI73" s="228"/>
      <c r="EJ73" s="228"/>
      <c r="EK73" s="228"/>
      <c r="EL73" s="228"/>
      <c r="EM73" s="228"/>
      <c r="EN73" s="228"/>
      <c r="EO73" s="228"/>
      <c r="EP73" s="228"/>
      <c r="EQ73" s="228"/>
      <c r="ER73" s="228"/>
      <c r="ES73" s="228"/>
      <c r="ET73" s="228"/>
      <c r="EU73" s="228"/>
      <c r="EV73" s="228"/>
      <c r="EW73" s="228"/>
      <c r="EX73" s="228"/>
      <c r="EY73" s="228"/>
      <c r="EZ73" s="228"/>
      <c r="FA73" s="228"/>
      <c r="FB73" s="228"/>
      <c r="FC73" s="228"/>
      <c r="FD73" s="228"/>
      <c r="FE73" s="228"/>
      <c r="FF73" s="228"/>
      <c r="FG73" s="228"/>
      <c r="FH73" s="228"/>
      <c r="FI73" s="228"/>
      <c r="FJ73" s="228"/>
      <c r="FK73" s="228"/>
      <c r="FL73" s="228"/>
      <c r="FM73" s="228"/>
      <c r="FN73" s="228"/>
      <c r="FO73" s="228"/>
      <c r="FP73" s="228"/>
      <c r="FQ73" s="228"/>
      <c r="FR73" s="228"/>
      <c r="FS73" s="228"/>
      <c r="FT73" s="228"/>
      <c r="FU73" s="228"/>
      <c r="FV73" s="228"/>
      <c r="FW73" s="228"/>
      <c r="FX73" s="228"/>
      <c r="FY73" s="228"/>
      <c r="FZ73" s="228"/>
      <c r="GA73" s="228"/>
      <c r="GB73" s="228"/>
      <c r="GC73" s="228"/>
      <c r="GD73" s="228"/>
      <c r="GE73" s="228"/>
      <c r="GF73" s="228"/>
      <c r="GG73" s="228"/>
      <c r="GH73" s="228"/>
      <c r="GI73" s="228"/>
      <c r="GJ73" s="228"/>
      <c r="GK73" s="228"/>
      <c r="GL73" s="228"/>
      <c r="GM73" s="228"/>
      <c r="GN73" s="228"/>
      <c r="GO73" s="228"/>
      <c r="GP73" s="228"/>
      <c r="GQ73" s="228"/>
      <c r="GR73" s="228"/>
      <c r="GS73" s="228"/>
      <c r="GT73" s="228"/>
      <c r="GU73" s="228"/>
      <c r="GV73" s="228"/>
      <c r="GW73" s="228"/>
      <c r="GX73" s="228"/>
      <c r="GY73" s="228"/>
      <c r="GZ73" s="228"/>
      <c r="HA73" s="228"/>
      <c r="HB73" s="228"/>
      <c r="HC73" s="228"/>
      <c r="HD73" s="228"/>
      <c r="HE73" s="228"/>
      <c r="HF73" s="228"/>
      <c r="HG73" s="228"/>
      <c r="HH73" s="228"/>
      <c r="HI73" s="228"/>
      <c r="HJ73" s="228"/>
      <c r="HK73" s="228"/>
      <c r="HL73" s="228"/>
      <c r="HM73" s="228"/>
      <c r="HN73" s="228"/>
      <c r="HO73" s="228"/>
      <c r="HP73" s="228"/>
      <c r="HQ73" s="228"/>
      <c r="HR73" s="228"/>
      <c r="HS73" s="228"/>
      <c r="HT73" s="228"/>
      <c r="HU73" s="228"/>
      <c r="HV73" s="228"/>
      <c r="HW73" s="228"/>
      <c r="HX73" s="228"/>
      <c r="HY73" s="228"/>
      <c r="HZ73" s="228"/>
      <c r="IA73" s="228"/>
      <c r="IB73" s="228"/>
      <c r="IC73" s="228"/>
      <c r="ID73" s="228"/>
      <c r="IE73" s="228"/>
      <c r="IF73" s="228"/>
      <c r="IG73" s="228"/>
      <c r="IH73" s="228"/>
      <c r="II73" s="228"/>
      <c r="IJ73" s="228"/>
      <c r="IK73" s="228"/>
      <c r="IL73" s="228"/>
      <c r="IM73" s="228"/>
      <c r="IN73" s="228"/>
      <c r="IO73" s="228"/>
      <c r="IP73" s="228"/>
      <c r="IQ73" s="228"/>
      <c r="IR73" s="228"/>
      <c r="IS73" s="228"/>
      <c r="IT73" s="228"/>
      <c r="IU73" s="228"/>
      <c r="IV73" s="228"/>
      <c r="IW73" s="228"/>
      <c r="IX73" s="228"/>
      <c r="IY73" s="228"/>
      <c r="IZ73" s="228"/>
      <c r="JA73" s="228"/>
      <c r="JB73" s="228"/>
      <c r="JC73" s="228"/>
      <c r="JD73" s="228"/>
      <c r="JE73" s="228"/>
      <c r="JF73" s="228"/>
      <c r="JG73" s="228"/>
      <c r="JH73" s="228"/>
      <c r="JI73" s="228"/>
      <c r="JJ73" s="228"/>
      <c r="JK73" s="228"/>
      <c r="JL73" s="228"/>
      <c r="JM73" s="228"/>
      <c r="JN73" s="228"/>
      <c r="JO73" s="228"/>
      <c r="JP73" s="228"/>
      <c r="JQ73" s="228"/>
      <c r="JR73" s="228"/>
      <c r="JS73" s="228"/>
      <c r="JT73" s="228"/>
      <c r="JU73" s="228"/>
      <c r="JV73" s="228"/>
      <c r="JW73" s="228"/>
      <c r="JX73" s="228"/>
      <c r="JY73" s="228"/>
      <c r="JZ73" s="228"/>
      <c r="KA73" s="228"/>
      <c r="KB73" s="228"/>
      <c r="KC73" s="228"/>
      <c r="KD73" s="228"/>
      <c r="KE73" s="228"/>
      <c r="KF73" s="228"/>
      <c r="KG73" s="228"/>
      <c r="KH73" s="228"/>
      <c r="KI73" s="228"/>
      <c r="KJ73" s="228"/>
      <c r="KK73" s="228"/>
      <c r="KL73" s="228"/>
      <c r="KM73" s="228"/>
      <c r="KN73" s="228"/>
      <c r="KO73" s="228"/>
      <c r="KP73" s="228"/>
      <c r="KQ73" s="228"/>
      <c r="KR73" s="228"/>
      <c r="KS73" s="228"/>
      <c r="KT73" s="228"/>
      <c r="KU73" s="228"/>
      <c r="KV73" s="228"/>
      <c r="KW73" s="228"/>
      <c r="KX73" s="228"/>
      <c r="KY73" s="228"/>
      <c r="KZ73" s="228"/>
      <c r="LA73" s="228"/>
      <c r="LB73" s="228"/>
      <c r="LC73" s="228"/>
      <c r="LD73" s="228"/>
      <c r="LE73" s="228"/>
      <c r="LF73" s="228"/>
      <c r="LG73" s="228"/>
      <c r="LH73" s="228"/>
      <c r="LI73" s="228"/>
      <c r="LJ73" s="228"/>
      <c r="LK73" s="228"/>
      <c r="LL73" s="228"/>
      <c r="LM73" s="228"/>
      <c r="LN73" s="228"/>
      <c r="LO73" s="228"/>
      <c r="LP73" s="228"/>
      <c r="LQ73" s="228"/>
      <c r="LR73" s="228"/>
      <c r="LS73" s="228"/>
      <c r="LT73" s="228"/>
      <c r="LU73" s="228"/>
      <c r="LV73" s="228"/>
      <c r="LW73" s="228"/>
      <c r="LX73" s="228"/>
      <c r="LY73" s="228"/>
      <c r="LZ73" s="228"/>
      <c r="MA73" s="228"/>
      <c r="MB73" s="228"/>
      <c r="MC73" s="228"/>
      <c r="MD73" s="228"/>
      <c r="ME73" s="228"/>
      <c r="MF73" s="228"/>
      <c r="MG73" s="228"/>
      <c r="MH73" s="228"/>
      <c r="MI73" s="228"/>
      <c r="MJ73" s="228"/>
      <c r="MK73" s="228"/>
      <c r="ML73" s="228"/>
      <c r="MM73" s="228"/>
      <c r="MN73" s="228"/>
      <c r="MO73" s="228"/>
      <c r="MP73" s="228"/>
      <c r="MQ73" s="228"/>
      <c r="MR73" s="228"/>
      <c r="MS73" s="228"/>
      <c r="MT73" s="228"/>
      <c r="MU73" s="228"/>
      <c r="MV73" s="228"/>
      <c r="MW73" s="228"/>
      <c r="MX73" s="228"/>
      <c r="MY73" s="228"/>
      <c r="MZ73" s="228"/>
      <c r="NA73" s="228"/>
      <c r="NB73" s="228"/>
      <c r="NC73" s="228"/>
      <c r="ND73" s="228"/>
      <c r="NE73" s="228"/>
      <c r="NF73" s="228"/>
      <c r="NG73" s="228"/>
      <c r="NH73" s="228"/>
      <c r="NI73" s="228"/>
      <c r="NJ73" s="228"/>
      <c r="NK73" s="228"/>
      <c r="NL73" s="228"/>
      <c r="NM73" s="228"/>
      <c r="NN73" s="228"/>
      <c r="NO73" s="228"/>
      <c r="NP73" s="228"/>
      <c r="NQ73" s="228"/>
      <c r="NR73" s="228"/>
      <c r="NS73" s="228"/>
      <c r="NT73" s="228"/>
      <c r="NU73" s="228"/>
      <c r="NV73" s="228"/>
      <c r="NW73" s="228"/>
      <c r="NX73" s="228"/>
      <c r="NY73" s="228"/>
      <c r="NZ73" s="228"/>
      <c r="OA73" s="228"/>
      <c r="OB73" s="228"/>
      <c r="OC73" s="228"/>
      <c r="OD73" s="228"/>
      <c r="OE73" s="228"/>
      <c r="OF73" s="228"/>
      <c r="OG73" s="228"/>
      <c r="OH73" s="228"/>
      <c r="OI73" s="228"/>
      <c r="OJ73" s="228"/>
      <c r="OK73" s="228"/>
      <c r="OL73" s="228"/>
      <c r="OM73" s="228"/>
      <c r="ON73" s="228"/>
      <c r="OO73" s="228"/>
      <c r="OP73" s="228"/>
      <c r="OQ73" s="228"/>
      <c r="OR73" s="228"/>
      <c r="OS73" s="228"/>
      <c r="OT73" s="228"/>
      <c r="OU73" s="228"/>
      <c r="OV73" s="228"/>
      <c r="OW73" s="228"/>
      <c r="OX73" s="228"/>
      <c r="OY73" s="228"/>
      <c r="OZ73" s="228"/>
      <c r="PA73" s="228"/>
      <c r="PB73" s="228"/>
      <c r="PC73" s="228"/>
      <c r="PD73" s="228"/>
      <c r="PE73" s="228"/>
      <c r="PF73" s="228"/>
      <c r="PG73" s="228"/>
      <c r="PH73" s="228"/>
      <c r="PI73" s="228"/>
      <c r="PJ73" s="228"/>
      <c r="PK73" s="228"/>
      <c r="PL73" s="228"/>
      <c r="PM73" s="228"/>
      <c r="PN73" s="228"/>
      <c r="PO73" s="228"/>
      <c r="PP73" s="228"/>
      <c r="PQ73" s="228"/>
      <c r="PR73" s="228"/>
      <c r="PS73" s="228"/>
      <c r="PT73" s="228"/>
      <c r="PU73" s="228"/>
      <c r="PV73" s="228"/>
      <c r="PW73" s="228"/>
      <c r="PX73" s="228"/>
      <c r="PY73" s="228"/>
      <c r="PZ73" s="228"/>
      <c r="QA73" s="228"/>
      <c r="QB73" s="228"/>
      <c r="QC73" s="228"/>
      <c r="QD73" s="228"/>
      <c r="QE73" s="228"/>
      <c r="QF73" s="228"/>
      <c r="QG73" s="228"/>
      <c r="QH73" s="228"/>
      <c r="QI73" s="228"/>
      <c r="QJ73" s="228"/>
      <c r="QK73" s="228"/>
      <c r="QL73" s="228"/>
      <c r="QM73" s="228"/>
      <c r="QN73" s="228"/>
      <c r="QO73" s="228"/>
      <c r="QP73" s="228"/>
      <c r="QQ73" s="228"/>
      <c r="QR73" s="228"/>
      <c r="QS73" s="228"/>
      <c r="QT73" s="228"/>
      <c r="QU73" s="228"/>
      <c r="QV73" s="228"/>
      <c r="QW73" s="228"/>
      <c r="QX73" s="228"/>
      <c r="QY73" s="228"/>
      <c r="QZ73" s="228"/>
      <c r="RA73" s="228"/>
      <c r="RB73" s="228"/>
      <c r="RC73" s="228"/>
      <c r="RD73" s="228"/>
      <c r="RE73" s="228"/>
      <c r="RF73" s="228"/>
      <c r="RG73" s="228"/>
      <c r="RH73" s="228"/>
      <c r="RI73" s="228"/>
      <c r="RJ73" s="228"/>
      <c r="RK73" s="228"/>
      <c r="RL73" s="228"/>
      <c r="RM73" s="228"/>
      <c r="RN73" s="228"/>
      <c r="RO73" s="228"/>
      <c r="RP73" s="228"/>
      <c r="RQ73" s="228"/>
      <c r="RR73" s="228"/>
      <c r="RS73" s="228"/>
      <c r="RT73" s="228"/>
      <c r="RU73" s="228"/>
      <c r="RV73" s="228"/>
      <c r="RW73" s="228"/>
      <c r="RX73" s="228"/>
      <c r="RY73" s="228"/>
      <c r="RZ73" s="228"/>
      <c r="SA73" s="228"/>
      <c r="SB73" s="228"/>
      <c r="SC73" s="228"/>
      <c r="SD73" s="228"/>
      <c r="SE73" s="228"/>
      <c r="SF73" s="228"/>
      <c r="SG73" s="228"/>
      <c r="SH73" s="228"/>
      <c r="SI73" s="228"/>
      <c r="SJ73" s="228"/>
      <c r="SK73" s="228"/>
      <c r="SL73" s="228"/>
      <c r="SM73" s="228"/>
      <c r="SN73" s="228"/>
      <c r="SO73" s="228"/>
      <c r="SP73" s="228"/>
      <c r="SQ73" s="228"/>
      <c r="SR73" s="228"/>
      <c r="SS73" s="228"/>
      <c r="ST73" s="228"/>
      <c r="SU73" s="228"/>
      <c r="SV73" s="228"/>
      <c r="SW73" s="228"/>
      <c r="SX73" s="228"/>
      <c r="SY73" s="228"/>
      <c r="SZ73" s="228"/>
      <c r="TA73" s="228"/>
      <c r="TB73" s="228"/>
      <c r="TC73" s="228"/>
      <c r="TD73" s="228"/>
      <c r="TE73" s="228"/>
      <c r="TF73" s="228"/>
      <c r="TG73" s="228"/>
      <c r="TH73" s="228"/>
      <c r="TI73" s="228"/>
      <c r="TJ73" s="228"/>
      <c r="TK73" s="228"/>
      <c r="TL73" s="228"/>
      <c r="TM73" s="228"/>
      <c r="TN73" s="228"/>
      <c r="TO73" s="228"/>
      <c r="TP73" s="228"/>
      <c r="TQ73" s="228"/>
      <c r="TR73" s="228"/>
      <c r="TS73" s="228"/>
      <c r="TT73" s="228"/>
      <c r="TU73" s="228"/>
      <c r="TV73" s="228"/>
      <c r="TW73" s="228"/>
      <c r="TX73" s="228"/>
      <c r="TY73" s="228"/>
      <c r="TZ73" s="228"/>
      <c r="UA73" s="228"/>
      <c r="UB73" s="228"/>
      <c r="UC73" s="228"/>
      <c r="UD73" s="228"/>
      <c r="UE73" s="228"/>
      <c r="UF73" s="228"/>
      <c r="UG73" s="228"/>
      <c r="UH73" s="228"/>
      <c r="UI73" s="228"/>
      <c r="UJ73" s="228"/>
      <c r="UK73" s="228"/>
      <c r="UL73" s="228"/>
      <c r="UM73" s="228"/>
      <c r="UN73" s="228"/>
      <c r="UO73" s="228"/>
      <c r="UP73" s="228"/>
      <c r="UQ73" s="228"/>
      <c r="UR73" s="228"/>
      <c r="US73" s="228"/>
      <c r="UT73" s="228"/>
      <c r="UU73" s="228"/>
      <c r="UV73" s="228"/>
      <c r="UW73" s="228"/>
      <c r="UX73" s="228"/>
      <c r="UY73" s="228"/>
      <c r="UZ73" s="228"/>
      <c r="VA73" s="228"/>
      <c r="VB73" s="228"/>
      <c r="VC73" s="228"/>
      <c r="VD73" s="228"/>
      <c r="VE73" s="228"/>
      <c r="VF73" s="228"/>
      <c r="VG73" s="228"/>
      <c r="VH73" s="228"/>
      <c r="VI73" s="228"/>
      <c r="VJ73" s="228"/>
      <c r="VK73" s="228"/>
      <c r="VL73" s="228"/>
      <c r="VM73" s="228"/>
      <c r="VN73" s="228"/>
      <c r="VO73" s="228"/>
      <c r="VP73" s="228"/>
      <c r="VQ73" s="228"/>
      <c r="VR73" s="228"/>
      <c r="VS73" s="228"/>
      <c r="VT73" s="228"/>
      <c r="VU73" s="228"/>
      <c r="VV73" s="228"/>
      <c r="VW73" s="228"/>
      <c r="VX73" s="228"/>
      <c r="VY73" s="228"/>
      <c r="VZ73" s="228"/>
      <c r="WA73" s="228"/>
      <c r="WB73" s="228"/>
      <c r="WC73" s="228"/>
      <c r="WD73" s="228"/>
      <c r="WE73" s="228"/>
      <c r="WF73" s="228"/>
      <c r="WG73" s="228"/>
      <c r="WH73" s="228"/>
      <c r="WI73" s="228"/>
      <c r="WJ73" s="228"/>
      <c r="WK73" s="228"/>
      <c r="WL73" s="228"/>
      <c r="WM73" s="228"/>
      <c r="WN73" s="228"/>
      <c r="WO73" s="228"/>
      <c r="WP73" s="228"/>
      <c r="WQ73" s="228"/>
      <c r="WR73" s="228"/>
      <c r="WS73" s="228"/>
      <c r="WT73" s="228"/>
      <c r="WU73" s="228"/>
      <c r="WV73" s="228"/>
      <c r="WW73" s="228"/>
      <c r="WX73" s="228"/>
      <c r="WY73" s="228"/>
      <c r="WZ73" s="228"/>
      <c r="XA73" s="228"/>
      <c r="XB73" s="228"/>
      <c r="XC73" s="228"/>
      <c r="XD73" s="228"/>
      <c r="XE73" s="228"/>
      <c r="XF73" s="228"/>
      <c r="XG73" s="228"/>
      <c r="XH73" s="228"/>
      <c r="XI73" s="228"/>
      <c r="XJ73" s="228"/>
      <c r="XK73" s="228"/>
      <c r="XL73" s="228"/>
      <c r="XM73" s="228"/>
      <c r="XN73" s="228"/>
      <c r="XO73" s="228"/>
      <c r="XP73" s="228"/>
      <c r="XQ73" s="228"/>
      <c r="XR73" s="228"/>
      <c r="XS73" s="228"/>
      <c r="XT73" s="228"/>
      <c r="XU73" s="228"/>
      <c r="XV73" s="228"/>
      <c r="XW73" s="228"/>
      <c r="XX73" s="228"/>
      <c r="XY73" s="228"/>
      <c r="XZ73" s="228"/>
      <c r="YA73" s="228"/>
      <c r="YB73" s="228"/>
      <c r="YC73" s="228"/>
      <c r="YD73" s="228"/>
      <c r="YE73" s="228"/>
      <c r="YF73" s="228"/>
      <c r="YG73" s="228"/>
      <c r="YH73" s="228"/>
      <c r="YI73" s="228"/>
      <c r="YJ73" s="228"/>
      <c r="YK73" s="228"/>
      <c r="YL73" s="228"/>
      <c r="YM73" s="228"/>
      <c r="YN73" s="228"/>
      <c r="YO73" s="228"/>
      <c r="YP73" s="228"/>
      <c r="YQ73" s="228"/>
      <c r="YR73" s="228"/>
      <c r="YS73" s="228"/>
      <c r="YT73" s="228"/>
      <c r="YU73" s="228"/>
      <c r="YV73" s="228"/>
      <c r="YW73" s="228"/>
      <c r="YX73" s="228"/>
      <c r="YY73" s="228"/>
      <c r="YZ73" s="228"/>
      <c r="ZA73" s="228"/>
      <c r="ZB73" s="228"/>
      <c r="ZC73" s="228"/>
      <c r="ZD73" s="228"/>
      <c r="ZE73" s="228"/>
      <c r="ZF73" s="228"/>
      <c r="ZG73" s="228"/>
      <c r="ZH73" s="228"/>
      <c r="ZI73" s="228"/>
      <c r="ZJ73" s="228"/>
      <c r="ZK73" s="228"/>
      <c r="ZL73" s="228"/>
      <c r="ZM73" s="228"/>
      <c r="ZN73" s="228"/>
      <c r="ZO73" s="228"/>
      <c r="ZP73" s="228"/>
      <c r="ZQ73" s="228"/>
      <c r="ZR73" s="228"/>
      <c r="ZS73" s="228"/>
      <c r="ZT73" s="228"/>
      <c r="ZU73" s="228"/>
      <c r="ZV73" s="228"/>
      <c r="ZW73" s="228"/>
      <c r="ZX73" s="228"/>
      <c r="ZY73" s="228"/>
      <c r="ZZ73" s="228"/>
      <c r="AAA73" s="228"/>
      <c r="AAB73" s="228"/>
      <c r="AAC73" s="228"/>
      <c r="AAD73" s="228"/>
      <c r="AAE73" s="228"/>
      <c r="AAF73" s="228"/>
      <c r="AAG73" s="228"/>
      <c r="AAH73" s="228"/>
      <c r="AAI73" s="228"/>
      <c r="AAJ73" s="228"/>
      <c r="AAK73" s="228"/>
      <c r="AAL73" s="228"/>
      <c r="AAM73" s="228"/>
      <c r="AAN73" s="228"/>
      <c r="AAO73" s="228"/>
      <c r="AAP73" s="228"/>
      <c r="AAQ73" s="228"/>
      <c r="AAR73" s="228"/>
      <c r="AAS73" s="228"/>
      <c r="AAT73" s="228"/>
      <c r="AAU73" s="228"/>
      <c r="AAV73" s="228"/>
      <c r="AAW73" s="228"/>
      <c r="AAX73" s="228"/>
      <c r="AAY73" s="228"/>
      <c r="AAZ73" s="228"/>
      <c r="ABA73" s="228"/>
      <c r="ABB73" s="228"/>
      <c r="ABC73" s="228"/>
      <c r="ABD73" s="228"/>
      <c r="ABE73" s="228"/>
      <c r="ABF73" s="228"/>
      <c r="ABG73" s="228"/>
      <c r="ABH73" s="228"/>
      <c r="ABI73" s="228"/>
      <c r="ABJ73" s="228"/>
      <c r="ABK73" s="228"/>
      <c r="ABL73" s="228"/>
      <c r="ABM73" s="228"/>
      <c r="ABN73" s="228"/>
      <c r="ABO73" s="228"/>
      <c r="ABP73" s="228"/>
      <c r="ABQ73" s="228"/>
      <c r="ABR73" s="228"/>
      <c r="ABS73" s="228"/>
      <c r="ABT73" s="228"/>
      <c r="ABU73" s="228"/>
      <c r="ABV73" s="228"/>
      <c r="ABW73" s="228"/>
      <c r="ABX73" s="228"/>
      <c r="ABY73" s="228"/>
      <c r="ABZ73" s="228"/>
      <c r="ACA73" s="228"/>
      <c r="ACB73" s="228"/>
      <c r="ACC73" s="228"/>
      <c r="ACD73" s="228"/>
      <c r="ACE73" s="228"/>
      <c r="ACF73" s="228"/>
      <c r="ACG73" s="228"/>
      <c r="ACH73" s="228"/>
      <c r="ACI73" s="228"/>
      <c r="ACJ73" s="228"/>
      <c r="ACK73" s="228"/>
      <c r="ACL73" s="228"/>
      <c r="ACM73" s="228"/>
      <c r="ACN73" s="228"/>
      <c r="ACO73" s="228"/>
      <c r="ACP73" s="228"/>
      <c r="ACQ73" s="228"/>
      <c r="ACR73" s="228"/>
      <c r="ACS73" s="228"/>
      <c r="ACT73" s="228"/>
      <c r="ACU73" s="228"/>
      <c r="ACV73" s="228"/>
      <c r="ACW73" s="228"/>
      <c r="ACX73" s="228"/>
      <c r="ACY73" s="228"/>
      <c r="ACZ73" s="228"/>
      <c r="ADA73" s="228"/>
      <c r="ADB73" s="228"/>
      <c r="ADC73" s="228"/>
      <c r="ADD73" s="228"/>
      <c r="ADE73" s="228"/>
      <c r="ADF73" s="228"/>
      <c r="ADG73" s="228"/>
      <c r="ADH73" s="228"/>
      <c r="ADI73" s="228"/>
      <c r="ADJ73" s="228"/>
      <c r="ADK73" s="228"/>
      <c r="ADL73" s="228"/>
      <c r="ADM73" s="228"/>
      <c r="ADN73" s="228"/>
      <c r="ADO73" s="228"/>
      <c r="ADP73" s="228"/>
      <c r="ADQ73" s="228"/>
      <c r="ADR73" s="228"/>
      <c r="ADS73" s="228"/>
      <c r="ADT73" s="228"/>
      <c r="ADU73" s="228"/>
      <c r="ADV73" s="228"/>
      <c r="ADW73" s="228"/>
      <c r="ADX73" s="228"/>
      <c r="ADY73" s="228"/>
      <c r="ADZ73" s="228"/>
      <c r="AEA73" s="228"/>
      <c r="AEB73" s="228"/>
      <c r="AEC73" s="228"/>
      <c r="AED73" s="228"/>
      <c r="AEE73" s="228"/>
      <c r="AEF73" s="228"/>
      <c r="AEG73" s="228"/>
      <c r="AEH73" s="228"/>
      <c r="AEI73" s="228"/>
      <c r="AEJ73" s="228"/>
      <c r="AEK73" s="228"/>
      <c r="AEL73" s="228"/>
      <c r="AEM73" s="228"/>
      <c r="AEN73" s="228"/>
      <c r="AEO73" s="228"/>
      <c r="AEP73" s="228"/>
      <c r="AEQ73" s="228"/>
      <c r="AER73" s="228"/>
      <c r="AES73" s="228"/>
      <c r="AET73" s="228"/>
      <c r="AEU73" s="228"/>
      <c r="AEV73" s="228"/>
      <c r="AEW73" s="228"/>
      <c r="AEX73" s="228"/>
      <c r="AEY73" s="228"/>
      <c r="AEZ73" s="228"/>
      <c r="AFA73" s="228"/>
      <c r="AFB73" s="228"/>
      <c r="AFC73" s="228"/>
      <c r="AFD73" s="228"/>
      <c r="AFE73" s="228"/>
      <c r="AFF73" s="228"/>
      <c r="AFG73" s="228"/>
      <c r="AFH73" s="228"/>
      <c r="AFI73" s="228"/>
      <c r="AFJ73" s="228"/>
      <c r="AFK73" s="228"/>
      <c r="AFL73" s="228"/>
      <c r="AFM73" s="228"/>
      <c r="AFN73" s="228"/>
      <c r="AFO73" s="228"/>
      <c r="AFP73" s="228"/>
      <c r="AFQ73" s="228"/>
      <c r="AFR73" s="228"/>
      <c r="AFS73" s="228"/>
      <c r="AFT73" s="228"/>
      <c r="AFU73" s="228"/>
      <c r="AFV73" s="228"/>
      <c r="AFW73" s="228"/>
      <c r="AFX73" s="228"/>
      <c r="AFY73" s="228"/>
      <c r="AFZ73" s="228"/>
      <c r="AGA73" s="228"/>
      <c r="AGB73" s="228"/>
      <c r="AGC73" s="228"/>
      <c r="AGD73" s="228"/>
      <c r="AGE73" s="228"/>
      <c r="AGF73" s="228"/>
      <c r="AGG73" s="228"/>
      <c r="AGH73" s="228"/>
      <c r="AGI73" s="228"/>
      <c r="AGJ73" s="228"/>
      <c r="AGK73" s="228"/>
      <c r="AGL73" s="228"/>
      <c r="AGM73" s="228"/>
      <c r="AGN73" s="228"/>
      <c r="AGO73" s="228"/>
      <c r="AGP73" s="228"/>
      <c r="AGQ73" s="228"/>
      <c r="AGR73" s="228"/>
      <c r="AGS73" s="228"/>
      <c r="AGT73" s="228"/>
      <c r="AGU73" s="228"/>
      <c r="AGV73" s="228"/>
      <c r="AGW73" s="228"/>
      <c r="AGX73" s="228"/>
      <c r="AGY73" s="228"/>
      <c r="AGZ73" s="228"/>
      <c r="AHA73" s="228"/>
      <c r="AHB73" s="228"/>
      <c r="AHC73" s="228"/>
      <c r="AHD73" s="228"/>
      <c r="AHE73" s="228"/>
      <c r="AHF73" s="228"/>
      <c r="AHG73" s="228"/>
      <c r="AHH73" s="228"/>
      <c r="AHI73" s="228"/>
      <c r="AHJ73" s="228"/>
      <c r="AHK73" s="228"/>
      <c r="AHL73" s="228"/>
      <c r="AHM73" s="228"/>
      <c r="AHN73" s="228"/>
      <c r="AHO73" s="228"/>
      <c r="AHP73" s="228"/>
      <c r="AHQ73" s="228"/>
      <c r="AHR73" s="228"/>
      <c r="AHS73" s="228"/>
      <c r="AHT73" s="228"/>
      <c r="AHU73" s="228"/>
      <c r="AHV73" s="228"/>
      <c r="AHW73" s="228"/>
      <c r="AHX73" s="228"/>
      <c r="AHY73" s="228"/>
      <c r="AHZ73" s="228"/>
      <c r="AIA73" s="228"/>
      <c r="AIB73" s="228"/>
      <c r="AIC73" s="228"/>
      <c r="AID73" s="228"/>
      <c r="AIE73" s="228"/>
      <c r="AIF73" s="228"/>
      <c r="AIG73" s="228"/>
      <c r="AIH73" s="228"/>
      <c r="AII73" s="228"/>
      <c r="AIJ73" s="228"/>
      <c r="AIK73" s="228"/>
      <c r="AIL73" s="228"/>
      <c r="AIM73" s="228"/>
      <c r="AIN73" s="228"/>
      <c r="AIO73" s="228"/>
      <c r="AIP73" s="228"/>
      <c r="AIQ73" s="228"/>
      <c r="AIR73" s="228"/>
      <c r="AIS73" s="228"/>
      <c r="AIT73" s="228"/>
      <c r="AIU73" s="228"/>
      <c r="AIV73" s="228"/>
      <c r="AIW73" s="228"/>
      <c r="AIX73" s="228"/>
      <c r="AIY73" s="228"/>
      <c r="AIZ73" s="228"/>
      <c r="AJA73" s="228"/>
      <c r="AJB73" s="228"/>
      <c r="AJC73" s="228"/>
      <c r="AJD73" s="228"/>
      <c r="AJE73" s="228"/>
      <c r="AJF73" s="228"/>
      <c r="AJG73" s="228"/>
      <c r="AJH73" s="228"/>
      <c r="AJI73" s="228"/>
      <c r="AJJ73" s="228"/>
      <c r="AJK73" s="228"/>
      <c r="AJL73" s="228"/>
      <c r="AJM73" s="228"/>
      <c r="AJN73" s="228"/>
      <c r="AJO73" s="228"/>
      <c r="AJP73" s="228"/>
      <c r="AJQ73" s="228"/>
      <c r="AJR73" s="228"/>
      <c r="AJS73" s="228"/>
      <c r="AJT73" s="228"/>
      <c r="AJU73" s="228"/>
      <c r="AJV73" s="228"/>
      <c r="AJW73" s="228"/>
      <c r="AJX73" s="228"/>
      <c r="AJY73" s="228"/>
      <c r="AJZ73" s="228"/>
      <c r="AKA73" s="228"/>
      <c r="AKB73" s="228"/>
      <c r="AKC73" s="228"/>
      <c r="AKD73" s="228"/>
      <c r="AKE73" s="228"/>
      <c r="AKF73" s="228"/>
      <c r="AKG73" s="228"/>
      <c r="AKH73" s="228"/>
      <c r="AKI73" s="228"/>
      <c r="AKJ73" s="228"/>
      <c r="AKK73" s="228"/>
      <c r="AKL73" s="228"/>
      <c r="AKM73" s="228"/>
      <c r="AKN73" s="228"/>
      <c r="AKO73" s="228"/>
      <c r="AKP73" s="228"/>
      <c r="AKQ73" s="228"/>
      <c r="AKR73" s="228"/>
      <c r="AKS73" s="228"/>
      <c r="AKT73" s="228"/>
      <c r="AKU73" s="228"/>
      <c r="AKV73" s="228"/>
      <c r="AKW73" s="228"/>
      <c r="AKX73" s="228"/>
      <c r="AKY73" s="228"/>
      <c r="AKZ73" s="228"/>
      <c r="ALA73" s="228"/>
      <c r="ALB73" s="228"/>
      <c r="ALC73" s="228"/>
      <c r="ALD73" s="228"/>
      <c r="ALE73" s="228"/>
      <c r="ALF73" s="228"/>
      <c r="ALG73" s="228"/>
      <c r="ALH73" s="228"/>
    </row>
    <row r="74" spans="1:996" s="229" customFormat="1">
      <c r="A74" s="37"/>
      <c r="B74" t="str">
        <f t="shared" si="0"/>
        <v>E311108</v>
      </c>
      <c r="C74" s="7" t="s">
        <v>219</v>
      </c>
      <c r="D74" s="26" t="s">
        <v>73</v>
      </c>
      <c r="E74" s="7">
        <v>311108</v>
      </c>
      <c r="F74" s="48" t="s">
        <v>585</v>
      </c>
      <c r="G74" s="49">
        <f>IFERROR(VLOOKUP(E74,'BD - E - Mvto Cx'!$A$15:$D$500,4,0),0)</f>
        <v>601.51</v>
      </c>
      <c r="H74" s="50">
        <f>IFERROR(VLOOKUP(E74,'BD - E - Mvto Cx'!$J$15:$M$500,4,0),0)</f>
        <v>662.74</v>
      </c>
      <c r="I74" s="50">
        <f>IFERROR(VLOOKUP(E74,'BD - E - Mvto Cx'!$S$15:$V$500,4,0),0)</f>
        <v>522.91</v>
      </c>
      <c r="J74" s="50">
        <f>IFERROR(VLOOKUP(E74,'BD - E - Mvto Cx'!$AB$15:$AE$500,4,0),0)</f>
        <v>1532.29</v>
      </c>
      <c r="K74" s="50">
        <f>IFERROR(VLOOKUP(E74,'BD - E - Mvto Cx'!$AK$15:$AN$500,4,0),0)</f>
        <v>0</v>
      </c>
      <c r="L74" s="50">
        <f>IFERROR(VLOOKUP(E74,'BD - E - Mvto Cx'!$AT$15:$AW$500,4,0),0)</f>
        <v>0</v>
      </c>
      <c r="M74" s="50">
        <f>IFERROR(VLOOKUP(E74,'BD - E - Mvto Cx'!$BF$15:$BI$500,4,0),0)</f>
        <v>0</v>
      </c>
      <c r="N74" s="50">
        <f>IFERROR(VLOOKUP(E74,'BD - E - Mvto Cx'!$BO$15:$BR$500,4,0),0)</f>
        <v>0</v>
      </c>
      <c r="O74" s="50">
        <f>IFERROR(VLOOKUP(E74,'BD - E - Mvto Cx'!$BX$15:$CA$500,4,0),0)</f>
        <v>0</v>
      </c>
      <c r="P74" s="50">
        <f>IFERROR(VLOOKUP(E74,'BD - E - Mvto Cx'!$CG$15:$CJ$500,4,0),0)</f>
        <v>0</v>
      </c>
      <c r="Q74" s="50">
        <f>IFERROR(VLOOKUP(E74,'BD - E - Mvto Cx'!$CP$15:$CS$500,4,0),0)</f>
        <v>0</v>
      </c>
      <c r="R74" s="50">
        <f>IFERROR(VLOOKUP(E74,'BD - E - Mvto Cx'!$CY$15:$DB$500,4,0),0)</f>
        <v>0</v>
      </c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A74" s="228"/>
      <c r="BB74" s="228"/>
      <c r="BC74" s="228"/>
      <c r="BD74" s="228"/>
      <c r="BE74" s="228"/>
      <c r="BF74" s="228"/>
      <c r="BG74" s="228"/>
      <c r="BH74" s="228"/>
      <c r="BI74" s="228"/>
      <c r="BJ74" s="228"/>
      <c r="BK74" s="228"/>
      <c r="BL74" s="228"/>
      <c r="BM74" s="228"/>
      <c r="BN74" s="228"/>
      <c r="BO74" s="228"/>
      <c r="BP74" s="228"/>
      <c r="BQ74" s="228"/>
      <c r="BR74" s="228"/>
      <c r="BS74" s="228"/>
      <c r="BT74" s="228"/>
      <c r="BU74" s="228"/>
      <c r="BV74" s="228"/>
      <c r="BW74" s="228"/>
      <c r="BX74" s="228"/>
      <c r="BY74" s="228"/>
      <c r="BZ74" s="228"/>
      <c r="CA74" s="228"/>
      <c r="CB74" s="228"/>
      <c r="CC74" s="228"/>
      <c r="CD74" s="228"/>
      <c r="CE74" s="228"/>
      <c r="CF74" s="228"/>
      <c r="CG74" s="228"/>
      <c r="CH74" s="228"/>
      <c r="CI74" s="228"/>
      <c r="CJ74" s="228"/>
      <c r="CK74" s="228"/>
      <c r="CL74" s="228"/>
      <c r="CM74" s="228"/>
      <c r="CN74" s="228"/>
      <c r="CO74" s="228"/>
      <c r="CP74" s="228"/>
      <c r="CQ74" s="228"/>
      <c r="CR74" s="228"/>
      <c r="CS74" s="228"/>
      <c r="CT74" s="228"/>
      <c r="CU74" s="228"/>
      <c r="CV74" s="228"/>
      <c r="CW74" s="228"/>
      <c r="CX74" s="228"/>
      <c r="CY74" s="228"/>
      <c r="CZ74" s="228"/>
      <c r="DA74" s="228"/>
      <c r="DB74" s="228"/>
      <c r="DC74" s="228"/>
      <c r="DD74" s="228"/>
      <c r="DE74" s="228"/>
      <c r="DF74" s="228"/>
      <c r="DG74" s="228"/>
      <c r="DH74" s="228"/>
      <c r="DI74" s="228"/>
      <c r="DJ74" s="228"/>
      <c r="DK74" s="228"/>
      <c r="DL74" s="228"/>
      <c r="DM74" s="228"/>
      <c r="DN74" s="228"/>
      <c r="DO74" s="228"/>
      <c r="DP74" s="228"/>
      <c r="DQ74" s="228"/>
      <c r="DR74" s="228"/>
      <c r="DS74" s="228"/>
      <c r="DT74" s="228"/>
      <c r="DU74" s="228"/>
      <c r="DV74" s="228"/>
      <c r="DW74" s="228"/>
      <c r="DX74" s="228"/>
      <c r="DY74" s="228"/>
      <c r="DZ74" s="228"/>
      <c r="EA74" s="228"/>
      <c r="EB74" s="228"/>
      <c r="EC74" s="228"/>
      <c r="ED74" s="228"/>
      <c r="EE74" s="228"/>
      <c r="EF74" s="228"/>
      <c r="EG74" s="228"/>
      <c r="EH74" s="228"/>
      <c r="EI74" s="228"/>
      <c r="EJ74" s="228"/>
      <c r="EK74" s="228"/>
      <c r="EL74" s="228"/>
      <c r="EM74" s="228"/>
      <c r="EN74" s="228"/>
      <c r="EO74" s="228"/>
      <c r="EP74" s="228"/>
      <c r="EQ74" s="228"/>
      <c r="ER74" s="228"/>
      <c r="ES74" s="228"/>
      <c r="ET74" s="228"/>
      <c r="EU74" s="228"/>
      <c r="EV74" s="228"/>
      <c r="EW74" s="228"/>
      <c r="EX74" s="228"/>
      <c r="EY74" s="228"/>
      <c r="EZ74" s="228"/>
      <c r="FA74" s="228"/>
      <c r="FB74" s="228"/>
      <c r="FC74" s="228"/>
      <c r="FD74" s="228"/>
      <c r="FE74" s="228"/>
      <c r="FF74" s="228"/>
      <c r="FG74" s="228"/>
      <c r="FH74" s="228"/>
      <c r="FI74" s="228"/>
      <c r="FJ74" s="228"/>
      <c r="FK74" s="228"/>
      <c r="FL74" s="228"/>
      <c r="FM74" s="228"/>
      <c r="FN74" s="228"/>
      <c r="FO74" s="228"/>
      <c r="FP74" s="228"/>
      <c r="FQ74" s="228"/>
      <c r="FR74" s="228"/>
      <c r="FS74" s="228"/>
      <c r="FT74" s="228"/>
      <c r="FU74" s="228"/>
      <c r="FV74" s="228"/>
      <c r="FW74" s="228"/>
      <c r="FX74" s="228"/>
      <c r="FY74" s="228"/>
      <c r="FZ74" s="228"/>
      <c r="GA74" s="228"/>
      <c r="GB74" s="228"/>
      <c r="GC74" s="228"/>
      <c r="GD74" s="228"/>
      <c r="GE74" s="228"/>
      <c r="GF74" s="228"/>
      <c r="GG74" s="228"/>
      <c r="GH74" s="228"/>
      <c r="GI74" s="228"/>
      <c r="GJ74" s="228"/>
      <c r="GK74" s="228"/>
      <c r="GL74" s="228"/>
      <c r="GM74" s="228"/>
      <c r="GN74" s="228"/>
      <c r="GO74" s="228"/>
      <c r="GP74" s="228"/>
      <c r="GQ74" s="228"/>
      <c r="GR74" s="228"/>
      <c r="GS74" s="228"/>
      <c r="GT74" s="228"/>
      <c r="GU74" s="228"/>
      <c r="GV74" s="228"/>
      <c r="GW74" s="228"/>
      <c r="GX74" s="228"/>
      <c r="GY74" s="228"/>
      <c r="GZ74" s="228"/>
      <c r="HA74" s="228"/>
      <c r="HB74" s="228"/>
      <c r="HC74" s="228"/>
      <c r="HD74" s="228"/>
      <c r="HE74" s="228"/>
      <c r="HF74" s="228"/>
      <c r="HG74" s="228"/>
      <c r="HH74" s="228"/>
      <c r="HI74" s="228"/>
      <c r="HJ74" s="228"/>
      <c r="HK74" s="228"/>
      <c r="HL74" s="228"/>
      <c r="HM74" s="228"/>
      <c r="HN74" s="228"/>
      <c r="HO74" s="228"/>
      <c r="HP74" s="228"/>
      <c r="HQ74" s="228"/>
      <c r="HR74" s="228"/>
      <c r="HS74" s="228"/>
      <c r="HT74" s="228"/>
      <c r="HU74" s="228"/>
      <c r="HV74" s="228"/>
      <c r="HW74" s="228"/>
      <c r="HX74" s="228"/>
      <c r="HY74" s="228"/>
      <c r="HZ74" s="228"/>
      <c r="IA74" s="228"/>
      <c r="IB74" s="228"/>
      <c r="IC74" s="228"/>
      <c r="ID74" s="228"/>
      <c r="IE74" s="228"/>
      <c r="IF74" s="228"/>
      <c r="IG74" s="228"/>
      <c r="IH74" s="228"/>
      <c r="II74" s="228"/>
      <c r="IJ74" s="228"/>
      <c r="IK74" s="228"/>
      <c r="IL74" s="228"/>
      <c r="IM74" s="228"/>
      <c r="IN74" s="228"/>
      <c r="IO74" s="228"/>
      <c r="IP74" s="228"/>
      <c r="IQ74" s="228"/>
      <c r="IR74" s="228"/>
      <c r="IS74" s="228"/>
      <c r="IT74" s="228"/>
      <c r="IU74" s="228"/>
      <c r="IV74" s="228"/>
      <c r="IW74" s="228"/>
      <c r="IX74" s="228"/>
      <c r="IY74" s="228"/>
      <c r="IZ74" s="228"/>
      <c r="JA74" s="228"/>
      <c r="JB74" s="228"/>
      <c r="JC74" s="228"/>
      <c r="JD74" s="228"/>
      <c r="JE74" s="228"/>
      <c r="JF74" s="228"/>
      <c r="JG74" s="228"/>
      <c r="JH74" s="228"/>
      <c r="JI74" s="228"/>
      <c r="JJ74" s="228"/>
      <c r="JK74" s="228"/>
      <c r="JL74" s="228"/>
      <c r="JM74" s="228"/>
      <c r="JN74" s="228"/>
      <c r="JO74" s="228"/>
      <c r="JP74" s="228"/>
      <c r="JQ74" s="228"/>
      <c r="JR74" s="228"/>
      <c r="JS74" s="228"/>
      <c r="JT74" s="228"/>
      <c r="JU74" s="228"/>
      <c r="JV74" s="228"/>
      <c r="JW74" s="228"/>
      <c r="JX74" s="228"/>
      <c r="JY74" s="228"/>
      <c r="JZ74" s="228"/>
      <c r="KA74" s="228"/>
      <c r="KB74" s="228"/>
      <c r="KC74" s="228"/>
      <c r="KD74" s="228"/>
      <c r="KE74" s="228"/>
      <c r="KF74" s="228"/>
      <c r="KG74" s="228"/>
      <c r="KH74" s="228"/>
      <c r="KI74" s="228"/>
      <c r="KJ74" s="228"/>
      <c r="KK74" s="228"/>
      <c r="KL74" s="228"/>
      <c r="KM74" s="228"/>
      <c r="KN74" s="228"/>
      <c r="KO74" s="228"/>
      <c r="KP74" s="228"/>
      <c r="KQ74" s="228"/>
      <c r="KR74" s="228"/>
      <c r="KS74" s="228"/>
      <c r="KT74" s="228"/>
      <c r="KU74" s="228"/>
      <c r="KV74" s="228"/>
      <c r="KW74" s="228"/>
      <c r="KX74" s="228"/>
      <c r="KY74" s="228"/>
      <c r="KZ74" s="228"/>
      <c r="LA74" s="228"/>
      <c r="LB74" s="228"/>
      <c r="LC74" s="228"/>
      <c r="LD74" s="228"/>
      <c r="LE74" s="228"/>
      <c r="LF74" s="228"/>
      <c r="LG74" s="228"/>
      <c r="LH74" s="228"/>
      <c r="LI74" s="228"/>
      <c r="LJ74" s="228"/>
      <c r="LK74" s="228"/>
      <c r="LL74" s="228"/>
      <c r="LM74" s="228"/>
      <c r="LN74" s="228"/>
      <c r="LO74" s="228"/>
      <c r="LP74" s="228"/>
      <c r="LQ74" s="228"/>
      <c r="LR74" s="228"/>
      <c r="LS74" s="228"/>
      <c r="LT74" s="228"/>
      <c r="LU74" s="228"/>
      <c r="LV74" s="228"/>
      <c r="LW74" s="228"/>
      <c r="LX74" s="228"/>
      <c r="LY74" s="228"/>
      <c r="LZ74" s="228"/>
      <c r="MA74" s="228"/>
      <c r="MB74" s="228"/>
      <c r="MC74" s="228"/>
      <c r="MD74" s="228"/>
      <c r="ME74" s="228"/>
      <c r="MF74" s="228"/>
      <c r="MG74" s="228"/>
      <c r="MH74" s="228"/>
      <c r="MI74" s="228"/>
      <c r="MJ74" s="228"/>
      <c r="MK74" s="228"/>
      <c r="ML74" s="228"/>
      <c r="MM74" s="228"/>
      <c r="MN74" s="228"/>
      <c r="MO74" s="228"/>
      <c r="MP74" s="228"/>
      <c r="MQ74" s="228"/>
      <c r="MR74" s="228"/>
      <c r="MS74" s="228"/>
      <c r="MT74" s="228"/>
      <c r="MU74" s="228"/>
      <c r="MV74" s="228"/>
      <c r="MW74" s="228"/>
      <c r="MX74" s="228"/>
      <c r="MY74" s="228"/>
      <c r="MZ74" s="228"/>
      <c r="NA74" s="228"/>
      <c r="NB74" s="228"/>
      <c r="NC74" s="228"/>
      <c r="ND74" s="228"/>
      <c r="NE74" s="228"/>
      <c r="NF74" s="228"/>
      <c r="NG74" s="228"/>
      <c r="NH74" s="228"/>
      <c r="NI74" s="228"/>
      <c r="NJ74" s="228"/>
      <c r="NK74" s="228"/>
      <c r="NL74" s="228"/>
      <c r="NM74" s="228"/>
      <c r="NN74" s="228"/>
      <c r="NO74" s="228"/>
      <c r="NP74" s="228"/>
      <c r="NQ74" s="228"/>
      <c r="NR74" s="228"/>
      <c r="NS74" s="228"/>
      <c r="NT74" s="228"/>
      <c r="NU74" s="228"/>
      <c r="NV74" s="228"/>
      <c r="NW74" s="228"/>
      <c r="NX74" s="228"/>
      <c r="NY74" s="228"/>
      <c r="NZ74" s="228"/>
      <c r="OA74" s="228"/>
      <c r="OB74" s="228"/>
      <c r="OC74" s="228"/>
      <c r="OD74" s="228"/>
      <c r="OE74" s="228"/>
      <c r="OF74" s="228"/>
      <c r="OG74" s="228"/>
      <c r="OH74" s="228"/>
      <c r="OI74" s="228"/>
      <c r="OJ74" s="228"/>
      <c r="OK74" s="228"/>
      <c r="OL74" s="228"/>
      <c r="OM74" s="228"/>
      <c r="ON74" s="228"/>
      <c r="OO74" s="228"/>
      <c r="OP74" s="228"/>
      <c r="OQ74" s="228"/>
      <c r="OR74" s="228"/>
      <c r="OS74" s="228"/>
      <c r="OT74" s="228"/>
      <c r="OU74" s="228"/>
      <c r="OV74" s="228"/>
      <c r="OW74" s="228"/>
      <c r="OX74" s="228"/>
      <c r="OY74" s="228"/>
      <c r="OZ74" s="228"/>
      <c r="PA74" s="228"/>
      <c r="PB74" s="228"/>
      <c r="PC74" s="228"/>
      <c r="PD74" s="228"/>
      <c r="PE74" s="228"/>
      <c r="PF74" s="228"/>
      <c r="PG74" s="228"/>
      <c r="PH74" s="228"/>
      <c r="PI74" s="228"/>
      <c r="PJ74" s="228"/>
      <c r="PK74" s="228"/>
      <c r="PL74" s="228"/>
      <c r="PM74" s="228"/>
      <c r="PN74" s="228"/>
      <c r="PO74" s="228"/>
      <c r="PP74" s="228"/>
      <c r="PQ74" s="228"/>
      <c r="PR74" s="228"/>
      <c r="PS74" s="228"/>
      <c r="PT74" s="228"/>
      <c r="PU74" s="228"/>
      <c r="PV74" s="228"/>
      <c r="PW74" s="228"/>
      <c r="PX74" s="228"/>
      <c r="PY74" s="228"/>
      <c r="PZ74" s="228"/>
      <c r="QA74" s="228"/>
      <c r="QB74" s="228"/>
      <c r="QC74" s="228"/>
      <c r="QD74" s="228"/>
      <c r="QE74" s="228"/>
      <c r="QF74" s="228"/>
      <c r="QG74" s="228"/>
      <c r="QH74" s="228"/>
      <c r="QI74" s="228"/>
      <c r="QJ74" s="228"/>
      <c r="QK74" s="228"/>
      <c r="QL74" s="228"/>
      <c r="QM74" s="228"/>
      <c r="QN74" s="228"/>
      <c r="QO74" s="228"/>
      <c r="QP74" s="228"/>
      <c r="QQ74" s="228"/>
      <c r="QR74" s="228"/>
      <c r="QS74" s="228"/>
      <c r="QT74" s="228"/>
      <c r="QU74" s="228"/>
      <c r="QV74" s="228"/>
      <c r="QW74" s="228"/>
      <c r="QX74" s="228"/>
      <c r="QY74" s="228"/>
      <c r="QZ74" s="228"/>
      <c r="RA74" s="228"/>
      <c r="RB74" s="228"/>
      <c r="RC74" s="228"/>
      <c r="RD74" s="228"/>
      <c r="RE74" s="228"/>
      <c r="RF74" s="228"/>
      <c r="RG74" s="228"/>
      <c r="RH74" s="228"/>
      <c r="RI74" s="228"/>
      <c r="RJ74" s="228"/>
      <c r="RK74" s="228"/>
      <c r="RL74" s="228"/>
      <c r="RM74" s="228"/>
      <c r="RN74" s="228"/>
      <c r="RO74" s="228"/>
      <c r="RP74" s="228"/>
      <c r="RQ74" s="228"/>
      <c r="RR74" s="228"/>
      <c r="RS74" s="228"/>
      <c r="RT74" s="228"/>
      <c r="RU74" s="228"/>
      <c r="RV74" s="228"/>
      <c r="RW74" s="228"/>
      <c r="RX74" s="228"/>
      <c r="RY74" s="228"/>
      <c r="RZ74" s="228"/>
      <c r="SA74" s="228"/>
      <c r="SB74" s="228"/>
      <c r="SC74" s="228"/>
      <c r="SD74" s="228"/>
      <c r="SE74" s="228"/>
      <c r="SF74" s="228"/>
      <c r="SG74" s="228"/>
      <c r="SH74" s="228"/>
      <c r="SI74" s="228"/>
      <c r="SJ74" s="228"/>
      <c r="SK74" s="228"/>
      <c r="SL74" s="228"/>
      <c r="SM74" s="228"/>
      <c r="SN74" s="228"/>
      <c r="SO74" s="228"/>
      <c r="SP74" s="228"/>
      <c r="SQ74" s="228"/>
      <c r="SR74" s="228"/>
      <c r="SS74" s="228"/>
      <c r="ST74" s="228"/>
      <c r="SU74" s="228"/>
      <c r="SV74" s="228"/>
      <c r="SW74" s="228"/>
      <c r="SX74" s="228"/>
      <c r="SY74" s="228"/>
      <c r="SZ74" s="228"/>
      <c r="TA74" s="228"/>
      <c r="TB74" s="228"/>
      <c r="TC74" s="228"/>
      <c r="TD74" s="228"/>
      <c r="TE74" s="228"/>
      <c r="TF74" s="228"/>
      <c r="TG74" s="228"/>
      <c r="TH74" s="228"/>
      <c r="TI74" s="228"/>
      <c r="TJ74" s="228"/>
      <c r="TK74" s="228"/>
      <c r="TL74" s="228"/>
      <c r="TM74" s="228"/>
      <c r="TN74" s="228"/>
      <c r="TO74" s="228"/>
      <c r="TP74" s="228"/>
      <c r="TQ74" s="228"/>
      <c r="TR74" s="228"/>
      <c r="TS74" s="228"/>
      <c r="TT74" s="228"/>
      <c r="TU74" s="228"/>
      <c r="TV74" s="228"/>
      <c r="TW74" s="228"/>
      <c r="TX74" s="228"/>
      <c r="TY74" s="228"/>
      <c r="TZ74" s="228"/>
      <c r="UA74" s="228"/>
      <c r="UB74" s="228"/>
      <c r="UC74" s="228"/>
      <c r="UD74" s="228"/>
      <c r="UE74" s="228"/>
      <c r="UF74" s="228"/>
      <c r="UG74" s="228"/>
      <c r="UH74" s="228"/>
      <c r="UI74" s="228"/>
      <c r="UJ74" s="228"/>
      <c r="UK74" s="228"/>
      <c r="UL74" s="228"/>
      <c r="UM74" s="228"/>
      <c r="UN74" s="228"/>
      <c r="UO74" s="228"/>
      <c r="UP74" s="228"/>
      <c r="UQ74" s="228"/>
      <c r="UR74" s="228"/>
      <c r="US74" s="228"/>
      <c r="UT74" s="228"/>
      <c r="UU74" s="228"/>
      <c r="UV74" s="228"/>
      <c r="UW74" s="228"/>
      <c r="UX74" s="228"/>
      <c r="UY74" s="228"/>
      <c r="UZ74" s="228"/>
      <c r="VA74" s="228"/>
      <c r="VB74" s="228"/>
      <c r="VC74" s="228"/>
      <c r="VD74" s="228"/>
      <c r="VE74" s="228"/>
      <c r="VF74" s="228"/>
      <c r="VG74" s="228"/>
      <c r="VH74" s="228"/>
      <c r="VI74" s="228"/>
      <c r="VJ74" s="228"/>
      <c r="VK74" s="228"/>
      <c r="VL74" s="228"/>
      <c r="VM74" s="228"/>
      <c r="VN74" s="228"/>
      <c r="VO74" s="228"/>
      <c r="VP74" s="228"/>
      <c r="VQ74" s="228"/>
      <c r="VR74" s="228"/>
      <c r="VS74" s="228"/>
      <c r="VT74" s="228"/>
      <c r="VU74" s="228"/>
      <c r="VV74" s="228"/>
      <c r="VW74" s="228"/>
      <c r="VX74" s="228"/>
      <c r="VY74" s="228"/>
      <c r="VZ74" s="228"/>
      <c r="WA74" s="228"/>
      <c r="WB74" s="228"/>
      <c r="WC74" s="228"/>
      <c r="WD74" s="228"/>
      <c r="WE74" s="228"/>
      <c r="WF74" s="228"/>
      <c r="WG74" s="228"/>
      <c r="WH74" s="228"/>
      <c r="WI74" s="228"/>
      <c r="WJ74" s="228"/>
      <c r="WK74" s="228"/>
      <c r="WL74" s="228"/>
      <c r="WM74" s="228"/>
      <c r="WN74" s="228"/>
      <c r="WO74" s="228"/>
      <c r="WP74" s="228"/>
      <c r="WQ74" s="228"/>
      <c r="WR74" s="228"/>
      <c r="WS74" s="228"/>
      <c r="WT74" s="228"/>
      <c r="WU74" s="228"/>
      <c r="WV74" s="228"/>
      <c r="WW74" s="228"/>
      <c r="WX74" s="228"/>
      <c r="WY74" s="228"/>
      <c r="WZ74" s="228"/>
      <c r="XA74" s="228"/>
      <c r="XB74" s="228"/>
      <c r="XC74" s="228"/>
      <c r="XD74" s="228"/>
      <c r="XE74" s="228"/>
      <c r="XF74" s="228"/>
      <c r="XG74" s="228"/>
      <c r="XH74" s="228"/>
      <c r="XI74" s="228"/>
      <c r="XJ74" s="228"/>
      <c r="XK74" s="228"/>
      <c r="XL74" s="228"/>
      <c r="XM74" s="228"/>
      <c r="XN74" s="228"/>
      <c r="XO74" s="228"/>
      <c r="XP74" s="228"/>
      <c r="XQ74" s="228"/>
      <c r="XR74" s="228"/>
      <c r="XS74" s="228"/>
      <c r="XT74" s="228"/>
      <c r="XU74" s="228"/>
      <c r="XV74" s="228"/>
      <c r="XW74" s="228"/>
      <c r="XX74" s="228"/>
      <c r="XY74" s="228"/>
      <c r="XZ74" s="228"/>
      <c r="YA74" s="228"/>
      <c r="YB74" s="228"/>
      <c r="YC74" s="228"/>
      <c r="YD74" s="228"/>
      <c r="YE74" s="228"/>
      <c r="YF74" s="228"/>
      <c r="YG74" s="228"/>
      <c r="YH74" s="228"/>
      <c r="YI74" s="228"/>
      <c r="YJ74" s="228"/>
      <c r="YK74" s="228"/>
      <c r="YL74" s="228"/>
      <c r="YM74" s="228"/>
      <c r="YN74" s="228"/>
      <c r="YO74" s="228"/>
      <c r="YP74" s="228"/>
      <c r="YQ74" s="228"/>
      <c r="YR74" s="228"/>
      <c r="YS74" s="228"/>
      <c r="YT74" s="228"/>
      <c r="YU74" s="228"/>
      <c r="YV74" s="228"/>
      <c r="YW74" s="228"/>
      <c r="YX74" s="228"/>
      <c r="YY74" s="228"/>
      <c r="YZ74" s="228"/>
      <c r="ZA74" s="228"/>
      <c r="ZB74" s="228"/>
      <c r="ZC74" s="228"/>
      <c r="ZD74" s="228"/>
      <c r="ZE74" s="228"/>
      <c r="ZF74" s="228"/>
      <c r="ZG74" s="228"/>
      <c r="ZH74" s="228"/>
      <c r="ZI74" s="228"/>
      <c r="ZJ74" s="228"/>
      <c r="ZK74" s="228"/>
      <c r="ZL74" s="228"/>
      <c r="ZM74" s="228"/>
      <c r="ZN74" s="228"/>
      <c r="ZO74" s="228"/>
      <c r="ZP74" s="228"/>
      <c r="ZQ74" s="228"/>
      <c r="ZR74" s="228"/>
      <c r="ZS74" s="228"/>
      <c r="ZT74" s="228"/>
      <c r="ZU74" s="228"/>
      <c r="ZV74" s="228"/>
      <c r="ZW74" s="228"/>
      <c r="ZX74" s="228"/>
      <c r="ZY74" s="228"/>
      <c r="ZZ74" s="228"/>
      <c r="AAA74" s="228"/>
      <c r="AAB74" s="228"/>
      <c r="AAC74" s="228"/>
      <c r="AAD74" s="228"/>
      <c r="AAE74" s="228"/>
      <c r="AAF74" s="228"/>
      <c r="AAG74" s="228"/>
      <c r="AAH74" s="228"/>
      <c r="AAI74" s="228"/>
      <c r="AAJ74" s="228"/>
      <c r="AAK74" s="228"/>
      <c r="AAL74" s="228"/>
      <c r="AAM74" s="228"/>
      <c r="AAN74" s="228"/>
      <c r="AAO74" s="228"/>
      <c r="AAP74" s="228"/>
      <c r="AAQ74" s="228"/>
      <c r="AAR74" s="228"/>
      <c r="AAS74" s="228"/>
      <c r="AAT74" s="228"/>
      <c r="AAU74" s="228"/>
      <c r="AAV74" s="228"/>
      <c r="AAW74" s="228"/>
      <c r="AAX74" s="228"/>
      <c r="AAY74" s="228"/>
      <c r="AAZ74" s="228"/>
      <c r="ABA74" s="228"/>
      <c r="ABB74" s="228"/>
      <c r="ABC74" s="228"/>
      <c r="ABD74" s="228"/>
      <c r="ABE74" s="228"/>
      <c r="ABF74" s="228"/>
      <c r="ABG74" s="228"/>
      <c r="ABH74" s="228"/>
      <c r="ABI74" s="228"/>
      <c r="ABJ74" s="228"/>
      <c r="ABK74" s="228"/>
      <c r="ABL74" s="228"/>
      <c r="ABM74" s="228"/>
      <c r="ABN74" s="228"/>
      <c r="ABO74" s="228"/>
      <c r="ABP74" s="228"/>
      <c r="ABQ74" s="228"/>
      <c r="ABR74" s="228"/>
      <c r="ABS74" s="228"/>
      <c r="ABT74" s="228"/>
      <c r="ABU74" s="228"/>
      <c r="ABV74" s="228"/>
      <c r="ABW74" s="228"/>
      <c r="ABX74" s="228"/>
      <c r="ABY74" s="228"/>
      <c r="ABZ74" s="228"/>
      <c r="ACA74" s="228"/>
      <c r="ACB74" s="228"/>
      <c r="ACC74" s="228"/>
      <c r="ACD74" s="228"/>
      <c r="ACE74" s="228"/>
      <c r="ACF74" s="228"/>
      <c r="ACG74" s="228"/>
      <c r="ACH74" s="228"/>
      <c r="ACI74" s="228"/>
      <c r="ACJ74" s="228"/>
      <c r="ACK74" s="228"/>
      <c r="ACL74" s="228"/>
      <c r="ACM74" s="228"/>
      <c r="ACN74" s="228"/>
      <c r="ACO74" s="228"/>
      <c r="ACP74" s="228"/>
      <c r="ACQ74" s="228"/>
      <c r="ACR74" s="228"/>
      <c r="ACS74" s="228"/>
      <c r="ACT74" s="228"/>
      <c r="ACU74" s="228"/>
      <c r="ACV74" s="228"/>
      <c r="ACW74" s="228"/>
      <c r="ACX74" s="228"/>
      <c r="ACY74" s="228"/>
      <c r="ACZ74" s="228"/>
      <c r="ADA74" s="228"/>
      <c r="ADB74" s="228"/>
      <c r="ADC74" s="228"/>
      <c r="ADD74" s="228"/>
      <c r="ADE74" s="228"/>
      <c r="ADF74" s="228"/>
      <c r="ADG74" s="228"/>
      <c r="ADH74" s="228"/>
      <c r="ADI74" s="228"/>
      <c r="ADJ74" s="228"/>
      <c r="ADK74" s="228"/>
      <c r="ADL74" s="228"/>
      <c r="ADM74" s="228"/>
      <c r="ADN74" s="228"/>
      <c r="ADO74" s="228"/>
      <c r="ADP74" s="228"/>
      <c r="ADQ74" s="228"/>
      <c r="ADR74" s="228"/>
      <c r="ADS74" s="228"/>
      <c r="ADT74" s="228"/>
      <c r="ADU74" s="228"/>
      <c r="ADV74" s="228"/>
      <c r="ADW74" s="228"/>
      <c r="ADX74" s="228"/>
      <c r="ADY74" s="228"/>
      <c r="ADZ74" s="228"/>
      <c r="AEA74" s="228"/>
      <c r="AEB74" s="228"/>
      <c r="AEC74" s="228"/>
      <c r="AED74" s="228"/>
      <c r="AEE74" s="228"/>
      <c r="AEF74" s="228"/>
      <c r="AEG74" s="228"/>
      <c r="AEH74" s="228"/>
      <c r="AEI74" s="228"/>
      <c r="AEJ74" s="228"/>
      <c r="AEK74" s="228"/>
      <c r="AEL74" s="228"/>
      <c r="AEM74" s="228"/>
      <c r="AEN74" s="228"/>
      <c r="AEO74" s="228"/>
      <c r="AEP74" s="228"/>
      <c r="AEQ74" s="228"/>
      <c r="AER74" s="228"/>
      <c r="AES74" s="228"/>
      <c r="AET74" s="228"/>
      <c r="AEU74" s="228"/>
      <c r="AEV74" s="228"/>
      <c r="AEW74" s="228"/>
      <c r="AEX74" s="228"/>
      <c r="AEY74" s="228"/>
      <c r="AEZ74" s="228"/>
      <c r="AFA74" s="228"/>
      <c r="AFB74" s="228"/>
      <c r="AFC74" s="228"/>
      <c r="AFD74" s="228"/>
      <c r="AFE74" s="228"/>
      <c r="AFF74" s="228"/>
      <c r="AFG74" s="228"/>
      <c r="AFH74" s="228"/>
      <c r="AFI74" s="228"/>
      <c r="AFJ74" s="228"/>
      <c r="AFK74" s="228"/>
      <c r="AFL74" s="228"/>
      <c r="AFM74" s="228"/>
      <c r="AFN74" s="228"/>
      <c r="AFO74" s="228"/>
      <c r="AFP74" s="228"/>
      <c r="AFQ74" s="228"/>
      <c r="AFR74" s="228"/>
      <c r="AFS74" s="228"/>
      <c r="AFT74" s="228"/>
      <c r="AFU74" s="228"/>
      <c r="AFV74" s="228"/>
      <c r="AFW74" s="228"/>
      <c r="AFX74" s="228"/>
      <c r="AFY74" s="228"/>
      <c r="AFZ74" s="228"/>
      <c r="AGA74" s="228"/>
      <c r="AGB74" s="228"/>
      <c r="AGC74" s="228"/>
      <c r="AGD74" s="228"/>
      <c r="AGE74" s="228"/>
      <c r="AGF74" s="228"/>
      <c r="AGG74" s="228"/>
      <c r="AGH74" s="228"/>
      <c r="AGI74" s="228"/>
      <c r="AGJ74" s="228"/>
      <c r="AGK74" s="228"/>
      <c r="AGL74" s="228"/>
      <c r="AGM74" s="228"/>
      <c r="AGN74" s="228"/>
      <c r="AGO74" s="228"/>
      <c r="AGP74" s="228"/>
      <c r="AGQ74" s="228"/>
      <c r="AGR74" s="228"/>
      <c r="AGS74" s="228"/>
      <c r="AGT74" s="228"/>
      <c r="AGU74" s="228"/>
      <c r="AGV74" s="228"/>
      <c r="AGW74" s="228"/>
      <c r="AGX74" s="228"/>
      <c r="AGY74" s="228"/>
      <c r="AGZ74" s="228"/>
      <c r="AHA74" s="228"/>
      <c r="AHB74" s="228"/>
      <c r="AHC74" s="228"/>
      <c r="AHD74" s="228"/>
      <c r="AHE74" s="228"/>
      <c r="AHF74" s="228"/>
      <c r="AHG74" s="228"/>
      <c r="AHH74" s="228"/>
      <c r="AHI74" s="228"/>
      <c r="AHJ74" s="228"/>
      <c r="AHK74" s="228"/>
      <c r="AHL74" s="228"/>
      <c r="AHM74" s="228"/>
      <c r="AHN74" s="228"/>
      <c r="AHO74" s="228"/>
      <c r="AHP74" s="228"/>
      <c r="AHQ74" s="228"/>
      <c r="AHR74" s="228"/>
      <c r="AHS74" s="228"/>
      <c r="AHT74" s="228"/>
      <c r="AHU74" s="228"/>
      <c r="AHV74" s="228"/>
      <c r="AHW74" s="228"/>
      <c r="AHX74" s="228"/>
      <c r="AHY74" s="228"/>
      <c r="AHZ74" s="228"/>
      <c r="AIA74" s="228"/>
      <c r="AIB74" s="228"/>
      <c r="AIC74" s="228"/>
      <c r="AID74" s="228"/>
      <c r="AIE74" s="228"/>
      <c r="AIF74" s="228"/>
      <c r="AIG74" s="228"/>
      <c r="AIH74" s="228"/>
      <c r="AII74" s="228"/>
      <c r="AIJ74" s="228"/>
      <c r="AIK74" s="228"/>
      <c r="AIL74" s="228"/>
      <c r="AIM74" s="228"/>
      <c r="AIN74" s="228"/>
      <c r="AIO74" s="228"/>
      <c r="AIP74" s="228"/>
      <c r="AIQ74" s="228"/>
      <c r="AIR74" s="228"/>
      <c r="AIS74" s="228"/>
      <c r="AIT74" s="228"/>
      <c r="AIU74" s="228"/>
      <c r="AIV74" s="228"/>
      <c r="AIW74" s="228"/>
      <c r="AIX74" s="228"/>
      <c r="AIY74" s="228"/>
      <c r="AIZ74" s="228"/>
      <c r="AJA74" s="228"/>
      <c r="AJB74" s="228"/>
      <c r="AJC74" s="228"/>
      <c r="AJD74" s="228"/>
      <c r="AJE74" s="228"/>
      <c r="AJF74" s="228"/>
      <c r="AJG74" s="228"/>
      <c r="AJH74" s="228"/>
      <c r="AJI74" s="228"/>
      <c r="AJJ74" s="228"/>
      <c r="AJK74" s="228"/>
      <c r="AJL74" s="228"/>
      <c r="AJM74" s="228"/>
      <c r="AJN74" s="228"/>
      <c r="AJO74" s="228"/>
      <c r="AJP74" s="228"/>
      <c r="AJQ74" s="228"/>
      <c r="AJR74" s="228"/>
      <c r="AJS74" s="228"/>
      <c r="AJT74" s="228"/>
      <c r="AJU74" s="228"/>
      <c r="AJV74" s="228"/>
      <c r="AJW74" s="228"/>
      <c r="AJX74" s="228"/>
      <c r="AJY74" s="228"/>
      <c r="AJZ74" s="228"/>
      <c r="AKA74" s="228"/>
      <c r="AKB74" s="228"/>
      <c r="AKC74" s="228"/>
      <c r="AKD74" s="228"/>
      <c r="AKE74" s="228"/>
      <c r="AKF74" s="228"/>
      <c r="AKG74" s="228"/>
      <c r="AKH74" s="228"/>
      <c r="AKI74" s="228"/>
      <c r="AKJ74" s="228"/>
      <c r="AKK74" s="228"/>
      <c r="AKL74" s="228"/>
      <c r="AKM74" s="228"/>
      <c r="AKN74" s="228"/>
      <c r="AKO74" s="228"/>
      <c r="AKP74" s="228"/>
      <c r="AKQ74" s="228"/>
      <c r="AKR74" s="228"/>
      <c r="AKS74" s="228"/>
      <c r="AKT74" s="228"/>
      <c r="AKU74" s="228"/>
      <c r="AKV74" s="228"/>
      <c r="AKW74" s="228"/>
      <c r="AKX74" s="228"/>
      <c r="AKY74" s="228"/>
      <c r="AKZ74" s="228"/>
      <c r="ALA74" s="228"/>
      <c r="ALB74" s="228"/>
      <c r="ALC74" s="228"/>
      <c r="ALD74" s="228"/>
      <c r="ALE74" s="228"/>
      <c r="ALF74" s="228"/>
      <c r="ALG74" s="228"/>
      <c r="ALH74" s="228"/>
    </row>
    <row r="75" spans="1:996" s="229" customFormat="1">
      <c r="A75" s="37"/>
      <c r="B75" t="str">
        <f t="shared" si="0"/>
        <v>E311109</v>
      </c>
      <c r="C75" s="7" t="s">
        <v>219</v>
      </c>
      <c r="D75" s="26" t="s">
        <v>73</v>
      </c>
      <c r="E75" s="7">
        <v>311109</v>
      </c>
      <c r="F75" s="48" t="s">
        <v>599</v>
      </c>
      <c r="G75" s="49">
        <f>IFERROR(VLOOKUP(E75,'BD - E - Mvto Cx'!$A$15:$D$500,4,0),0)</f>
        <v>8302.3799999999992</v>
      </c>
      <c r="H75" s="50">
        <f>IFERROR(VLOOKUP(E75,'BD - E - Mvto Cx'!$J$15:$M$500,4,0),0)</f>
        <v>0</v>
      </c>
      <c r="I75" s="50">
        <f>IFERROR(VLOOKUP(E75,'BD - E - Mvto Cx'!$S$15:$V$500,4,0),0)</f>
        <v>0</v>
      </c>
      <c r="J75" s="50">
        <f>IFERROR(VLOOKUP(E75,'BD - E - Mvto Cx'!$AB$15:$AE$500,4,0),0)</f>
        <v>0</v>
      </c>
      <c r="K75" s="50">
        <f>IFERROR(VLOOKUP(E75,'BD - E - Mvto Cx'!$AK$15:$AN$500,4,0),0)</f>
        <v>0</v>
      </c>
      <c r="L75" s="50">
        <f>IFERROR(VLOOKUP(E75,'BD - E - Mvto Cx'!$AT$15:$AW$500,4,0),0)</f>
        <v>0</v>
      </c>
      <c r="M75" s="50">
        <f>IFERROR(VLOOKUP(E75,'BD - E - Mvto Cx'!$BF$15:$BI$500,4,0),0)</f>
        <v>0</v>
      </c>
      <c r="N75" s="50">
        <f>IFERROR(VLOOKUP(E75,'BD - E - Mvto Cx'!$BO$15:$BR$500,4,0),0)</f>
        <v>0</v>
      </c>
      <c r="O75" s="50">
        <f>IFERROR(VLOOKUP(E75,'BD - E - Mvto Cx'!$BX$15:$CA$500,4,0),0)</f>
        <v>0</v>
      </c>
      <c r="P75" s="50">
        <f>IFERROR(VLOOKUP(E75,'BD - E - Mvto Cx'!$CG$15:$CJ$500,4,0),0)</f>
        <v>0</v>
      </c>
      <c r="Q75" s="50">
        <f>IFERROR(VLOOKUP(E75,'BD - E - Mvto Cx'!$CP$15:$CS$500,4,0),0)</f>
        <v>0</v>
      </c>
      <c r="R75" s="50">
        <f>IFERROR(VLOOKUP(E75,'BD - E - Mvto Cx'!$CY$15:$DB$500,4,0),0)</f>
        <v>0</v>
      </c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A75" s="228"/>
      <c r="BB75" s="228"/>
      <c r="BC75" s="228"/>
      <c r="BD75" s="228"/>
      <c r="BE75" s="228"/>
      <c r="BF75" s="228"/>
      <c r="BG75" s="228"/>
      <c r="BH75" s="228"/>
      <c r="BI75" s="228"/>
      <c r="BJ75" s="228"/>
      <c r="BK75" s="228"/>
      <c r="BL75" s="228"/>
      <c r="BM75" s="228"/>
      <c r="BN75" s="228"/>
      <c r="BO75" s="228"/>
      <c r="BP75" s="228"/>
      <c r="BQ75" s="228"/>
      <c r="BR75" s="228"/>
      <c r="BS75" s="228"/>
      <c r="BT75" s="228"/>
      <c r="BU75" s="228"/>
      <c r="BV75" s="228"/>
      <c r="BW75" s="228"/>
      <c r="BX75" s="228"/>
      <c r="BY75" s="228"/>
      <c r="BZ75" s="228"/>
      <c r="CA75" s="228"/>
      <c r="CB75" s="228"/>
      <c r="CC75" s="228"/>
      <c r="CD75" s="228"/>
      <c r="CE75" s="228"/>
      <c r="CF75" s="228"/>
      <c r="CG75" s="228"/>
      <c r="CH75" s="228"/>
      <c r="CI75" s="228"/>
      <c r="CJ75" s="228"/>
      <c r="CK75" s="228"/>
      <c r="CL75" s="228"/>
      <c r="CM75" s="228"/>
      <c r="CN75" s="228"/>
      <c r="CO75" s="228"/>
      <c r="CP75" s="228"/>
      <c r="CQ75" s="228"/>
      <c r="CR75" s="228"/>
      <c r="CS75" s="228"/>
      <c r="CT75" s="228"/>
      <c r="CU75" s="228"/>
      <c r="CV75" s="228"/>
      <c r="CW75" s="228"/>
      <c r="CX75" s="228"/>
      <c r="CY75" s="228"/>
      <c r="CZ75" s="228"/>
      <c r="DA75" s="228"/>
      <c r="DB75" s="228"/>
      <c r="DC75" s="228"/>
      <c r="DD75" s="228"/>
      <c r="DE75" s="228"/>
      <c r="DF75" s="228"/>
      <c r="DG75" s="228"/>
      <c r="DH75" s="228"/>
      <c r="DI75" s="228"/>
      <c r="DJ75" s="228"/>
      <c r="DK75" s="228"/>
      <c r="DL75" s="228"/>
      <c r="DM75" s="228"/>
      <c r="DN75" s="228"/>
      <c r="DO75" s="228"/>
      <c r="DP75" s="228"/>
      <c r="DQ75" s="228"/>
      <c r="DR75" s="228"/>
      <c r="DS75" s="228"/>
      <c r="DT75" s="228"/>
      <c r="DU75" s="228"/>
      <c r="DV75" s="228"/>
      <c r="DW75" s="228"/>
      <c r="DX75" s="228"/>
      <c r="DY75" s="228"/>
      <c r="DZ75" s="228"/>
      <c r="EA75" s="228"/>
      <c r="EB75" s="228"/>
      <c r="EC75" s="228"/>
      <c r="ED75" s="228"/>
      <c r="EE75" s="228"/>
      <c r="EF75" s="228"/>
      <c r="EG75" s="228"/>
      <c r="EH75" s="228"/>
      <c r="EI75" s="228"/>
      <c r="EJ75" s="228"/>
      <c r="EK75" s="228"/>
      <c r="EL75" s="228"/>
      <c r="EM75" s="228"/>
      <c r="EN75" s="228"/>
      <c r="EO75" s="228"/>
      <c r="EP75" s="228"/>
      <c r="EQ75" s="228"/>
      <c r="ER75" s="228"/>
      <c r="ES75" s="228"/>
      <c r="ET75" s="228"/>
      <c r="EU75" s="228"/>
      <c r="EV75" s="228"/>
      <c r="EW75" s="228"/>
      <c r="EX75" s="228"/>
      <c r="EY75" s="228"/>
      <c r="EZ75" s="228"/>
      <c r="FA75" s="228"/>
      <c r="FB75" s="228"/>
      <c r="FC75" s="228"/>
      <c r="FD75" s="228"/>
      <c r="FE75" s="228"/>
      <c r="FF75" s="228"/>
      <c r="FG75" s="228"/>
      <c r="FH75" s="228"/>
      <c r="FI75" s="228"/>
      <c r="FJ75" s="228"/>
      <c r="FK75" s="228"/>
      <c r="FL75" s="228"/>
      <c r="FM75" s="228"/>
      <c r="FN75" s="228"/>
      <c r="FO75" s="228"/>
      <c r="FP75" s="228"/>
      <c r="FQ75" s="228"/>
      <c r="FR75" s="228"/>
      <c r="FS75" s="228"/>
      <c r="FT75" s="228"/>
      <c r="FU75" s="228"/>
      <c r="FV75" s="228"/>
      <c r="FW75" s="228"/>
      <c r="FX75" s="228"/>
      <c r="FY75" s="228"/>
      <c r="FZ75" s="228"/>
      <c r="GA75" s="228"/>
      <c r="GB75" s="228"/>
      <c r="GC75" s="228"/>
      <c r="GD75" s="228"/>
      <c r="GE75" s="228"/>
      <c r="GF75" s="228"/>
      <c r="GG75" s="228"/>
      <c r="GH75" s="228"/>
      <c r="GI75" s="228"/>
      <c r="GJ75" s="228"/>
      <c r="GK75" s="228"/>
      <c r="GL75" s="228"/>
      <c r="GM75" s="228"/>
      <c r="GN75" s="228"/>
      <c r="GO75" s="228"/>
      <c r="GP75" s="228"/>
      <c r="GQ75" s="228"/>
      <c r="GR75" s="228"/>
      <c r="GS75" s="228"/>
      <c r="GT75" s="228"/>
      <c r="GU75" s="228"/>
      <c r="GV75" s="228"/>
      <c r="GW75" s="228"/>
      <c r="GX75" s="228"/>
      <c r="GY75" s="228"/>
      <c r="GZ75" s="228"/>
      <c r="HA75" s="228"/>
      <c r="HB75" s="228"/>
      <c r="HC75" s="228"/>
      <c r="HD75" s="228"/>
      <c r="HE75" s="228"/>
      <c r="HF75" s="228"/>
      <c r="HG75" s="228"/>
      <c r="HH75" s="228"/>
      <c r="HI75" s="228"/>
      <c r="HJ75" s="228"/>
      <c r="HK75" s="228"/>
      <c r="HL75" s="228"/>
      <c r="HM75" s="228"/>
      <c r="HN75" s="228"/>
      <c r="HO75" s="228"/>
      <c r="HP75" s="228"/>
      <c r="HQ75" s="228"/>
      <c r="HR75" s="228"/>
      <c r="HS75" s="228"/>
      <c r="HT75" s="228"/>
      <c r="HU75" s="228"/>
      <c r="HV75" s="228"/>
      <c r="HW75" s="228"/>
      <c r="HX75" s="228"/>
      <c r="HY75" s="228"/>
      <c r="HZ75" s="228"/>
      <c r="IA75" s="228"/>
      <c r="IB75" s="228"/>
      <c r="IC75" s="228"/>
      <c r="ID75" s="228"/>
      <c r="IE75" s="228"/>
      <c r="IF75" s="228"/>
      <c r="IG75" s="228"/>
      <c r="IH75" s="228"/>
      <c r="II75" s="228"/>
      <c r="IJ75" s="228"/>
      <c r="IK75" s="228"/>
      <c r="IL75" s="228"/>
      <c r="IM75" s="228"/>
      <c r="IN75" s="228"/>
      <c r="IO75" s="228"/>
      <c r="IP75" s="228"/>
      <c r="IQ75" s="228"/>
      <c r="IR75" s="228"/>
      <c r="IS75" s="228"/>
      <c r="IT75" s="228"/>
      <c r="IU75" s="228"/>
      <c r="IV75" s="228"/>
      <c r="IW75" s="228"/>
      <c r="IX75" s="228"/>
      <c r="IY75" s="228"/>
      <c r="IZ75" s="228"/>
      <c r="JA75" s="228"/>
      <c r="JB75" s="228"/>
      <c r="JC75" s="228"/>
      <c r="JD75" s="228"/>
      <c r="JE75" s="228"/>
      <c r="JF75" s="228"/>
      <c r="JG75" s="228"/>
      <c r="JH75" s="228"/>
      <c r="JI75" s="228"/>
      <c r="JJ75" s="228"/>
      <c r="JK75" s="228"/>
      <c r="JL75" s="228"/>
      <c r="JM75" s="228"/>
      <c r="JN75" s="228"/>
      <c r="JO75" s="228"/>
      <c r="JP75" s="228"/>
      <c r="JQ75" s="228"/>
      <c r="JR75" s="228"/>
      <c r="JS75" s="228"/>
      <c r="JT75" s="228"/>
      <c r="JU75" s="228"/>
      <c r="JV75" s="228"/>
      <c r="JW75" s="228"/>
      <c r="JX75" s="228"/>
      <c r="JY75" s="228"/>
      <c r="JZ75" s="228"/>
      <c r="KA75" s="228"/>
      <c r="KB75" s="228"/>
      <c r="KC75" s="228"/>
      <c r="KD75" s="228"/>
      <c r="KE75" s="228"/>
      <c r="KF75" s="228"/>
      <c r="KG75" s="228"/>
      <c r="KH75" s="228"/>
      <c r="KI75" s="228"/>
      <c r="KJ75" s="228"/>
      <c r="KK75" s="228"/>
      <c r="KL75" s="228"/>
      <c r="KM75" s="228"/>
      <c r="KN75" s="228"/>
      <c r="KO75" s="228"/>
      <c r="KP75" s="228"/>
      <c r="KQ75" s="228"/>
      <c r="KR75" s="228"/>
      <c r="KS75" s="228"/>
      <c r="KT75" s="228"/>
      <c r="KU75" s="228"/>
      <c r="KV75" s="228"/>
      <c r="KW75" s="228"/>
      <c r="KX75" s="228"/>
      <c r="KY75" s="228"/>
      <c r="KZ75" s="228"/>
      <c r="LA75" s="228"/>
      <c r="LB75" s="228"/>
      <c r="LC75" s="228"/>
      <c r="LD75" s="228"/>
      <c r="LE75" s="228"/>
      <c r="LF75" s="228"/>
      <c r="LG75" s="228"/>
      <c r="LH75" s="228"/>
      <c r="LI75" s="228"/>
      <c r="LJ75" s="228"/>
      <c r="LK75" s="228"/>
      <c r="LL75" s="228"/>
      <c r="LM75" s="228"/>
      <c r="LN75" s="228"/>
      <c r="LO75" s="228"/>
      <c r="LP75" s="228"/>
      <c r="LQ75" s="228"/>
      <c r="LR75" s="228"/>
      <c r="LS75" s="228"/>
      <c r="LT75" s="228"/>
      <c r="LU75" s="228"/>
      <c r="LV75" s="228"/>
      <c r="LW75" s="228"/>
      <c r="LX75" s="228"/>
      <c r="LY75" s="228"/>
      <c r="LZ75" s="228"/>
      <c r="MA75" s="228"/>
      <c r="MB75" s="228"/>
      <c r="MC75" s="228"/>
      <c r="MD75" s="228"/>
      <c r="ME75" s="228"/>
      <c r="MF75" s="228"/>
      <c r="MG75" s="228"/>
      <c r="MH75" s="228"/>
      <c r="MI75" s="228"/>
      <c r="MJ75" s="228"/>
      <c r="MK75" s="228"/>
      <c r="ML75" s="228"/>
      <c r="MM75" s="228"/>
      <c r="MN75" s="228"/>
      <c r="MO75" s="228"/>
      <c r="MP75" s="228"/>
      <c r="MQ75" s="228"/>
      <c r="MR75" s="228"/>
      <c r="MS75" s="228"/>
      <c r="MT75" s="228"/>
      <c r="MU75" s="228"/>
      <c r="MV75" s="228"/>
      <c r="MW75" s="228"/>
      <c r="MX75" s="228"/>
      <c r="MY75" s="228"/>
      <c r="MZ75" s="228"/>
      <c r="NA75" s="228"/>
      <c r="NB75" s="228"/>
      <c r="NC75" s="228"/>
      <c r="ND75" s="228"/>
      <c r="NE75" s="228"/>
      <c r="NF75" s="228"/>
      <c r="NG75" s="228"/>
      <c r="NH75" s="228"/>
      <c r="NI75" s="228"/>
      <c r="NJ75" s="228"/>
      <c r="NK75" s="228"/>
      <c r="NL75" s="228"/>
      <c r="NM75" s="228"/>
      <c r="NN75" s="228"/>
      <c r="NO75" s="228"/>
      <c r="NP75" s="228"/>
      <c r="NQ75" s="228"/>
      <c r="NR75" s="228"/>
      <c r="NS75" s="228"/>
      <c r="NT75" s="228"/>
      <c r="NU75" s="228"/>
      <c r="NV75" s="228"/>
      <c r="NW75" s="228"/>
      <c r="NX75" s="228"/>
      <c r="NY75" s="228"/>
      <c r="NZ75" s="228"/>
      <c r="OA75" s="228"/>
      <c r="OB75" s="228"/>
      <c r="OC75" s="228"/>
      <c r="OD75" s="228"/>
      <c r="OE75" s="228"/>
      <c r="OF75" s="228"/>
      <c r="OG75" s="228"/>
      <c r="OH75" s="228"/>
      <c r="OI75" s="228"/>
      <c r="OJ75" s="228"/>
      <c r="OK75" s="228"/>
      <c r="OL75" s="228"/>
      <c r="OM75" s="228"/>
      <c r="ON75" s="228"/>
      <c r="OO75" s="228"/>
      <c r="OP75" s="228"/>
      <c r="OQ75" s="228"/>
      <c r="OR75" s="228"/>
      <c r="OS75" s="228"/>
      <c r="OT75" s="228"/>
      <c r="OU75" s="228"/>
      <c r="OV75" s="228"/>
      <c r="OW75" s="228"/>
      <c r="OX75" s="228"/>
      <c r="OY75" s="228"/>
      <c r="OZ75" s="228"/>
      <c r="PA75" s="228"/>
      <c r="PB75" s="228"/>
      <c r="PC75" s="228"/>
      <c r="PD75" s="228"/>
      <c r="PE75" s="228"/>
      <c r="PF75" s="228"/>
      <c r="PG75" s="228"/>
      <c r="PH75" s="228"/>
      <c r="PI75" s="228"/>
      <c r="PJ75" s="228"/>
      <c r="PK75" s="228"/>
      <c r="PL75" s="228"/>
      <c r="PM75" s="228"/>
      <c r="PN75" s="228"/>
      <c r="PO75" s="228"/>
      <c r="PP75" s="228"/>
      <c r="PQ75" s="228"/>
      <c r="PR75" s="228"/>
      <c r="PS75" s="228"/>
      <c r="PT75" s="228"/>
      <c r="PU75" s="228"/>
      <c r="PV75" s="228"/>
      <c r="PW75" s="228"/>
      <c r="PX75" s="228"/>
      <c r="PY75" s="228"/>
      <c r="PZ75" s="228"/>
      <c r="QA75" s="228"/>
      <c r="QB75" s="228"/>
      <c r="QC75" s="228"/>
      <c r="QD75" s="228"/>
      <c r="QE75" s="228"/>
      <c r="QF75" s="228"/>
      <c r="QG75" s="228"/>
      <c r="QH75" s="228"/>
      <c r="QI75" s="228"/>
      <c r="QJ75" s="228"/>
      <c r="QK75" s="228"/>
      <c r="QL75" s="228"/>
      <c r="QM75" s="228"/>
      <c r="QN75" s="228"/>
      <c r="QO75" s="228"/>
      <c r="QP75" s="228"/>
      <c r="QQ75" s="228"/>
      <c r="QR75" s="228"/>
      <c r="QS75" s="228"/>
      <c r="QT75" s="228"/>
      <c r="QU75" s="228"/>
      <c r="QV75" s="228"/>
      <c r="QW75" s="228"/>
      <c r="QX75" s="228"/>
      <c r="QY75" s="228"/>
      <c r="QZ75" s="228"/>
      <c r="RA75" s="228"/>
      <c r="RB75" s="228"/>
      <c r="RC75" s="228"/>
      <c r="RD75" s="228"/>
      <c r="RE75" s="228"/>
      <c r="RF75" s="228"/>
      <c r="RG75" s="228"/>
      <c r="RH75" s="228"/>
      <c r="RI75" s="228"/>
      <c r="RJ75" s="228"/>
      <c r="RK75" s="228"/>
      <c r="RL75" s="228"/>
      <c r="RM75" s="228"/>
      <c r="RN75" s="228"/>
      <c r="RO75" s="228"/>
      <c r="RP75" s="228"/>
      <c r="RQ75" s="228"/>
      <c r="RR75" s="228"/>
      <c r="RS75" s="228"/>
      <c r="RT75" s="228"/>
      <c r="RU75" s="228"/>
      <c r="RV75" s="228"/>
      <c r="RW75" s="228"/>
      <c r="RX75" s="228"/>
      <c r="RY75" s="228"/>
      <c r="RZ75" s="228"/>
      <c r="SA75" s="228"/>
      <c r="SB75" s="228"/>
      <c r="SC75" s="228"/>
      <c r="SD75" s="228"/>
      <c r="SE75" s="228"/>
      <c r="SF75" s="228"/>
      <c r="SG75" s="228"/>
      <c r="SH75" s="228"/>
      <c r="SI75" s="228"/>
      <c r="SJ75" s="228"/>
      <c r="SK75" s="228"/>
      <c r="SL75" s="228"/>
      <c r="SM75" s="228"/>
      <c r="SN75" s="228"/>
      <c r="SO75" s="228"/>
      <c r="SP75" s="228"/>
      <c r="SQ75" s="228"/>
      <c r="SR75" s="228"/>
      <c r="SS75" s="228"/>
      <c r="ST75" s="228"/>
      <c r="SU75" s="228"/>
      <c r="SV75" s="228"/>
      <c r="SW75" s="228"/>
      <c r="SX75" s="228"/>
      <c r="SY75" s="228"/>
      <c r="SZ75" s="228"/>
      <c r="TA75" s="228"/>
      <c r="TB75" s="228"/>
      <c r="TC75" s="228"/>
      <c r="TD75" s="228"/>
      <c r="TE75" s="228"/>
      <c r="TF75" s="228"/>
      <c r="TG75" s="228"/>
      <c r="TH75" s="228"/>
      <c r="TI75" s="228"/>
      <c r="TJ75" s="228"/>
      <c r="TK75" s="228"/>
      <c r="TL75" s="228"/>
      <c r="TM75" s="228"/>
      <c r="TN75" s="228"/>
      <c r="TO75" s="228"/>
      <c r="TP75" s="228"/>
      <c r="TQ75" s="228"/>
      <c r="TR75" s="228"/>
      <c r="TS75" s="228"/>
      <c r="TT75" s="228"/>
      <c r="TU75" s="228"/>
      <c r="TV75" s="228"/>
      <c r="TW75" s="228"/>
      <c r="TX75" s="228"/>
      <c r="TY75" s="228"/>
      <c r="TZ75" s="228"/>
      <c r="UA75" s="228"/>
      <c r="UB75" s="228"/>
      <c r="UC75" s="228"/>
      <c r="UD75" s="228"/>
      <c r="UE75" s="228"/>
      <c r="UF75" s="228"/>
      <c r="UG75" s="228"/>
      <c r="UH75" s="228"/>
      <c r="UI75" s="228"/>
      <c r="UJ75" s="228"/>
      <c r="UK75" s="228"/>
      <c r="UL75" s="228"/>
      <c r="UM75" s="228"/>
      <c r="UN75" s="228"/>
      <c r="UO75" s="228"/>
      <c r="UP75" s="228"/>
      <c r="UQ75" s="228"/>
      <c r="UR75" s="228"/>
      <c r="US75" s="228"/>
      <c r="UT75" s="228"/>
      <c r="UU75" s="228"/>
      <c r="UV75" s="228"/>
      <c r="UW75" s="228"/>
      <c r="UX75" s="228"/>
      <c r="UY75" s="228"/>
      <c r="UZ75" s="228"/>
      <c r="VA75" s="228"/>
      <c r="VB75" s="228"/>
      <c r="VC75" s="228"/>
      <c r="VD75" s="228"/>
      <c r="VE75" s="228"/>
      <c r="VF75" s="228"/>
      <c r="VG75" s="228"/>
      <c r="VH75" s="228"/>
      <c r="VI75" s="228"/>
      <c r="VJ75" s="228"/>
      <c r="VK75" s="228"/>
      <c r="VL75" s="228"/>
      <c r="VM75" s="228"/>
      <c r="VN75" s="228"/>
      <c r="VO75" s="228"/>
      <c r="VP75" s="228"/>
      <c r="VQ75" s="228"/>
      <c r="VR75" s="228"/>
      <c r="VS75" s="228"/>
      <c r="VT75" s="228"/>
      <c r="VU75" s="228"/>
      <c r="VV75" s="228"/>
      <c r="VW75" s="228"/>
      <c r="VX75" s="228"/>
      <c r="VY75" s="228"/>
      <c r="VZ75" s="228"/>
      <c r="WA75" s="228"/>
      <c r="WB75" s="228"/>
      <c r="WC75" s="228"/>
      <c r="WD75" s="228"/>
      <c r="WE75" s="228"/>
      <c r="WF75" s="228"/>
      <c r="WG75" s="228"/>
      <c r="WH75" s="228"/>
      <c r="WI75" s="228"/>
      <c r="WJ75" s="228"/>
      <c r="WK75" s="228"/>
      <c r="WL75" s="228"/>
      <c r="WM75" s="228"/>
      <c r="WN75" s="228"/>
      <c r="WO75" s="228"/>
      <c r="WP75" s="228"/>
      <c r="WQ75" s="228"/>
      <c r="WR75" s="228"/>
      <c r="WS75" s="228"/>
      <c r="WT75" s="228"/>
      <c r="WU75" s="228"/>
      <c r="WV75" s="228"/>
      <c r="WW75" s="228"/>
      <c r="WX75" s="228"/>
      <c r="WY75" s="228"/>
      <c r="WZ75" s="228"/>
      <c r="XA75" s="228"/>
      <c r="XB75" s="228"/>
      <c r="XC75" s="228"/>
      <c r="XD75" s="228"/>
      <c r="XE75" s="228"/>
      <c r="XF75" s="228"/>
      <c r="XG75" s="228"/>
      <c r="XH75" s="228"/>
      <c r="XI75" s="228"/>
      <c r="XJ75" s="228"/>
      <c r="XK75" s="228"/>
      <c r="XL75" s="228"/>
      <c r="XM75" s="228"/>
      <c r="XN75" s="228"/>
      <c r="XO75" s="228"/>
      <c r="XP75" s="228"/>
      <c r="XQ75" s="228"/>
      <c r="XR75" s="228"/>
      <c r="XS75" s="228"/>
      <c r="XT75" s="228"/>
      <c r="XU75" s="228"/>
      <c r="XV75" s="228"/>
      <c r="XW75" s="228"/>
      <c r="XX75" s="228"/>
      <c r="XY75" s="228"/>
      <c r="XZ75" s="228"/>
      <c r="YA75" s="228"/>
      <c r="YB75" s="228"/>
      <c r="YC75" s="228"/>
      <c r="YD75" s="228"/>
      <c r="YE75" s="228"/>
      <c r="YF75" s="228"/>
      <c r="YG75" s="228"/>
      <c r="YH75" s="228"/>
      <c r="YI75" s="228"/>
      <c r="YJ75" s="228"/>
      <c r="YK75" s="228"/>
      <c r="YL75" s="228"/>
      <c r="YM75" s="228"/>
      <c r="YN75" s="228"/>
      <c r="YO75" s="228"/>
      <c r="YP75" s="228"/>
      <c r="YQ75" s="228"/>
      <c r="YR75" s="228"/>
      <c r="YS75" s="228"/>
      <c r="YT75" s="228"/>
      <c r="YU75" s="228"/>
      <c r="YV75" s="228"/>
      <c r="YW75" s="228"/>
      <c r="YX75" s="228"/>
      <c r="YY75" s="228"/>
      <c r="YZ75" s="228"/>
      <c r="ZA75" s="228"/>
      <c r="ZB75" s="228"/>
      <c r="ZC75" s="228"/>
      <c r="ZD75" s="228"/>
      <c r="ZE75" s="228"/>
      <c r="ZF75" s="228"/>
      <c r="ZG75" s="228"/>
      <c r="ZH75" s="228"/>
      <c r="ZI75" s="228"/>
      <c r="ZJ75" s="228"/>
      <c r="ZK75" s="228"/>
      <c r="ZL75" s="228"/>
      <c r="ZM75" s="228"/>
      <c r="ZN75" s="228"/>
      <c r="ZO75" s="228"/>
      <c r="ZP75" s="228"/>
      <c r="ZQ75" s="228"/>
      <c r="ZR75" s="228"/>
      <c r="ZS75" s="228"/>
      <c r="ZT75" s="228"/>
      <c r="ZU75" s="228"/>
      <c r="ZV75" s="228"/>
      <c r="ZW75" s="228"/>
      <c r="ZX75" s="228"/>
      <c r="ZY75" s="228"/>
      <c r="ZZ75" s="228"/>
      <c r="AAA75" s="228"/>
      <c r="AAB75" s="228"/>
      <c r="AAC75" s="228"/>
      <c r="AAD75" s="228"/>
      <c r="AAE75" s="228"/>
      <c r="AAF75" s="228"/>
      <c r="AAG75" s="228"/>
      <c r="AAH75" s="228"/>
      <c r="AAI75" s="228"/>
      <c r="AAJ75" s="228"/>
      <c r="AAK75" s="228"/>
      <c r="AAL75" s="228"/>
      <c r="AAM75" s="228"/>
      <c r="AAN75" s="228"/>
      <c r="AAO75" s="228"/>
      <c r="AAP75" s="228"/>
      <c r="AAQ75" s="228"/>
      <c r="AAR75" s="228"/>
      <c r="AAS75" s="228"/>
      <c r="AAT75" s="228"/>
      <c r="AAU75" s="228"/>
      <c r="AAV75" s="228"/>
      <c r="AAW75" s="228"/>
      <c r="AAX75" s="228"/>
      <c r="AAY75" s="228"/>
      <c r="AAZ75" s="228"/>
      <c r="ABA75" s="228"/>
      <c r="ABB75" s="228"/>
      <c r="ABC75" s="228"/>
      <c r="ABD75" s="228"/>
      <c r="ABE75" s="228"/>
      <c r="ABF75" s="228"/>
      <c r="ABG75" s="228"/>
      <c r="ABH75" s="228"/>
      <c r="ABI75" s="228"/>
      <c r="ABJ75" s="228"/>
      <c r="ABK75" s="228"/>
      <c r="ABL75" s="228"/>
      <c r="ABM75" s="228"/>
      <c r="ABN75" s="228"/>
      <c r="ABO75" s="228"/>
      <c r="ABP75" s="228"/>
      <c r="ABQ75" s="228"/>
      <c r="ABR75" s="228"/>
      <c r="ABS75" s="228"/>
      <c r="ABT75" s="228"/>
      <c r="ABU75" s="228"/>
      <c r="ABV75" s="228"/>
      <c r="ABW75" s="228"/>
      <c r="ABX75" s="228"/>
      <c r="ABY75" s="228"/>
      <c r="ABZ75" s="228"/>
      <c r="ACA75" s="228"/>
      <c r="ACB75" s="228"/>
      <c r="ACC75" s="228"/>
      <c r="ACD75" s="228"/>
      <c r="ACE75" s="228"/>
      <c r="ACF75" s="228"/>
      <c r="ACG75" s="228"/>
      <c r="ACH75" s="228"/>
      <c r="ACI75" s="228"/>
      <c r="ACJ75" s="228"/>
      <c r="ACK75" s="228"/>
      <c r="ACL75" s="228"/>
      <c r="ACM75" s="228"/>
      <c r="ACN75" s="228"/>
      <c r="ACO75" s="228"/>
      <c r="ACP75" s="228"/>
      <c r="ACQ75" s="228"/>
      <c r="ACR75" s="228"/>
      <c r="ACS75" s="228"/>
      <c r="ACT75" s="228"/>
      <c r="ACU75" s="228"/>
      <c r="ACV75" s="228"/>
      <c r="ACW75" s="228"/>
      <c r="ACX75" s="228"/>
      <c r="ACY75" s="228"/>
      <c r="ACZ75" s="228"/>
      <c r="ADA75" s="228"/>
      <c r="ADB75" s="228"/>
      <c r="ADC75" s="228"/>
      <c r="ADD75" s="228"/>
      <c r="ADE75" s="228"/>
      <c r="ADF75" s="228"/>
      <c r="ADG75" s="228"/>
      <c r="ADH75" s="228"/>
      <c r="ADI75" s="228"/>
      <c r="ADJ75" s="228"/>
      <c r="ADK75" s="228"/>
      <c r="ADL75" s="228"/>
      <c r="ADM75" s="228"/>
      <c r="ADN75" s="228"/>
      <c r="ADO75" s="228"/>
      <c r="ADP75" s="228"/>
      <c r="ADQ75" s="228"/>
      <c r="ADR75" s="228"/>
      <c r="ADS75" s="228"/>
      <c r="ADT75" s="228"/>
      <c r="ADU75" s="228"/>
      <c r="ADV75" s="228"/>
      <c r="ADW75" s="228"/>
      <c r="ADX75" s="228"/>
      <c r="ADY75" s="228"/>
      <c r="ADZ75" s="228"/>
      <c r="AEA75" s="228"/>
      <c r="AEB75" s="228"/>
      <c r="AEC75" s="228"/>
      <c r="AED75" s="228"/>
      <c r="AEE75" s="228"/>
      <c r="AEF75" s="228"/>
      <c r="AEG75" s="228"/>
      <c r="AEH75" s="228"/>
      <c r="AEI75" s="228"/>
      <c r="AEJ75" s="228"/>
      <c r="AEK75" s="228"/>
      <c r="AEL75" s="228"/>
      <c r="AEM75" s="228"/>
      <c r="AEN75" s="228"/>
      <c r="AEO75" s="228"/>
      <c r="AEP75" s="228"/>
      <c r="AEQ75" s="228"/>
      <c r="AER75" s="228"/>
      <c r="AES75" s="228"/>
      <c r="AET75" s="228"/>
      <c r="AEU75" s="228"/>
      <c r="AEV75" s="228"/>
      <c r="AEW75" s="228"/>
      <c r="AEX75" s="228"/>
      <c r="AEY75" s="228"/>
      <c r="AEZ75" s="228"/>
      <c r="AFA75" s="228"/>
      <c r="AFB75" s="228"/>
      <c r="AFC75" s="228"/>
      <c r="AFD75" s="228"/>
      <c r="AFE75" s="228"/>
      <c r="AFF75" s="228"/>
      <c r="AFG75" s="228"/>
      <c r="AFH75" s="228"/>
      <c r="AFI75" s="228"/>
      <c r="AFJ75" s="228"/>
      <c r="AFK75" s="228"/>
      <c r="AFL75" s="228"/>
      <c r="AFM75" s="228"/>
      <c r="AFN75" s="228"/>
      <c r="AFO75" s="228"/>
      <c r="AFP75" s="228"/>
      <c r="AFQ75" s="228"/>
      <c r="AFR75" s="228"/>
      <c r="AFS75" s="228"/>
      <c r="AFT75" s="228"/>
      <c r="AFU75" s="228"/>
      <c r="AFV75" s="228"/>
      <c r="AFW75" s="228"/>
      <c r="AFX75" s="228"/>
      <c r="AFY75" s="228"/>
      <c r="AFZ75" s="228"/>
      <c r="AGA75" s="228"/>
      <c r="AGB75" s="228"/>
      <c r="AGC75" s="228"/>
      <c r="AGD75" s="228"/>
      <c r="AGE75" s="228"/>
      <c r="AGF75" s="228"/>
      <c r="AGG75" s="228"/>
      <c r="AGH75" s="228"/>
      <c r="AGI75" s="228"/>
      <c r="AGJ75" s="228"/>
      <c r="AGK75" s="228"/>
      <c r="AGL75" s="228"/>
      <c r="AGM75" s="228"/>
      <c r="AGN75" s="228"/>
      <c r="AGO75" s="228"/>
      <c r="AGP75" s="228"/>
      <c r="AGQ75" s="228"/>
      <c r="AGR75" s="228"/>
      <c r="AGS75" s="228"/>
      <c r="AGT75" s="228"/>
      <c r="AGU75" s="228"/>
      <c r="AGV75" s="228"/>
      <c r="AGW75" s="228"/>
      <c r="AGX75" s="228"/>
      <c r="AGY75" s="228"/>
      <c r="AGZ75" s="228"/>
      <c r="AHA75" s="228"/>
      <c r="AHB75" s="228"/>
      <c r="AHC75" s="228"/>
      <c r="AHD75" s="228"/>
      <c r="AHE75" s="228"/>
      <c r="AHF75" s="228"/>
      <c r="AHG75" s="228"/>
      <c r="AHH75" s="228"/>
      <c r="AHI75" s="228"/>
      <c r="AHJ75" s="228"/>
      <c r="AHK75" s="228"/>
      <c r="AHL75" s="228"/>
      <c r="AHM75" s="228"/>
      <c r="AHN75" s="228"/>
      <c r="AHO75" s="228"/>
      <c r="AHP75" s="228"/>
      <c r="AHQ75" s="228"/>
      <c r="AHR75" s="228"/>
      <c r="AHS75" s="228"/>
      <c r="AHT75" s="228"/>
      <c r="AHU75" s="228"/>
      <c r="AHV75" s="228"/>
      <c r="AHW75" s="228"/>
      <c r="AHX75" s="228"/>
      <c r="AHY75" s="228"/>
      <c r="AHZ75" s="228"/>
      <c r="AIA75" s="228"/>
      <c r="AIB75" s="228"/>
      <c r="AIC75" s="228"/>
      <c r="AID75" s="228"/>
      <c r="AIE75" s="228"/>
      <c r="AIF75" s="228"/>
      <c r="AIG75" s="228"/>
      <c r="AIH75" s="228"/>
      <c r="AII75" s="228"/>
      <c r="AIJ75" s="228"/>
      <c r="AIK75" s="228"/>
      <c r="AIL75" s="228"/>
      <c r="AIM75" s="228"/>
      <c r="AIN75" s="228"/>
      <c r="AIO75" s="228"/>
      <c r="AIP75" s="228"/>
      <c r="AIQ75" s="228"/>
      <c r="AIR75" s="228"/>
      <c r="AIS75" s="228"/>
      <c r="AIT75" s="228"/>
      <c r="AIU75" s="228"/>
      <c r="AIV75" s="228"/>
      <c r="AIW75" s="228"/>
      <c r="AIX75" s="228"/>
      <c r="AIY75" s="228"/>
      <c r="AIZ75" s="228"/>
      <c r="AJA75" s="228"/>
      <c r="AJB75" s="228"/>
      <c r="AJC75" s="228"/>
      <c r="AJD75" s="228"/>
      <c r="AJE75" s="228"/>
      <c r="AJF75" s="228"/>
      <c r="AJG75" s="228"/>
      <c r="AJH75" s="228"/>
      <c r="AJI75" s="228"/>
      <c r="AJJ75" s="228"/>
      <c r="AJK75" s="228"/>
      <c r="AJL75" s="228"/>
      <c r="AJM75" s="228"/>
      <c r="AJN75" s="228"/>
      <c r="AJO75" s="228"/>
      <c r="AJP75" s="228"/>
      <c r="AJQ75" s="228"/>
      <c r="AJR75" s="228"/>
      <c r="AJS75" s="228"/>
      <c r="AJT75" s="228"/>
      <c r="AJU75" s="228"/>
      <c r="AJV75" s="228"/>
      <c r="AJW75" s="228"/>
      <c r="AJX75" s="228"/>
      <c r="AJY75" s="228"/>
      <c r="AJZ75" s="228"/>
      <c r="AKA75" s="228"/>
      <c r="AKB75" s="228"/>
      <c r="AKC75" s="228"/>
      <c r="AKD75" s="228"/>
      <c r="AKE75" s="228"/>
      <c r="AKF75" s="228"/>
      <c r="AKG75" s="228"/>
      <c r="AKH75" s="228"/>
      <c r="AKI75" s="228"/>
      <c r="AKJ75" s="228"/>
      <c r="AKK75" s="228"/>
      <c r="AKL75" s="228"/>
      <c r="AKM75" s="228"/>
      <c r="AKN75" s="228"/>
      <c r="AKO75" s="228"/>
      <c r="AKP75" s="228"/>
      <c r="AKQ75" s="228"/>
      <c r="AKR75" s="228"/>
      <c r="AKS75" s="228"/>
      <c r="AKT75" s="228"/>
      <c r="AKU75" s="228"/>
      <c r="AKV75" s="228"/>
      <c r="AKW75" s="228"/>
      <c r="AKX75" s="228"/>
      <c r="AKY75" s="228"/>
      <c r="AKZ75" s="228"/>
      <c r="ALA75" s="228"/>
      <c r="ALB75" s="228"/>
      <c r="ALC75" s="228"/>
      <c r="ALD75" s="228"/>
      <c r="ALE75" s="228"/>
      <c r="ALF75" s="228"/>
      <c r="ALG75" s="228"/>
      <c r="ALH75" s="228"/>
    </row>
    <row r="76" spans="1:996" s="229" customFormat="1">
      <c r="A76" s="37"/>
      <c r="B76" t="str">
        <f t="shared" si="0"/>
        <v>E311110</v>
      </c>
      <c r="C76" s="7" t="s">
        <v>219</v>
      </c>
      <c r="D76" s="26" t="s">
        <v>73</v>
      </c>
      <c r="E76" s="7">
        <v>311110</v>
      </c>
      <c r="F76" s="48" t="s">
        <v>593</v>
      </c>
      <c r="G76" s="49">
        <f>IFERROR(VLOOKUP(E76,'BD - E - Mvto Cx'!$A$15:$D$500,4,0),0)</f>
        <v>0</v>
      </c>
      <c r="H76" s="50">
        <f>IFERROR(VLOOKUP(E76,'BD - E - Mvto Cx'!$J$15:$M$500,4,0),0)</f>
        <v>0</v>
      </c>
      <c r="I76" s="50">
        <f>IFERROR(VLOOKUP(E76,'BD - E - Mvto Cx'!$S$15:$V$500,4,0),0)</f>
        <v>0</v>
      </c>
      <c r="J76" s="50">
        <f>IFERROR(VLOOKUP(E76,'BD - E - Mvto Cx'!$AB$15:$AE$500,4,0),0)</f>
        <v>661.81</v>
      </c>
      <c r="K76" s="50">
        <f>IFERROR(VLOOKUP(E76,'BD - E - Mvto Cx'!$AK$15:$AN$500,4,0),0)</f>
        <v>0</v>
      </c>
      <c r="L76" s="50">
        <f>IFERROR(VLOOKUP(E76,'BD - E - Mvto Cx'!$AT$15:$AW$500,4,0),0)</f>
        <v>0</v>
      </c>
      <c r="M76" s="50">
        <f>IFERROR(VLOOKUP(E76,'BD - E - Mvto Cx'!$BF$15:$BI$500,4,0),0)</f>
        <v>0</v>
      </c>
      <c r="N76" s="50">
        <f>IFERROR(VLOOKUP(E76,'BD - E - Mvto Cx'!$BO$15:$BR$500,4,0),0)</f>
        <v>0</v>
      </c>
      <c r="O76" s="50">
        <f>IFERROR(VLOOKUP(E76,'BD - E - Mvto Cx'!$BX$15:$CA$500,4,0),0)</f>
        <v>0</v>
      </c>
      <c r="P76" s="50">
        <f>IFERROR(VLOOKUP(E76,'BD - E - Mvto Cx'!$CG$15:$CJ$500,4,0),0)</f>
        <v>0</v>
      </c>
      <c r="Q76" s="50">
        <f>IFERROR(VLOOKUP(E76,'BD - E - Mvto Cx'!$CP$15:$CS$500,4,0),0)</f>
        <v>0</v>
      </c>
      <c r="R76" s="50">
        <f>IFERROR(VLOOKUP(E76,'BD - E - Mvto Cx'!$CY$15:$DB$500,4,0),0)</f>
        <v>0</v>
      </c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8"/>
      <c r="BD76" s="228"/>
      <c r="BE76" s="228"/>
      <c r="BF76" s="228"/>
      <c r="BG76" s="228"/>
      <c r="BH76" s="228"/>
      <c r="BI76" s="228"/>
      <c r="BJ76" s="228"/>
      <c r="BK76" s="228"/>
      <c r="BL76" s="228"/>
      <c r="BM76" s="228"/>
      <c r="BN76" s="228"/>
      <c r="BO76" s="228"/>
      <c r="BP76" s="228"/>
      <c r="BQ76" s="228"/>
      <c r="BR76" s="228"/>
      <c r="BS76" s="228"/>
      <c r="BT76" s="228"/>
      <c r="BU76" s="228"/>
      <c r="BV76" s="228"/>
      <c r="BW76" s="228"/>
      <c r="BX76" s="228"/>
      <c r="BY76" s="228"/>
      <c r="BZ76" s="228"/>
      <c r="CA76" s="228"/>
      <c r="CB76" s="228"/>
      <c r="CC76" s="228"/>
      <c r="CD76" s="228"/>
      <c r="CE76" s="228"/>
      <c r="CF76" s="228"/>
      <c r="CG76" s="228"/>
      <c r="CH76" s="228"/>
      <c r="CI76" s="228"/>
      <c r="CJ76" s="228"/>
      <c r="CK76" s="228"/>
      <c r="CL76" s="228"/>
      <c r="CM76" s="228"/>
      <c r="CN76" s="228"/>
      <c r="CO76" s="228"/>
      <c r="CP76" s="228"/>
      <c r="CQ76" s="228"/>
      <c r="CR76" s="228"/>
      <c r="CS76" s="228"/>
      <c r="CT76" s="228"/>
      <c r="CU76" s="228"/>
      <c r="CV76" s="228"/>
      <c r="CW76" s="228"/>
      <c r="CX76" s="228"/>
      <c r="CY76" s="228"/>
      <c r="CZ76" s="228"/>
      <c r="DA76" s="228"/>
      <c r="DB76" s="228"/>
      <c r="DC76" s="228"/>
      <c r="DD76" s="228"/>
      <c r="DE76" s="228"/>
      <c r="DF76" s="228"/>
      <c r="DG76" s="228"/>
      <c r="DH76" s="228"/>
      <c r="DI76" s="228"/>
      <c r="DJ76" s="228"/>
      <c r="DK76" s="228"/>
      <c r="DL76" s="228"/>
      <c r="DM76" s="228"/>
      <c r="DN76" s="228"/>
      <c r="DO76" s="228"/>
      <c r="DP76" s="228"/>
      <c r="DQ76" s="228"/>
      <c r="DR76" s="228"/>
      <c r="DS76" s="228"/>
      <c r="DT76" s="228"/>
      <c r="DU76" s="228"/>
      <c r="DV76" s="228"/>
      <c r="DW76" s="228"/>
      <c r="DX76" s="228"/>
      <c r="DY76" s="228"/>
      <c r="DZ76" s="228"/>
      <c r="EA76" s="228"/>
      <c r="EB76" s="228"/>
      <c r="EC76" s="228"/>
      <c r="ED76" s="228"/>
      <c r="EE76" s="228"/>
      <c r="EF76" s="228"/>
      <c r="EG76" s="228"/>
      <c r="EH76" s="228"/>
      <c r="EI76" s="228"/>
      <c r="EJ76" s="228"/>
      <c r="EK76" s="228"/>
      <c r="EL76" s="228"/>
      <c r="EM76" s="228"/>
      <c r="EN76" s="228"/>
      <c r="EO76" s="228"/>
      <c r="EP76" s="228"/>
      <c r="EQ76" s="228"/>
      <c r="ER76" s="228"/>
      <c r="ES76" s="228"/>
      <c r="ET76" s="228"/>
      <c r="EU76" s="228"/>
      <c r="EV76" s="228"/>
      <c r="EW76" s="228"/>
      <c r="EX76" s="228"/>
      <c r="EY76" s="228"/>
      <c r="EZ76" s="228"/>
      <c r="FA76" s="228"/>
      <c r="FB76" s="228"/>
      <c r="FC76" s="228"/>
      <c r="FD76" s="228"/>
      <c r="FE76" s="228"/>
      <c r="FF76" s="228"/>
      <c r="FG76" s="228"/>
      <c r="FH76" s="228"/>
      <c r="FI76" s="228"/>
      <c r="FJ76" s="228"/>
      <c r="FK76" s="228"/>
      <c r="FL76" s="228"/>
      <c r="FM76" s="228"/>
      <c r="FN76" s="228"/>
      <c r="FO76" s="228"/>
      <c r="FP76" s="228"/>
      <c r="FQ76" s="228"/>
      <c r="FR76" s="228"/>
      <c r="FS76" s="228"/>
      <c r="FT76" s="228"/>
      <c r="FU76" s="228"/>
      <c r="FV76" s="228"/>
      <c r="FW76" s="228"/>
      <c r="FX76" s="228"/>
      <c r="FY76" s="228"/>
      <c r="FZ76" s="228"/>
      <c r="GA76" s="228"/>
      <c r="GB76" s="228"/>
      <c r="GC76" s="228"/>
      <c r="GD76" s="228"/>
      <c r="GE76" s="228"/>
      <c r="GF76" s="228"/>
      <c r="GG76" s="228"/>
      <c r="GH76" s="228"/>
      <c r="GI76" s="228"/>
      <c r="GJ76" s="228"/>
      <c r="GK76" s="228"/>
      <c r="GL76" s="228"/>
      <c r="GM76" s="228"/>
      <c r="GN76" s="228"/>
      <c r="GO76" s="228"/>
      <c r="GP76" s="228"/>
      <c r="GQ76" s="228"/>
      <c r="GR76" s="228"/>
      <c r="GS76" s="228"/>
      <c r="GT76" s="228"/>
      <c r="GU76" s="228"/>
      <c r="GV76" s="228"/>
      <c r="GW76" s="228"/>
      <c r="GX76" s="228"/>
      <c r="GY76" s="228"/>
      <c r="GZ76" s="228"/>
      <c r="HA76" s="228"/>
      <c r="HB76" s="228"/>
      <c r="HC76" s="228"/>
      <c r="HD76" s="228"/>
      <c r="HE76" s="228"/>
      <c r="HF76" s="228"/>
      <c r="HG76" s="228"/>
      <c r="HH76" s="228"/>
      <c r="HI76" s="228"/>
      <c r="HJ76" s="228"/>
      <c r="HK76" s="228"/>
      <c r="HL76" s="228"/>
      <c r="HM76" s="228"/>
      <c r="HN76" s="228"/>
      <c r="HO76" s="228"/>
      <c r="HP76" s="228"/>
      <c r="HQ76" s="228"/>
      <c r="HR76" s="228"/>
      <c r="HS76" s="228"/>
      <c r="HT76" s="228"/>
      <c r="HU76" s="228"/>
      <c r="HV76" s="228"/>
      <c r="HW76" s="228"/>
      <c r="HX76" s="228"/>
      <c r="HY76" s="228"/>
      <c r="HZ76" s="228"/>
      <c r="IA76" s="228"/>
      <c r="IB76" s="228"/>
      <c r="IC76" s="228"/>
      <c r="ID76" s="228"/>
      <c r="IE76" s="228"/>
      <c r="IF76" s="228"/>
      <c r="IG76" s="228"/>
      <c r="IH76" s="228"/>
      <c r="II76" s="228"/>
      <c r="IJ76" s="228"/>
      <c r="IK76" s="228"/>
      <c r="IL76" s="228"/>
      <c r="IM76" s="228"/>
      <c r="IN76" s="228"/>
      <c r="IO76" s="228"/>
      <c r="IP76" s="228"/>
      <c r="IQ76" s="228"/>
      <c r="IR76" s="228"/>
      <c r="IS76" s="228"/>
      <c r="IT76" s="228"/>
      <c r="IU76" s="228"/>
      <c r="IV76" s="228"/>
      <c r="IW76" s="228"/>
      <c r="IX76" s="228"/>
      <c r="IY76" s="228"/>
      <c r="IZ76" s="228"/>
      <c r="JA76" s="228"/>
      <c r="JB76" s="228"/>
      <c r="JC76" s="228"/>
      <c r="JD76" s="228"/>
      <c r="JE76" s="228"/>
      <c r="JF76" s="228"/>
      <c r="JG76" s="228"/>
      <c r="JH76" s="228"/>
      <c r="JI76" s="228"/>
      <c r="JJ76" s="228"/>
      <c r="JK76" s="228"/>
      <c r="JL76" s="228"/>
      <c r="JM76" s="228"/>
      <c r="JN76" s="228"/>
      <c r="JO76" s="228"/>
      <c r="JP76" s="228"/>
      <c r="JQ76" s="228"/>
      <c r="JR76" s="228"/>
      <c r="JS76" s="228"/>
      <c r="JT76" s="228"/>
      <c r="JU76" s="228"/>
      <c r="JV76" s="228"/>
      <c r="JW76" s="228"/>
      <c r="JX76" s="228"/>
      <c r="JY76" s="228"/>
      <c r="JZ76" s="228"/>
      <c r="KA76" s="228"/>
      <c r="KB76" s="228"/>
      <c r="KC76" s="228"/>
      <c r="KD76" s="228"/>
      <c r="KE76" s="228"/>
      <c r="KF76" s="228"/>
      <c r="KG76" s="228"/>
      <c r="KH76" s="228"/>
      <c r="KI76" s="228"/>
      <c r="KJ76" s="228"/>
      <c r="KK76" s="228"/>
      <c r="KL76" s="228"/>
      <c r="KM76" s="228"/>
      <c r="KN76" s="228"/>
      <c r="KO76" s="228"/>
      <c r="KP76" s="228"/>
      <c r="KQ76" s="228"/>
      <c r="KR76" s="228"/>
      <c r="KS76" s="228"/>
      <c r="KT76" s="228"/>
      <c r="KU76" s="228"/>
      <c r="KV76" s="228"/>
      <c r="KW76" s="228"/>
      <c r="KX76" s="228"/>
      <c r="KY76" s="228"/>
      <c r="KZ76" s="228"/>
      <c r="LA76" s="228"/>
      <c r="LB76" s="228"/>
      <c r="LC76" s="228"/>
      <c r="LD76" s="228"/>
      <c r="LE76" s="228"/>
      <c r="LF76" s="228"/>
      <c r="LG76" s="228"/>
      <c r="LH76" s="228"/>
      <c r="LI76" s="228"/>
      <c r="LJ76" s="228"/>
      <c r="LK76" s="228"/>
      <c r="LL76" s="228"/>
      <c r="LM76" s="228"/>
      <c r="LN76" s="228"/>
      <c r="LO76" s="228"/>
      <c r="LP76" s="228"/>
      <c r="LQ76" s="228"/>
      <c r="LR76" s="228"/>
      <c r="LS76" s="228"/>
      <c r="LT76" s="228"/>
      <c r="LU76" s="228"/>
      <c r="LV76" s="228"/>
      <c r="LW76" s="228"/>
      <c r="LX76" s="228"/>
      <c r="LY76" s="228"/>
      <c r="LZ76" s="228"/>
      <c r="MA76" s="228"/>
      <c r="MB76" s="228"/>
      <c r="MC76" s="228"/>
      <c r="MD76" s="228"/>
      <c r="ME76" s="228"/>
      <c r="MF76" s="228"/>
      <c r="MG76" s="228"/>
      <c r="MH76" s="228"/>
      <c r="MI76" s="228"/>
      <c r="MJ76" s="228"/>
      <c r="MK76" s="228"/>
      <c r="ML76" s="228"/>
      <c r="MM76" s="228"/>
      <c r="MN76" s="228"/>
      <c r="MO76" s="228"/>
      <c r="MP76" s="228"/>
      <c r="MQ76" s="228"/>
      <c r="MR76" s="228"/>
      <c r="MS76" s="228"/>
      <c r="MT76" s="228"/>
      <c r="MU76" s="228"/>
      <c r="MV76" s="228"/>
      <c r="MW76" s="228"/>
      <c r="MX76" s="228"/>
      <c r="MY76" s="228"/>
      <c r="MZ76" s="228"/>
      <c r="NA76" s="228"/>
      <c r="NB76" s="228"/>
      <c r="NC76" s="228"/>
      <c r="ND76" s="228"/>
      <c r="NE76" s="228"/>
      <c r="NF76" s="228"/>
      <c r="NG76" s="228"/>
      <c r="NH76" s="228"/>
      <c r="NI76" s="228"/>
      <c r="NJ76" s="228"/>
      <c r="NK76" s="228"/>
      <c r="NL76" s="228"/>
      <c r="NM76" s="228"/>
      <c r="NN76" s="228"/>
      <c r="NO76" s="228"/>
      <c r="NP76" s="228"/>
      <c r="NQ76" s="228"/>
      <c r="NR76" s="228"/>
      <c r="NS76" s="228"/>
      <c r="NT76" s="228"/>
      <c r="NU76" s="228"/>
      <c r="NV76" s="228"/>
      <c r="NW76" s="228"/>
      <c r="NX76" s="228"/>
      <c r="NY76" s="228"/>
      <c r="NZ76" s="228"/>
      <c r="OA76" s="228"/>
      <c r="OB76" s="228"/>
      <c r="OC76" s="228"/>
      <c r="OD76" s="228"/>
      <c r="OE76" s="228"/>
      <c r="OF76" s="228"/>
      <c r="OG76" s="228"/>
      <c r="OH76" s="228"/>
      <c r="OI76" s="228"/>
      <c r="OJ76" s="228"/>
      <c r="OK76" s="228"/>
      <c r="OL76" s="228"/>
      <c r="OM76" s="228"/>
      <c r="ON76" s="228"/>
      <c r="OO76" s="228"/>
      <c r="OP76" s="228"/>
      <c r="OQ76" s="228"/>
      <c r="OR76" s="228"/>
      <c r="OS76" s="228"/>
      <c r="OT76" s="228"/>
      <c r="OU76" s="228"/>
      <c r="OV76" s="228"/>
      <c r="OW76" s="228"/>
      <c r="OX76" s="228"/>
      <c r="OY76" s="228"/>
      <c r="OZ76" s="228"/>
      <c r="PA76" s="228"/>
      <c r="PB76" s="228"/>
      <c r="PC76" s="228"/>
      <c r="PD76" s="228"/>
      <c r="PE76" s="228"/>
      <c r="PF76" s="228"/>
      <c r="PG76" s="228"/>
      <c r="PH76" s="228"/>
      <c r="PI76" s="228"/>
      <c r="PJ76" s="228"/>
      <c r="PK76" s="228"/>
      <c r="PL76" s="228"/>
      <c r="PM76" s="228"/>
      <c r="PN76" s="228"/>
      <c r="PO76" s="228"/>
      <c r="PP76" s="228"/>
      <c r="PQ76" s="228"/>
      <c r="PR76" s="228"/>
      <c r="PS76" s="228"/>
      <c r="PT76" s="228"/>
      <c r="PU76" s="228"/>
      <c r="PV76" s="228"/>
      <c r="PW76" s="228"/>
      <c r="PX76" s="228"/>
      <c r="PY76" s="228"/>
      <c r="PZ76" s="228"/>
      <c r="QA76" s="228"/>
      <c r="QB76" s="228"/>
      <c r="QC76" s="228"/>
      <c r="QD76" s="228"/>
      <c r="QE76" s="228"/>
      <c r="QF76" s="228"/>
      <c r="QG76" s="228"/>
      <c r="QH76" s="228"/>
      <c r="QI76" s="228"/>
      <c r="QJ76" s="228"/>
      <c r="QK76" s="228"/>
      <c r="QL76" s="228"/>
      <c r="QM76" s="228"/>
      <c r="QN76" s="228"/>
      <c r="QO76" s="228"/>
      <c r="QP76" s="228"/>
      <c r="QQ76" s="228"/>
      <c r="QR76" s="228"/>
      <c r="QS76" s="228"/>
      <c r="QT76" s="228"/>
      <c r="QU76" s="228"/>
      <c r="QV76" s="228"/>
      <c r="QW76" s="228"/>
      <c r="QX76" s="228"/>
      <c r="QY76" s="228"/>
      <c r="QZ76" s="228"/>
      <c r="RA76" s="228"/>
      <c r="RB76" s="228"/>
      <c r="RC76" s="228"/>
      <c r="RD76" s="228"/>
      <c r="RE76" s="228"/>
      <c r="RF76" s="228"/>
      <c r="RG76" s="228"/>
      <c r="RH76" s="228"/>
      <c r="RI76" s="228"/>
      <c r="RJ76" s="228"/>
      <c r="RK76" s="228"/>
      <c r="RL76" s="228"/>
      <c r="RM76" s="228"/>
      <c r="RN76" s="228"/>
      <c r="RO76" s="228"/>
      <c r="RP76" s="228"/>
      <c r="RQ76" s="228"/>
      <c r="RR76" s="228"/>
      <c r="RS76" s="228"/>
      <c r="RT76" s="228"/>
      <c r="RU76" s="228"/>
      <c r="RV76" s="228"/>
      <c r="RW76" s="228"/>
      <c r="RX76" s="228"/>
      <c r="RY76" s="228"/>
      <c r="RZ76" s="228"/>
      <c r="SA76" s="228"/>
      <c r="SB76" s="228"/>
      <c r="SC76" s="228"/>
      <c r="SD76" s="228"/>
      <c r="SE76" s="228"/>
      <c r="SF76" s="228"/>
      <c r="SG76" s="228"/>
      <c r="SH76" s="228"/>
      <c r="SI76" s="228"/>
      <c r="SJ76" s="228"/>
      <c r="SK76" s="228"/>
      <c r="SL76" s="228"/>
      <c r="SM76" s="228"/>
      <c r="SN76" s="228"/>
      <c r="SO76" s="228"/>
      <c r="SP76" s="228"/>
      <c r="SQ76" s="228"/>
      <c r="SR76" s="228"/>
      <c r="SS76" s="228"/>
      <c r="ST76" s="228"/>
      <c r="SU76" s="228"/>
      <c r="SV76" s="228"/>
      <c r="SW76" s="228"/>
      <c r="SX76" s="228"/>
      <c r="SY76" s="228"/>
      <c r="SZ76" s="228"/>
      <c r="TA76" s="228"/>
      <c r="TB76" s="228"/>
      <c r="TC76" s="228"/>
      <c r="TD76" s="228"/>
      <c r="TE76" s="228"/>
      <c r="TF76" s="228"/>
      <c r="TG76" s="228"/>
      <c r="TH76" s="228"/>
      <c r="TI76" s="228"/>
      <c r="TJ76" s="228"/>
      <c r="TK76" s="228"/>
      <c r="TL76" s="228"/>
      <c r="TM76" s="228"/>
      <c r="TN76" s="228"/>
      <c r="TO76" s="228"/>
      <c r="TP76" s="228"/>
      <c r="TQ76" s="228"/>
      <c r="TR76" s="228"/>
      <c r="TS76" s="228"/>
      <c r="TT76" s="228"/>
      <c r="TU76" s="228"/>
      <c r="TV76" s="228"/>
      <c r="TW76" s="228"/>
      <c r="TX76" s="228"/>
      <c r="TY76" s="228"/>
      <c r="TZ76" s="228"/>
      <c r="UA76" s="228"/>
      <c r="UB76" s="228"/>
      <c r="UC76" s="228"/>
      <c r="UD76" s="228"/>
      <c r="UE76" s="228"/>
      <c r="UF76" s="228"/>
      <c r="UG76" s="228"/>
      <c r="UH76" s="228"/>
      <c r="UI76" s="228"/>
      <c r="UJ76" s="228"/>
      <c r="UK76" s="228"/>
      <c r="UL76" s="228"/>
      <c r="UM76" s="228"/>
      <c r="UN76" s="228"/>
      <c r="UO76" s="228"/>
      <c r="UP76" s="228"/>
      <c r="UQ76" s="228"/>
      <c r="UR76" s="228"/>
      <c r="US76" s="228"/>
      <c r="UT76" s="228"/>
      <c r="UU76" s="228"/>
      <c r="UV76" s="228"/>
      <c r="UW76" s="228"/>
      <c r="UX76" s="228"/>
      <c r="UY76" s="228"/>
      <c r="UZ76" s="228"/>
      <c r="VA76" s="228"/>
      <c r="VB76" s="228"/>
      <c r="VC76" s="228"/>
      <c r="VD76" s="228"/>
      <c r="VE76" s="228"/>
      <c r="VF76" s="228"/>
      <c r="VG76" s="228"/>
      <c r="VH76" s="228"/>
      <c r="VI76" s="228"/>
      <c r="VJ76" s="228"/>
      <c r="VK76" s="228"/>
      <c r="VL76" s="228"/>
      <c r="VM76" s="228"/>
      <c r="VN76" s="228"/>
      <c r="VO76" s="228"/>
      <c r="VP76" s="228"/>
      <c r="VQ76" s="228"/>
      <c r="VR76" s="228"/>
      <c r="VS76" s="228"/>
      <c r="VT76" s="228"/>
      <c r="VU76" s="228"/>
      <c r="VV76" s="228"/>
      <c r="VW76" s="228"/>
      <c r="VX76" s="228"/>
      <c r="VY76" s="228"/>
      <c r="VZ76" s="228"/>
      <c r="WA76" s="228"/>
      <c r="WB76" s="228"/>
      <c r="WC76" s="228"/>
      <c r="WD76" s="228"/>
      <c r="WE76" s="228"/>
      <c r="WF76" s="228"/>
      <c r="WG76" s="228"/>
      <c r="WH76" s="228"/>
      <c r="WI76" s="228"/>
      <c r="WJ76" s="228"/>
      <c r="WK76" s="228"/>
      <c r="WL76" s="228"/>
      <c r="WM76" s="228"/>
      <c r="WN76" s="228"/>
      <c r="WO76" s="228"/>
      <c r="WP76" s="228"/>
      <c r="WQ76" s="228"/>
      <c r="WR76" s="228"/>
      <c r="WS76" s="228"/>
      <c r="WT76" s="228"/>
      <c r="WU76" s="228"/>
      <c r="WV76" s="228"/>
      <c r="WW76" s="228"/>
      <c r="WX76" s="228"/>
      <c r="WY76" s="228"/>
      <c r="WZ76" s="228"/>
      <c r="XA76" s="228"/>
      <c r="XB76" s="228"/>
      <c r="XC76" s="228"/>
      <c r="XD76" s="228"/>
      <c r="XE76" s="228"/>
      <c r="XF76" s="228"/>
      <c r="XG76" s="228"/>
      <c r="XH76" s="228"/>
      <c r="XI76" s="228"/>
      <c r="XJ76" s="228"/>
      <c r="XK76" s="228"/>
      <c r="XL76" s="228"/>
      <c r="XM76" s="228"/>
      <c r="XN76" s="228"/>
      <c r="XO76" s="228"/>
      <c r="XP76" s="228"/>
      <c r="XQ76" s="228"/>
      <c r="XR76" s="228"/>
      <c r="XS76" s="228"/>
      <c r="XT76" s="228"/>
      <c r="XU76" s="228"/>
      <c r="XV76" s="228"/>
      <c r="XW76" s="228"/>
      <c r="XX76" s="228"/>
      <c r="XY76" s="228"/>
      <c r="XZ76" s="228"/>
      <c r="YA76" s="228"/>
      <c r="YB76" s="228"/>
      <c r="YC76" s="228"/>
      <c r="YD76" s="228"/>
      <c r="YE76" s="228"/>
      <c r="YF76" s="228"/>
      <c r="YG76" s="228"/>
      <c r="YH76" s="228"/>
      <c r="YI76" s="228"/>
      <c r="YJ76" s="228"/>
      <c r="YK76" s="228"/>
      <c r="YL76" s="228"/>
      <c r="YM76" s="228"/>
      <c r="YN76" s="228"/>
      <c r="YO76" s="228"/>
      <c r="YP76" s="228"/>
      <c r="YQ76" s="228"/>
      <c r="YR76" s="228"/>
      <c r="YS76" s="228"/>
      <c r="YT76" s="228"/>
      <c r="YU76" s="228"/>
      <c r="YV76" s="228"/>
      <c r="YW76" s="228"/>
      <c r="YX76" s="228"/>
      <c r="YY76" s="228"/>
      <c r="YZ76" s="228"/>
      <c r="ZA76" s="228"/>
      <c r="ZB76" s="228"/>
      <c r="ZC76" s="228"/>
      <c r="ZD76" s="228"/>
      <c r="ZE76" s="228"/>
      <c r="ZF76" s="228"/>
      <c r="ZG76" s="228"/>
      <c r="ZH76" s="228"/>
      <c r="ZI76" s="228"/>
      <c r="ZJ76" s="228"/>
      <c r="ZK76" s="228"/>
      <c r="ZL76" s="228"/>
      <c r="ZM76" s="228"/>
      <c r="ZN76" s="228"/>
      <c r="ZO76" s="228"/>
      <c r="ZP76" s="228"/>
      <c r="ZQ76" s="228"/>
      <c r="ZR76" s="228"/>
      <c r="ZS76" s="228"/>
      <c r="ZT76" s="228"/>
      <c r="ZU76" s="228"/>
      <c r="ZV76" s="228"/>
      <c r="ZW76" s="228"/>
      <c r="ZX76" s="228"/>
      <c r="ZY76" s="228"/>
      <c r="ZZ76" s="228"/>
      <c r="AAA76" s="228"/>
      <c r="AAB76" s="228"/>
      <c r="AAC76" s="228"/>
      <c r="AAD76" s="228"/>
      <c r="AAE76" s="228"/>
      <c r="AAF76" s="228"/>
      <c r="AAG76" s="228"/>
      <c r="AAH76" s="228"/>
      <c r="AAI76" s="228"/>
      <c r="AAJ76" s="228"/>
      <c r="AAK76" s="228"/>
      <c r="AAL76" s="228"/>
      <c r="AAM76" s="228"/>
      <c r="AAN76" s="228"/>
      <c r="AAO76" s="228"/>
      <c r="AAP76" s="228"/>
      <c r="AAQ76" s="228"/>
      <c r="AAR76" s="228"/>
      <c r="AAS76" s="228"/>
      <c r="AAT76" s="228"/>
      <c r="AAU76" s="228"/>
      <c r="AAV76" s="228"/>
      <c r="AAW76" s="228"/>
      <c r="AAX76" s="228"/>
      <c r="AAY76" s="228"/>
      <c r="AAZ76" s="228"/>
      <c r="ABA76" s="228"/>
      <c r="ABB76" s="228"/>
      <c r="ABC76" s="228"/>
      <c r="ABD76" s="228"/>
      <c r="ABE76" s="228"/>
      <c r="ABF76" s="228"/>
      <c r="ABG76" s="228"/>
      <c r="ABH76" s="228"/>
      <c r="ABI76" s="228"/>
      <c r="ABJ76" s="228"/>
      <c r="ABK76" s="228"/>
      <c r="ABL76" s="228"/>
      <c r="ABM76" s="228"/>
      <c r="ABN76" s="228"/>
      <c r="ABO76" s="228"/>
      <c r="ABP76" s="228"/>
      <c r="ABQ76" s="228"/>
      <c r="ABR76" s="228"/>
      <c r="ABS76" s="228"/>
      <c r="ABT76" s="228"/>
      <c r="ABU76" s="228"/>
      <c r="ABV76" s="228"/>
      <c r="ABW76" s="228"/>
      <c r="ABX76" s="228"/>
      <c r="ABY76" s="228"/>
      <c r="ABZ76" s="228"/>
      <c r="ACA76" s="228"/>
      <c r="ACB76" s="228"/>
      <c r="ACC76" s="228"/>
      <c r="ACD76" s="228"/>
      <c r="ACE76" s="228"/>
      <c r="ACF76" s="228"/>
      <c r="ACG76" s="228"/>
      <c r="ACH76" s="228"/>
      <c r="ACI76" s="228"/>
      <c r="ACJ76" s="228"/>
      <c r="ACK76" s="228"/>
      <c r="ACL76" s="228"/>
      <c r="ACM76" s="228"/>
      <c r="ACN76" s="228"/>
      <c r="ACO76" s="228"/>
      <c r="ACP76" s="228"/>
      <c r="ACQ76" s="228"/>
      <c r="ACR76" s="228"/>
      <c r="ACS76" s="228"/>
      <c r="ACT76" s="228"/>
      <c r="ACU76" s="228"/>
      <c r="ACV76" s="228"/>
      <c r="ACW76" s="228"/>
      <c r="ACX76" s="228"/>
      <c r="ACY76" s="228"/>
      <c r="ACZ76" s="228"/>
      <c r="ADA76" s="228"/>
      <c r="ADB76" s="228"/>
      <c r="ADC76" s="228"/>
      <c r="ADD76" s="228"/>
      <c r="ADE76" s="228"/>
      <c r="ADF76" s="228"/>
      <c r="ADG76" s="228"/>
      <c r="ADH76" s="228"/>
      <c r="ADI76" s="228"/>
      <c r="ADJ76" s="228"/>
      <c r="ADK76" s="228"/>
      <c r="ADL76" s="228"/>
      <c r="ADM76" s="228"/>
      <c r="ADN76" s="228"/>
      <c r="ADO76" s="228"/>
      <c r="ADP76" s="228"/>
      <c r="ADQ76" s="228"/>
      <c r="ADR76" s="228"/>
      <c r="ADS76" s="228"/>
      <c r="ADT76" s="228"/>
      <c r="ADU76" s="228"/>
      <c r="ADV76" s="228"/>
      <c r="ADW76" s="228"/>
      <c r="ADX76" s="228"/>
      <c r="ADY76" s="228"/>
      <c r="ADZ76" s="228"/>
      <c r="AEA76" s="228"/>
      <c r="AEB76" s="228"/>
      <c r="AEC76" s="228"/>
      <c r="AED76" s="228"/>
      <c r="AEE76" s="228"/>
      <c r="AEF76" s="228"/>
      <c r="AEG76" s="228"/>
      <c r="AEH76" s="228"/>
      <c r="AEI76" s="228"/>
      <c r="AEJ76" s="228"/>
      <c r="AEK76" s="228"/>
      <c r="AEL76" s="228"/>
      <c r="AEM76" s="228"/>
      <c r="AEN76" s="228"/>
      <c r="AEO76" s="228"/>
      <c r="AEP76" s="228"/>
      <c r="AEQ76" s="228"/>
      <c r="AER76" s="228"/>
      <c r="AES76" s="228"/>
      <c r="AET76" s="228"/>
      <c r="AEU76" s="228"/>
      <c r="AEV76" s="228"/>
      <c r="AEW76" s="228"/>
      <c r="AEX76" s="228"/>
      <c r="AEY76" s="228"/>
      <c r="AEZ76" s="228"/>
      <c r="AFA76" s="228"/>
      <c r="AFB76" s="228"/>
      <c r="AFC76" s="228"/>
      <c r="AFD76" s="228"/>
      <c r="AFE76" s="228"/>
      <c r="AFF76" s="228"/>
      <c r="AFG76" s="228"/>
      <c r="AFH76" s="228"/>
      <c r="AFI76" s="228"/>
      <c r="AFJ76" s="228"/>
      <c r="AFK76" s="228"/>
      <c r="AFL76" s="228"/>
      <c r="AFM76" s="228"/>
      <c r="AFN76" s="228"/>
      <c r="AFO76" s="228"/>
      <c r="AFP76" s="228"/>
      <c r="AFQ76" s="228"/>
      <c r="AFR76" s="228"/>
      <c r="AFS76" s="228"/>
      <c r="AFT76" s="228"/>
      <c r="AFU76" s="228"/>
      <c r="AFV76" s="228"/>
      <c r="AFW76" s="228"/>
      <c r="AFX76" s="228"/>
      <c r="AFY76" s="228"/>
      <c r="AFZ76" s="228"/>
      <c r="AGA76" s="228"/>
      <c r="AGB76" s="228"/>
      <c r="AGC76" s="228"/>
      <c r="AGD76" s="228"/>
      <c r="AGE76" s="228"/>
      <c r="AGF76" s="228"/>
      <c r="AGG76" s="228"/>
      <c r="AGH76" s="228"/>
      <c r="AGI76" s="228"/>
      <c r="AGJ76" s="228"/>
      <c r="AGK76" s="228"/>
      <c r="AGL76" s="228"/>
      <c r="AGM76" s="228"/>
      <c r="AGN76" s="228"/>
      <c r="AGO76" s="228"/>
      <c r="AGP76" s="228"/>
      <c r="AGQ76" s="228"/>
      <c r="AGR76" s="228"/>
      <c r="AGS76" s="228"/>
      <c r="AGT76" s="228"/>
      <c r="AGU76" s="228"/>
      <c r="AGV76" s="228"/>
      <c r="AGW76" s="228"/>
      <c r="AGX76" s="228"/>
      <c r="AGY76" s="228"/>
      <c r="AGZ76" s="228"/>
      <c r="AHA76" s="228"/>
      <c r="AHB76" s="228"/>
      <c r="AHC76" s="228"/>
      <c r="AHD76" s="228"/>
      <c r="AHE76" s="228"/>
      <c r="AHF76" s="228"/>
      <c r="AHG76" s="228"/>
      <c r="AHH76" s="228"/>
      <c r="AHI76" s="228"/>
      <c r="AHJ76" s="228"/>
      <c r="AHK76" s="228"/>
      <c r="AHL76" s="228"/>
      <c r="AHM76" s="228"/>
      <c r="AHN76" s="228"/>
      <c r="AHO76" s="228"/>
      <c r="AHP76" s="228"/>
      <c r="AHQ76" s="228"/>
      <c r="AHR76" s="228"/>
      <c r="AHS76" s="228"/>
      <c r="AHT76" s="228"/>
      <c r="AHU76" s="228"/>
      <c r="AHV76" s="228"/>
      <c r="AHW76" s="228"/>
      <c r="AHX76" s="228"/>
      <c r="AHY76" s="228"/>
      <c r="AHZ76" s="228"/>
      <c r="AIA76" s="228"/>
      <c r="AIB76" s="228"/>
      <c r="AIC76" s="228"/>
      <c r="AID76" s="228"/>
      <c r="AIE76" s="228"/>
      <c r="AIF76" s="228"/>
      <c r="AIG76" s="228"/>
      <c r="AIH76" s="228"/>
      <c r="AII76" s="228"/>
      <c r="AIJ76" s="228"/>
      <c r="AIK76" s="228"/>
      <c r="AIL76" s="228"/>
      <c r="AIM76" s="228"/>
      <c r="AIN76" s="228"/>
      <c r="AIO76" s="228"/>
      <c r="AIP76" s="228"/>
      <c r="AIQ76" s="228"/>
      <c r="AIR76" s="228"/>
      <c r="AIS76" s="228"/>
      <c r="AIT76" s="228"/>
      <c r="AIU76" s="228"/>
      <c r="AIV76" s="228"/>
      <c r="AIW76" s="228"/>
      <c r="AIX76" s="228"/>
      <c r="AIY76" s="228"/>
      <c r="AIZ76" s="228"/>
      <c r="AJA76" s="228"/>
      <c r="AJB76" s="228"/>
      <c r="AJC76" s="228"/>
      <c r="AJD76" s="228"/>
      <c r="AJE76" s="228"/>
      <c r="AJF76" s="228"/>
      <c r="AJG76" s="228"/>
      <c r="AJH76" s="228"/>
      <c r="AJI76" s="228"/>
      <c r="AJJ76" s="228"/>
      <c r="AJK76" s="228"/>
      <c r="AJL76" s="228"/>
      <c r="AJM76" s="228"/>
      <c r="AJN76" s="228"/>
      <c r="AJO76" s="228"/>
      <c r="AJP76" s="228"/>
      <c r="AJQ76" s="228"/>
      <c r="AJR76" s="228"/>
      <c r="AJS76" s="228"/>
      <c r="AJT76" s="228"/>
      <c r="AJU76" s="228"/>
      <c r="AJV76" s="228"/>
      <c r="AJW76" s="228"/>
      <c r="AJX76" s="228"/>
      <c r="AJY76" s="228"/>
      <c r="AJZ76" s="228"/>
      <c r="AKA76" s="228"/>
      <c r="AKB76" s="228"/>
      <c r="AKC76" s="228"/>
      <c r="AKD76" s="228"/>
      <c r="AKE76" s="228"/>
      <c r="AKF76" s="228"/>
      <c r="AKG76" s="228"/>
      <c r="AKH76" s="228"/>
      <c r="AKI76" s="228"/>
      <c r="AKJ76" s="228"/>
      <c r="AKK76" s="228"/>
      <c r="AKL76" s="228"/>
      <c r="AKM76" s="228"/>
      <c r="AKN76" s="228"/>
      <c r="AKO76" s="228"/>
      <c r="AKP76" s="228"/>
      <c r="AKQ76" s="228"/>
      <c r="AKR76" s="228"/>
      <c r="AKS76" s="228"/>
      <c r="AKT76" s="228"/>
      <c r="AKU76" s="228"/>
      <c r="AKV76" s="228"/>
      <c r="AKW76" s="228"/>
      <c r="AKX76" s="228"/>
      <c r="AKY76" s="228"/>
      <c r="AKZ76" s="228"/>
      <c r="ALA76" s="228"/>
      <c r="ALB76" s="228"/>
      <c r="ALC76" s="228"/>
      <c r="ALD76" s="228"/>
      <c r="ALE76" s="228"/>
      <c r="ALF76" s="228"/>
      <c r="ALG76" s="228"/>
      <c r="ALH76" s="228"/>
    </row>
    <row r="77" spans="1:996" s="229" customFormat="1" ht="15.75" customHeight="1">
      <c r="A77" s="37"/>
      <c r="B77" t="str">
        <f t="shared" si="0"/>
        <v>E311111</v>
      </c>
      <c r="C77" s="7" t="s">
        <v>219</v>
      </c>
      <c r="D77" s="26" t="s">
        <v>73</v>
      </c>
      <c r="E77" s="7">
        <v>311111</v>
      </c>
      <c r="F77" s="48" t="s">
        <v>592</v>
      </c>
      <c r="G77" s="49">
        <f>IFERROR(VLOOKUP(E77,'BD - E - Mvto Cx'!$A$15:$D$500,4,0),0)</f>
        <v>0</v>
      </c>
      <c r="H77" s="50">
        <f>IFERROR(VLOOKUP(E77,'BD - E - Mvto Cx'!$J$15:$M$500,4,0),0)</f>
        <v>1208.56</v>
      </c>
      <c r="I77" s="50">
        <f>IFERROR(VLOOKUP(E77,'BD - E - Mvto Cx'!$S$15:$V$500,4,0),0)</f>
        <v>134.74</v>
      </c>
      <c r="J77" s="50">
        <f>IFERROR(VLOOKUP(E77,'BD - E - Mvto Cx'!$AB$15:$AE$500,4,0),0)</f>
        <v>342.14</v>
      </c>
      <c r="K77" s="50">
        <f>IFERROR(VLOOKUP(E77,'BD - E - Mvto Cx'!$AK$15:$AN$500,4,0),0)</f>
        <v>0</v>
      </c>
      <c r="L77" s="50">
        <f>IFERROR(VLOOKUP(E77,'BD - E - Mvto Cx'!$AT$15:$AW$500,4,0),0)</f>
        <v>0</v>
      </c>
      <c r="M77" s="50">
        <f>IFERROR(VLOOKUP(E77,'BD - E - Mvto Cx'!$BF$15:$BI$500,4,0),0)</f>
        <v>0</v>
      </c>
      <c r="N77" s="50">
        <f>IFERROR(VLOOKUP(E77,'BD - E - Mvto Cx'!$BO$15:$BR$500,4,0),0)</f>
        <v>0</v>
      </c>
      <c r="O77" s="50">
        <f>IFERROR(VLOOKUP(E77,'BD - E - Mvto Cx'!$BX$15:$CA$500,4,0),0)</f>
        <v>0</v>
      </c>
      <c r="P77" s="50">
        <f>IFERROR(VLOOKUP(E77,'BD - E - Mvto Cx'!$CG$15:$CJ$500,4,0),0)</f>
        <v>0</v>
      </c>
      <c r="Q77" s="50">
        <f>IFERROR(VLOOKUP(E77,'BD - E - Mvto Cx'!$CP$15:$CS$500,4,0),0)</f>
        <v>0</v>
      </c>
      <c r="R77" s="50">
        <f>IFERROR(VLOOKUP(E77,'BD - E - Mvto Cx'!$CY$15:$DB$500,4,0),0)</f>
        <v>0</v>
      </c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A77" s="228"/>
      <c r="BB77" s="228"/>
      <c r="BC77" s="228"/>
      <c r="BD77" s="228"/>
      <c r="BE77" s="228"/>
      <c r="BF77" s="228"/>
      <c r="BG77" s="228"/>
      <c r="BH77" s="228"/>
      <c r="BI77" s="228"/>
      <c r="BJ77" s="228"/>
      <c r="BK77" s="228"/>
      <c r="BL77" s="228"/>
      <c r="BM77" s="228"/>
      <c r="BN77" s="228"/>
      <c r="BO77" s="228"/>
      <c r="BP77" s="228"/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28"/>
      <c r="CL77" s="228"/>
      <c r="CM77" s="228"/>
      <c r="CN77" s="228"/>
      <c r="CO77" s="228"/>
      <c r="CP77" s="228"/>
      <c r="CQ77" s="228"/>
      <c r="CR77" s="228"/>
      <c r="CS77" s="228"/>
      <c r="CT77" s="228"/>
      <c r="CU77" s="228"/>
      <c r="CV77" s="228"/>
      <c r="CW77" s="228"/>
      <c r="CX77" s="228"/>
      <c r="CY77" s="228"/>
      <c r="CZ77" s="228"/>
      <c r="DA77" s="228"/>
      <c r="DB77" s="228"/>
      <c r="DC77" s="228"/>
      <c r="DD77" s="228"/>
      <c r="DE77" s="228"/>
      <c r="DF77" s="228"/>
      <c r="DG77" s="228"/>
      <c r="DH77" s="228"/>
      <c r="DI77" s="228"/>
      <c r="DJ77" s="228"/>
      <c r="DK77" s="228"/>
      <c r="DL77" s="228"/>
      <c r="DM77" s="228"/>
      <c r="DN77" s="228"/>
      <c r="DO77" s="228"/>
      <c r="DP77" s="228"/>
      <c r="DQ77" s="228"/>
      <c r="DR77" s="228"/>
      <c r="DS77" s="228"/>
      <c r="DT77" s="228"/>
      <c r="DU77" s="228"/>
      <c r="DV77" s="228"/>
      <c r="DW77" s="228"/>
      <c r="DX77" s="228"/>
      <c r="DY77" s="228"/>
      <c r="DZ77" s="228"/>
      <c r="EA77" s="228"/>
      <c r="EB77" s="228"/>
      <c r="EC77" s="228"/>
      <c r="ED77" s="228"/>
      <c r="EE77" s="228"/>
      <c r="EF77" s="228"/>
      <c r="EG77" s="228"/>
      <c r="EH77" s="228"/>
      <c r="EI77" s="228"/>
      <c r="EJ77" s="228"/>
      <c r="EK77" s="228"/>
      <c r="EL77" s="228"/>
      <c r="EM77" s="228"/>
      <c r="EN77" s="228"/>
      <c r="EO77" s="228"/>
      <c r="EP77" s="228"/>
      <c r="EQ77" s="228"/>
      <c r="ER77" s="228"/>
      <c r="ES77" s="228"/>
      <c r="ET77" s="228"/>
      <c r="EU77" s="228"/>
      <c r="EV77" s="228"/>
      <c r="EW77" s="228"/>
      <c r="EX77" s="228"/>
      <c r="EY77" s="228"/>
      <c r="EZ77" s="228"/>
      <c r="FA77" s="228"/>
      <c r="FB77" s="228"/>
      <c r="FC77" s="228"/>
      <c r="FD77" s="228"/>
      <c r="FE77" s="228"/>
      <c r="FF77" s="228"/>
      <c r="FG77" s="228"/>
      <c r="FH77" s="228"/>
      <c r="FI77" s="228"/>
      <c r="FJ77" s="228"/>
      <c r="FK77" s="228"/>
      <c r="FL77" s="228"/>
      <c r="FM77" s="228"/>
      <c r="FN77" s="228"/>
      <c r="FO77" s="228"/>
      <c r="FP77" s="228"/>
      <c r="FQ77" s="228"/>
      <c r="FR77" s="228"/>
      <c r="FS77" s="228"/>
      <c r="FT77" s="228"/>
      <c r="FU77" s="228"/>
      <c r="FV77" s="228"/>
      <c r="FW77" s="228"/>
      <c r="FX77" s="228"/>
      <c r="FY77" s="228"/>
      <c r="FZ77" s="228"/>
      <c r="GA77" s="228"/>
      <c r="GB77" s="228"/>
      <c r="GC77" s="228"/>
      <c r="GD77" s="228"/>
      <c r="GE77" s="228"/>
      <c r="GF77" s="228"/>
      <c r="GG77" s="228"/>
      <c r="GH77" s="228"/>
      <c r="GI77" s="228"/>
      <c r="GJ77" s="228"/>
      <c r="GK77" s="228"/>
      <c r="GL77" s="228"/>
      <c r="GM77" s="228"/>
      <c r="GN77" s="228"/>
      <c r="GO77" s="228"/>
      <c r="GP77" s="228"/>
      <c r="GQ77" s="228"/>
      <c r="GR77" s="228"/>
      <c r="GS77" s="228"/>
      <c r="GT77" s="228"/>
      <c r="GU77" s="228"/>
      <c r="GV77" s="228"/>
      <c r="GW77" s="228"/>
      <c r="GX77" s="228"/>
      <c r="GY77" s="228"/>
      <c r="GZ77" s="228"/>
      <c r="HA77" s="228"/>
      <c r="HB77" s="228"/>
      <c r="HC77" s="228"/>
      <c r="HD77" s="228"/>
      <c r="HE77" s="228"/>
      <c r="HF77" s="228"/>
      <c r="HG77" s="228"/>
      <c r="HH77" s="228"/>
      <c r="HI77" s="228"/>
      <c r="HJ77" s="228"/>
      <c r="HK77" s="228"/>
      <c r="HL77" s="228"/>
      <c r="HM77" s="228"/>
      <c r="HN77" s="228"/>
      <c r="HO77" s="228"/>
      <c r="HP77" s="228"/>
      <c r="HQ77" s="228"/>
      <c r="HR77" s="228"/>
      <c r="HS77" s="228"/>
      <c r="HT77" s="228"/>
      <c r="HU77" s="228"/>
      <c r="HV77" s="228"/>
      <c r="HW77" s="228"/>
      <c r="HX77" s="228"/>
      <c r="HY77" s="228"/>
      <c r="HZ77" s="228"/>
      <c r="IA77" s="228"/>
      <c r="IB77" s="228"/>
      <c r="IC77" s="228"/>
      <c r="ID77" s="228"/>
      <c r="IE77" s="228"/>
      <c r="IF77" s="228"/>
      <c r="IG77" s="228"/>
      <c r="IH77" s="228"/>
      <c r="II77" s="228"/>
      <c r="IJ77" s="228"/>
      <c r="IK77" s="228"/>
      <c r="IL77" s="228"/>
      <c r="IM77" s="228"/>
      <c r="IN77" s="228"/>
      <c r="IO77" s="228"/>
      <c r="IP77" s="228"/>
      <c r="IQ77" s="228"/>
      <c r="IR77" s="228"/>
      <c r="IS77" s="228"/>
      <c r="IT77" s="228"/>
      <c r="IU77" s="228"/>
      <c r="IV77" s="228"/>
      <c r="IW77" s="228"/>
      <c r="IX77" s="228"/>
      <c r="IY77" s="228"/>
      <c r="IZ77" s="228"/>
      <c r="JA77" s="228"/>
      <c r="JB77" s="228"/>
      <c r="JC77" s="228"/>
      <c r="JD77" s="228"/>
      <c r="JE77" s="228"/>
      <c r="JF77" s="228"/>
      <c r="JG77" s="228"/>
      <c r="JH77" s="228"/>
      <c r="JI77" s="228"/>
      <c r="JJ77" s="228"/>
      <c r="JK77" s="228"/>
      <c r="JL77" s="228"/>
      <c r="JM77" s="228"/>
      <c r="JN77" s="228"/>
      <c r="JO77" s="228"/>
      <c r="JP77" s="228"/>
      <c r="JQ77" s="228"/>
      <c r="JR77" s="228"/>
      <c r="JS77" s="228"/>
      <c r="JT77" s="228"/>
      <c r="JU77" s="228"/>
      <c r="JV77" s="228"/>
      <c r="JW77" s="228"/>
      <c r="JX77" s="228"/>
      <c r="JY77" s="228"/>
      <c r="JZ77" s="228"/>
      <c r="KA77" s="228"/>
      <c r="KB77" s="228"/>
      <c r="KC77" s="228"/>
      <c r="KD77" s="228"/>
      <c r="KE77" s="228"/>
      <c r="KF77" s="228"/>
      <c r="KG77" s="228"/>
      <c r="KH77" s="228"/>
      <c r="KI77" s="228"/>
      <c r="KJ77" s="228"/>
      <c r="KK77" s="228"/>
      <c r="KL77" s="228"/>
      <c r="KM77" s="228"/>
      <c r="KN77" s="228"/>
      <c r="KO77" s="228"/>
      <c r="KP77" s="228"/>
      <c r="KQ77" s="228"/>
      <c r="KR77" s="228"/>
      <c r="KS77" s="228"/>
      <c r="KT77" s="228"/>
      <c r="KU77" s="228"/>
      <c r="KV77" s="228"/>
      <c r="KW77" s="228"/>
      <c r="KX77" s="228"/>
      <c r="KY77" s="228"/>
      <c r="KZ77" s="228"/>
      <c r="LA77" s="228"/>
      <c r="LB77" s="228"/>
      <c r="LC77" s="228"/>
      <c r="LD77" s="228"/>
      <c r="LE77" s="228"/>
      <c r="LF77" s="228"/>
      <c r="LG77" s="228"/>
      <c r="LH77" s="228"/>
      <c r="LI77" s="228"/>
      <c r="LJ77" s="228"/>
      <c r="LK77" s="228"/>
      <c r="LL77" s="228"/>
      <c r="LM77" s="228"/>
      <c r="LN77" s="228"/>
      <c r="LO77" s="228"/>
      <c r="LP77" s="228"/>
      <c r="LQ77" s="228"/>
      <c r="LR77" s="228"/>
      <c r="LS77" s="228"/>
      <c r="LT77" s="228"/>
      <c r="LU77" s="228"/>
      <c r="LV77" s="228"/>
      <c r="LW77" s="228"/>
      <c r="LX77" s="228"/>
      <c r="LY77" s="228"/>
      <c r="LZ77" s="228"/>
      <c r="MA77" s="228"/>
      <c r="MB77" s="228"/>
      <c r="MC77" s="228"/>
      <c r="MD77" s="228"/>
      <c r="ME77" s="228"/>
      <c r="MF77" s="228"/>
      <c r="MG77" s="228"/>
      <c r="MH77" s="228"/>
      <c r="MI77" s="228"/>
      <c r="MJ77" s="228"/>
      <c r="MK77" s="228"/>
      <c r="ML77" s="228"/>
      <c r="MM77" s="228"/>
      <c r="MN77" s="228"/>
      <c r="MO77" s="228"/>
      <c r="MP77" s="228"/>
      <c r="MQ77" s="228"/>
      <c r="MR77" s="228"/>
      <c r="MS77" s="228"/>
      <c r="MT77" s="228"/>
      <c r="MU77" s="228"/>
      <c r="MV77" s="228"/>
      <c r="MW77" s="228"/>
      <c r="MX77" s="228"/>
      <c r="MY77" s="228"/>
      <c r="MZ77" s="228"/>
      <c r="NA77" s="228"/>
      <c r="NB77" s="228"/>
      <c r="NC77" s="228"/>
      <c r="ND77" s="228"/>
      <c r="NE77" s="228"/>
      <c r="NF77" s="228"/>
      <c r="NG77" s="228"/>
      <c r="NH77" s="228"/>
      <c r="NI77" s="228"/>
      <c r="NJ77" s="228"/>
      <c r="NK77" s="228"/>
      <c r="NL77" s="228"/>
      <c r="NM77" s="228"/>
      <c r="NN77" s="228"/>
      <c r="NO77" s="228"/>
      <c r="NP77" s="228"/>
      <c r="NQ77" s="228"/>
      <c r="NR77" s="228"/>
      <c r="NS77" s="228"/>
      <c r="NT77" s="228"/>
      <c r="NU77" s="228"/>
      <c r="NV77" s="228"/>
      <c r="NW77" s="228"/>
      <c r="NX77" s="228"/>
      <c r="NY77" s="228"/>
      <c r="NZ77" s="228"/>
      <c r="OA77" s="228"/>
      <c r="OB77" s="228"/>
      <c r="OC77" s="228"/>
      <c r="OD77" s="228"/>
      <c r="OE77" s="228"/>
      <c r="OF77" s="228"/>
      <c r="OG77" s="228"/>
      <c r="OH77" s="228"/>
      <c r="OI77" s="228"/>
      <c r="OJ77" s="228"/>
      <c r="OK77" s="228"/>
      <c r="OL77" s="228"/>
      <c r="OM77" s="228"/>
      <c r="ON77" s="228"/>
      <c r="OO77" s="228"/>
      <c r="OP77" s="228"/>
      <c r="OQ77" s="228"/>
      <c r="OR77" s="228"/>
      <c r="OS77" s="228"/>
      <c r="OT77" s="228"/>
      <c r="OU77" s="228"/>
      <c r="OV77" s="228"/>
      <c r="OW77" s="228"/>
      <c r="OX77" s="228"/>
      <c r="OY77" s="228"/>
      <c r="OZ77" s="228"/>
      <c r="PA77" s="228"/>
      <c r="PB77" s="228"/>
      <c r="PC77" s="228"/>
      <c r="PD77" s="228"/>
      <c r="PE77" s="228"/>
      <c r="PF77" s="228"/>
      <c r="PG77" s="228"/>
      <c r="PH77" s="228"/>
      <c r="PI77" s="228"/>
      <c r="PJ77" s="228"/>
      <c r="PK77" s="228"/>
      <c r="PL77" s="228"/>
      <c r="PM77" s="228"/>
      <c r="PN77" s="228"/>
      <c r="PO77" s="228"/>
      <c r="PP77" s="228"/>
      <c r="PQ77" s="228"/>
      <c r="PR77" s="228"/>
      <c r="PS77" s="228"/>
      <c r="PT77" s="228"/>
      <c r="PU77" s="228"/>
      <c r="PV77" s="228"/>
      <c r="PW77" s="228"/>
      <c r="PX77" s="228"/>
      <c r="PY77" s="228"/>
      <c r="PZ77" s="228"/>
      <c r="QA77" s="228"/>
      <c r="QB77" s="228"/>
      <c r="QC77" s="228"/>
      <c r="QD77" s="228"/>
      <c r="QE77" s="228"/>
      <c r="QF77" s="228"/>
      <c r="QG77" s="228"/>
      <c r="QH77" s="228"/>
      <c r="QI77" s="228"/>
      <c r="QJ77" s="228"/>
      <c r="QK77" s="228"/>
      <c r="QL77" s="228"/>
      <c r="QM77" s="228"/>
      <c r="QN77" s="228"/>
      <c r="QO77" s="228"/>
      <c r="QP77" s="228"/>
      <c r="QQ77" s="228"/>
      <c r="QR77" s="228"/>
      <c r="QS77" s="228"/>
      <c r="QT77" s="228"/>
      <c r="QU77" s="228"/>
      <c r="QV77" s="228"/>
      <c r="QW77" s="228"/>
      <c r="QX77" s="228"/>
      <c r="QY77" s="228"/>
      <c r="QZ77" s="228"/>
      <c r="RA77" s="228"/>
      <c r="RB77" s="228"/>
      <c r="RC77" s="228"/>
      <c r="RD77" s="228"/>
      <c r="RE77" s="228"/>
      <c r="RF77" s="228"/>
      <c r="RG77" s="228"/>
      <c r="RH77" s="228"/>
      <c r="RI77" s="228"/>
      <c r="RJ77" s="228"/>
      <c r="RK77" s="228"/>
      <c r="RL77" s="228"/>
      <c r="RM77" s="228"/>
      <c r="RN77" s="228"/>
      <c r="RO77" s="228"/>
      <c r="RP77" s="228"/>
      <c r="RQ77" s="228"/>
      <c r="RR77" s="228"/>
      <c r="RS77" s="228"/>
      <c r="RT77" s="228"/>
      <c r="RU77" s="228"/>
      <c r="RV77" s="228"/>
      <c r="RW77" s="228"/>
      <c r="RX77" s="228"/>
      <c r="RY77" s="228"/>
      <c r="RZ77" s="228"/>
      <c r="SA77" s="228"/>
      <c r="SB77" s="228"/>
      <c r="SC77" s="228"/>
      <c r="SD77" s="228"/>
      <c r="SE77" s="228"/>
      <c r="SF77" s="228"/>
      <c r="SG77" s="228"/>
      <c r="SH77" s="228"/>
      <c r="SI77" s="228"/>
      <c r="SJ77" s="228"/>
      <c r="SK77" s="228"/>
      <c r="SL77" s="228"/>
      <c r="SM77" s="228"/>
      <c r="SN77" s="228"/>
      <c r="SO77" s="228"/>
      <c r="SP77" s="228"/>
      <c r="SQ77" s="228"/>
      <c r="SR77" s="228"/>
      <c r="SS77" s="228"/>
      <c r="ST77" s="228"/>
      <c r="SU77" s="228"/>
      <c r="SV77" s="228"/>
      <c r="SW77" s="228"/>
      <c r="SX77" s="228"/>
      <c r="SY77" s="228"/>
      <c r="SZ77" s="228"/>
      <c r="TA77" s="228"/>
      <c r="TB77" s="228"/>
      <c r="TC77" s="228"/>
      <c r="TD77" s="228"/>
      <c r="TE77" s="228"/>
      <c r="TF77" s="228"/>
      <c r="TG77" s="228"/>
      <c r="TH77" s="228"/>
      <c r="TI77" s="228"/>
      <c r="TJ77" s="228"/>
      <c r="TK77" s="228"/>
      <c r="TL77" s="228"/>
      <c r="TM77" s="228"/>
      <c r="TN77" s="228"/>
      <c r="TO77" s="228"/>
      <c r="TP77" s="228"/>
      <c r="TQ77" s="228"/>
      <c r="TR77" s="228"/>
      <c r="TS77" s="228"/>
      <c r="TT77" s="228"/>
      <c r="TU77" s="228"/>
      <c r="TV77" s="228"/>
      <c r="TW77" s="228"/>
      <c r="TX77" s="228"/>
      <c r="TY77" s="228"/>
      <c r="TZ77" s="228"/>
      <c r="UA77" s="228"/>
      <c r="UB77" s="228"/>
      <c r="UC77" s="228"/>
      <c r="UD77" s="228"/>
      <c r="UE77" s="228"/>
      <c r="UF77" s="228"/>
      <c r="UG77" s="228"/>
      <c r="UH77" s="228"/>
      <c r="UI77" s="228"/>
      <c r="UJ77" s="228"/>
      <c r="UK77" s="228"/>
      <c r="UL77" s="228"/>
      <c r="UM77" s="228"/>
      <c r="UN77" s="228"/>
      <c r="UO77" s="228"/>
      <c r="UP77" s="228"/>
      <c r="UQ77" s="228"/>
      <c r="UR77" s="228"/>
      <c r="US77" s="228"/>
      <c r="UT77" s="228"/>
      <c r="UU77" s="228"/>
      <c r="UV77" s="228"/>
      <c r="UW77" s="228"/>
      <c r="UX77" s="228"/>
      <c r="UY77" s="228"/>
      <c r="UZ77" s="228"/>
      <c r="VA77" s="228"/>
      <c r="VB77" s="228"/>
      <c r="VC77" s="228"/>
      <c r="VD77" s="228"/>
      <c r="VE77" s="228"/>
      <c r="VF77" s="228"/>
      <c r="VG77" s="228"/>
      <c r="VH77" s="228"/>
      <c r="VI77" s="228"/>
      <c r="VJ77" s="228"/>
      <c r="VK77" s="228"/>
      <c r="VL77" s="228"/>
      <c r="VM77" s="228"/>
      <c r="VN77" s="228"/>
      <c r="VO77" s="228"/>
      <c r="VP77" s="228"/>
      <c r="VQ77" s="228"/>
      <c r="VR77" s="228"/>
      <c r="VS77" s="228"/>
      <c r="VT77" s="228"/>
      <c r="VU77" s="228"/>
      <c r="VV77" s="228"/>
      <c r="VW77" s="228"/>
      <c r="VX77" s="228"/>
      <c r="VY77" s="228"/>
      <c r="VZ77" s="228"/>
      <c r="WA77" s="228"/>
      <c r="WB77" s="228"/>
      <c r="WC77" s="228"/>
      <c r="WD77" s="228"/>
      <c r="WE77" s="228"/>
      <c r="WF77" s="228"/>
      <c r="WG77" s="228"/>
      <c r="WH77" s="228"/>
      <c r="WI77" s="228"/>
      <c r="WJ77" s="228"/>
      <c r="WK77" s="228"/>
      <c r="WL77" s="228"/>
      <c r="WM77" s="228"/>
      <c r="WN77" s="228"/>
      <c r="WO77" s="228"/>
      <c r="WP77" s="228"/>
      <c r="WQ77" s="228"/>
      <c r="WR77" s="228"/>
      <c r="WS77" s="228"/>
      <c r="WT77" s="228"/>
      <c r="WU77" s="228"/>
      <c r="WV77" s="228"/>
      <c r="WW77" s="228"/>
      <c r="WX77" s="228"/>
      <c r="WY77" s="228"/>
      <c r="WZ77" s="228"/>
      <c r="XA77" s="228"/>
      <c r="XB77" s="228"/>
      <c r="XC77" s="228"/>
      <c r="XD77" s="228"/>
      <c r="XE77" s="228"/>
      <c r="XF77" s="228"/>
      <c r="XG77" s="228"/>
      <c r="XH77" s="228"/>
      <c r="XI77" s="228"/>
      <c r="XJ77" s="228"/>
      <c r="XK77" s="228"/>
      <c r="XL77" s="228"/>
      <c r="XM77" s="228"/>
      <c r="XN77" s="228"/>
      <c r="XO77" s="228"/>
      <c r="XP77" s="228"/>
      <c r="XQ77" s="228"/>
      <c r="XR77" s="228"/>
      <c r="XS77" s="228"/>
      <c r="XT77" s="228"/>
      <c r="XU77" s="228"/>
      <c r="XV77" s="228"/>
      <c r="XW77" s="228"/>
      <c r="XX77" s="228"/>
      <c r="XY77" s="228"/>
      <c r="XZ77" s="228"/>
      <c r="YA77" s="228"/>
      <c r="YB77" s="228"/>
      <c r="YC77" s="228"/>
      <c r="YD77" s="228"/>
      <c r="YE77" s="228"/>
      <c r="YF77" s="228"/>
      <c r="YG77" s="228"/>
      <c r="YH77" s="228"/>
      <c r="YI77" s="228"/>
      <c r="YJ77" s="228"/>
      <c r="YK77" s="228"/>
      <c r="YL77" s="228"/>
      <c r="YM77" s="228"/>
      <c r="YN77" s="228"/>
      <c r="YO77" s="228"/>
      <c r="YP77" s="228"/>
      <c r="YQ77" s="228"/>
      <c r="YR77" s="228"/>
      <c r="YS77" s="228"/>
      <c r="YT77" s="228"/>
      <c r="YU77" s="228"/>
      <c r="YV77" s="228"/>
      <c r="YW77" s="228"/>
      <c r="YX77" s="228"/>
      <c r="YY77" s="228"/>
      <c r="YZ77" s="228"/>
      <c r="ZA77" s="228"/>
      <c r="ZB77" s="228"/>
      <c r="ZC77" s="228"/>
      <c r="ZD77" s="228"/>
      <c r="ZE77" s="228"/>
      <c r="ZF77" s="228"/>
      <c r="ZG77" s="228"/>
      <c r="ZH77" s="228"/>
      <c r="ZI77" s="228"/>
      <c r="ZJ77" s="228"/>
      <c r="ZK77" s="228"/>
      <c r="ZL77" s="228"/>
      <c r="ZM77" s="228"/>
      <c r="ZN77" s="228"/>
      <c r="ZO77" s="228"/>
      <c r="ZP77" s="228"/>
      <c r="ZQ77" s="228"/>
      <c r="ZR77" s="228"/>
      <c r="ZS77" s="228"/>
      <c r="ZT77" s="228"/>
      <c r="ZU77" s="228"/>
      <c r="ZV77" s="228"/>
      <c r="ZW77" s="228"/>
      <c r="ZX77" s="228"/>
      <c r="ZY77" s="228"/>
      <c r="ZZ77" s="228"/>
      <c r="AAA77" s="228"/>
      <c r="AAB77" s="228"/>
      <c r="AAC77" s="228"/>
      <c r="AAD77" s="228"/>
      <c r="AAE77" s="228"/>
      <c r="AAF77" s="228"/>
      <c r="AAG77" s="228"/>
      <c r="AAH77" s="228"/>
      <c r="AAI77" s="228"/>
      <c r="AAJ77" s="228"/>
      <c r="AAK77" s="228"/>
      <c r="AAL77" s="228"/>
      <c r="AAM77" s="228"/>
      <c r="AAN77" s="228"/>
      <c r="AAO77" s="228"/>
      <c r="AAP77" s="228"/>
      <c r="AAQ77" s="228"/>
      <c r="AAR77" s="228"/>
      <c r="AAS77" s="228"/>
      <c r="AAT77" s="228"/>
      <c r="AAU77" s="228"/>
      <c r="AAV77" s="228"/>
      <c r="AAW77" s="228"/>
      <c r="AAX77" s="228"/>
      <c r="AAY77" s="228"/>
      <c r="AAZ77" s="228"/>
      <c r="ABA77" s="228"/>
      <c r="ABB77" s="228"/>
      <c r="ABC77" s="228"/>
      <c r="ABD77" s="228"/>
      <c r="ABE77" s="228"/>
      <c r="ABF77" s="228"/>
      <c r="ABG77" s="228"/>
      <c r="ABH77" s="228"/>
      <c r="ABI77" s="228"/>
      <c r="ABJ77" s="228"/>
      <c r="ABK77" s="228"/>
      <c r="ABL77" s="228"/>
      <c r="ABM77" s="228"/>
      <c r="ABN77" s="228"/>
      <c r="ABO77" s="228"/>
      <c r="ABP77" s="228"/>
      <c r="ABQ77" s="228"/>
      <c r="ABR77" s="228"/>
      <c r="ABS77" s="228"/>
      <c r="ABT77" s="228"/>
      <c r="ABU77" s="228"/>
      <c r="ABV77" s="228"/>
      <c r="ABW77" s="228"/>
      <c r="ABX77" s="228"/>
      <c r="ABY77" s="228"/>
      <c r="ABZ77" s="228"/>
      <c r="ACA77" s="228"/>
      <c r="ACB77" s="228"/>
      <c r="ACC77" s="228"/>
      <c r="ACD77" s="228"/>
      <c r="ACE77" s="228"/>
      <c r="ACF77" s="228"/>
      <c r="ACG77" s="228"/>
      <c r="ACH77" s="228"/>
      <c r="ACI77" s="228"/>
      <c r="ACJ77" s="228"/>
      <c r="ACK77" s="228"/>
      <c r="ACL77" s="228"/>
      <c r="ACM77" s="228"/>
      <c r="ACN77" s="228"/>
      <c r="ACO77" s="228"/>
      <c r="ACP77" s="228"/>
      <c r="ACQ77" s="228"/>
      <c r="ACR77" s="228"/>
      <c r="ACS77" s="228"/>
      <c r="ACT77" s="228"/>
      <c r="ACU77" s="228"/>
      <c r="ACV77" s="228"/>
      <c r="ACW77" s="228"/>
      <c r="ACX77" s="228"/>
      <c r="ACY77" s="228"/>
      <c r="ACZ77" s="228"/>
      <c r="ADA77" s="228"/>
      <c r="ADB77" s="228"/>
      <c r="ADC77" s="228"/>
      <c r="ADD77" s="228"/>
      <c r="ADE77" s="228"/>
      <c r="ADF77" s="228"/>
      <c r="ADG77" s="228"/>
      <c r="ADH77" s="228"/>
      <c r="ADI77" s="228"/>
      <c r="ADJ77" s="228"/>
      <c r="ADK77" s="228"/>
      <c r="ADL77" s="228"/>
      <c r="ADM77" s="228"/>
      <c r="ADN77" s="228"/>
      <c r="ADO77" s="228"/>
      <c r="ADP77" s="228"/>
      <c r="ADQ77" s="228"/>
      <c r="ADR77" s="228"/>
      <c r="ADS77" s="228"/>
      <c r="ADT77" s="228"/>
      <c r="ADU77" s="228"/>
      <c r="ADV77" s="228"/>
      <c r="ADW77" s="228"/>
      <c r="ADX77" s="228"/>
      <c r="ADY77" s="228"/>
      <c r="ADZ77" s="228"/>
      <c r="AEA77" s="228"/>
      <c r="AEB77" s="228"/>
      <c r="AEC77" s="228"/>
      <c r="AED77" s="228"/>
      <c r="AEE77" s="228"/>
      <c r="AEF77" s="228"/>
      <c r="AEG77" s="228"/>
      <c r="AEH77" s="228"/>
      <c r="AEI77" s="228"/>
      <c r="AEJ77" s="228"/>
      <c r="AEK77" s="228"/>
      <c r="AEL77" s="228"/>
      <c r="AEM77" s="228"/>
      <c r="AEN77" s="228"/>
      <c r="AEO77" s="228"/>
      <c r="AEP77" s="228"/>
      <c r="AEQ77" s="228"/>
      <c r="AER77" s="228"/>
      <c r="AES77" s="228"/>
      <c r="AET77" s="228"/>
      <c r="AEU77" s="228"/>
      <c r="AEV77" s="228"/>
      <c r="AEW77" s="228"/>
      <c r="AEX77" s="228"/>
      <c r="AEY77" s="228"/>
      <c r="AEZ77" s="228"/>
      <c r="AFA77" s="228"/>
      <c r="AFB77" s="228"/>
      <c r="AFC77" s="228"/>
      <c r="AFD77" s="228"/>
      <c r="AFE77" s="228"/>
      <c r="AFF77" s="228"/>
      <c r="AFG77" s="228"/>
      <c r="AFH77" s="228"/>
      <c r="AFI77" s="228"/>
      <c r="AFJ77" s="228"/>
      <c r="AFK77" s="228"/>
      <c r="AFL77" s="228"/>
      <c r="AFM77" s="228"/>
      <c r="AFN77" s="228"/>
      <c r="AFO77" s="228"/>
      <c r="AFP77" s="228"/>
      <c r="AFQ77" s="228"/>
      <c r="AFR77" s="228"/>
      <c r="AFS77" s="228"/>
      <c r="AFT77" s="228"/>
      <c r="AFU77" s="228"/>
      <c r="AFV77" s="228"/>
      <c r="AFW77" s="228"/>
      <c r="AFX77" s="228"/>
      <c r="AFY77" s="228"/>
      <c r="AFZ77" s="228"/>
      <c r="AGA77" s="228"/>
      <c r="AGB77" s="228"/>
      <c r="AGC77" s="228"/>
      <c r="AGD77" s="228"/>
      <c r="AGE77" s="228"/>
      <c r="AGF77" s="228"/>
      <c r="AGG77" s="228"/>
      <c r="AGH77" s="228"/>
      <c r="AGI77" s="228"/>
      <c r="AGJ77" s="228"/>
      <c r="AGK77" s="228"/>
      <c r="AGL77" s="228"/>
      <c r="AGM77" s="228"/>
      <c r="AGN77" s="228"/>
      <c r="AGO77" s="228"/>
      <c r="AGP77" s="228"/>
      <c r="AGQ77" s="228"/>
      <c r="AGR77" s="228"/>
      <c r="AGS77" s="228"/>
      <c r="AGT77" s="228"/>
      <c r="AGU77" s="228"/>
      <c r="AGV77" s="228"/>
      <c r="AGW77" s="228"/>
      <c r="AGX77" s="228"/>
      <c r="AGY77" s="228"/>
      <c r="AGZ77" s="228"/>
      <c r="AHA77" s="228"/>
      <c r="AHB77" s="228"/>
      <c r="AHC77" s="228"/>
      <c r="AHD77" s="228"/>
      <c r="AHE77" s="228"/>
      <c r="AHF77" s="228"/>
      <c r="AHG77" s="228"/>
      <c r="AHH77" s="228"/>
      <c r="AHI77" s="228"/>
      <c r="AHJ77" s="228"/>
      <c r="AHK77" s="228"/>
      <c r="AHL77" s="228"/>
      <c r="AHM77" s="228"/>
      <c r="AHN77" s="228"/>
      <c r="AHO77" s="228"/>
      <c r="AHP77" s="228"/>
      <c r="AHQ77" s="228"/>
      <c r="AHR77" s="228"/>
      <c r="AHS77" s="228"/>
      <c r="AHT77" s="228"/>
      <c r="AHU77" s="228"/>
      <c r="AHV77" s="228"/>
      <c r="AHW77" s="228"/>
      <c r="AHX77" s="228"/>
      <c r="AHY77" s="228"/>
      <c r="AHZ77" s="228"/>
      <c r="AIA77" s="228"/>
      <c r="AIB77" s="228"/>
      <c r="AIC77" s="228"/>
      <c r="AID77" s="228"/>
      <c r="AIE77" s="228"/>
      <c r="AIF77" s="228"/>
      <c r="AIG77" s="228"/>
      <c r="AIH77" s="228"/>
      <c r="AII77" s="228"/>
      <c r="AIJ77" s="228"/>
      <c r="AIK77" s="228"/>
      <c r="AIL77" s="228"/>
      <c r="AIM77" s="228"/>
      <c r="AIN77" s="228"/>
      <c r="AIO77" s="228"/>
      <c r="AIP77" s="228"/>
      <c r="AIQ77" s="228"/>
      <c r="AIR77" s="228"/>
      <c r="AIS77" s="228"/>
      <c r="AIT77" s="228"/>
      <c r="AIU77" s="228"/>
      <c r="AIV77" s="228"/>
      <c r="AIW77" s="228"/>
      <c r="AIX77" s="228"/>
      <c r="AIY77" s="228"/>
      <c r="AIZ77" s="228"/>
      <c r="AJA77" s="228"/>
      <c r="AJB77" s="228"/>
      <c r="AJC77" s="228"/>
      <c r="AJD77" s="228"/>
      <c r="AJE77" s="228"/>
      <c r="AJF77" s="228"/>
      <c r="AJG77" s="228"/>
      <c r="AJH77" s="228"/>
      <c r="AJI77" s="228"/>
      <c r="AJJ77" s="228"/>
      <c r="AJK77" s="228"/>
      <c r="AJL77" s="228"/>
      <c r="AJM77" s="228"/>
      <c r="AJN77" s="228"/>
      <c r="AJO77" s="228"/>
      <c r="AJP77" s="228"/>
      <c r="AJQ77" s="228"/>
      <c r="AJR77" s="228"/>
      <c r="AJS77" s="228"/>
      <c r="AJT77" s="228"/>
      <c r="AJU77" s="228"/>
      <c r="AJV77" s="228"/>
      <c r="AJW77" s="228"/>
      <c r="AJX77" s="228"/>
      <c r="AJY77" s="228"/>
      <c r="AJZ77" s="228"/>
      <c r="AKA77" s="228"/>
      <c r="AKB77" s="228"/>
      <c r="AKC77" s="228"/>
      <c r="AKD77" s="228"/>
      <c r="AKE77" s="228"/>
      <c r="AKF77" s="228"/>
      <c r="AKG77" s="228"/>
      <c r="AKH77" s="228"/>
      <c r="AKI77" s="228"/>
      <c r="AKJ77" s="228"/>
      <c r="AKK77" s="228"/>
      <c r="AKL77" s="228"/>
      <c r="AKM77" s="228"/>
      <c r="AKN77" s="228"/>
      <c r="AKO77" s="228"/>
      <c r="AKP77" s="228"/>
      <c r="AKQ77" s="228"/>
      <c r="AKR77" s="228"/>
      <c r="AKS77" s="228"/>
      <c r="AKT77" s="228"/>
      <c r="AKU77" s="228"/>
      <c r="AKV77" s="228"/>
      <c r="AKW77" s="228"/>
      <c r="AKX77" s="228"/>
      <c r="AKY77" s="228"/>
      <c r="AKZ77" s="228"/>
      <c r="ALA77" s="228"/>
      <c r="ALB77" s="228"/>
      <c r="ALC77" s="228"/>
      <c r="ALD77" s="228"/>
      <c r="ALE77" s="228"/>
      <c r="ALF77" s="228"/>
      <c r="ALG77" s="228"/>
      <c r="ALH77" s="228"/>
    </row>
    <row r="78" spans="1:996" s="229" customFormat="1">
      <c r="A78" s="37"/>
      <c r="B78" t="str">
        <f t="shared" si="0"/>
        <v>E311112</v>
      </c>
      <c r="C78" s="7" t="s">
        <v>219</v>
      </c>
      <c r="D78" s="26" t="s">
        <v>73</v>
      </c>
      <c r="E78" s="7">
        <v>311112</v>
      </c>
      <c r="F78" s="48" t="s">
        <v>586</v>
      </c>
      <c r="G78" s="49">
        <f>IFERROR(VLOOKUP(E78,'BD - E - Mvto Cx'!$A$15:$D$500,4,0),0)</f>
        <v>1408.99</v>
      </c>
      <c r="H78" s="50">
        <f>IFERROR(VLOOKUP(E78,'BD - E - Mvto Cx'!$J$15:$M$500,4,0),0)</f>
        <v>941.47</v>
      </c>
      <c r="I78" s="50">
        <f>IFERROR(VLOOKUP(E78,'BD - E - Mvto Cx'!$S$15:$V$500,4,0),0)</f>
        <v>2941.78</v>
      </c>
      <c r="J78" s="50">
        <f>IFERROR(VLOOKUP(E78,'BD - E - Mvto Cx'!$AB$15:$AE$500,4,0),0)</f>
        <v>1804.12</v>
      </c>
      <c r="K78" s="50">
        <f>IFERROR(VLOOKUP(E78,'BD - E - Mvto Cx'!$AK$15:$AN$500,4,0),0)</f>
        <v>0</v>
      </c>
      <c r="L78" s="50">
        <f>IFERROR(VLOOKUP(E78,'BD - E - Mvto Cx'!$AT$15:$AW$500,4,0),0)</f>
        <v>0</v>
      </c>
      <c r="M78" s="50">
        <f>IFERROR(VLOOKUP(E78,'BD - E - Mvto Cx'!$BF$15:$BI$500,4,0),0)</f>
        <v>0</v>
      </c>
      <c r="N78" s="50">
        <f>IFERROR(VLOOKUP(E78,'BD - E - Mvto Cx'!$BO$15:$BR$500,4,0),0)</f>
        <v>0</v>
      </c>
      <c r="O78" s="50">
        <f>IFERROR(VLOOKUP(E78,'BD - E - Mvto Cx'!$BX$15:$CA$500,4,0),0)</f>
        <v>0</v>
      </c>
      <c r="P78" s="50">
        <f>IFERROR(VLOOKUP(E78,'BD - E - Mvto Cx'!$CG$15:$CJ$500,4,0),0)</f>
        <v>0</v>
      </c>
      <c r="Q78" s="50">
        <f>IFERROR(VLOOKUP(E78,'BD - E - Mvto Cx'!$CP$15:$CS$500,4,0),0)</f>
        <v>0</v>
      </c>
      <c r="R78" s="50">
        <f>IFERROR(VLOOKUP(E78,'BD - E - Mvto Cx'!$CY$15:$DB$500,4,0),0)</f>
        <v>0</v>
      </c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A78" s="228"/>
      <c r="BB78" s="228"/>
      <c r="BC78" s="228"/>
      <c r="BD78" s="228"/>
      <c r="BE78" s="228"/>
      <c r="BF78" s="228"/>
      <c r="BG78" s="228"/>
      <c r="BH78" s="228"/>
      <c r="BI78" s="228"/>
      <c r="BJ78" s="228"/>
      <c r="BK78" s="228"/>
      <c r="BL78" s="228"/>
      <c r="BM78" s="228"/>
      <c r="BN78" s="228"/>
      <c r="BO78" s="228"/>
      <c r="BP78" s="228"/>
      <c r="BQ78" s="228"/>
      <c r="BR78" s="228"/>
      <c r="BS78" s="228"/>
      <c r="BT78" s="228"/>
      <c r="BU78" s="228"/>
      <c r="BV78" s="228"/>
      <c r="BW78" s="228"/>
      <c r="BX78" s="228"/>
      <c r="BY78" s="228"/>
      <c r="BZ78" s="228"/>
      <c r="CA78" s="228"/>
      <c r="CB78" s="228"/>
      <c r="CC78" s="228"/>
      <c r="CD78" s="228"/>
      <c r="CE78" s="228"/>
      <c r="CF78" s="228"/>
      <c r="CG78" s="228"/>
      <c r="CH78" s="228"/>
      <c r="CI78" s="228"/>
      <c r="CJ78" s="228"/>
      <c r="CK78" s="228"/>
      <c r="CL78" s="228"/>
      <c r="CM78" s="228"/>
      <c r="CN78" s="228"/>
      <c r="CO78" s="228"/>
      <c r="CP78" s="228"/>
      <c r="CQ78" s="228"/>
      <c r="CR78" s="228"/>
      <c r="CS78" s="228"/>
      <c r="CT78" s="228"/>
      <c r="CU78" s="228"/>
      <c r="CV78" s="228"/>
      <c r="CW78" s="228"/>
      <c r="CX78" s="228"/>
      <c r="CY78" s="228"/>
      <c r="CZ78" s="228"/>
      <c r="DA78" s="228"/>
      <c r="DB78" s="228"/>
      <c r="DC78" s="228"/>
      <c r="DD78" s="228"/>
      <c r="DE78" s="228"/>
      <c r="DF78" s="228"/>
      <c r="DG78" s="228"/>
      <c r="DH78" s="228"/>
      <c r="DI78" s="228"/>
      <c r="DJ78" s="228"/>
      <c r="DK78" s="228"/>
      <c r="DL78" s="228"/>
      <c r="DM78" s="228"/>
      <c r="DN78" s="228"/>
      <c r="DO78" s="228"/>
      <c r="DP78" s="228"/>
      <c r="DQ78" s="228"/>
      <c r="DR78" s="228"/>
      <c r="DS78" s="228"/>
      <c r="DT78" s="228"/>
      <c r="DU78" s="228"/>
      <c r="DV78" s="228"/>
      <c r="DW78" s="228"/>
      <c r="DX78" s="228"/>
      <c r="DY78" s="228"/>
      <c r="DZ78" s="228"/>
      <c r="EA78" s="228"/>
      <c r="EB78" s="228"/>
      <c r="EC78" s="228"/>
      <c r="ED78" s="228"/>
      <c r="EE78" s="228"/>
      <c r="EF78" s="228"/>
      <c r="EG78" s="228"/>
      <c r="EH78" s="228"/>
      <c r="EI78" s="228"/>
      <c r="EJ78" s="228"/>
      <c r="EK78" s="228"/>
      <c r="EL78" s="228"/>
      <c r="EM78" s="228"/>
      <c r="EN78" s="228"/>
      <c r="EO78" s="228"/>
      <c r="EP78" s="228"/>
      <c r="EQ78" s="228"/>
      <c r="ER78" s="228"/>
      <c r="ES78" s="228"/>
      <c r="ET78" s="228"/>
      <c r="EU78" s="228"/>
      <c r="EV78" s="228"/>
      <c r="EW78" s="228"/>
      <c r="EX78" s="228"/>
      <c r="EY78" s="228"/>
      <c r="EZ78" s="228"/>
      <c r="FA78" s="228"/>
      <c r="FB78" s="228"/>
      <c r="FC78" s="228"/>
      <c r="FD78" s="228"/>
      <c r="FE78" s="228"/>
      <c r="FF78" s="228"/>
      <c r="FG78" s="228"/>
      <c r="FH78" s="228"/>
      <c r="FI78" s="228"/>
      <c r="FJ78" s="228"/>
      <c r="FK78" s="228"/>
      <c r="FL78" s="228"/>
      <c r="FM78" s="228"/>
      <c r="FN78" s="228"/>
      <c r="FO78" s="228"/>
      <c r="FP78" s="228"/>
      <c r="FQ78" s="228"/>
      <c r="FR78" s="228"/>
      <c r="FS78" s="228"/>
      <c r="FT78" s="228"/>
      <c r="FU78" s="228"/>
      <c r="FV78" s="228"/>
      <c r="FW78" s="228"/>
      <c r="FX78" s="228"/>
      <c r="FY78" s="228"/>
      <c r="FZ78" s="228"/>
      <c r="GA78" s="228"/>
      <c r="GB78" s="228"/>
      <c r="GC78" s="228"/>
      <c r="GD78" s="228"/>
      <c r="GE78" s="228"/>
      <c r="GF78" s="228"/>
      <c r="GG78" s="228"/>
      <c r="GH78" s="228"/>
      <c r="GI78" s="228"/>
      <c r="GJ78" s="228"/>
      <c r="GK78" s="228"/>
      <c r="GL78" s="228"/>
      <c r="GM78" s="228"/>
      <c r="GN78" s="228"/>
      <c r="GO78" s="228"/>
      <c r="GP78" s="228"/>
      <c r="GQ78" s="228"/>
      <c r="GR78" s="228"/>
      <c r="GS78" s="228"/>
      <c r="GT78" s="228"/>
      <c r="GU78" s="228"/>
      <c r="GV78" s="228"/>
      <c r="GW78" s="228"/>
      <c r="GX78" s="228"/>
      <c r="GY78" s="228"/>
      <c r="GZ78" s="228"/>
      <c r="HA78" s="228"/>
      <c r="HB78" s="228"/>
      <c r="HC78" s="228"/>
      <c r="HD78" s="228"/>
      <c r="HE78" s="228"/>
      <c r="HF78" s="228"/>
      <c r="HG78" s="228"/>
      <c r="HH78" s="228"/>
      <c r="HI78" s="228"/>
      <c r="HJ78" s="228"/>
      <c r="HK78" s="228"/>
      <c r="HL78" s="228"/>
      <c r="HM78" s="228"/>
      <c r="HN78" s="228"/>
      <c r="HO78" s="228"/>
      <c r="HP78" s="228"/>
      <c r="HQ78" s="228"/>
      <c r="HR78" s="228"/>
      <c r="HS78" s="228"/>
      <c r="HT78" s="228"/>
      <c r="HU78" s="228"/>
      <c r="HV78" s="228"/>
      <c r="HW78" s="228"/>
      <c r="HX78" s="228"/>
      <c r="HY78" s="228"/>
      <c r="HZ78" s="228"/>
      <c r="IA78" s="228"/>
      <c r="IB78" s="228"/>
      <c r="IC78" s="228"/>
      <c r="ID78" s="228"/>
      <c r="IE78" s="228"/>
      <c r="IF78" s="228"/>
      <c r="IG78" s="228"/>
      <c r="IH78" s="228"/>
      <c r="II78" s="228"/>
      <c r="IJ78" s="228"/>
      <c r="IK78" s="228"/>
      <c r="IL78" s="228"/>
      <c r="IM78" s="228"/>
      <c r="IN78" s="228"/>
      <c r="IO78" s="228"/>
      <c r="IP78" s="228"/>
      <c r="IQ78" s="228"/>
      <c r="IR78" s="228"/>
      <c r="IS78" s="228"/>
      <c r="IT78" s="228"/>
      <c r="IU78" s="228"/>
      <c r="IV78" s="228"/>
      <c r="IW78" s="228"/>
      <c r="IX78" s="228"/>
      <c r="IY78" s="228"/>
      <c r="IZ78" s="228"/>
      <c r="JA78" s="228"/>
      <c r="JB78" s="228"/>
      <c r="JC78" s="228"/>
      <c r="JD78" s="228"/>
      <c r="JE78" s="228"/>
      <c r="JF78" s="228"/>
      <c r="JG78" s="228"/>
      <c r="JH78" s="228"/>
      <c r="JI78" s="228"/>
      <c r="JJ78" s="228"/>
      <c r="JK78" s="228"/>
      <c r="JL78" s="228"/>
      <c r="JM78" s="228"/>
      <c r="JN78" s="228"/>
      <c r="JO78" s="228"/>
      <c r="JP78" s="228"/>
      <c r="JQ78" s="228"/>
      <c r="JR78" s="228"/>
      <c r="JS78" s="228"/>
      <c r="JT78" s="228"/>
      <c r="JU78" s="228"/>
      <c r="JV78" s="228"/>
      <c r="JW78" s="228"/>
      <c r="JX78" s="228"/>
      <c r="JY78" s="228"/>
      <c r="JZ78" s="228"/>
      <c r="KA78" s="228"/>
      <c r="KB78" s="228"/>
      <c r="KC78" s="228"/>
      <c r="KD78" s="228"/>
      <c r="KE78" s="228"/>
      <c r="KF78" s="228"/>
      <c r="KG78" s="228"/>
      <c r="KH78" s="228"/>
      <c r="KI78" s="228"/>
      <c r="KJ78" s="228"/>
      <c r="KK78" s="228"/>
      <c r="KL78" s="228"/>
      <c r="KM78" s="228"/>
      <c r="KN78" s="228"/>
      <c r="KO78" s="228"/>
      <c r="KP78" s="228"/>
      <c r="KQ78" s="228"/>
      <c r="KR78" s="228"/>
      <c r="KS78" s="228"/>
      <c r="KT78" s="228"/>
      <c r="KU78" s="228"/>
      <c r="KV78" s="228"/>
      <c r="KW78" s="228"/>
      <c r="KX78" s="228"/>
      <c r="KY78" s="228"/>
      <c r="KZ78" s="228"/>
      <c r="LA78" s="228"/>
      <c r="LB78" s="228"/>
      <c r="LC78" s="228"/>
      <c r="LD78" s="228"/>
      <c r="LE78" s="228"/>
      <c r="LF78" s="228"/>
      <c r="LG78" s="228"/>
      <c r="LH78" s="228"/>
      <c r="LI78" s="228"/>
      <c r="LJ78" s="228"/>
      <c r="LK78" s="228"/>
      <c r="LL78" s="228"/>
      <c r="LM78" s="228"/>
      <c r="LN78" s="228"/>
      <c r="LO78" s="228"/>
      <c r="LP78" s="228"/>
      <c r="LQ78" s="228"/>
      <c r="LR78" s="228"/>
      <c r="LS78" s="228"/>
      <c r="LT78" s="228"/>
      <c r="LU78" s="228"/>
      <c r="LV78" s="228"/>
      <c r="LW78" s="228"/>
      <c r="LX78" s="228"/>
      <c r="LY78" s="228"/>
      <c r="LZ78" s="228"/>
      <c r="MA78" s="228"/>
      <c r="MB78" s="228"/>
      <c r="MC78" s="228"/>
      <c r="MD78" s="228"/>
      <c r="ME78" s="228"/>
      <c r="MF78" s="228"/>
      <c r="MG78" s="228"/>
      <c r="MH78" s="228"/>
      <c r="MI78" s="228"/>
      <c r="MJ78" s="228"/>
      <c r="MK78" s="228"/>
      <c r="ML78" s="228"/>
      <c r="MM78" s="228"/>
      <c r="MN78" s="228"/>
      <c r="MO78" s="228"/>
      <c r="MP78" s="228"/>
      <c r="MQ78" s="228"/>
      <c r="MR78" s="228"/>
      <c r="MS78" s="228"/>
      <c r="MT78" s="228"/>
      <c r="MU78" s="228"/>
      <c r="MV78" s="228"/>
      <c r="MW78" s="228"/>
      <c r="MX78" s="228"/>
      <c r="MY78" s="228"/>
      <c r="MZ78" s="228"/>
      <c r="NA78" s="228"/>
      <c r="NB78" s="228"/>
      <c r="NC78" s="228"/>
      <c r="ND78" s="228"/>
      <c r="NE78" s="228"/>
      <c r="NF78" s="228"/>
      <c r="NG78" s="228"/>
      <c r="NH78" s="228"/>
      <c r="NI78" s="228"/>
      <c r="NJ78" s="228"/>
      <c r="NK78" s="228"/>
      <c r="NL78" s="228"/>
      <c r="NM78" s="228"/>
      <c r="NN78" s="228"/>
      <c r="NO78" s="228"/>
      <c r="NP78" s="228"/>
      <c r="NQ78" s="228"/>
      <c r="NR78" s="228"/>
      <c r="NS78" s="228"/>
      <c r="NT78" s="228"/>
      <c r="NU78" s="228"/>
      <c r="NV78" s="228"/>
      <c r="NW78" s="228"/>
      <c r="NX78" s="228"/>
      <c r="NY78" s="228"/>
      <c r="NZ78" s="228"/>
      <c r="OA78" s="228"/>
      <c r="OB78" s="228"/>
      <c r="OC78" s="228"/>
      <c r="OD78" s="228"/>
      <c r="OE78" s="228"/>
      <c r="OF78" s="228"/>
      <c r="OG78" s="228"/>
      <c r="OH78" s="228"/>
      <c r="OI78" s="228"/>
      <c r="OJ78" s="228"/>
      <c r="OK78" s="228"/>
      <c r="OL78" s="228"/>
      <c r="OM78" s="228"/>
      <c r="ON78" s="228"/>
      <c r="OO78" s="228"/>
      <c r="OP78" s="228"/>
      <c r="OQ78" s="228"/>
      <c r="OR78" s="228"/>
      <c r="OS78" s="228"/>
      <c r="OT78" s="228"/>
      <c r="OU78" s="228"/>
      <c r="OV78" s="228"/>
      <c r="OW78" s="228"/>
      <c r="OX78" s="228"/>
      <c r="OY78" s="228"/>
      <c r="OZ78" s="228"/>
      <c r="PA78" s="228"/>
      <c r="PB78" s="228"/>
      <c r="PC78" s="228"/>
      <c r="PD78" s="228"/>
      <c r="PE78" s="228"/>
      <c r="PF78" s="228"/>
      <c r="PG78" s="228"/>
      <c r="PH78" s="228"/>
      <c r="PI78" s="228"/>
      <c r="PJ78" s="228"/>
      <c r="PK78" s="228"/>
      <c r="PL78" s="228"/>
      <c r="PM78" s="228"/>
      <c r="PN78" s="228"/>
      <c r="PO78" s="228"/>
      <c r="PP78" s="228"/>
      <c r="PQ78" s="228"/>
      <c r="PR78" s="228"/>
      <c r="PS78" s="228"/>
      <c r="PT78" s="228"/>
      <c r="PU78" s="228"/>
      <c r="PV78" s="228"/>
      <c r="PW78" s="228"/>
      <c r="PX78" s="228"/>
      <c r="PY78" s="228"/>
      <c r="PZ78" s="228"/>
      <c r="QA78" s="228"/>
      <c r="QB78" s="228"/>
      <c r="QC78" s="228"/>
      <c r="QD78" s="228"/>
      <c r="QE78" s="228"/>
      <c r="QF78" s="228"/>
      <c r="QG78" s="228"/>
      <c r="QH78" s="228"/>
      <c r="QI78" s="228"/>
      <c r="QJ78" s="228"/>
      <c r="QK78" s="228"/>
      <c r="QL78" s="228"/>
      <c r="QM78" s="228"/>
      <c r="QN78" s="228"/>
      <c r="QO78" s="228"/>
      <c r="QP78" s="228"/>
      <c r="QQ78" s="228"/>
      <c r="QR78" s="228"/>
      <c r="QS78" s="228"/>
      <c r="QT78" s="228"/>
      <c r="QU78" s="228"/>
      <c r="QV78" s="228"/>
      <c r="QW78" s="228"/>
      <c r="QX78" s="228"/>
      <c r="QY78" s="228"/>
      <c r="QZ78" s="228"/>
      <c r="RA78" s="228"/>
      <c r="RB78" s="228"/>
      <c r="RC78" s="228"/>
      <c r="RD78" s="228"/>
      <c r="RE78" s="228"/>
      <c r="RF78" s="228"/>
      <c r="RG78" s="228"/>
      <c r="RH78" s="228"/>
      <c r="RI78" s="228"/>
      <c r="RJ78" s="228"/>
      <c r="RK78" s="228"/>
      <c r="RL78" s="228"/>
      <c r="RM78" s="228"/>
      <c r="RN78" s="228"/>
      <c r="RO78" s="228"/>
      <c r="RP78" s="228"/>
      <c r="RQ78" s="228"/>
      <c r="RR78" s="228"/>
      <c r="RS78" s="228"/>
      <c r="RT78" s="228"/>
      <c r="RU78" s="228"/>
      <c r="RV78" s="228"/>
      <c r="RW78" s="228"/>
      <c r="RX78" s="228"/>
      <c r="RY78" s="228"/>
      <c r="RZ78" s="228"/>
      <c r="SA78" s="228"/>
      <c r="SB78" s="228"/>
      <c r="SC78" s="228"/>
      <c r="SD78" s="228"/>
      <c r="SE78" s="228"/>
      <c r="SF78" s="228"/>
      <c r="SG78" s="228"/>
      <c r="SH78" s="228"/>
      <c r="SI78" s="228"/>
      <c r="SJ78" s="228"/>
      <c r="SK78" s="228"/>
      <c r="SL78" s="228"/>
      <c r="SM78" s="228"/>
      <c r="SN78" s="228"/>
      <c r="SO78" s="228"/>
      <c r="SP78" s="228"/>
      <c r="SQ78" s="228"/>
      <c r="SR78" s="228"/>
      <c r="SS78" s="228"/>
      <c r="ST78" s="228"/>
      <c r="SU78" s="228"/>
      <c r="SV78" s="228"/>
      <c r="SW78" s="228"/>
      <c r="SX78" s="228"/>
      <c r="SY78" s="228"/>
      <c r="SZ78" s="228"/>
      <c r="TA78" s="228"/>
      <c r="TB78" s="228"/>
      <c r="TC78" s="228"/>
      <c r="TD78" s="228"/>
      <c r="TE78" s="228"/>
      <c r="TF78" s="228"/>
      <c r="TG78" s="228"/>
      <c r="TH78" s="228"/>
      <c r="TI78" s="228"/>
      <c r="TJ78" s="228"/>
      <c r="TK78" s="228"/>
      <c r="TL78" s="228"/>
      <c r="TM78" s="228"/>
      <c r="TN78" s="228"/>
      <c r="TO78" s="228"/>
      <c r="TP78" s="228"/>
      <c r="TQ78" s="228"/>
      <c r="TR78" s="228"/>
      <c r="TS78" s="228"/>
      <c r="TT78" s="228"/>
      <c r="TU78" s="228"/>
      <c r="TV78" s="228"/>
      <c r="TW78" s="228"/>
      <c r="TX78" s="228"/>
      <c r="TY78" s="228"/>
      <c r="TZ78" s="228"/>
      <c r="UA78" s="228"/>
      <c r="UB78" s="228"/>
      <c r="UC78" s="228"/>
      <c r="UD78" s="228"/>
      <c r="UE78" s="228"/>
      <c r="UF78" s="228"/>
      <c r="UG78" s="228"/>
      <c r="UH78" s="228"/>
      <c r="UI78" s="228"/>
      <c r="UJ78" s="228"/>
      <c r="UK78" s="228"/>
      <c r="UL78" s="228"/>
      <c r="UM78" s="228"/>
      <c r="UN78" s="228"/>
      <c r="UO78" s="228"/>
      <c r="UP78" s="228"/>
      <c r="UQ78" s="228"/>
      <c r="UR78" s="228"/>
      <c r="US78" s="228"/>
      <c r="UT78" s="228"/>
      <c r="UU78" s="228"/>
      <c r="UV78" s="228"/>
      <c r="UW78" s="228"/>
      <c r="UX78" s="228"/>
      <c r="UY78" s="228"/>
      <c r="UZ78" s="228"/>
      <c r="VA78" s="228"/>
      <c r="VB78" s="228"/>
      <c r="VC78" s="228"/>
      <c r="VD78" s="228"/>
      <c r="VE78" s="228"/>
      <c r="VF78" s="228"/>
      <c r="VG78" s="228"/>
      <c r="VH78" s="228"/>
      <c r="VI78" s="228"/>
      <c r="VJ78" s="228"/>
      <c r="VK78" s="228"/>
      <c r="VL78" s="228"/>
      <c r="VM78" s="228"/>
      <c r="VN78" s="228"/>
      <c r="VO78" s="228"/>
      <c r="VP78" s="228"/>
      <c r="VQ78" s="228"/>
      <c r="VR78" s="228"/>
      <c r="VS78" s="228"/>
      <c r="VT78" s="228"/>
      <c r="VU78" s="228"/>
      <c r="VV78" s="228"/>
      <c r="VW78" s="228"/>
      <c r="VX78" s="228"/>
      <c r="VY78" s="228"/>
      <c r="VZ78" s="228"/>
      <c r="WA78" s="228"/>
      <c r="WB78" s="228"/>
      <c r="WC78" s="228"/>
      <c r="WD78" s="228"/>
      <c r="WE78" s="228"/>
      <c r="WF78" s="228"/>
      <c r="WG78" s="228"/>
      <c r="WH78" s="228"/>
      <c r="WI78" s="228"/>
      <c r="WJ78" s="228"/>
      <c r="WK78" s="228"/>
      <c r="WL78" s="228"/>
      <c r="WM78" s="228"/>
      <c r="WN78" s="228"/>
      <c r="WO78" s="228"/>
      <c r="WP78" s="228"/>
      <c r="WQ78" s="228"/>
      <c r="WR78" s="228"/>
      <c r="WS78" s="228"/>
      <c r="WT78" s="228"/>
      <c r="WU78" s="228"/>
      <c r="WV78" s="228"/>
      <c r="WW78" s="228"/>
      <c r="WX78" s="228"/>
      <c r="WY78" s="228"/>
      <c r="WZ78" s="228"/>
      <c r="XA78" s="228"/>
      <c r="XB78" s="228"/>
      <c r="XC78" s="228"/>
      <c r="XD78" s="228"/>
      <c r="XE78" s="228"/>
      <c r="XF78" s="228"/>
      <c r="XG78" s="228"/>
      <c r="XH78" s="228"/>
      <c r="XI78" s="228"/>
      <c r="XJ78" s="228"/>
      <c r="XK78" s="228"/>
      <c r="XL78" s="228"/>
      <c r="XM78" s="228"/>
      <c r="XN78" s="228"/>
      <c r="XO78" s="228"/>
      <c r="XP78" s="228"/>
      <c r="XQ78" s="228"/>
      <c r="XR78" s="228"/>
      <c r="XS78" s="228"/>
      <c r="XT78" s="228"/>
      <c r="XU78" s="228"/>
      <c r="XV78" s="228"/>
      <c r="XW78" s="228"/>
      <c r="XX78" s="228"/>
      <c r="XY78" s="228"/>
      <c r="XZ78" s="228"/>
      <c r="YA78" s="228"/>
      <c r="YB78" s="228"/>
      <c r="YC78" s="228"/>
      <c r="YD78" s="228"/>
      <c r="YE78" s="228"/>
      <c r="YF78" s="228"/>
      <c r="YG78" s="228"/>
      <c r="YH78" s="228"/>
      <c r="YI78" s="228"/>
      <c r="YJ78" s="228"/>
      <c r="YK78" s="228"/>
      <c r="YL78" s="228"/>
      <c r="YM78" s="228"/>
      <c r="YN78" s="228"/>
      <c r="YO78" s="228"/>
      <c r="YP78" s="228"/>
      <c r="YQ78" s="228"/>
      <c r="YR78" s="228"/>
      <c r="YS78" s="228"/>
      <c r="YT78" s="228"/>
      <c r="YU78" s="228"/>
      <c r="YV78" s="228"/>
      <c r="YW78" s="228"/>
      <c r="YX78" s="228"/>
      <c r="YY78" s="228"/>
      <c r="YZ78" s="228"/>
      <c r="ZA78" s="228"/>
      <c r="ZB78" s="228"/>
      <c r="ZC78" s="228"/>
      <c r="ZD78" s="228"/>
      <c r="ZE78" s="228"/>
      <c r="ZF78" s="228"/>
      <c r="ZG78" s="228"/>
      <c r="ZH78" s="228"/>
      <c r="ZI78" s="228"/>
      <c r="ZJ78" s="228"/>
      <c r="ZK78" s="228"/>
      <c r="ZL78" s="228"/>
      <c r="ZM78" s="228"/>
      <c r="ZN78" s="228"/>
      <c r="ZO78" s="228"/>
      <c r="ZP78" s="228"/>
      <c r="ZQ78" s="228"/>
      <c r="ZR78" s="228"/>
      <c r="ZS78" s="228"/>
      <c r="ZT78" s="228"/>
      <c r="ZU78" s="228"/>
      <c r="ZV78" s="228"/>
      <c r="ZW78" s="228"/>
      <c r="ZX78" s="228"/>
      <c r="ZY78" s="228"/>
      <c r="ZZ78" s="228"/>
      <c r="AAA78" s="228"/>
      <c r="AAB78" s="228"/>
      <c r="AAC78" s="228"/>
      <c r="AAD78" s="228"/>
      <c r="AAE78" s="228"/>
      <c r="AAF78" s="228"/>
      <c r="AAG78" s="228"/>
      <c r="AAH78" s="228"/>
      <c r="AAI78" s="228"/>
      <c r="AAJ78" s="228"/>
      <c r="AAK78" s="228"/>
      <c r="AAL78" s="228"/>
      <c r="AAM78" s="228"/>
      <c r="AAN78" s="228"/>
      <c r="AAO78" s="228"/>
      <c r="AAP78" s="228"/>
      <c r="AAQ78" s="228"/>
      <c r="AAR78" s="228"/>
      <c r="AAS78" s="228"/>
      <c r="AAT78" s="228"/>
      <c r="AAU78" s="228"/>
      <c r="AAV78" s="228"/>
      <c r="AAW78" s="228"/>
      <c r="AAX78" s="228"/>
      <c r="AAY78" s="228"/>
      <c r="AAZ78" s="228"/>
      <c r="ABA78" s="228"/>
      <c r="ABB78" s="228"/>
      <c r="ABC78" s="228"/>
      <c r="ABD78" s="228"/>
      <c r="ABE78" s="228"/>
      <c r="ABF78" s="228"/>
      <c r="ABG78" s="228"/>
      <c r="ABH78" s="228"/>
      <c r="ABI78" s="228"/>
      <c r="ABJ78" s="228"/>
      <c r="ABK78" s="228"/>
      <c r="ABL78" s="228"/>
      <c r="ABM78" s="228"/>
      <c r="ABN78" s="228"/>
      <c r="ABO78" s="228"/>
      <c r="ABP78" s="228"/>
      <c r="ABQ78" s="228"/>
      <c r="ABR78" s="228"/>
      <c r="ABS78" s="228"/>
      <c r="ABT78" s="228"/>
      <c r="ABU78" s="228"/>
      <c r="ABV78" s="228"/>
      <c r="ABW78" s="228"/>
      <c r="ABX78" s="228"/>
      <c r="ABY78" s="228"/>
      <c r="ABZ78" s="228"/>
      <c r="ACA78" s="228"/>
      <c r="ACB78" s="228"/>
      <c r="ACC78" s="228"/>
      <c r="ACD78" s="228"/>
      <c r="ACE78" s="228"/>
      <c r="ACF78" s="228"/>
      <c r="ACG78" s="228"/>
      <c r="ACH78" s="228"/>
      <c r="ACI78" s="228"/>
      <c r="ACJ78" s="228"/>
      <c r="ACK78" s="228"/>
      <c r="ACL78" s="228"/>
      <c r="ACM78" s="228"/>
      <c r="ACN78" s="228"/>
      <c r="ACO78" s="228"/>
      <c r="ACP78" s="228"/>
      <c r="ACQ78" s="228"/>
      <c r="ACR78" s="228"/>
      <c r="ACS78" s="228"/>
      <c r="ACT78" s="228"/>
      <c r="ACU78" s="228"/>
      <c r="ACV78" s="228"/>
      <c r="ACW78" s="228"/>
      <c r="ACX78" s="228"/>
      <c r="ACY78" s="228"/>
      <c r="ACZ78" s="228"/>
      <c r="ADA78" s="228"/>
      <c r="ADB78" s="228"/>
      <c r="ADC78" s="228"/>
      <c r="ADD78" s="228"/>
      <c r="ADE78" s="228"/>
      <c r="ADF78" s="228"/>
      <c r="ADG78" s="228"/>
      <c r="ADH78" s="228"/>
      <c r="ADI78" s="228"/>
      <c r="ADJ78" s="228"/>
      <c r="ADK78" s="228"/>
      <c r="ADL78" s="228"/>
      <c r="ADM78" s="228"/>
      <c r="ADN78" s="228"/>
      <c r="ADO78" s="228"/>
      <c r="ADP78" s="228"/>
      <c r="ADQ78" s="228"/>
      <c r="ADR78" s="228"/>
      <c r="ADS78" s="228"/>
      <c r="ADT78" s="228"/>
      <c r="ADU78" s="228"/>
      <c r="ADV78" s="228"/>
      <c r="ADW78" s="228"/>
      <c r="ADX78" s="228"/>
      <c r="ADY78" s="228"/>
      <c r="ADZ78" s="228"/>
      <c r="AEA78" s="228"/>
      <c r="AEB78" s="228"/>
      <c r="AEC78" s="228"/>
      <c r="AED78" s="228"/>
      <c r="AEE78" s="228"/>
      <c r="AEF78" s="228"/>
      <c r="AEG78" s="228"/>
      <c r="AEH78" s="228"/>
      <c r="AEI78" s="228"/>
      <c r="AEJ78" s="228"/>
      <c r="AEK78" s="228"/>
      <c r="AEL78" s="228"/>
      <c r="AEM78" s="228"/>
      <c r="AEN78" s="228"/>
      <c r="AEO78" s="228"/>
      <c r="AEP78" s="228"/>
      <c r="AEQ78" s="228"/>
      <c r="AER78" s="228"/>
      <c r="AES78" s="228"/>
      <c r="AET78" s="228"/>
      <c r="AEU78" s="228"/>
      <c r="AEV78" s="228"/>
      <c r="AEW78" s="228"/>
      <c r="AEX78" s="228"/>
      <c r="AEY78" s="228"/>
      <c r="AEZ78" s="228"/>
      <c r="AFA78" s="228"/>
      <c r="AFB78" s="228"/>
      <c r="AFC78" s="228"/>
      <c r="AFD78" s="228"/>
      <c r="AFE78" s="228"/>
      <c r="AFF78" s="228"/>
      <c r="AFG78" s="228"/>
      <c r="AFH78" s="228"/>
      <c r="AFI78" s="228"/>
      <c r="AFJ78" s="228"/>
      <c r="AFK78" s="228"/>
      <c r="AFL78" s="228"/>
      <c r="AFM78" s="228"/>
      <c r="AFN78" s="228"/>
      <c r="AFO78" s="228"/>
      <c r="AFP78" s="228"/>
      <c r="AFQ78" s="228"/>
      <c r="AFR78" s="228"/>
      <c r="AFS78" s="228"/>
      <c r="AFT78" s="228"/>
      <c r="AFU78" s="228"/>
      <c r="AFV78" s="228"/>
      <c r="AFW78" s="228"/>
      <c r="AFX78" s="228"/>
      <c r="AFY78" s="228"/>
      <c r="AFZ78" s="228"/>
      <c r="AGA78" s="228"/>
      <c r="AGB78" s="228"/>
      <c r="AGC78" s="228"/>
      <c r="AGD78" s="228"/>
      <c r="AGE78" s="228"/>
      <c r="AGF78" s="228"/>
      <c r="AGG78" s="228"/>
      <c r="AGH78" s="228"/>
      <c r="AGI78" s="228"/>
      <c r="AGJ78" s="228"/>
      <c r="AGK78" s="228"/>
      <c r="AGL78" s="228"/>
      <c r="AGM78" s="228"/>
      <c r="AGN78" s="228"/>
      <c r="AGO78" s="228"/>
      <c r="AGP78" s="228"/>
      <c r="AGQ78" s="228"/>
      <c r="AGR78" s="228"/>
      <c r="AGS78" s="228"/>
      <c r="AGT78" s="228"/>
      <c r="AGU78" s="228"/>
      <c r="AGV78" s="228"/>
      <c r="AGW78" s="228"/>
      <c r="AGX78" s="228"/>
      <c r="AGY78" s="228"/>
      <c r="AGZ78" s="228"/>
      <c r="AHA78" s="228"/>
      <c r="AHB78" s="228"/>
      <c r="AHC78" s="228"/>
      <c r="AHD78" s="228"/>
      <c r="AHE78" s="228"/>
      <c r="AHF78" s="228"/>
      <c r="AHG78" s="228"/>
      <c r="AHH78" s="228"/>
      <c r="AHI78" s="228"/>
      <c r="AHJ78" s="228"/>
      <c r="AHK78" s="228"/>
      <c r="AHL78" s="228"/>
      <c r="AHM78" s="228"/>
      <c r="AHN78" s="228"/>
      <c r="AHO78" s="228"/>
      <c r="AHP78" s="228"/>
      <c r="AHQ78" s="228"/>
      <c r="AHR78" s="228"/>
      <c r="AHS78" s="228"/>
      <c r="AHT78" s="228"/>
      <c r="AHU78" s="228"/>
      <c r="AHV78" s="228"/>
      <c r="AHW78" s="228"/>
      <c r="AHX78" s="228"/>
      <c r="AHY78" s="228"/>
      <c r="AHZ78" s="228"/>
      <c r="AIA78" s="228"/>
      <c r="AIB78" s="228"/>
      <c r="AIC78" s="228"/>
      <c r="AID78" s="228"/>
      <c r="AIE78" s="228"/>
      <c r="AIF78" s="228"/>
      <c r="AIG78" s="228"/>
      <c r="AIH78" s="228"/>
      <c r="AII78" s="228"/>
      <c r="AIJ78" s="228"/>
      <c r="AIK78" s="228"/>
      <c r="AIL78" s="228"/>
      <c r="AIM78" s="228"/>
      <c r="AIN78" s="228"/>
      <c r="AIO78" s="228"/>
      <c r="AIP78" s="228"/>
      <c r="AIQ78" s="228"/>
      <c r="AIR78" s="228"/>
      <c r="AIS78" s="228"/>
      <c r="AIT78" s="228"/>
      <c r="AIU78" s="228"/>
      <c r="AIV78" s="228"/>
      <c r="AIW78" s="228"/>
      <c r="AIX78" s="228"/>
      <c r="AIY78" s="228"/>
      <c r="AIZ78" s="228"/>
      <c r="AJA78" s="228"/>
      <c r="AJB78" s="228"/>
      <c r="AJC78" s="228"/>
      <c r="AJD78" s="228"/>
      <c r="AJE78" s="228"/>
      <c r="AJF78" s="228"/>
      <c r="AJG78" s="228"/>
      <c r="AJH78" s="228"/>
      <c r="AJI78" s="228"/>
      <c r="AJJ78" s="228"/>
      <c r="AJK78" s="228"/>
      <c r="AJL78" s="228"/>
      <c r="AJM78" s="228"/>
      <c r="AJN78" s="228"/>
      <c r="AJO78" s="228"/>
      <c r="AJP78" s="228"/>
      <c r="AJQ78" s="228"/>
      <c r="AJR78" s="228"/>
      <c r="AJS78" s="228"/>
      <c r="AJT78" s="228"/>
      <c r="AJU78" s="228"/>
      <c r="AJV78" s="228"/>
      <c r="AJW78" s="228"/>
      <c r="AJX78" s="228"/>
      <c r="AJY78" s="228"/>
      <c r="AJZ78" s="228"/>
      <c r="AKA78" s="228"/>
      <c r="AKB78" s="228"/>
      <c r="AKC78" s="228"/>
      <c r="AKD78" s="228"/>
      <c r="AKE78" s="228"/>
      <c r="AKF78" s="228"/>
      <c r="AKG78" s="228"/>
      <c r="AKH78" s="228"/>
      <c r="AKI78" s="228"/>
      <c r="AKJ78" s="228"/>
      <c r="AKK78" s="228"/>
      <c r="AKL78" s="228"/>
      <c r="AKM78" s="228"/>
      <c r="AKN78" s="228"/>
      <c r="AKO78" s="228"/>
      <c r="AKP78" s="228"/>
      <c r="AKQ78" s="228"/>
      <c r="AKR78" s="228"/>
      <c r="AKS78" s="228"/>
      <c r="AKT78" s="228"/>
      <c r="AKU78" s="228"/>
      <c r="AKV78" s="228"/>
      <c r="AKW78" s="228"/>
      <c r="AKX78" s="228"/>
      <c r="AKY78" s="228"/>
      <c r="AKZ78" s="228"/>
      <c r="ALA78" s="228"/>
      <c r="ALB78" s="228"/>
      <c r="ALC78" s="228"/>
      <c r="ALD78" s="228"/>
      <c r="ALE78" s="228"/>
      <c r="ALF78" s="228"/>
      <c r="ALG78" s="228"/>
      <c r="ALH78" s="228"/>
    </row>
    <row r="79" spans="1:996" s="229" customFormat="1">
      <c r="A79" s="37"/>
      <c r="B79" t="str">
        <f t="shared" si="0"/>
        <v>E311113</v>
      </c>
      <c r="C79" s="29" t="s">
        <v>602</v>
      </c>
      <c r="D79" s="26" t="s">
        <v>73</v>
      </c>
      <c r="E79" s="7">
        <v>311113</v>
      </c>
      <c r="F79" s="48" t="s">
        <v>587</v>
      </c>
      <c r="G79" s="49">
        <f>IFERROR(VLOOKUP(E79,'BD - E - Mvto Cx'!$A$15:$D$500,4,0),0)</f>
        <v>151013.56</v>
      </c>
      <c r="H79" s="50">
        <f>IFERROR(VLOOKUP(E79,'BD - E - Mvto Cx'!$J$15:$M$500,4,0),0)</f>
        <v>132572.29</v>
      </c>
      <c r="I79" s="50">
        <f>IFERROR(VLOOKUP(E79,'BD - E - Mvto Cx'!$S$15:$V$500,4,0),0)</f>
        <v>107548.18</v>
      </c>
      <c r="J79" s="50">
        <f>IFERROR(VLOOKUP(E79,'BD - E - Mvto Cx'!$AB$15:$AE$500,4,0),0)</f>
        <v>98496.73</v>
      </c>
      <c r="K79" s="50">
        <f>IFERROR(VLOOKUP(E79,'BD - E - Mvto Cx'!$AK$15:$AN$500,4,0),0)</f>
        <v>0</v>
      </c>
      <c r="L79" s="50">
        <f>IFERROR(VLOOKUP(E79,'BD - E - Mvto Cx'!$AT$15:$AW$500,4,0),0)</f>
        <v>0</v>
      </c>
      <c r="M79" s="50">
        <f>IFERROR(VLOOKUP(E79,'BD - E - Mvto Cx'!$BF$15:$BI$500,4,0),0)</f>
        <v>0</v>
      </c>
      <c r="N79" s="50">
        <f>IFERROR(VLOOKUP(E79,'BD - E - Mvto Cx'!$BO$15:$BR$500,4,0),0)</f>
        <v>0</v>
      </c>
      <c r="O79" s="50">
        <f>IFERROR(VLOOKUP(E79,'BD - E - Mvto Cx'!$BX$15:$CA$500,4,0),0)</f>
        <v>0</v>
      </c>
      <c r="P79" s="50">
        <f>IFERROR(VLOOKUP(E79,'BD - E - Mvto Cx'!$CG$15:$CJ$500,4,0),0)</f>
        <v>0</v>
      </c>
      <c r="Q79" s="50">
        <f>IFERROR(VLOOKUP(E79,'BD - E - Mvto Cx'!$CP$15:$CS$500,4,0),0)</f>
        <v>0</v>
      </c>
      <c r="R79" s="50">
        <f>IFERROR(VLOOKUP(E79,'BD - E - Mvto Cx'!$CY$15:$DB$500,4,0),0)</f>
        <v>0</v>
      </c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A79" s="228"/>
      <c r="BB79" s="228"/>
      <c r="BC79" s="228"/>
      <c r="BD79" s="228"/>
      <c r="BE79" s="228"/>
      <c r="BF79" s="228"/>
      <c r="BG79" s="228"/>
      <c r="BH79" s="228"/>
      <c r="BI79" s="228"/>
      <c r="BJ79" s="228"/>
      <c r="BK79" s="228"/>
      <c r="BL79" s="228"/>
      <c r="BM79" s="228"/>
      <c r="BN79" s="228"/>
      <c r="BO79" s="228"/>
      <c r="BP79" s="228"/>
      <c r="BQ79" s="228"/>
      <c r="BR79" s="228"/>
      <c r="BS79" s="228"/>
      <c r="BT79" s="228"/>
      <c r="BU79" s="228"/>
      <c r="BV79" s="228"/>
      <c r="BW79" s="228"/>
      <c r="BX79" s="228"/>
      <c r="BY79" s="228"/>
      <c r="BZ79" s="228"/>
      <c r="CA79" s="228"/>
      <c r="CB79" s="228"/>
      <c r="CC79" s="228"/>
      <c r="CD79" s="228"/>
      <c r="CE79" s="228"/>
      <c r="CF79" s="228"/>
      <c r="CG79" s="228"/>
      <c r="CH79" s="228"/>
      <c r="CI79" s="228"/>
      <c r="CJ79" s="228"/>
      <c r="CK79" s="228"/>
      <c r="CL79" s="228"/>
      <c r="CM79" s="228"/>
      <c r="CN79" s="228"/>
      <c r="CO79" s="228"/>
      <c r="CP79" s="228"/>
      <c r="CQ79" s="228"/>
      <c r="CR79" s="228"/>
      <c r="CS79" s="228"/>
      <c r="CT79" s="228"/>
      <c r="CU79" s="228"/>
      <c r="CV79" s="228"/>
      <c r="CW79" s="228"/>
      <c r="CX79" s="228"/>
      <c r="CY79" s="228"/>
      <c r="CZ79" s="228"/>
      <c r="DA79" s="228"/>
      <c r="DB79" s="228"/>
      <c r="DC79" s="228"/>
      <c r="DD79" s="228"/>
      <c r="DE79" s="228"/>
      <c r="DF79" s="228"/>
      <c r="DG79" s="228"/>
      <c r="DH79" s="228"/>
      <c r="DI79" s="228"/>
      <c r="DJ79" s="228"/>
      <c r="DK79" s="228"/>
      <c r="DL79" s="228"/>
      <c r="DM79" s="228"/>
      <c r="DN79" s="228"/>
      <c r="DO79" s="228"/>
      <c r="DP79" s="228"/>
      <c r="DQ79" s="228"/>
      <c r="DR79" s="228"/>
      <c r="DS79" s="228"/>
      <c r="DT79" s="228"/>
      <c r="DU79" s="228"/>
      <c r="DV79" s="228"/>
      <c r="DW79" s="228"/>
      <c r="DX79" s="228"/>
      <c r="DY79" s="228"/>
      <c r="DZ79" s="228"/>
      <c r="EA79" s="228"/>
      <c r="EB79" s="228"/>
      <c r="EC79" s="228"/>
      <c r="ED79" s="228"/>
      <c r="EE79" s="228"/>
      <c r="EF79" s="228"/>
      <c r="EG79" s="228"/>
      <c r="EH79" s="228"/>
      <c r="EI79" s="228"/>
      <c r="EJ79" s="228"/>
      <c r="EK79" s="228"/>
      <c r="EL79" s="228"/>
      <c r="EM79" s="228"/>
      <c r="EN79" s="228"/>
      <c r="EO79" s="228"/>
      <c r="EP79" s="228"/>
      <c r="EQ79" s="228"/>
      <c r="ER79" s="228"/>
      <c r="ES79" s="228"/>
      <c r="ET79" s="228"/>
      <c r="EU79" s="228"/>
      <c r="EV79" s="228"/>
      <c r="EW79" s="228"/>
      <c r="EX79" s="228"/>
      <c r="EY79" s="228"/>
      <c r="EZ79" s="228"/>
      <c r="FA79" s="228"/>
      <c r="FB79" s="228"/>
      <c r="FC79" s="228"/>
      <c r="FD79" s="228"/>
      <c r="FE79" s="228"/>
      <c r="FF79" s="228"/>
      <c r="FG79" s="228"/>
      <c r="FH79" s="228"/>
      <c r="FI79" s="228"/>
      <c r="FJ79" s="228"/>
      <c r="FK79" s="228"/>
      <c r="FL79" s="228"/>
      <c r="FM79" s="228"/>
      <c r="FN79" s="228"/>
      <c r="FO79" s="228"/>
      <c r="FP79" s="228"/>
      <c r="FQ79" s="228"/>
      <c r="FR79" s="228"/>
      <c r="FS79" s="228"/>
      <c r="FT79" s="228"/>
      <c r="FU79" s="228"/>
      <c r="FV79" s="228"/>
      <c r="FW79" s="228"/>
      <c r="FX79" s="228"/>
      <c r="FY79" s="228"/>
      <c r="FZ79" s="228"/>
      <c r="GA79" s="228"/>
      <c r="GB79" s="228"/>
      <c r="GC79" s="228"/>
      <c r="GD79" s="228"/>
      <c r="GE79" s="228"/>
      <c r="GF79" s="228"/>
      <c r="GG79" s="228"/>
      <c r="GH79" s="228"/>
      <c r="GI79" s="228"/>
      <c r="GJ79" s="228"/>
      <c r="GK79" s="228"/>
      <c r="GL79" s="228"/>
      <c r="GM79" s="228"/>
      <c r="GN79" s="228"/>
      <c r="GO79" s="228"/>
      <c r="GP79" s="228"/>
      <c r="GQ79" s="228"/>
      <c r="GR79" s="228"/>
      <c r="GS79" s="228"/>
      <c r="GT79" s="228"/>
      <c r="GU79" s="228"/>
      <c r="GV79" s="228"/>
      <c r="GW79" s="228"/>
      <c r="GX79" s="228"/>
      <c r="GY79" s="228"/>
      <c r="GZ79" s="228"/>
      <c r="HA79" s="228"/>
      <c r="HB79" s="228"/>
      <c r="HC79" s="228"/>
      <c r="HD79" s="228"/>
      <c r="HE79" s="228"/>
      <c r="HF79" s="228"/>
      <c r="HG79" s="228"/>
      <c r="HH79" s="228"/>
      <c r="HI79" s="228"/>
      <c r="HJ79" s="228"/>
      <c r="HK79" s="228"/>
      <c r="HL79" s="228"/>
      <c r="HM79" s="228"/>
      <c r="HN79" s="228"/>
      <c r="HO79" s="228"/>
      <c r="HP79" s="228"/>
      <c r="HQ79" s="228"/>
      <c r="HR79" s="228"/>
      <c r="HS79" s="228"/>
      <c r="HT79" s="228"/>
      <c r="HU79" s="228"/>
      <c r="HV79" s="228"/>
      <c r="HW79" s="228"/>
      <c r="HX79" s="228"/>
      <c r="HY79" s="228"/>
      <c r="HZ79" s="228"/>
      <c r="IA79" s="228"/>
      <c r="IB79" s="228"/>
      <c r="IC79" s="228"/>
      <c r="ID79" s="228"/>
      <c r="IE79" s="228"/>
      <c r="IF79" s="228"/>
      <c r="IG79" s="228"/>
      <c r="IH79" s="228"/>
      <c r="II79" s="228"/>
      <c r="IJ79" s="228"/>
      <c r="IK79" s="228"/>
      <c r="IL79" s="228"/>
      <c r="IM79" s="228"/>
      <c r="IN79" s="228"/>
      <c r="IO79" s="228"/>
      <c r="IP79" s="228"/>
      <c r="IQ79" s="228"/>
      <c r="IR79" s="228"/>
      <c r="IS79" s="228"/>
      <c r="IT79" s="228"/>
      <c r="IU79" s="228"/>
      <c r="IV79" s="228"/>
      <c r="IW79" s="228"/>
      <c r="IX79" s="228"/>
      <c r="IY79" s="228"/>
      <c r="IZ79" s="228"/>
      <c r="JA79" s="228"/>
      <c r="JB79" s="228"/>
      <c r="JC79" s="228"/>
      <c r="JD79" s="228"/>
      <c r="JE79" s="228"/>
      <c r="JF79" s="228"/>
      <c r="JG79" s="228"/>
      <c r="JH79" s="228"/>
      <c r="JI79" s="228"/>
      <c r="JJ79" s="228"/>
      <c r="JK79" s="228"/>
      <c r="JL79" s="228"/>
      <c r="JM79" s="228"/>
      <c r="JN79" s="228"/>
      <c r="JO79" s="228"/>
      <c r="JP79" s="228"/>
      <c r="JQ79" s="228"/>
      <c r="JR79" s="228"/>
      <c r="JS79" s="228"/>
      <c r="JT79" s="228"/>
      <c r="JU79" s="228"/>
      <c r="JV79" s="228"/>
      <c r="JW79" s="228"/>
      <c r="JX79" s="228"/>
      <c r="JY79" s="228"/>
      <c r="JZ79" s="228"/>
      <c r="KA79" s="228"/>
      <c r="KB79" s="228"/>
      <c r="KC79" s="228"/>
      <c r="KD79" s="228"/>
      <c r="KE79" s="228"/>
      <c r="KF79" s="228"/>
      <c r="KG79" s="228"/>
      <c r="KH79" s="228"/>
      <c r="KI79" s="228"/>
      <c r="KJ79" s="228"/>
      <c r="KK79" s="228"/>
      <c r="KL79" s="228"/>
      <c r="KM79" s="228"/>
      <c r="KN79" s="228"/>
      <c r="KO79" s="228"/>
      <c r="KP79" s="228"/>
      <c r="KQ79" s="228"/>
      <c r="KR79" s="228"/>
      <c r="KS79" s="228"/>
      <c r="KT79" s="228"/>
      <c r="KU79" s="228"/>
      <c r="KV79" s="228"/>
      <c r="KW79" s="228"/>
      <c r="KX79" s="228"/>
      <c r="KY79" s="228"/>
      <c r="KZ79" s="228"/>
      <c r="LA79" s="228"/>
      <c r="LB79" s="228"/>
      <c r="LC79" s="228"/>
      <c r="LD79" s="228"/>
      <c r="LE79" s="228"/>
      <c r="LF79" s="228"/>
      <c r="LG79" s="228"/>
      <c r="LH79" s="228"/>
      <c r="LI79" s="228"/>
      <c r="LJ79" s="228"/>
      <c r="LK79" s="228"/>
      <c r="LL79" s="228"/>
      <c r="LM79" s="228"/>
      <c r="LN79" s="228"/>
      <c r="LO79" s="228"/>
      <c r="LP79" s="228"/>
      <c r="LQ79" s="228"/>
      <c r="LR79" s="228"/>
      <c r="LS79" s="228"/>
      <c r="LT79" s="228"/>
      <c r="LU79" s="228"/>
      <c r="LV79" s="228"/>
      <c r="LW79" s="228"/>
      <c r="LX79" s="228"/>
      <c r="LY79" s="228"/>
      <c r="LZ79" s="228"/>
      <c r="MA79" s="228"/>
      <c r="MB79" s="228"/>
      <c r="MC79" s="228"/>
      <c r="MD79" s="228"/>
      <c r="ME79" s="228"/>
      <c r="MF79" s="228"/>
      <c r="MG79" s="228"/>
      <c r="MH79" s="228"/>
      <c r="MI79" s="228"/>
      <c r="MJ79" s="228"/>
      <c r="MK79" s="228"/>
      <c r="ML79" s="228"/>
      <c r="MM79" s="228"/>
      <c r="MN79" s="228"/>
      <c r="MO79" s="228"/>
      <c r="MP79" s="228"/>
      <c r="MQ79" s="228"/>
      <c r="MR79" s="228"/>
      <c r="MS79" s="228"/>
      <c r="MT79" s="228"/>
      <c r="MU79" s="228"/>
      <c r="MV79" s="228"/>
      <c r="MW79" s="228"/>
      <c r="MX79" s="228"/>
      <c r="MY79" s="228"/>
      <c r="MZ79" s="228"/>
      <c r="NA79" s="228"/>
      <c r="NB79" s="228"/>
      <c r="NC79" s="228"/>
      <c r="ND79" s="228"/>
      <c r="NE79" s="228"/>
      <c r="NF79" s="228"/>
      <c r="NG79" s="228"/>
      <c r="NH79" s="228"/>
      <c r="NI79" s="228"/>
      <c r="NJ79" s="228"/>
      <c r="NK79" s="228"/>
      <c r="NL79" s="228"/>
      <c r="NM79" s="228"/>
      <c r="NN79" s="228"/>
      <c r="NO79" s="228"/>
      <c r="NP79" s="228"/>
      <c r="NQ79" s="228"/>
      <c r="NR79" s="228"/>
      <c r="NS79" s="228"/>
      <c r="NT79" s="228"/>
      <c r="NU79" s="228"/>
      <c r="NV79" s="228"/>
      <c r="NW79" s="228"/>
      <c r="NX79" s="228"/>
      <c r="NY79" s="228"/>
      <c r="NZ79" s="228"/>
      <c r="OA79" s="228"/>
      <c r="OB79" s="228"/>
      <c r="OC79" s="228"/>
      <c r="OD79" s="228"/>
      <c r="OE79" s="228"/>
      <c r="OF79" s="228"/>
      <c r="OG79" s="228"/>
      <c r="OH79" s="228"/>
      <c r="OI79" s="228"/>
      <c r="OJ79" s="228"/>
      <c r="OK79" s="228"/>
      <c r="OL79" s="228"/>
      <c r="OM79" s="228"/>
      <c r="ON79" s="228"/>
      <c r="OO79" s="228"/>
      <c r="OP79" s="228"/>
      <c r="OQ79" s="228"/>
      <c r="OR79" s="228"/>
      <c r="OS79" s="228"/>
      <c r="OT79" s="228"/>
      <c r="OU79" s="228"/>
      <c r="OV79" s="228"/>
      <c r="OW79" s="228"/>
      <c r="OX79" s="228"/>
      <c r="OY79" s="228"/>
      <c r="OZ79" s="228"/>
      <c r="PA79" s="228"/>
      <c r="PB79" s="228"/>
      <c r="PC79" s="228"/>
      <c r="PD79" s="228"/>
      <c r="PE79" s="228"/>
      <c r="PF79" s="228"/>
      <c r="PG79" s="228"/>
      <c r="PH79" s="228"/>
      <c r="PI79" s="228"/>
      <c r="PJ79" s="228"/>
      <c r="PK79" s="228"/>
      <c r="PL79" s="228"/>
      <c r="PM79" s="228"/>
      <c r="PN79" s="228"/>
      <c r="PO79" s="228"/>
      <c r="PP79" s="228"/>
      <c r="PQ79" s="228"/>
      <c r="PR79" s="228"/>
      <c r="PS79" s="228"/>
      <c r="PT79" s="228"/>
      <c r="PU79" s="228"/>
      <c r="PV79" s="228"/>
      <c r="PW79" s="228"/>
      <c r="PX79" s="228"/>
      <c r="PY79" s="228"/>
      <c r="PZ79" s="228"/>
      <c r="QA79" s="228"/>
      <c r="QB79" s="228"/>
      <c r="QC79" s="228"/>
      <c r="QD79" s="228"/>
      <c r="QE79" s="228"/>
      <c r="QF79" s="228"/>
      <c r="QG79" s="228"/>
      <c r="QH79" s="228"/>
      <c r="QI79" s="228"/>
      <c r="QJ79" s="228"/>
      <c r="QK79" s="228"/>
      <c r="QL79" s="228"/>
      <c r="QM79" s="228"/>
      <c r="QN79" s="228"/>
      <c r="QO79" s="228"/>
      <c r="QP79" s="228"/>
      <c r="QQ79" s="228"/>
      <c r="QR79" s="228"/>
      <c r="QS79" s="228"/>
      <c r="QT79" s="228"/>
      <c r="QU79" s="228"/>
      <c r="QV79" s="228"/>
      <c r="QW79" s="228"/>
      <c r="QX79" s="228"/>
      <c r="QY79" s="228"/>
      <c r="QZ79" s="228"/>
      <c r="RA79" s="228"/>
      <c r="RB79" s="228"/>
      <c r="RC79" s="228"/>
      <c r="RD79" s="228"/>
      <c r="RE79" s="228"/>
      <c r="RF79" s="228"/>
      <c r="RG79" s="228"/>
      <c r="RH79" s="228"/>
      <c r="RI79" s="228"/>
      <c r="RJ79" s="228"/>
      <c r="RK79" s="228"/>
      <c r="RL79" s="228"/>
      <c r="RM79" s="228"/>
      <c r="RN79" s="228"/>
      <c r="RO79" s="228"/>
      <c r="RP79" s="228"/>
      <c r="RQ79" s="228"/>
      <c r="RR79" s="228"/>
      <c r="RS79" s="228"/>
      <c r="RT79" s="228"/>
      <c r="RU79" s="228"/>
      <c r="RV79" s="228"/>
      <c r="RW79" s="228"/>
      <c r="RX79" s="228"/>
      <c r="RY79" s="228"/>
      <c r="RZ79" s="228"/>
      <c r="SA79" s="228"/>
      <c r="SB79" s="228"/>
      <c r="SC79" s="228"/>
      <c r="SD79" s="228"/>
      <c r="SE79" s="228"/>
      <c r="SF79" s="228"/>
      <c r="SG79" s="228"/>
      <c r="SH79" s="228"/>
      <c r="SI79" s="228"/>
      <c r="SJ79" s="228"/>
      <c r="SK79" s="228"/>
      <c r="SL79" s="228"/>
      <c r="SM79" s="228"/>
      <c r="SN79" s="228"/>
      <c r="SO79" s="228"/>
      <c r="SP79" s="228"/>
      <c r="SQ79" s="228"/>
      <c r="SR79" s="228"/>
      <c r="SS79" s="228"/>
      <c r="ST79" s="228"/>
      <c r="SU79" s="228"/>
      <c r="SV79" s="228"/>
      <c r="SW79" s="228"/>
      <c r="SX79" s="228"/>
      <c r="SY79" s="228"/>
      <c r="SZ79" s="228"/>
      <c r="TA79" s="228"/>
      <c r="TB79" s="228"/>
      <c r="TC79" s="228"/>
      <c r="TD79" s="228"/>
      <c r="TE79" s="228"/>
      <c r="TF79" s="228"/>
      <c r="TG79" s="228"/>
      <c r="TH79" s="228"/>
      <c r="TI79" s="228"/>
      <c r="TJ79" s="228"/>
      <c r="TK79" s="228"/>
      <c r="TL79" s="228"/>
      <c r="TM79" s="228"/>
      <c r="TN79" s="228"/>
      <c r="TO79" s="228"/>
      <c r="TP79" s="228"/>
      <c r="TQ79" s="228"/>
      <c r="TR79" s="228"/>
      <c r="TS79" s="228"/>
      <c r="TT79" s="228"/>
      <c r="TU79" s="228"/>
      <c r="TV79" s="228"/>
      <c r="TW79" s="228"/>
      <c r="TX79" s="228"/>
      <c r="TY79" s="228"/>
      <c r="TZ79" s="228"/>
      <c r="UA79" s="228"/>
      <c r="UB79" s="228"/>
      <c r="UC79" s="228"/>
      <c r="UD79" s="228"/>
      <c r="UE79" s="228"/>
      <c r="UF79" s="228"/>
      <c r="UG79" s="228"/>
      <c r="UH79" s="228"/>
      <c r="UI79" s="228"/>
      <c r="UJ79" s="228"/>
      <c r="UK79" s="228"/>
      <c r="UL79" s="228"/>
      <c r="UM79" s="228"/>
      <c r="UN79" s="228"/>
      <c r="UO79" s="228"/>
      <c r="UP79" s="228"/>
      <c r="UQ79" s="228"/>
      <c r="UR79" s="228"/>
      <c r="US79" s="228"/>
      <c r="UT79" s="228"/>
      <c r="UU79" s="228"/>
      <c r="UV79" s="228"/>
      <c r="UW79" s="228"/>
      <c r="UX79" s="228"/>
      <c r="UY79" s="228"/>
      <c r="UZ79" s="228"/>
      <c r="VA79" s="228"/>
      <c r="VB79" s="228"/>
      <c r="VC79" s="228"/>
      <c r="VD79" s="228"/>
      <c r="VE79" s="228"/>
      <c r="VF79" s="228"/>
      <c r="VG79" s="228"/>
      <c r="VH79" s="228"/>
      <c r="VI79" s="228"/>
      <c r="VJ79" s="228"/>
      <c r="VK79" s="228"/>
      <c r="VL79" s="228"/>
      <c r="VM79" s="228"/>
      <c r="VN79" s="228"/>
      <c r="VO79" s="228"/>
      <c r="VP79" s="228"/>
      <c r="VQ79" s="228"/>
      <c r="VR79" s="228"/>
      <c r="VS79" s="228"/>
      <c r="VT79" s="228"/>
      <c r="VU79" s="228"/>
      <c r="VV79" s="228"/>
      <c r="VW79" s="228"/>
      <c r="VX79" s="228"/>
      <c r="VY79" s="228"/>
      <c r="VZ79" s="228"/>
      <c r="WA79" s="228"/>
      <c r="WB79" s="228"/>
      <c r="WC79" s="228"/>
      <c r="WD79" s="228"/>
      <c r="WE79" s="228"/>
      <c r="WF79" s="228"/>
      <c r="WG79" s="228"/>
      <c r="WH79" s="228"/>
      <c r="WI79" s="228"/>
      <c r="WJ79" s="228"/>
      <c r="WK79" s="228"/>
      <c r="WL79" s="228"/>
      <c r="WM79" s="228"/>
      <c r="WN79" s="228"/>
      <c r="WO79" s="228"/>
      <c r="WP79" s="228"/>
      <c r="WQ79" s="228"/>
      <c r="WR79" s="228"/>
      <c r="WS79" s="228"/>
      <c r="WT79" s="228"/>
      <c r="WU79" s="228"/>
      <c r="WV79" s="228"/>
      <c r="WW79" s="228"/>
      <c r="WX79" s="228"/>
      <c r="WY79" s="228"/>
      <c r="WZ79" s="228"/>
      <c r="XA79" s="228"/>
      <c r="XB79" s="228"/>
      <c r="XC79" s="228"/>
      <c r="XD79" s="228"/>
      <c r="XE79" s="228"/>
      <c r="XF79" s="228"/>
      <c r="XG79" s="228"/>
      <c r="XH79" s="228"/>
      <c r="XI79" s="228"/>
      <c r="XJ79" s="228"/>
      <c r="XK79" s="228"/>
      <c r="XL79" s="228"/>
      <c r="XM79" s="228"/>
      <c r="XN79" s="228"/>
      <c r="XO79" s="228"/>
      <c r="XP79" s="228"/>
      <c r="XQ79" s="228"/>
      <c r="XR79" s="228"/>
      <c r="XS79" s="228"/>
      <c r="XT79" s="228"/>
      <c r="XU79" s="228"/>
      <c r="XV79" s="228"/>
      <c r="XW79" s="228"/>
      <c r="XX79" s="228"/>
      <c r="XY79" s="228"/>
      <c r="XZ79" s="228"/>
      <c r="YA79" s="228"/>
      <c r="YB79" s="228"/>
      <c r="YC79" s="228"/>
      <c r="YD79" s="228"/>
      <c r="YE79" s="228"/>
      <c r="YF79" s="228"/>
      <c r="YG79" s="228"/>
      <c r="YH79" s="228"/>
      <c r="YI79" s="228"/>
      <c r="YJ79" s="228"/>
      <c r="YK79" s="228"/>
      <c r="YL79" s="228"/>
      <c r="YM79" s="228"/>
      <c r="YN79" s="228"/>
      <c r="YO79" s="228"/>
      <c r="YP79" s="228"/>
      <c r="YQ79" s="228"/>
      <c r="YR79" s="228"/>
      <c r="YS79" s="228"/>
      <c r="YT79" s="228"/>
      <c r="YU79" s="228"/>
      <c r="YV79" s="228"/>
      <c r="YW79" s="228"/>
      <c r="YX79" s="228"/>
      <c r="YY79" s="228"/>
      <c r="YZ79" s="228"/>
      <c r="ZA79" s="228"/>
      <c r="ZB79" s="228"/>
      <c r="ZC79" s="228"/>
      <c r="ZD79" s="228"/>
      <c r="ZE79" s="228"/>
      <c r="ZF79" s="228"/>
      <c r="ZG79" s="228"/>
      <c r="ZH79" s="228"/>
      <c r="ZI79" s="228"/>
      <c r="ZJ79" s="228"/>
      <c r="ZK79" s="228"/>
      <c r="ZL79" s="228"/>
      <c r="ZM79" s="228"/>
      <c r="ZN79" s="228"/>
      <c r="ZO79" s="228"/>
      <c r="ZP79" s="228"/>
      <c r="ZQ79" s="228"/>
      <c r="ZR79" s="228"/>
      <c r="ZS79" s="228"/>
      <c r="ZT79" s="228"/>
      <c r="ZU79" s="228"/>
      <c r="ZV79" s="228"/>
      <c r="ZW79" s="228"/>
      <c r="ZX79" s="228"/>
      <c r="ZY79" s="228"/>
      <c r="ZZ79" s="228"/>
      <c r="AAA79" s="228"/>
      <c r="AAB79" s="228"/>
      <c r="AAC79" s="228"/>
      <c r="AAD79" s="228"/>
      <c r="AAE79" s="228"/>
      <c r="AAF79" s="228"/>
      <c r="AAG79" s="228"/>
      <c r="AAH79" s="228"/>
      <c r="AAI79" s="228"/>
      <c r="AAJ79" s="228"/>
      <c r="AAK79" s="228"/>
      <c r="AAL79" s="228"/>
      <c r="AAM79" s="228"/>
      <c r="AAN79" s="228"/>
      <c r="AAO79" s="228"/>
      <c r="AAP79" s="228"/>
      <c r="AAQ79" s="228"/>
      <c r="AAR79" s="228"/>
      <c r="AAS79" s="228"/>
      <c r="AAT79" s="228"/>
      <c r="AAU79" s="228"/>
      <c r="AAV79" s="228"/>
      <c r="AAW79" s="228"/>
      <c r="AAX79" s="228"/>
      <c r="AAY79" s="228"/>
      <c r="AAZ79" s="228"/>
      <c r="ABA79" s="228"/>
      <c r="ABB79" s="228"/>
      <c r="ABC79" s="228"/>
      <c r="ABD79" s="228"/>
      <c r="ABE79" s="228"/>
      <c r="ABF79" s="228"/>
      <c r="ABG79" s="228"/>
      <c r="ABH79" s="228"/>
      <c r="ABI79" s="228"/>
      <c r="ABJ79" s="228"/>
      <c r="ABK79" s="228"/>
      <c r="ABL79" s="228"/>
      <c r="ABM79" s="228"/>
      <c r="ABN79" s="228"/>
      <c r="ABO79" s="228"/>
      <c r="ABP79" s="228"/>
      <c r="ABQ79" s="228"/>
      <c r="ABR79" s="228"/>
      <c r="ABS79" s="228"/>
      <c r="ABT79" s="228"/>
      <c r="ABU79" s="228"/>
      <c r="ABV79" s="228"/>
      <c r="ABW79" s="228"/>
      <c r="ABX79" s="228"/>
      <c r="ABY79" s="228"/>
      <c r="ABZ79" s="228"/>
      <c r="ACA79" s="228"/>
      <c r="ACB79" s="228"/>
      <c r="ACC79" s="228"/>
      <c r="ACD79" s="228"/>
      <c r="ACE79" s="228"/>
      <c r="ACF79" s="228"/>
      <c r="ACG79" s="228"/>
      <c r="ACH79" s="228"/>
      <c r="ACI79" s="228"/>
      <c r="ACJ79" s="228"/>
      <c r="ACK79" s="228"/>
      <c r="ACL79" s="228"/>
      <c r="ACM79" s="228"/>
      <c r="ACN79" s="228"/>
      <c r="ACO79" s="228"/>
      <c r="ACP79" s="228"/>
      <c r="ACQ79" s="228"/>
      <c r="ACR79" s="228"/>
      <c r="ACS79" s="228"/>
      <c r="ACT79" s="228"/>
      <c r="ACU79" s="228"/>
      <c r="ACV79" s="228"/>
      <c r="ACW79" s="228"/>
      <c r="ACX79" s="228"/>
      <c r="ACY79" s="228"/>
      <c r="ACZ79" s="228"/>
      <c r="ADA79" s="228"/>
      <c r="ADB79" s="228"/>
      <c r="ADC79" s="228"/>
      <c r="ADD79" s="228"/>
      <c r="ADE79" s="228"/>
      <c r="ADF79" s="228"/>
      <c r="ADG79" s="228"/>
      <c r="ADH79" s="228"/>
      <c r="ADI79" s="228"/>
      <c r="ADJ79" s="228"/>
      <c r="ADK79" s="228"/>
      <c r="ADL79" s="228"/>
      <c r="ADM79" s="228"/>
      <c r="ADN79" s="228"/>
      <c r="ADO79" s="228"/>
      <c r="ADP79" s="228"/>
      <c r="ADQ79" s="228"/>
      <c r="ADR79" s="228"/>
      <c r="ADS79" s="228"/>
      <c r="ADT79" s="228"/>
      <c r="ADU79" s="228"/>
      <c r="ADV79" s="228"/>
      <c r="ADW79" s="228"/>
      <c r="ADX79" s="228"/>
      <c r="ADY79" s="228"/>
      <c r="ADZ79" s="228"/>
      <c r="AEA79" s="228"/>
      <c r="AEB79" s="228"/>
      <c r="AEC79" s="228"/>
      <c r="AED79" s="228"/>
      <c r="AEE79" s="228"/>
      <c r="AEF79" s="228"/>
      <c r="AEG79" s="228"/>
      <c r="AEH79" s="228"/>
      <c r="AEI79" s="228"/>
      <c r="AEJ79" s="228"/>
      <c r="AEK79" s="228"/>
      <c r="AEL79" s="228"/>
      <c r="AEM79" s="228"/>
      <c r="AEN79" s="228"/>
      <c r="AEO79" s="228"/>
      <c r="AEP79" s="228"/>
      <c r="AEQ79" s="228"/>
      <c r="AER79" s="228"/>
      <c r="AES79" s="228"/>
      <c r="AET79" s="228"/>
      <c r="AEU79" s="228"/>
      <c r="AEV79" s="228"/>
      <c r="AEW79" s="228"/>
      <c r="AEX79" s="228"/>
      <c r="AEY79" s="228"/>
      <c r="AEZ79" s="228"/>
      <c r="AFA79" s="228"/>
      <c r="AFB79" s="228"/>
      <c r="AFC79" s="228"/>
      <c r="AFD79" s="228"/>
      <c r="AFE79" s="228"/>
      <c r="AFF79" s="228"/>
      <c r="AFG79" s="228"/>
      <c r="AFH79" s="228"/>
      <c r="AFI79" s="228"/>
      <c r="AFJ79" s="228"/>
      <c r="AFK79" s="228"/>
      <c r="AFL79" s="228"/>
      <c r="AFM79" s="228"/>
      <c r="AFN79" s="228"/>
      <c r="AFO79" s="228"/>
      <c r="AFP79" s="228"/>
      <c r="AFQ79" s="228"/>
      <c r="AFR79" s="228"/>
      <c r="AFS79" s="228"/>
      <c r="AFT79" s="228"/>
      <c r="AFU79" s="228"/>
      <c r="AFV79" s="228"/>
      <c r="AFW79" s="228"/>
      <c r="AFX79" s="228"/>
      <c r="AFY79" s="228"/>
      <c r="AFZ79" s="228"/>
      <c r="AGA79" s="228"/>
      <c r="AGB79" s="228"/>
      <c r="AGC79" s="228"/>
      <c r="AGD79" s="228"/>
      <c r="AGE79" s="228"/>
      <c r="AGF79" s="228"/>
      <c r="AGG79" s="228"/>
      <c r="AGH79" s="228"/>
      <c r="AGI79" s="228"/>
      <c r="AGJ79" s="228"/>
      <c r="AGK79" s="228"/>
      <c r="AGL79" s="228"/>
      <c r="AGM79" s="228"/>
      <c r="AGN79" s="228"/>
      <c r="AGO79" s="228"/>
      <c r="AGP79" s="228"/>
      <c r="AGQ79" s="228"/>
      <c r="AGR79" s="228"/>
      <c r="AGS79" s="228"/>
      <c r="AGT79" s="228"/>
      <c r="AGU79" s="228"/>
      <c r="AGV79" s="228"/>
      <c r="AGW79" s="228"/>
      <c r="AGX79" s="228"/>
      <c r="AGY79" s="228"/>
      <c r="AGZ79" s="228"/>
      <c r="AHA79" s="228"/>
      <c r="AHB79" s="228"/>
      <c r="AHC79" s="228"/>
      <c r="AHD79" s="228"/>
      <c r="AHE79" s="228"/>
      <c r="AHF79" s="228"/>
      <c r="AHG79" s="228"/>
      <c r="AHH79" s="228"/>
      <c r="AHI79" s="228"/>
      <c r="AHJ79" s="228"/>
      <c r="AHK79" s="228"/>
      <c r="AHL79" s="228"/>
      <c r="AHM79" s="228"/>
      <c r="AHN79" s="228"/>
      <c r="AHO79" s="228"/>
      <c r="AHP79" s="228"/>
      <c r="AHQ79" s="228"/>
      <c r="AHR79" s="228"/>
      <c r="AHS79" s="228"/>
      <c r="AHT79" s="228"/>
      <c r="AHU79" s="228"/>
      <c r="AHV79" s="228"/>
      <c r="AHW79" s="228"/>
      <c r="AHX79" s="228"/>
      <c r="AHY79" s="228"/>
      <c r="AHZ79" s="228"/>
      <c r="AIA79" s="228"/>
      <c r="AIB79" s="228"/>
      <c r="AIC79" s="228"/>
      <c r="AID79" s="228"/>
      <c r="AIE79" s="228"/>
      <c r="AIF79" s="228"/>
      <c r="AIG79" s="228"/>
      <c r="AIH79" s="228"/>
      <c r="AII79" s="228"/>
      <c r="AIJ79" s="228"/>
      <c r="AIK79" s="228"/>
      <c r="AIL79" s="228"/>
      <c r="AIM79" s="228"/>
      <c r="AIN79" s="228"/>
      <c r="AIO79" s="228"/>
      <c r="AIP79" s="228"/>
      <c r="AIQ79" s="228"/>
      <c r="AIR79" s="228"/>
      <c r="AIS79" s="228"/>
      <c r="AIT79" s="228"/>
      <c r="AIU79" s="228"/>
      <c r="AIV79" s="228"/>
      <c r="AIW79" s="228"/>
      <c r="AIX79" s="228"/>
      <c r="AIY79" s="228"/>
      <c r="AIZ79" s="228"/>
      <c r="AJA79" s="228"/>
      <c r="AJB79" s="228"/>
      <c r="AJC79" s="228"/>
      <c r="AJD79" s="228"/>
      <c r="AJE79" s="228"/>
      <c r="AJF79" s="228"/>
      <c r="AJG79" s="228"/>
      <c r="AJH79" s="228"/>
      <c r="AJI79" s="228"/>
      <c r="AJJ79" s="228"/>
      <c r="AJK79" s="228"/>
      <c r="AJL79" s="228"/>
      <c r="AJM79" s="228"/>
      <c r="AJN79" s="228"/>
      <c r="AJO79" s="228"/>
      <c r="AJP79" s="228"/>
      <c r="AJQ79" s="228"/>
      <c r="AJR79" s="228"/>
      <c r="AJS79" s="228"/>
      <c r="AJT79" s="228"/>
      <c r="AJU79" s="228"/>
      <c r="AJV79" s="228"/>
      <c r="AJW79" s="228"/>
      <c r="AJX79" s="228"/>
      <c r="AJY79" s="228"/>
      <c r="AJZ79" s="228"/>
      <c r="AKA79" s="228"/>
      <c r="AKB79" s="228"/>
      <c r="AKC79" s="228"/>
      <c r="AKD79" s="228"/>
      <c r="AKE79" s="228"/>
      <c r="AKF79" s="228"/>
      <c r="AKG79" s="228"/>
      <c r="AKH79" s="228"/>
      <c r="AKI79" s="228"/>
      <c r="AKJ79" s="228"/>
      <c r="AKK79" s="228"/>
      <c r="AKL79" s="228"/>
      <c r="AKM79" s="228"/>
      <c r="AKN79" s="228"/>
      <c r="AKO79" s="228"/>
      <c r="AKP79" s="228"/>
      <c r="AKQ79" s="228"/>
      <c r="AKR79" s="228"/>
      <c r="AKS79" s="228"/>
      <c r="AKT79" s="228"/>
      <c r="AKU79" s="228"/>
      <c r="AKV79" s="228"/>
      <c r="AKW79" s="228"/>
      <c r="AKX79" s="228"/>
      <c r="AKY79" s="228"/>
      <c r="AKZ79" s="228"/>
      <c r="ALA79" s="228"/>
      <c r="ALB79" s="228"/>
      <c r="ALC79" s="228"/>
      <c r="ALD79" s="228"/>
      <c r="ALE79" s="228"/>
      <c r="ALF79" s="228"/>
      <c r="ALG79" s="228"/>
      <c r="ALH79" s="228"/>
    </row>
    <row r="80" spans="1:996" s="229" customFormat="1">
      <c r="A80" s="37"/>
      <c r="B80" t="str">
        <f t="shared" si="0"/>
        <v>E313101</v>
      </c>
      <c r="C80" s="7" t="s">
        <v>119</v>
      </c>
      <c r="D80" s="26" t="s">
        <v>73</v>
      </c>
      <c r="E80" s="7">
        <v>313101</v>
      </c>
      <c r="F80" s="48" t="s">
        <v>921</v>
      </c>
      <c r="G80" s="49">
        <f>IFERROR(VLOOKUP(E80,'BD - E - Mvto Cx'!$A$15:$D$500,4,0),0)</f>
        <v>0</v>
      </c>
      <c r="H80" s="50">
        <f>IFERROR(VLOOKUP(E80,'BD - E - Mvto Cx'!$J$15:$M$500,4,0),0)</f>
        <v>0</v>
      </c>
      <c r="I80" s="50">
        <f>IFERROR(VLOOKUP(E80,'BD - E - Mvto Cx'!$S$15:$V$500,4,0),0)</f>
        <v>96347.09</v>
      </c>
      <c r="J80" s="50">
        <f>IFERROR(VLOOKUP(E80,'BD - E - Mvto Cx'!$AB$15:$AE$500,4,0),0)</f>
        <v>0</v>
      </c>
      <c r="K80" s="50">
        <f>IFERROR(VLOOKUP(E80,'BD - E - Mvto Cx'!$AK$15:$AN$500,4,0),0)</f>
        <v>0</v>
      </c>
      <c r="L80" s="50">
        <f>IFERROR(VLOOKUP(E80,'BD - E - Mvto Cx'!$AT$15:$AW$500,4,0),0)</f>
        <v>0</v>
      </c>
      <c r="M80" s="50">
        <f>IFERROR(VLOOKUP(E80,'BD - E - Mvto Cx'!$BF$15:$BI$500,4,0),0)</f>
        <v>0</v>
      </c>
      <c r="N80" s="50">
        <f>IFERROR(VLOOKUP(E80,'BD - E - Mvto Cx'!$BO$15:$BR$500,4,0),0)</f>
        <v>0</v>
      </c>
      <c r="O80" s="50">
        <f>IFERROR(VLOOKUP(E80,'BD - E - Mvto Cx'!$BX$15:$CA$500,4,0),0)</f>
        <v>0</v>
      </c>
      <c r="P80" s="50">
        <f>IFERROR(VLOOKUP(E80,'BD - E - Mvto Cx'!$CG$15:$CJ$500,4,0),0)</f>
        <v>0</v>
      </c>
      <c r="Q80" s="50">
        <f>IFERROR(VLOOKUP(E80,'BD - E - Mvto Cx'!$CP$15:$CS$500,4,0),0)</f>
        <v>0</v>
      </c>
      <c r="R80" s="50">
        <f>IFERROR(VLOOKUP(E80,'BD - E - Mvto Cx'!$CY$15:$DB$500,4,0),0)</f>
        <v>0</v>
      </c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A80" s="228"/>
      <c r="BB80" s="228"/>
      <c r="BC80" s="228"/>
      <c r="BD80" s="228"/>
      <c r="BE80" s="228"/>
      <c r="BF80" s="228"/>
      <c r="BG80" s="228"/>
      <c r="BH80" s="228"/>
      <c r="BI80" s="228"/>
      <c r="BJ80" s="228"/>
      <c r="BK80" s="228"/>
      <c r="BL80" s="228"/>
      <c r="BM80" s="228"/>
      <c r="BN80" s="228"/>
      <c r="BO80" s="228"/>
      <c r="BP80" s="228"/>
      <c r="BQ80" s="228"/>
      <c r="BR80" s="228"/>
      <c r="BS80" s="228"/>
      <c r="BT80" s="228"/>
      <c r="BU80" s="228"/>
      <c r="BV80" s="228"/>
      <c r="BW80" s="228"/>
      <c r="BX80" s="228"/>
      <c r="BY80" s="228"/>
      <c r="BZ80" s="228"/>
      <c r="CA80" s="228"/>
      <c r="CB80" s="228"/>
      <c r="CC80" s="228"/>
      <c r="CD80" s="228"/>
      <c r="CE80" s="228"/>
      <c r="CF80" s="228"/>
      <c r="CG80" s="228"/>
      <c r="CH80" s="228"/>
      <c r="CI80" s="228"/>
      <c r="CJ80" s="228"/>
      <c r="CK80" s="228"/>
      <c r="CL80" s="228"/>
      <c r="CM80" s="228"/>
      <c r="CN80" s="228"/>
      <c r="CO80" s="228"/>
      <c r="CP80" s="228"/>
      <c r="CQ80" s="228"/>
      <c r="CR80" s="228"/>
      <c r="CS80" s="228"/>
      <c r="CT80" s="228"/>
      <c r="CU80" s="228"/>
      <c r="CV80" s="228"/>
      <c r="CW80" s="228"/>
      <c r="CX80" s="228"/>
      <c r="CY80" s="228"/>
      <c r="CZ80" s="228"/>
      <c r="DA80" s="228"/>
      <c r="DB80" s="228"/>
      <c r="DC80" s="228"/>
      <c r="DD80" s="228"/>
      <c r="DE80" s="228"/>
      <c r="DF80" s="228"/>
      <c r="DG80" s="228"/>
      <c r="DH80" s="228"/>
      <c r="DI80" s="228"/>
      <c r="DJ80" s="228"/>
      <c r="DK80" s="228"/>
      <c r="DL80" s="228"/>
      <c r="DM80" s="228"/>
      <c r="DN80" s="228"/>
      <c r="DO80" s="228"/>
      <c r="DP80" s="228"/>
      <c r="DQ80" s="228"/>
      <c r="DR80" s="228"/>
      <c r="DS80" s="228"/>
      <c r="DT80" s="228"/>
      <c r="DU80" s="228"/>
      <c r="DV80" s="228"/>
      <c r="DW80" s="228"/>
      <c r="DX80" s="228"/>
      <c r="DY80" s="228"/>
      <c r="DZ80" s="228"/>
      <c r="EA80" s="228"/>
      <c r="EB80" s="228"/>
      <c r="EC80" s="228"/>
      <c r="ED80" s="228"/>
      <c r="EE80" s="228"/>
      <c r="EF80" s="228"/>
      <c r="EG80" s="228"/>
      <c r="EH80" s="228"/>
      <c r="EI80" s="228"/>
      <c r="EJ80" s="228"/>
      <c r="EK80" s="228"/>
      <c r="EL80" s="228"/>
      <c r="EM80" s="228"/>
      <c r="EN80" s="228"/>
      <c r="EO80" s="228"/>
      <c r="EP80" s="228"/>
      <c r="EQ80" s="228"/>
      <c r="ER80" s="228"/>
      <c r="ES80" s="228"/>
      <c r="ET80" s="228"/>
      <c r="EU80" s="228"/>
      <c r="EV80" s="228"/>
      <c r="EW80" s="228"/>
      <c r="EX80" s="228"/>
      <c r="EY80" s="228"/>
      <c r="EZ80" s="228"/>
      <c r="FA80" s="228"/>
      <c r="FB80" s="228"/>
      <c r="FC80" s="228"/>
      <c r="FD80" s="228"/>
      <c r="FE80" s="228"/>
      <c r="FF80" s="228"/>
      <c r="FG80" s="228"/>
      <c r="FH80" s="228"/>
      <c r="FI80" s="228"/>
      <c r="FJ80" s="228"/>
      <c r="FK80" s="228"/>
      <c r="FL80" s="228"/>
      <c r="FM80" s="228"/>
      <c r="FN80" s="228"/>
      <c r="FO80" s="228"/>
      <c r="FP80" s="228"/>
      <c r="FQ80" s="228"/>
      <c r="FR80" s="228"/>
      <c r="FS80" s="228"/>
      <c r="FT80" s="228"/>
      <c r="FU80" s="228"/>
      <c r="FV80" s="228"/>
      <c r="FW80" s="228"/>
      <c r="FX80" s="228"/>
      <c r="FY80" s="228"/>
      <c r="FZ80" s="228"/>
      <c r="GA80" s="228"/>
      <c r="GB80" s="228"/>
      <c r="GC80" s="228"/>
      <c r="GD80" s="228"/>
      <c r="GE80" s="228"/>
      <c r="GF80" s="228"/>
      <c r="GG80" s="228"/>
      <c r="GH80" s="228"/>
      <c r="GI80" s="228"/>
      <c r="GJ80" s="228"/>
      <c r="GK80" s="228"/>
      <c r="GL80" s="228"/>
      <c r="GM80" s="228"/>
      <c r="GN80" s="228"/>
      <c r="GO80" s="228"/>
      <c r="GP80" s="228"/>
      <c r="GQ80" s="228"/>
      <c r="GR80" s="228"/>
      <c r="GS80" s="228"/>
      <c r="GT80" s="228"/>
      <c r="GU80" s="228"/>
      <c r="GV80" s="228"/>
      <c r="GW80" s="228"/>
      <c r="GX80" s="228"/>
      <c r="GY80" s="228"/>
      <c r="GZ80" s="228"/>
      <c r="HA80" s="228"/>
      <c r="HB80" s="228"/>
      <c r="HC80" s="228"/>
      <c r="HD80" s="228"/>
      <c r="HE80" s="228"/>
      <c r="HF80" s="228"/>
      <c r="HG80" s="228"/>
      <c r="HH80" s="228"/>
      <c r="HI80" s="228"/>
      <c r="HJ80" s="228"/>
      <c r="HK80" s="228"/>
      <c r="HL80" s="228"/>
      <c r="HM80" s="228"/>
      <c r="HN80" s="228"/>
      <c r="HO80" s="228"/>
      <c r="HP80" s="228"/>
      <c r="HQ80" s="228"/>
      <c r="HR80" s="228"/>
      <c r="HS80" s="228"/>
      <c r="HT80" s="228"/>
      <c r="HU80" s="228"/>
      <c r="HV80" s="228"/>
      <c r="HW80" s="228"/>
      <c r="HX80" s="228"/>
      <c r="HY80" s="228"/>
      <c r="HZ80" s="228"/>
      <c r="IA80" s="228"/>
      <c r="IB80" s="228"/>
      <c r="IC80" s="228"/>
      <c r="ID80" s="228"/>
      <c r="IE80" s="228"/>
      <c r="IF80" s="228"/>
      <c r="IG80" s="228"/>
      <c r="IH80" s="228"/>
      <c r="II80" s="228"/>
      <c r="IJ80" s="228"/>
      <c r="IK80" s="228"/>
      <c r="IL80" s="228"/>
      <c r="IM80" s="228"/>
      <c r="IN80" s="228"/>
      <c r="IO80" s="228"/>
      <c r="IP80" s="228"/>
      <c r="IQ80" s="228"/>
      <c r="IR80" s="228"/>
      <c r="IS80" s="228"/>
      <c r="IT80" s="228"/>
      <c r="IU80" s="228"/>
      <c r="IV80" s="228"/>
      <c r="IW80" s="228"/>
      <c r="IX80" s="228"/>
      <c r="IY80" s="228"/>
      <c r="IZ80" s="228"/>
      <c r="JA80" s="228"/>
      <c r="JB80" s="228"/>
      <c r="JC80" s="228"/>
      <c r="JD80" s="228"/>
      <c r="JE80" s="228"/>
      <c r="JF80" s="228"/>
      <c r="JG80" s="228"/>
      <c r="JH80" s="228"/>
      <c r="JI80" s="228"/>
      <c r="JJ80" s="228"/>
      <c r="JK80" s="228"/>
      <c r="JL80" s="228"/>
      <c r="JM80" s="228"/>
      <c r="JN80" s="228"/>
      <c r="JO80" s="228"/>
      <c r="JP80" s="228"/>
      <c r="JQ80" s="228"/>
      <c r="JR80" s="228"/>
      <c r="JS80" s="228"/>
      <c r="JT80" s="228"/>
      <c r="JU80" s="228"/>
      <c r="JV80" s="228"/>
      <c r="JW80" s="228"/>
      <c r="JX80" s="228"/>
      <c r="JY80" s="228"/>
      <c r="JZ80" s="228"/>
      <c r="KA80" s="228"/>
      <c r="KB80" s="228"/>
      <c r="KC80" s="228"/>
      <c r="KD80" s="228"/>
      <c r="KE80" s="228"/>
      <c r="KF80" s="228"/>
      <c r="KG80" s="228"/>
      <c r="KH80" s="228"/>
      <c r="KI80" s="228"/>
      <c r="KJ80" s="228"/>
      <c r="KK80" s="228"/>
      <c r="KL80" s="228"/>
      <c r="KM80" s="228"/>
      <c r="KN80" s="228"/>
      <c r="KO80" s="228"/>
      <c r="KP80" s="228"/>
      <c r="KQ80" s="228"/>
      <c r="KR80" s="228"/>
      <c r="KS80" s="228"/>
      <c r="KT80" s="228"/>
      <c r="KU80" s="228"/>
      <c r="KV80" s="228"/>
      <c r="KW80" s="228"/>
      <c r="KX80" s="228"/>
      <c r="KY80" s="228"/>
      <c r="KZ80" s="228"/>
      <c r="LA80" s="228"/>
      <c r="LB80" s="228"/>
      <c r="LC80" s="228"/>
      <c r="LD80" s="228"/>
      <c r="LE80" s="228"/>
      <c r="LF80" s="228"/>
      <c r="LG80" s="228"/>
      <c r="LH80" s="228"/>
      <c r="LI80" s="228"/>
      <c r="LJ80" s="228"/>
      <c r="LK80" s="228"/>
      <c r="LL80" s="228"/>
      <c r="LM80" s="228"/>
      <c r="LN80" s="228"/>
      <c r="LO80" s="228"/>
      <c r="LP80" s="228"/>
      <c r="LQ80" s="228"/>
      <c r="LR80" s="228"/>
      <c r="LS80" s="228"/>
      <c r="LT80" s="228"/>
      <c r="LU80" s="228"/>
      <c r="LV80" s="228"/>
      <c r="LW80" s="228"/>
      <c r="LX80" s="228"/>
      <c r="LY80" s="228"/>
      <c r="LZ80" s="228"/>
      <c r="MA80" s="228"/>
      <c r="MB80" s="228"/>
      <c r="MC80" s="228"/>
      <c r="MD80" s="228"/>
      <c r="ME80" s="228"/>
      <c r="MF80" s="228"/>
      <c r="MG80" s="228"/>
      <c r="MH80" s="228"/>
      <c r="MI80" s="228"/>
      <c r="MJ80" s="228"/>
      <c r="MK80" s="228"/>
      <c r="ML80" s="228"/>
      <c r="MM80" s="228"/>
      <c r="MN80" s="228"/>
      <c r="MO80" s="228"/>
      <c r="MP80" s="228"/>
      <c r="MQ80" s="228"/>
      <c r="MR80" s="228"/>
      <c r="MS80" s="228"/>
      <c r="MT80" s="228"/>
      <c r="MU80" s="228"/>
      <c r="MV80" s="228"/>
      <c r="MW80" s="228"/>
      <c r="MX80" s="228"/>
      <c r="MY80" s="228"/>
      <c r="MZ80" s="228"/>
      <c r="NA80" s="228"/>
      <c r="NB80" s="228"/>
      <c r="NC80" s="228"/>
      <c r="ND80" s="228"/>
      <c r="NE80" s="228"/>
      <c r="NF80" s="228"/>
      <c r="NG80" s="228"/>
      <c r="NH80" s="228"/>
      <c r="NI80" s="228"/>
      <c r="NJ80" s="228"/>
      <c r="NK80" s="228"/>
      <c r="NL80" s="228"/>
      <c r="NM80" s="228"/>
      <c r="NN80" s="228"/>
      <c r="NO80" s="228"/>
      <c r="NP80" s="228"/>
      <c r="NQ80" s="228"/>
      <c r="NR80" s="228"/>
      <c r="NS80" s="228"/>
      <c r="NT80" s="228"/>
      <c r="NU80" s="228"/>
      <c r="NV80" s="228"/>
      <c r="NW80" s="228"/>
      <c r="NX80" s="228"/>
      <c r="NY80" s="228"/>
      <c r="NZ80" s="228"/>
      <c r="OA80" s="228"/>
      <c r="OB80" s="228"/>
      <c r="OC80" s="228"/>
      <c r="OD80" s="228"/>
      <c r="OE80" s="228"/>
      <c r="OF80" s="228"/>
      <c r="OG80" s="228"/>
      <c r="OH80" s="228"/>
      <c r="OI80" s="228"/>
      <c r="OJ80" s="228"/>
      <c r="OK80" s="228"/>
      <c r="OL80" s="228"/>
      <c r="OM80" s="228"/>
      <c r="ON80" s="228"/>
      <c r="OO80" s="228"/>
      <c r="OP80" s="228"/>
      <c r="OQ80" s="228"/>
      <c r="OR80" s="228"/>
      <c r="OS80" s="228"/>
      <c r="OT80" s="228"/>
      <c r="OU80" s="228"/>
      <c r="OV80" s="228"/>
      <c r="OW80" s="228"/>
      <c r="OX80" s="228"/>
      <c r="OY80" s="228"/>
      <c r="OZ80" s="228"/>
      <c r="PA80" s="228"/>
      <c r="PB80" s="228"/>
      <c r="PC80" s="228"/>
      <c r="PD80" s="228"/>
      <c r="PE80" s="228"/>
      <c r="PF80" s="228"/>
      <c r="PG80" s="228"/>
      <c r="PH80" s="228"/>
      <c r="PI80" s="228"/>
      <c r="PJ80" s="228"/>
      <c r="PK80" s="228"/>
      <c r="PL80" s="228"/>
      <c r="PM80" s="228"/>
      <c r="PN80" s="228"/>
      <c r="PO80" s="228"/>
      <c r="PP80" s="228"/>
      <c r="PQ80" s="228"/>
      <c r="PR80" s="228"/>
      <c r="PS80" s="228"/>
      <c r="PT80" s="228"/>
      <c r="PU80" s="228"/>
      <c r="PV80" s="228"/>
      <c r="PW80" s="228"/>
      <c r="PX80" s="228"/>
      <c r="PY80" s="228"/>
      <c r="PZ80" s="228"/>
      <c r="QA80" s="228"/>
      <c r="QB80" s="228"/>
      <c r="QC80" s="228"/>
      <c r="QD80" s="228"/>
      <c r="QE80" s="228"/>
      <c r="QF80" s="228"/>
      <c r="QG80" s="228"/>
      <c r="QH80" s="228"/>
      <c r="QI80" s="228"/>
      <c r="QJ80" s="228"/>
      <c r="QK80" s="228"/>
      <c r="QL80" s="228"/>
      <c r="QM80" s="228"/>
      <c r="QN80" s="228"/>
      <c r="QO80" s="228"/>
      <c r="QP80" s="228"/>
      <c r="QQ80" s="228"/>
      <c r="QR80" s="228"/>
      <c r="QS80" s="228"/>
      <c r="QT80" s="228"/>
      <c r="QU80" s="228"/>
      <c r="QV80" s="228"/>
      <c r="QW80" s="228"/>
      <c r="QX80" s="228"/>
      <c r="QY80" s="228"/>
      <c r="QZ80" s="228"/>
      <c r="RA80" s="228"/>
      <c r="RB80" s="228"/>
      <c r="RC80" s="228"/>
      <c r="RD80" s="228"/>
      <c r="RE80" s="228"/>
      <c r="RF80" s="228"/>
      <c r="RG80" s="228"/>
      <c r="RH80" s="228"/>
      <c r="RI80" s="228"/>
      <c r="RJ80" s="228"/>
      <c r="RK80" s="228"/>
      <c r="RL80" s="228"/>
      <c r="RM80" s="228"/>
      <c r="RN80" s="228"/>
      <c r="RO80" s="228"/>
      <c r="RP80" s="228"/>
      <c r="RQ80" s="228"/>
      <c r="RR80" s="228"/>
      <c r="RS80" s="228"/>
      <c r="RT80" s="228"/>
      <c r="RU80" s="228"/>
      <c r="RV80" s="228"/>
      <c r="RW80" s="228"/>
      <c r="RX80" s="228"/>
      <c r="RY80" s="228"/>
      <c r="RZ80" s="228"/>
      <c r="SA80" s="228"/>
      <c r="SB80" s="228"/>
      <c r="SC80" s="228"/>
      <c r="SD80" s="228"/>
      <c r="SE80" s="228"/>
      <c r="SF80" s="228"/>
      <c r="SG80" s="228"/>
      <c r="SH80" s="228"/>
      <c r="SI80" s="228"/>
      <c r="SJ80" s="228"/>
      <c r="SK80" s="228"/>
      <c r="SL80" s="228"/>
      <c r="SM80" s="228"/>
      <c r="SN80" s="228"/>
      <c r="SO80" s="228"/>
      <c r="SP80" s="228"/>
      <c r="SQ80" s="228"/>
      <c r="SR80" s="228"/>
      <c r="SS80" s="228"/>
      <c r="ST80" s="228"/>
      <c r="SU80" s="228"/>
      <c r="SV80" s="228"/>
      <c r="SW80" s="228"/>
      <c r="SX80" s="228"/>
      <c r="SY80" s="228"/>
      <c r="SZ80" s="228"/>
      <c r="TA80" s="228"/>
      <c r="TB80" s="228"/>
      <c r="TC80" s="228"/>
      <c r="TD80" s="228"/>
      <c r="TE80" s="228"/>
      <c r="TF80" s="228"/>
      <c r="TG80" s="228"/>
      <c r="TH80" s="228"/>
      <c r="TI80" s="228"/>
      <c r="TJ80" s="228"/>
      <c r="TK80" s="228"/>
      <c r="TL80" s="228"/>
      <c r="TM80" s="228"/>
      <c r="TN80" s="228"/>
      <c r="TO80" s="228"/>
      <c r="TP80" s="228"/>
      <c r="TQ80" s="228"/>
      <c r="TR80" s="228"/>
      <c r="TS80" s="228"/>
      <c r="TT80" s="228"/>
      <c r="TU80" s="228"/>
      <c r="TV80" s="228"/>
      <c r="TW80" s="228"/>
      <c r="TX80" s="228"/>
      <c r="TY80" s="228"/>
      <c r="TZ80" s="228"/>
      <c r="UA80" s="228"/>
      <c r="UB80" s="228"/>
      <c r="UC80" s="228"/>
      <c r="UD80" s="228"/>
      <c r="UE80" s="228"/>
      <c r="UF80" s="228"/>
      <c r="UG80" s="228"/>
      <c r="UH80" s="228"/>
      <c r="UI80" s="228"/>
      <c r="UJ80" s="228"/>
      <c r="UK80" s="228"/>
      <c r="UL80" s="228"/>
      <c r="UM80" s="228"/>
      <c r="UN80" s="228"/>
      <c r="UO80" s="228"/>
      <c r="UP80" s="228"/>
      <c r="UQ80" s="228"/>
      <c r="UR80" s="228"/>
      <c r="US80" s="228"/>
      <c r="UT80" s="228"/>
      <c r="UU80" s="228"/>
      <c r="UV80" s="228"/>
      <c r="UW80" s="228"/>
      <c r="UX80" s="228"/>
      <c r="UY80" s="228"/>
      <c r="UZ80" s="228"/>
      <c r="VA80" s="228"/>
      <c r="VB80" s="228"/>
      <c r="VC80" s="228"/>
      <c r="VD80" s="228"/>
      <c r="VE80" s="228"/>
      <c r="VF80" s="228"/>
      <c r="VG80" s="228"/>
      <c r="VH80" s="228"/>
      <c r="VI80" s="228"/>
      <c r="VJ80" s="228"/>
      <c r="VK80" s="228"/>
      <c r="VL80" s="228"/>
      <c r="VM80" s="228"/>
      <c r="VN80" s="228"/>
      <c r="VO80" s="228"/>
      <c r="VP80" s="228"/>
      <c r="VQ80" s="228"/>
      <c r="VR80" s="228"/>
      <c r="VS80" s="228"/>
      <c r="VT80" s="228"/>
      <c r="VU80" s="228"/>
      <c r="VV80" s="228"/>
      <c r="VW80" s="228"/>
      <c r="VX80" s="228"/>
      <c r="VY80" s="228"/>
      <c r="VZ80" s="228"/>
      <c r="WA80" s="228"/>
      <c r="WB80" s="228"/>
      <c r="WC80" s="228"/>
      <c r="WD80" s="228"/>
      <c r="WE80" s="228"/>
      <c r="WF80" s="228"/>
      <c r="WG80" s="228"/>
      <c r="WH80" s="228"/>
      <c r="WI80" s="228"/>
      <c r="WJ80" s="228"/>
      <c r="WK80" s="228"/>
      <c r="WL80" s="228"/>
      <c r="WM80" s="228"/>
      <c r="WN80" s="228"/>
      <c r="WO80" s="228"/>
      <c r="WP80" s="228"/>
      <c r="WQ80" s="228"/>
      <c r="WR80" s="228"/>
      <c r="WS80" s="228"/>
      <c r="WT80" s="228"/>
      <c r="WU80" s="228"/>
      <c r="WV80" s="228"/>
      <c r="WW80" s="228"/>
      <c r="WX80" s="228"/>
      <c r="WY80" s="228"/>
      <c r="WZ80" s="228"/>
      <c r="XA80" s="228"/>
      <c r="XB80" s="228"/>
      <c r="XC80" s="228"/>
      <c r="XD80" s="228"/>
      <c r="XE80" s="228"/>
      <c r="XF80" s="228"/>
      <c r="XG80" s="228"/>
      <c r="XH80" s="228"/>
      <c r="XI80" s="228"/>
      <c r="XJ80" s="228"/>
      <c r="XK80" s="228"/>
      <c r="XL80" s="228"/>
      <c r="XM80" s="228"/>
      <c r="XN80" s="228"/>
      <c r="XO80" s="228"/>
      <c r="XP80" s="228"/>
      <c r="XQ80" s="228"/>
      <c r="XR80" s="228"/>
      <c r="XS80" s="228"/>
      <c r="XT80" s="228"/>
      <c r="XU80" s="228"/>
      <c r="XV80" s="228"/>
      <c r="XW80" s="228"/>
      <c r="XX80" s="228"/>
      <c r="XY80" s="228"/>
      <c r="XZ80" s="228"/>
      <c r="YA80" s="228"/>
      <c r="YB80" s="228"/>
      <c r="YC80" s="228"/>
      <c r="YD80" s="228"/>
      <c r="YE80" s="228"/>
      <c r="YF80" s="228"/>
      <c r="YG80" s="228"/>
      <c r="YH80" s="228"/>
      <c r="YI80" s="228"/>
      <c r="YJ80" s="228"/>
      <c r="YK80" s="228"/>
      <c r="YL80" s="228"/>
      <c r="YM80" s="228"/>
      <c r="YN80" s="228"/>
      <c r="YO80" s="228"/>
      <c r="YP80" s="228"/>
      <c r="YQ80" s="228"/>
      <c r="YR80" s="228"/>
      <c r="YS80" s="228"/>
      <c r="YT80" s="228"/>
      <c r="YU80" s="228"/>
      <c r="YV80" s="228"/>
      <c r="YW80" s="228"/>
      <c r="YX80" s="228"/>
      <c r="YY80" s="228"/>
      <c r="YZ80" s="228"/>
      <c r="ZA80" s="228"/>
      <c r="ZB80" s="228"/>
      <c r="ZC80" s="228"/>
      <c r="ZD80" s="228"/>
      <c r="ZE80" s="228"/>
      <c r="ZF80" s="228"/>
      <c r="ZG80" s="228"/>
      <c r="ZH80" s="228"/>
      <c r="ZI80" s="228"/>
      <c r="ZJ80" s="228"/>
      <c r="ZK80" s="228"/>
      <c r="ZL80" s="228"/>
      <c r="ZM80" s="228"/>
      <c r="ZN80" s="228"/>
      <c r="ZO80" s="228"/>
      <c r="ZP80" s="228"/>
      <c r="ZQ80" s="228"/>
      <c r="ZR80" s="228"/>
      <c r="ZS80" s="228"/>
      <c r="ZT80" s="228"/>
      <c r="ZU80" s="228"/>
      <c r="ZV80" s="228"/>
      <c r="ZW80" s="228"/>
      <c r="ZX80" s="228"/>
      <c r="ZY80" s="228"/>
      <c r="ZZ80" s="228"/>
      <c r="AAA80" s="228"/>
      <c r="AAB80" s="228"/>
      <c r="AAC80" s="228"/>
      <c r="AAD80" s="228"/>
      <c r="AAE80" s="228"/>
      <c r="AAF80" s="228"/>
      <c r="AAG80" s="228"/>
      <c r="AAH80" s="228"/>
      <c r="AAI80" s="228"/>
      <c r="AAJ80" s="228"/>
      <c r="AAK80" s="228"/>
      <c r="AAL80" s="228"/>
      <c r="AAM80" s="228"/>
      <c r="AAN80" s="228"/>
      <c r="AAO80" s="228"/>
      <c r="AAP80" s="228"/>
      <c r="AAQ80" s="228"/>
      <c r="AAR80" s="228"/>
      <c r="AAS80" s="228"/>
      <c r="AAT80" s="228"/>
      <c r="AAU80" s="228"/>
      <c r="AAV80" s="228"/>
      <c r="AAW80" s="228"/>
      <c r="AAX80" s="228"/>
      <c r="AAY80" s="228"/>
      <c r="AAZ80" s="228"/>
      <c r="ABA80" s="228"/>
      <c r="ABB80" s="228"/>
      <c r="ABC80" s="228"/>
      <c r="ABD80" s="228"/>
      <c r="ABE80" s="228"/>
      <c r="ABF80" s="228"/>
      <c r="ABG80" s="228"/>
      <c r="ABH80" s="228"/>
      <c r="ABI80" s="228"/>
      <c r="ABJ80" s="228"/>
      <c r="ABK80" s="228"/>
      <c r="ABL80" s="228"/>
      <c r="ABM80" s="228"/>
      <c r="ABN80" s="228"/>
      <c r="ABO80" s="228"/>
      <c r="ABP80" s="228"/>
      <c r="ABQ80" s="228"/>
      <c r="ABR80" s="228"/>
      <c r="ABS80" s="228"/>
      <c r="ABT80" s="228"/>
      <c r="ABU80" s="228"/>
      <c r="ABV80" s="228"/>
      <c r="ABW80" s="228"/>
      <c r="ABX80" s="228"/>
      <c r="ABY80" s="228"/>
      <c r="ABZ80" s="228"/>
      <c r="ACA80" s="228"/>
      <c r="ACB80" s="228"/>
      <c r="ACC80" s="228"/>
      <c r="ACD80" s="228"/>
      <c r="ACE80" s="228"/>
      <c r="ACF80" s="228"/>
      <c r="ACG80" s="228"/>
      <c r="ACH80" s="228"/>
      <c r="ACI80" s="228"/>
      <c r="ACJ80" s="228"/>
      <c r="ACK80" s="228"/>
      <c r="ACL80" s="228"/>
      <c r="ACM80" s="228"/>
      <c r="ACN80" s="228"/>
      <c r="ACO80" s="228"/>
      <c r="ACP80" s="228"/>
      <c r="ACQ80" s="228"/>
      <c r="ACR80" s="228"/>
      <c r="ACS80" s="228"/>
      <c r="ACT80" s="228"/>
      <c r="ACU80" s="228"/>
      <c r="ACV80" s="228"/>
      <c r="ACW80" s="228"/>
      <c r="ACX80" s="228"/>
      <c r="ACY80" s="228"/>
      <c r="ACZ80" s="228"/>
      <c r="ADA80" s="228"/>
      <c r="ADB80" s="228"/>
      <c r="ADC80" s="228"/>
      <c r="ADD80" s="228"/>
      <c r="ADE80" s="228"/>
      <c r="ADF80" s="228"/>
      <c r="ADG80" s="228"/>
      <c r="ADH80" s="228"/>
      <c r="ADI80" s="228"/>
      <c r="ADJ80" s="228"/>
      <c r="ADK80" s="228"/>
      <c r="ADL80" s="228"/>
      <c r="ADM80" s="228"/>
      <c r="ADN80" s="228"/>
      <c r="ADO80" s="228"/>
      <c r="ADP80" s="228"/>
      <c r="ADQ80" s="228"/>
      <c r="ADR80" s="228"/>
      <c r="ADS80" s="228"/>
      <c r="ADT80" s="228"/>
      <c r="ADU80" s="228"/>
      <c r="ADV80" s="228"/>
      <c r="ADW80" s="228"/>
      <c r="ADX80" s="228"/>
      <c r="ADY80" s="228"/>
      <c r="ADZ80" s="228"/>
      <c r="AEA80" s="228"/>
      <c r="AEB80" s="228"/>
      <c r="AEC80" s="228"/>
      <c r="AED80" s="228"/>
      <c r="AEE80" s="228"/>
      <c r="AEF80" s="228"/>
      <c r="AEG80" s="228"/>
      <c r="AEH80" s="228"/>
      <c r="AEI80" s="228"/>
      <c r="AEJ80" s="228"/>
      <c r="AEK80" s="228"/>
      <c r="AEL80" s="228"/>
      <c r="AEM80" s="228"/>
      <c r="AEN80" s="228"/>
      <c r="AEO80" s="228"/>
      <c r="AEP80" s="228"/>
      <c r="AEQ80" s="228"/>
      <c r="AER80" s="228"/>
      <c r="AES80" s="228"/>
      <c r="AET80" s="228"/>
      <c r="AEU80" s="228"/>
      <c r="AEV80" s="228"/>
      <c r="AEW80" s="228"/>
      <c r="AEX80" s="228"/>
      <c r="AEY80" s="228"/>
      <c r="AEZ80" s="228"/>
      <c r="AFA80" s="228"/>
      <c r="AFB80" s="228"/>
      <c r="AFC80" s="228"/>
      <c r="AFD80" s="228"/>
      <c r="AFE80" s="228"/>
      <c r="AFF80" s="228"/>
      <c r="AFG80" s="228"/>
      <c r="AFH80" s="228"/>
      <c r="AFI80" s="228"/>
      <c r="AFJ80" s="228"/>
      <c r="AFK80" s="228"/>
      <c r="AFL80" s="228"/>
      <c r="AFM80" s="228"/>
      <c r="AFN80" s="228"/>
      <c r="AFO80" s="228"/>
      <c r="AFP80" s="228"/>
      <c r="AFQ80" s="228"/>
      <c r="AFR80" s="228"/>
      <c r="AFS80" s="228"/>
      <c r="AFT80" s="228"/>
      <c r="AFU80" s="228"/>
      <c r="AFV80" s="228"/>
      <c r="AFW80" s="228"/>
      <c r="AFX80" s="228"/>
      <c r="AFY80" s="228"/>
      <c r="AFZ80" s="228"/>
      <c r="AGA80" s="228"/>
      <c r="AGB80" s="228"/>
      <c r="AGC80" s="228"/>
      <c r="AGD80" s="228"/>
      <c r="AGE80" s="228"/>
      <c r="AGF80" s="228"/>
      <c r="AGG80" s="228"/>
      <c r="AGH80" s="228"/>
      <c r="AGI80" s="228"/>
      <c r="AGJ80" s="228"/>
      <c r="AGK80" s="228"/>
      <c r="AGL80" s="228"/>
      <c r="AGM80" s="228"/>
      <c r="AGN80" s="228"/>
      <c r="AGO80" s="228"/>
      <c r="AGP80" s="228"/>
      <c r="AGQ80" s="228"/>
      <c r="AGR80" s="228"/>
      <c r="AGS80" s="228"/>
      <c r="AGT80" s="228"/>
      <c r="AGU80" s="228"/>
      <c r="AGV80" s="228"/>
      <c r="AGW80" s="228"/>
      <c r="AGX80" s="228"/>
      <c r="AGY80" s="228"/>
      <c r="AGZ80" s="228"/>
      <c r="AHA80" s="228"/>
      <c r="AHB80" s="228"/>
      <c r="AHC80" s="228"/>
      <c r="AHD80" s="228"/>
      <c r="AHE80" s="228"/>
      <c r="AHF80" s="228"/>
      <c r="AHG80" s="228"/>
      <c r="AHH80" s="228"/>
      <c r="AHI80" s="228"/>
      <c r="AHJ80" s="228"/>
      <c r="AHK80" s="228"/>
      <c r="AHL80" s="228"/>
      <c r="AHM80" s="228"/>
      <c r="AHN80" s="228"/>
      <c r="AHO80" s="228"/>
      <c r="AHP80" s="228"/>
      <c r="AHQ80" s="228"/>
      <c r="AHR80" s="228"/>
      <c r="AHS80" s="228"/>
      <c r="AHT80" s="228"/>
      <c r="AHU80" s="228"/>
      <c r="AHV80" s="228"/>
      <c r="AHW80" s="228"/>
      <c r="AHX80" s="228"/>
      <c r="AHY80" s="228"/>
      <c r="AHZ80" s="228"/>
      <c r="AIA80" s="228"/>
      <c r="AIB80" s="228"/>
      <c r="AIC80" s="228"/>
      <c r="AID80" s="228"/>
      <c r="AIE80" s="228"/>
      <c r="AIF80" s="228"/>
      <c r="AIG80" s="228"/>
      <c r="AIH80" s="228"/>
      <c r="AII80" s="228"/>
      <c r="AIJ80" s="228"/>
      <c r="AIK80" s="228"/>
      <c r="AIL80" s="228"/>
      <c r="AIM80" s="228"/>
      <c r="AIN80" s="228"/>
      <c r="AIO80" s="228"/>
      <c r="AIP80" s="228"/>
      <c r="AIQ80" s="228"/>
      <c r="AIR80" s="228"/>
      <c r="AIS80" s="228"/>
      <c r="AIT80" s="228"/>
      <c r="AIU80" s="228"/>
      <c r="AIV80" s="228"/>
      <c r="AIW80" s="228"/>
      <c r="AIX80" s="228"/>
      <c r="AIY80" s="228"/>
      <c r="AIZ80" s="228"/>
      <c r="AJA80" s="228"/>
      <c r="AJB80" s="228"/>
      <c r="AJC80" s="228"/>
      <c r="AJD80" s="228"/>
      <c r="AJE80" s="228"/>
      <c r="AJF80" s="228"/>
      <c r="AJG80" s="228"/>
      <c r="AJH80" s="228"/>
      <c r="AJI80" s="228"/>
      <c r="AJJ80" s="228"/>
      <c r="AJK80" s="228"/>
      <c r="AJL80" s="228"/>
      <c r="AJM80" s="228"/>
      <c r="AJN80" s="228"/>
      <c r="AJO80" s="228"/>
      <c r="AJP80" s="228"/>
      <c r="AJQ80" s="228"/>
      <c r="AJR80" s="228"/>
      <c r="AJS80" s="228"/>
      <c r="AJT80" s="228"/>
      <c r="AJU80" s="228"/>
      <c r="AJV80" s="228"/>
      <c r="AJW80" s="228"/>
      <c r="AJX80" s="228"/>
      <c r="AJY80" s="228"/>
      <c r="AJZ80" s="228"/>
      <c r="AKA80" s="228"/>
      <c r="AKB80" s="228"/>
      <c r="AKC80" s="228"/>
      <c r="AKD80" s="228"/>
      <c r="AKE80" s="228"/>
      <c r="AKF80" s="228"/>
      <c r="AKG80" s="228"/>
      <c r="AKH80" s="228"/>
      <c r="AKI80" s="228"/>
      <c r="AKJ80" s="228"/>
      <c r="AKK80" s="228"/>
      <c r="AKL80" s="228"/>
      <c r="AKM80" s="228"/>
      <c r="AKN80" s="228"/>
      <c r="AKO80" s="228"/>
      <c r="AKP80" s="228"/>
      <c r="AKQ80" s="228"/>
      <c r="AKR80" s="228"/>
      <c r="AKS80" s="228"/>
      <c r="AKT80" s="228"/>
      <c r="AKU80" s="228"/>
      <c r="AKV80" s="228"/>
      <c r="AKW80" s="228"/>
      <c r="AKX80" s="228"/>
      <c r="AKY80" s="228"/>
      <c r="AKZ80" s="228"/>
      <c r="ALA80" s="228"/>
      <c r="ALB80" s="228"/>
      <c r="ALC80" s="228"/>
      <c r="ALD80" s="228"/>
      <c r="ALE80" s="228"/>
      <c r="ALF80" s="228"/>
      <c r="ALG80" s="228"/>
      <c r="ALH80" s="228"/>
    </row>
    <row r="81" spans="1:996">
      <c r="A81" s="37"/>
      <c r="B81" t="str">
        <f>D81&amp;E81</f>
        <v>E313103</v>
      </c>
      <c r="C81" s="7" t="s">
        <v>119</v>
      </c>
      <c r="D81" s="26" t="s">
        <v>73</v>
      </c>
      <c r="E81" s="7">
        <v>313103</v>
      </c>
      <c r="F81" s="48" t="s">
        <v>477</v>
      </c>
      <c r="G81" s="49">
        <f>IFERROR(VLOOKUP(E81,'BD - E - Mvto Cx'!$A$15:$D$500,4,0),0)</f>
        <v>0</v>
      </c>
      <c r="H81" s="50">
        <f>IFERROR(VLOOKUP(E81,'BD - E - Mvto Cx'!$J$15:$M$500,4,0),0)</f>
        <v>0</v>
      </c>
      <c r="I81" s="50">
        <f>IFERROR(VLOOKUP(E81,'BD - E - Mvto Cx'!$S$15:$V$500,4,0),0)</f>
        <v>0</v>
      </c>
      <c r="J81" s="50">
        <f>IFERROR(VLOOKUP(E81,'BD - E - Mvto Cx'!$AB$15:$AE$500,4,0),0)</f>
        <v>12.22</v>
      </c>
      <c r="K81" s="50">
        <f>IFERROR(VLOOKUP(E81,'BD - E - Mvto Cx'!$AK$15:$AN$500,4,0),0)</f>
        <v>0</v>
      </c>
      <c r="L81" s="50">
        <f>IFERROR(VLOOKUP(E81,'BD - E - Mvto Cx'!$AT$15:$AW$500,4,0),0)</f>
        <v>0</v>
      </c>
      <c r="M81" s="50">
        <f>IFERROR(VLOOKUP(E81,'BD - E - Mvto Cx'!$BF$15:$BI$500,4,0),0)</f>
        <v>0</v>
      </c>
      <c r="N81" s="50">
        <f>IFERROR(VLOOKUP(E81,'BD - E - Mvto Cx'!$BO$15:$BR$500,4,0),0)</f>
        <v>0</v>
      </c>
      <c r="O81" s="50">
        <f>IFERROR(VLOOKUP(E81,'BD - E - Mvto Cx'!$BX$15:$CA$500,4,0),0)</f>
        <v>0</v>
      </c>
      <c r="P81" s="50">
        <f>IFERROR(VLOOKUP(E81,'BD - E - Mvto Cx'!$CG$15:$CJ$500,4,0),0)</f>
        <v>0</v>
      </c>
      <c r="Q81" s="50">
        <f>IFERROR(VLOOKUP(E81,'BD - E - Mvto Cx'!$CP$15:$CS$500,4,0),0)</f>
        <v>0</v>
      </c>
      <c r="R81" s="50">
        <f>IFERROR(VLOOKUP(E81,'BD - E - Mvto Cx'!$CY$15:$DB$500,4,0),0)</f>
        <v>0</v>
      </c>
    </row>
    <row r="82" spans="1:996">
      <c r="A82" s="37"/>
      <c r="B82" t="str">
        <f t="shared" si="0"/>
        <v>E313110</v>
      </c>
      <c r="C82" s="7" t="s">
        <v>119</v>
      </c>
      <c r="D82" s="26" t="s">
        <v>73</v>
      </c>
      <c r="E82" s="7">
        <v>313110</v>
      </c>
      <c r="F82" s="48" t="s">
        <v>120</v>
      </c>
      <c r="G82" s="49">
        <f>IFERROR(VLOOKUP(E82,'BD - E - Mvto Cx'!$A$15:$D$500,4,0),0)</f>
        <v>105604.35</v>
      </c>
      <c r="H82" s="50">
        <f>IFERROR(VLOOKUP(E82,'BD - E - Mvto Cx'!$J$15:$M$500,4,0),0)</f>
        <v>26809.15</v>
      </c>
      <c r="I82" s="50">
        <f>IFERROR(VLOOKUP(E82,'BD - E - Mvto Cx'!$S$15:$V$500,4,0),0)</f>
        <v>242276.65</v>
      </c>
      <c r="J82" s="50">
        <f>IFERROR(VLOOKUP(E82,'BD - E - Mvto Cx'!$AB$15:$AE$500,4,0),0)</f>
        <v>118.02</v>
      </c>
      <c r="K82" s="50">
        <f>IFERROR(VLOOKUP(E82,'BD - E - Mvto Cx'!$AK$15:$AN$500,4,0),0)</f>
        <v>0</v>
      </c>
      <c r="L82" s="50">
        <f>IFERROR(VLOOKUP(E82,'BD - E - Mvto Cx'!$AT$15:$AW$500,4,0),0)</f>
        <v>0</v>
      </c>
      <c r="M82" s="50">
        <f>IFERROR(VLOOKUP(E82,'BD - E - Mvto Cx'!$BF$15:$BI$500,4,0),0)</f>
        <v>0</v>
      </c>
      <c r="N82" s="50">
        <f>IFERROR(VLOOKUP(E82,'BD - E - Mvto Cx'!$BO$15:$BR$500,4,0),0)</f>
        <v>0</v>
      </c>
      <c r="O82" s="50">
        <f>IFERROR(VLOOKUP(E82,'BD - E - Mvto Cx'!$BX$15:$CA$500,4,0),0)</f>
        <v>0</v>
      </c>
      <c r="P82" s="50">
        <f>IFERROR(VLOOKUP(E82,'BD - E - Mvto Cx'!$CG$15:$CJ$500,4,0),0)</f>
        <v>0</v>
      </c>
      <c r="Q82" s="50">
        <f>IFERROR(VLOOKUP(E82,'BD - E - Mvto Cx'!$CP$15:$CS$500,4,0),0)</f>
        <v>0</v>
      </c>
      <c r="R82" s="50">
        <f>IFERROR(VLOOKUP(E82,'BD - E - Mvto Cx'!$CY$15:$DB$500,4,0),0)</f>
        <v>0</v>
      </c>
    </row>
    <row r="83" spans="1:996">
      <c r="A83" s="37"/>
      <c r="B83" t="str">
        <f t="shared" si="0"/>
        <v>E313111</v>
      </c>
      <c r="C83" s="7" t="s">
        <v>119</v>
      </c>
      <c r="D83" s="26" t="s">
        <v>73</v>
      </c>
      <c r="E83" s="7">
        <v>313111</v>
      </c>
      <c r="F83" s="48" t="s">
        <v>121</v>
      </c>
      <c r="G83" s="49">
        <f>IFERROR(VLOOKUP(E83,'BD - E - Mvto Cx'!$A$15:$D$500,4,0),0)</f>
        <v>203.14</v>
      </c>
      <c r="H83" s="50">
        <f>IFERROR(VLOOKUP(E83,'BD - E - Mvto Cx'!$J$15:$M$500,4,0),0)</f>
        <v>26.8</v>
      </c>
      <c r="I83" s="50">
        <f>IFERROR(VLOOKUP(E83,'BD - E - Mvto Cx'!$S$15:$V$500,4,0),0)</f>
        <v>246.4</v>
      </c>
      <c r="J83" s="50">
        <f>IFERROR(VLOOKUP(E83,'BD - E - Mvto Cx'!$AB$15:$AE$500,4,0),0)</f>
        <v>123.94</v>
      </c>
      <c r="K83" s="50">
        <f>IFERROR(VLOOKUP(E83,'BD - E - Mvto Cx'!$AK$15:$AN$500,4,0),0)</f>
        <v>0</v>
      </c>
      <c r="L83" s="50">
        <f>IFERROR(VLOOKUP(E83,'BD - E - Mvto Cx'!$AT$15:$AW$500,4,0),0)</f>
        <v>0</v>
      </c>
      <c r="M83" s="50">
        <f>IFERROR(VLOOKUP(E83,'BD - E - Mvto Cx'!$BF$15:$BI$500,4,0),0)</f>
        <v>0</v>
      </c>
      <c r="N83" s="50">
        <f>IFERROR(VLOOKUP(E83,'BD - E - Mvto Cx'!$BO$15:$BR$500,4,0),0)</f>
        <v>0</v>
      </c>
      <c r="O83" s="50">
        <f>IFERROR(VLOOKUP(E83,'BD - E - Mvto Cx'!$BX$15:$CA$500,4,0),0)</f>
        <v>0</v>
      </c>
      <c r="P83" s="50">
        <f>IFERROR(VLOOKUP(E83,'BD - E - Mvto Cx'!$CG$15:$CJ$500,4,0),0)</f>
        <v>0</v>
      </c>
      <c r="Q83" s="50">
        <f>IFERROR(VLOOKUP(E83,'BD - E - Mvto Cx'!$CP$15:$CS$500,4,0),0)</f>
        <v>0</v>
      </c>
      <c r="R83" s="50">
        <f>IFERROR(VLOOKUP(E83,'BD - E - Mvto Cx'!$CY$15:$DB$500,4,0),0)</f>
        <v>0</v>
      </c>
    </row>
    <row r="84" spans="1:996">
      <c r="A84" s="37"/>
      <c r="B84" t="str">
        <f t="shared" si="0"/>
        <v>E313112</v>
      </c>
      <c r="C84" s="7" t="s">
        <v>119</v>
      </c>
      <c r="D84" s="26" t="s">
        <v>73</v>
      </c>
      <c r="E84" s="7">
        <v>313112</v>
      </c>
      <c r="F84" s="48" t="s">
        <v>122</v>
      </c>
      <c r="G84" s="49">
        <f>IFERROR(VLOOKUP(E84,'BD - E - Mvto Cx'!$A$15:$D$500,4,0),0)</f>
        <v>0.56000000000000005</v>
      </c>
      <c r="H84" s="50">
        <f>IFERROR(VLOOKUP(E84,'BD - E - Mvto Cx'!$J$15:$M$500,4,0),0)</f>
        <v>603.36</v>
      </c>
      <c r="I84" s="50">
        <f>IFERROR(VLOOKUP(E84,'BD - E - Mvto Cx'!$S$15:$V$500,4,0),0)</f>
        <v>451.29</v>
      </c>
      <c r="J84" s="50">
        <f>IFERROR(VLOOKUP(E84,'BD - E - Mvto Cx'!$AB$15:$AE$500,4,0),0)</f>
        <v>237.57</v>
      </c>
      <c r="K84" s="50">
        <f>IFERROR(VLOOKUP(E84,'BD - E - Mvto Cx'!$AK$15:$AN$500,4,0),0)</f>
        <v>0</v>
      </c>
      <c r="L84" s="50">
        <f>IFERROR(VLOOKUP(E84,'BD - E - Mvto Cx'!$AT$15:$AW$500,4,0),0)</f>
        <v>0</v>
      </c>
      <c r="M84" s="50">
        <f>IFERROR(VLOOKUP(E84,'BD - E - Mvto Cx'!$BF$15:$BI$500,4,0),0)</f>
        <v>0</v>
      </c>
      <c r="N84" s="50">
        <f>IFERROR(VLOOKUP(E84,'BD - E - Mvto Cx'!$BO$15:$BR$500,4,0),0)</f>
        <v>0</v>
      </c>
      <c r="O84" s="50">
        <f>IFERROR(VLOOKUP(E84,'BD - E - Mvto Cx'!$BX$15:$CA$500,4,0),0)</f>
        <v>0</v>
      </c>
      <c r="P84" s="50">
        <f>IFERROR(VLOOKUP(E84,'BD - E - Mvto Cx'!$CG$15:$CJ$500,4,0),0)</f>
        <v>0</v>
      </c>
      <c r="Q84" s="50">
        <f>IFERROR(VLOOKUP(E84,'BD - E - Mvto Cx'!$CP$15:$CS$500,4,0),0)</f>
        <v>0</v>
      </c>
      <c r="R84" s="50">
        <f>IFERROR(VLOOKUP(E84,'BD - E - Mvto Cx'!$CY$15:$DB$500,4,0),0)</f>
        <v>0</v>
      </c>
    </row>
    <row r="85" spans="1:996">
      <c r="A85" s="37"/>
      <c r="B85" t="str">
        <f t="shared" si="0"/>
        <v>E313212</v>
      </c>
      <c r="C85" s="7" t="s">
        <v>119</v>
      </c>
      <c r="D85" s="26" t="s">
        <v>73</v>
      </c>
      <c r="E85" s="7">
        <v>313212</v>
      </c>
      <c r="F85" s="48" t="s">
        <v>469</v>
      </c>
      <c r="G85" s="49">
        <f>IFERROR(VLOOKUP(E85,'BD - E - Mvto Cx'!$A$15:$D$500,4,0),0)</f>
        <v>0</v>
      </c>
      <c r="H85" s="50">
        <f>IFERROR(VLOOKUP(E85,'BD - E - Mvto Cx'!$J$15:$M$500,4,0),0)</f>
        <v>0</v>
      </c>
      <c r="I85" s="50">
        <f>IFERROR(VLOOKUP(E85,'BD - E - Mvto Cx'!$S$15:$V$500,4,0),0)</f>
        <v>0</v>
      </c>
      <c r="J85" s="50">
        <f>IFERROR(VLOOKUP(E85,'BD - E - Mvto Cx'!$AB$15:$AE$500,4,0),0)</f>
        <v>0</v>
      </c>
      <c r="K85" s="50">
        <f>IFERROR(VLOOKUP(E85,'BD - E - Mvto Cx'!$AK$15:$AN$500,4,0),0)</f>
        <v>0</v>
      </c>
      <c r="L85" s="50">
        <f>IFERROR(VLOOKUP(E85,'BD - E - Mvto Cx'!$AT$15:$AW$500,4,0),0)</f>
        <v>0</v>
      </c>
      <c r="M85" s="50">
        <f>IFERROR(VLOOKUP(E85,'BD - E - Mvto Cx'!$BF$15:$BI$500,4,0),0)</f>
        <v>0</v>
      </c>
      <c r="N85" s="50">
        <f>IFERROR(VLOOKUP(E85,'BD - E - Mvto Cx'!$BO$15:$BR$500,4,0),0)</f>
        <v>0</v>
      </c>
      <c r="O85" s="50">
        <f>IFERROR(VLOOKUP(E85,'BD - E - Mvto Cx'!$BX$15:$CA$500,4,0),0)</f>
        <v>0</v>
      </c>
      <c r="P85" s="50">
        <f>IFERROR(VLOOKUP(E85,'BD - E - Mvto Cx'!$CG$15:$CJ$500,4,0),0)</f>
        <v>0</v>
      </c>
      <c r="Q85" s="50">
        <f>IFERROR(VLOOKUP(E85,'BD - E - Mvto Cx'!$CP$15:$CS$500,4,0),0)</f>
        <v>0</v>
      </c>
      <c r="R85" s="50">
        <f>IFERROR(VLOOKUP(E85,'BD - E - Mvto Cx'!$CY$15:$DB$500,4,0),0)</f>
        <v>0</v>
      </c>
    </row>
    <row r="86" spans="1:996" s="229" customFormat="1">
      <c r="A86" s="37"/>
      <c r="B86" t="str">
        <f>D86&amp;E86</f>
        <v>E313290</v>
      </c>
      <c r="C86" s="7" t="s">
        <v>119</v>
      </c>
      <c r="D86" s="26" t="s">
        <v>73</v>
      </c>
      <c r="E86" s="7">
        <v>313290</v>
      </c>
      <c r="F86" s="48" t="s">
        <v>588</v>
      </c>
      <c r="G86" s="49">
        <f>IFERROR(VLOOKUP(E86,'BD - E - Mvto Cx'!$A$15:$D$500,4,0),0)</f>
        <v>47.59</v>
      </c>
      <c r="H86" s="50">
        <f>IFERROR(VLOOKUP(E86,'BD - E - Mvto Cx'!$J$15:$M$500,4,0),0)</f>
        <v>24.52</v>
      </c>
      <c r="I86" s="50">
        <f>IFERROR(VLOOKUP(E86,'BD - E - Mvto Cx'!$S$15:$V$500,4,0),0)</f>
        <v>5.86</v>
      </c>
      <c r="J86" s="50">
        <f>IFERROR(VLOOKUP(E86,'BD - E - Mvto Cx'!$AB$15:$AE$500,4,0),0)</f>
        <v>14.25</v>
      </c>
      <c r="K86" s="50">
        <f>IFERROR(VLOOKUP(E86,'BD - E - Mvto Cx'!$AK$15:$AN$500,4,0),0)</f>
        <v>0</v>
      </c>
      <c r="L86" s="50">
        <f>IFERROR(VLOOKUP(E86,'BD - E - Mvto Cx'!$AT$15:$AW$500,4,0),0)</f>
        <v>0</v>
      </c>
      <c r="M86" s="50">
        <f>IFERROR(VLOOKUP(E86,'BD - E - Mvto Cx'!$BF$15:$BI$500,4,0),0)</f>
        <v>0</v>
      </c>
      <c r="N86" s="50">
        <f>IFERROR(VLOOKUP(E86,'BD - E - Mvto Cx'!$BO$15:$BR$500,4,0),0)</f>
        <v>0</v>
      </c>
      <c r="O86" s="50">
        <f>IFERROR(VLOOKUP(E86,'BD - E - Mvto Cx'!$BX$15:$CA$500,4,0),0)</f>
        <v>0</v>
      </c>
      <c r="P86" s="50">
        <f>IFERROR(VLOOKUP(E86,'BD - E - Mvto Cx'!$CG$15:$CJ$500,4,0),0)</f>
        <v>0</v>
      </c>
      <c r="Q86" s="50">
        <f>IFERROR(VLOOKUP(E86,'BD - E - Mvto Cx'!$CP$15:$CS$500,4,0),0)</f>
        <v>0</v>
      </c>
      <c r="R86" s="50">
        <f>IFERROR(VLOOKUP(E86,'BD - E - Mvto Cx'!$CY$15:$DB$500,4,0),0)</f>
        <v>0</v>
      </c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A86" s="228"/>
      <c r="BB86" s="228"/>
      <c r="BC86" s="228"/>
      <c r="BD86" s="228"/>
      <c r="BE86" s="228"/>
      <c r="BF86" s="228"/>
      <c r="BG86" s="228"/>
      <c r="BH86" s="228"/>
      <c r="BI86" s="228"/>
      <c r="BJ86" s="228"/>
      <c r="BK86" s="228"/>
      <c r="BL86" s="228"/>
      <c r="BM86" s="228"/>
      <c r="BN86" s="228"/>
      <c r="BO86" s="228"/>
      <c r="BP86" s="228"/>
      <c r="BQ86" s="228"/>
      <c r="BR86" s="228"/>
      <c r="BS86" s="228"/>
      <c r="BT86" s="228"/>
      <c r="BU86" s="228"/>
      <c r="BV86" s="228"/>
      <c r="BW86" s="228"/>
      <c r="BX86" s="228"/>
      <c r="BY86" s="228"/>
      <c r="BZ86" s="228"/>
      <c r="CA86" s="228"/>
      <c r="CB86" s="228"/>
      <c r="CC86" s="228"/>
      <c r="CD86" s="228"/>
      <c r="CE86" s="228"/>
      <c r="CF86" s="228"/>
      <c r="CG86" s="228"/>
      <c r="CH86" s="228"/>
      <c r="CI86" s="228"/>
      <c r="CJ86" s="228"/>
      <c r="CK86" s="228"/>
      <c r="CL86" s="228"/>
      <c r="CM86" s="228"/>
      <c r="CN86" s="228"/>
      <c r="CO86" s="228"/>
      <c r="CP86" s="228"/>
      <c r="CQ86" s="228"/>
      <c r="CR86" s="228"/>
      <c r="CS86" s="228"/>
      <c r="CT86" s="228"/>
      <c r="CU86" s="228"/>
      <c r="CV86" s="228"/>
      <c r="CW86" s="228"/>
      <c r="CX86" s="228"/>
      <c r="CY86" s="228"/>
      <c r="CZ86" s="228"/>
      <c r="DA86" s="228"/>
      <c r="DB86" s="228"/>
      <c r="DC86" s="228"/>
      <c r="DD86" s="228"/>
      <c r="DE86" s="228"/>
      <c r="DF86" s="228"/>
      <c r="DG86" s="228"/>
      <c r="DH86" s="228"/>
      <c r="DI86" s="228"/>
      <c r="DJ86" s="228"/>
      <c r="DK86" s="228"/>
      <c r="DL86" s="228"/>
      <c r="DM86" s="228"/>
      <c r="DN86" s="228"/>
      <c r="DO86" s="228"/>
      <c r="DP86" s="228"/>
      <c r="DQ86" s="228"/>
      <c r="DR86" s="228"/>
      <c r="DS86" s="228"/>
      <c r="DT86" s="228"/>
      <c r="DU86" s="228"/>
      <c r="DV86" s="228"/>
      <c r="DW86" s="228"/>
      <c r="DX86" s="228"/>
      <c r="DY86" s="228"/>
      <c r="DZ86" s="228"/>
      <c r="EA86" s="228"/>
      <c r="EB86" s="228"/>
      <c r="EC86" s="228"/>
      <c r="ED86" s="228"/>
      <c r="EE86" s="228"/>
      <c r="EF86" s="228"/>
      <c r="EG86" s="228"/>
      <c r="EH86" s="228"/>
      <c r="EI86" s="228"/>
      <c r="EJ86" s="228"/>
      <c r="EK86" s="228"/>
      <c r="EL86" s="228"/>
      <c r="EM86" s="228"/>
      <c r="EN86" s="228"/>
      <c r="EO86" s="228"/>
      <c r="EP86" s="228"/>
      <c r="EQ86" s="228"/>
      <c r="ER86" s="228"/>
      <c r="ES86" s="228"/>
      <c r="ET86" s="228"/>
      <c r="EU86" s="228"/>
      <c r="EV86" s="228"/>
      <c r="EW86" s="228"/>
      <c r="EX86" s="228"/>
      <c r="EY86" s="228"/>
      <c r="EZ86" s="228"/>
      <c r="FA86" s="228"/>
      <c r="FB86" s="228"/>
      <c r="FC86" s="228"/>
      <c r="FD86" s="228"/>
      <c r="FE86" s="228"/>
      <c r="FF86" s="228"/>
      <c r="FG86" s="228"/>
      <c r="FH86" s="228"/>
      <c r="FI86" s="228"/>
      <c r="FJ86" s="228"/>
      <c r="FK86" s="228"/>
      <c r="FL86" s="228"/>
      <c r="FM86" s="228"/>
      <c r="FN86" s="228"/>
      <c r="FO86" s="228"/>
      <c r="FP86" s="228"/>
      <c r="FQ86" s="228"/>
      <c r="FR86" s="228"/>
      <c r="FS86" s="228"/>
      <c r="FT86" s="228"/>
      <c r="FU86" s="228"/>
      <c r="FV86" s="228"/>
      <c r="FW86" s="228"/>
      <c r="FX86" s="228"/>
      <c r="FY86" s="228"/>
      <c r="FZ86" s="228"/>
      <c r="GA86" s="228"/>
      <c r="GB86" s="228"/>
      <c r="GC86" s="228"/>
      <c r="GD86" s="228"/>
      <c r="GE86" s="228"/>
      <c r="GF86" s="228"/>
      <c r="GG86" s="228"/>
      <c r="GH86" s="228"/>
      <c r="GI86" s="228"/>
      <c r="GJ86" s="228"/>
      <c r="GK86" s="228"/>
      <c r="GL86" s="228"/>
      <c r="GM86" s="228"/>
      <c r="GN86" s="228"/>
      <c r="GO86" s="228"/>
      <c r="GP86" s="228"/>
      <c r="GQ86" s="228"/>
      <c r="GR86" s="228"/>
      <c r="GS86" s="228"/>
      <c r="GT86" s="228"/>
      <c r="GU86" s="228"/>
      <c r="GV86" s="228"/>
      <c r="GW86" s="228"/>
      <c r="GX86" s="228"/>
      <c r="GY86" s="228"/>
      <c r="GZ86" s="228"/>
      <c r="HA86" s="228"/>
      <c r="HB86" s="228"/>
      <c r="HC86" s="228"/>
      <c r="HD86" s="228"/>
      <c r="HE86" s="228"/>
      <c r="HF86" s="228"/>
      <c r="HG86" s="228"/>
      <c r="HH86" s="228"/>
      <c r="HI86" s="228"/>
      <c r="HJ86" s="228"/>
      <c r="HK86" s="228"/>
      <c r="HL86" s="228"/>
      <c r="HM86" s="228"/>
      <c r="HN86" s="228"/>
      <c r="HO86" s="228"/>
      <c r="HP86" s="228"/>
      <c r="HQ86" s="228"/>
      <c r="HR86" s="228"/>
      <c r="HS86" s="228"/>
      <c r="HT86" s="228"/>
      <c r="HU86" s="228"/>
      <c r="HV86" s="228"/>
      <c r="HW86" s="228"/>
      <c r="HX86" s="228"/>
      <c r="HY86" s="228"/>
      <c r="HZ86" s="228"/>
      <c r="IA86" s="228"/>
      <c r="IB86" s="228"/>
      <c r="IC86" s="228"/>
      <c r="ID86" s="228"/>
      <c r="IE86" s="228"/>
      <c r="IF86" s="228"/>
      <c r="IG86" s="228"/>
      <c r="IH86" s="228"/>
      <c r="II86" s="228"/>
      <c r="IJ86" s="228"/>
      <c r="IK86" s="228"/>
      <c r="IL86" s="228"/>
      <c r="IM86" s="228"/>
      <c r="IN86" s="228"/>
      <c r="IO86" s="228"/>
      <c r="IP86" s="228"/>
      <c r="IQ86" s="228"/>
      <c r="IR86" s="228"/>
      <c r="IS86" s="228"/>
      <c r="IT86" s="228"/>
      <c r="IU86" s="228"/>
      <c r="IV86" s="228"/>
      <c r="IW86" s="228"/>
      <c r="IX86" s="228"/>
      <c r="IY86" s="228"/>
      <c r="IZ86" s="228"/>
      <c r="JA86" s="228"/>
      <c r="JB86" s="228"/>
      <c r="JC86" s="228"/>
      <c r="JD86" s="228"/>
      <c r="JE86" s="228"/>
      <c r="JF86" s="228"/>
      <c r="JG86" s="228"/>
      <c r="JH86" s="228"/>
      <c r="JI86" s="228"/>
      <c r="JJ86" s="228"/>
      <c r="JK86" s="228"/>
      <c r="JL86" s="228"/>
      <c r="JM86" s="228"/>
      <c r="JN86" s="228"/>
      <c r="JO86" s="228"/>
      <c r="JP86" s="228"/>
      <c r="JQ86" s="228"/>
      <c r="JR86" s="228"/>
      <c r="JS86" s="228"/>
      <c r="JT86" s="228"/>
      <c r="JU86" s="228"/>
      <c r="JV86" s="228"/>
      <c r="JW86" s="228"/>
      <c r="JX86" s="228"/>
      <c r="JY86" s="228"/>
      <c r="JZ86" s="228"/>
      <c r="KA86" s="228"/>
      <c r="KB86" s="228"/>
      <c r="KC86" s="228"/>
      <c r="KD86" s="228"/>
      <c r="KE86" s="228"/>
      <c r="KF86" s="228"/>
      <c r="KG86" s="228"/>
      <c r="KH86" s="228"/>
      <c r="KI86" s="228"/>
      <c r="KJ86" s="228"/>
      <c r="KK86" s="228"/>
      <c r="KL86" s="228"/>
      <c r="KM86" s="228"/>
      <c r="KN86" s="228"/>
      <c r="KO86" s="228"/>
      <c r="KP86" s="228"/>
      <c r="KQ86" s="228"/>
      <c r="KR86" s="228"/>
      <c r="KS86" s="228"/>
      <c r="KT86" s="228"/>
      <c r="KU86" s="228"/>
      <c r="KV86" s="228"/>
      <c r="KW86" s="228"/>
      <c r="KX86" s="228"/>
      <c r="KY86" s="228"/>
      <c r="KZ86" s="228"/>
      <c r="LA86" s="228"/>
      <c r="LB86" s="228"/>
      <c r="LC86" s="228"/>
      <c r="LD86" s="228"/>
      <c r="LE86" s="228"/>
      <c r="LF86" s="228"/>
      <c r="LG86" s="228"/>
      <c r="LH86" s="228"/>
      <c r="LI86" s="228"/>
      <c r="LJ86" s="228"/>
      <c r="LK86" s="228"/>
      <c r="LL86" s="228"/>
      <c r="LM86" s="228"/>
      <c r="LN86" s="228"/>
      <c r="LO86" s="228"/>
      <c r="LP86" s="228"/>
      <c r="LQ86" s="228"/>
      <c r="LR86" s="228"/>
      <c r="LS86" s="228"/>
      <c r="LT86" s="228"/>
      <c r="LU86" s="228"/>
      <c r="LV86" s="228"/>
      <c r="LW86" s="228"/>
      <c r="LX86" s="228"/>
      <c r="LY86" s="228"/>
      <c r="LZ86" s="228"/>
      <c r="MA86" s="228"/>
      <c r="MB86" s="228"/>
      <c r="MC86" s="228"/>
      <c r="MD86" s="228"/>
      <c r="ME86" s="228"/>
      <c r="MF86" s="228"/>
      <c r="MG86" s="228"/>
      <c r="MH86" s="228"/>
      <c r="MI86" s="228"/>
      <c r="MJ86" s="228"/>
      <c r="MK86" s="228"/>
      <c r="ML86" s="228"/>
      <c r="MM86" s="228"/>
      <c r="MN86" s="228"/>
      <c r="MO86" s="228"/>
      <c r="MP86" s="228"/>
      <c r="MQ86" s="228"/>
      <c r="MR86" s="228"/>
      <c r="MS86" s="228"/>
      <c r="MT86" s="228"/>
      <c r="MU86" s="228"/>
      <c r="MV86" s="228"/>
      <c r="MW86" s="228"/>
      <c r="MX86" s="228"/>
      <c r="MY86" s="228"/>
      <c r="MZ86" s="228"/>
      <c r="NA86" s="228"/>
      <c r="NB86" s="228"/>
      <c r="NC86" s="228"/>
      <c r="ND86" s="228"/>
      <c r="NE86" s="228"/>
      <c r="NF86" s="228"/>
      <c r="NG86" s="228"/>
      <c r="NH86" s="228"/>
      <c r="NI86" s="228"/>
      <c r="NJ86" s="228"/>
      <c r="NK86" s="228"/>
      <c r="NL86" s="228"/>
      <c r="NM86" s="228"/>
      <c r="NN86" s="228"/>
      <c r="NO86" s="228"/>
      <c r="NP86" s="228"/>
      <c r="NQ86" s="228"/>
      <c r="NR86" s="228"/>
      <c r="NS86" s="228"/>
      <c r="NT86" s="228"/>
      <c r="NU86" s="228"/>
      <c r="NV86" s="228"/>
      <c r="NW86" s="228"/>
      <c r="NX86" s="228"/>
      <c r="NY86" s="228"/>
      <c r="NZ86" s="228"/>
      <c r="OA86" s="228"/>
      <c r="OB86" s="228"/>
      <c r="OC86" s="228"/>
      <c r="OD86" s="228"/>
      <c r="OE86" s="228"/>
      <c r="OF86" s="228"/>
      <c r="OG86" s="228"/>
      <c r="OH86" s="228"/>
      <c r="OI86" s="228"/>
      <c r="OJ86" s="228"/>
      <c r="OK86" s="228"/>
      <c r="OL86" s="228"/>
      <c r="OM86" s="228"/>
      <c r="ON86" s="228"/>
      <c r="OO86" s="228"/>
      <c r="OP86" s="228"/>
      <c r="OQ86" s="228"/>
      <c r="OR86" s="228"/>
      <c r="OS86" s="228"/>
      <c r="OT86" s="228"/>
      <c r="OU86" s="228"/>
      <c r="OV86" s="228"/>
      <c r="OW86" s="228"/>
      <c r="OX86" s="228"/>
      <c r="OY86" s="228"/>
      <c r="OZ86" s="228"/>
      <c r="PA86" s="228"/>
      <c r="PB86" s="228"/>
      <c r="PC86" s="228"/>
      <c r="PD86" s="228"/>
      <c r="PE86" s="228"/>
      <c r="PF86" s="228"/>
      <c r="PG86" s="228"/>
      <c r="PH86" s="228"/>
      <c r="PI86" s="228"/>
      <c r="PJ86" s="228"/>
      <c r="PK86" s="228"/>
      <c r="PL86" s="228"/>
      <c r="PM86" s="228"/>
      <c r="PN86" s="228"/>
      <c r="PO86" s="228"/>
      <c r="PP86" s="228"/>
      <c r="PQ86" s="228"/>
      <c r="PR86" s="228"/>
      <c r="PS86" s="228"/>
      <c r="PT86" s="228"/>
      <c r="PU86" s="228"/>
      <c r="PV86" s="228"/>
      <c r="PW86" s="228"/>
      <c r="PX86" s="228"/>
      <c r="PY86" s="228"/>
      <c r="PZ86" s="228"/>
      <c r="QA86" s="228"/>
      <c r="QB86" s="228"/>
      <c r="QC86" s="228"/>
      <c r="QD86" s="228"/>
      <c r="QE86" s="228"/>
      <c r="QF86" s="228"/>
      <c r="QG86" s="228"/>
      <c r="QH86" s="228"/>
      <c r="QI86" s="228"/>
      <c r="QJ86" s="228"/>
      <c r="QK86" s="228"/>
      <c r="QL86" s="228"/>
      <c r="QM86" s="228"/>
      <c r="QN86" s="228"/>
      <c r="QO86" s="228"/>
      <c r="QP86" s="228"/>
      <c r="QQ86" s="228"/>
      <c r="QR86" s="228"/>
      <c r="QS86" s="228"/>
      <c r="QT86" s="228"/>
      <c r="QU86" s="228"/>
      <c r="QV86" s="228"/>
      <c r="QW86" s="228"/>
      <c r="QX86" s="228"/>
      <c r="QY86" s="228"/>
      <c r="QZ86" s="228"/>
      <c r="RA86" s="228"/>
      <c r="RB86" s="228"/>
      <c r="RC86" s="228"/>
      <c r="RD86" s="228"/>
      <c r="RE86" s="228"/>
      <c r="RF86" s="228"/>
      <c r="RG86" s="228"/>
      <c r="RH86" s="228"/>
      <c r="RI86" s="228"/>
      <c r="RJ86" s="228"/>
      <c r="RK86" s="228"/>
      <c r="RL86" s="228"/>
      <c r="RM86" s="228"/>
      <c r="RN86" s="228"/>
      <c r="RO86" s="228"/>
      <c r="RP86" s="228"/>
      <c r="RQ86" s="228"/>
      <c r="RR86" s="228"/>
      <c r="RS86" s="228"/>
      <c r="RT86" s="228"/>
      <c r="RU86" s="228"/>
      <c r="RV86" s="228"/>
      <c r="RW86" s="228"/>
      <c r="RX86" s="228"/>
      <c r="RY86" s="228"/>
      <c r="RZ86" s="228"/>
      <c r="SA86" s="228"/>
      <c r="SB86" s="228"/>
      <c r="SC86" s="228"/>
      <c r="SD86" s="228"/>
      <c r="SE86" s="228"/>
      <c r="SF86" s="228"/>
      <c r="SG86" s="228"/>
      <c r="SH86" s="228"/>
      <c r="SI86" s="228"/>
      <c r="SJ86" s="228"/>
      <c r="SK86" s="228"/>
      <c r="SL86" s="228"/>
      <c r="SM86" s="228"/>
      <c r="SN86" s="228"/>
      <c r="SO86" s="228"/>
      <c r="SP86" s="228"/>
      <c r="SQ86" s="228"/>
      <c r="SR86" s="228"/>
      <c r="SS86" s="228"/>
      <c r="ST86" s="228"/>
      <c r="SU86" s="228"/>
      <c r="SV86" s="228"/>
      <c r="SW86" s="228"/>
      <c r="SX86" s="228"/>
      <c r="SY86" s="228"/>
      <c r="SZ86" s="228"/>
      <c r="TA86" s="228"/>
      <c r="TB86" s="228"/>
      <c r="TC86" s="228"/>
      <c r="TD86" s="228"/>
      <c r="TE86" s="228"/>
      <c r="TF86" s="228"/>
      <c r="TG86" s="228"/>
      <c r="TH86" s="228"/>
      <c r="TI86" s="228"/>
      <c r="TJ86" s="228"/>
      <c r="TK86" s="228"/>
      <c r="TL86" s="228"/>
      <c r="TM86" s="228"/>
      <c r="TN86" s="228"/>
      <c r="TO86" s="228"/>
      <c r="TP86" s="228"/>
      <c r="TQ86" s="228"/>
      <c r="TR86" s="228"/>
      <c r="TS86" s="228"/>
      <c r="TT86" s="228"/>
      <c r="TU86" s="228"/>
      <c r="TV86" s="228"/>
      <c r="TW86" s="228"/>
      <c r="TX86" s="228"/>
      <c r="TY86" s="228"/>
      <c r="TZ86" s="228"/>
      <c r="UA86" s="228"/>
      <c r="UB86" s="228"/>
      <c r="UC86" s="228"/>
      <c r="UD86" s="228"/>
      <c r="UE86" s="228"/>
      <c r="UF86" s="228"/>
      <c r="UG86" s="228"/>
      <c r="UH86" s="228"/>
      <c r="UI86" s="228"/>
      <c r="UJ86" s="228"/>
      <c r="UK86" s="228"/>
      <c r="UL86" s="228"/>
      <c r="UM86" s="228"/>
      <c r="UN86" s="228"/>
      <c r="UO86" s="228"/>
      <c r="UP86" s="228"/>
      <c r="UQ86" s="228"/>
      <c r="UR86" s="228"/>
      <c r="US86" s="228"/>
      <c r="UT86" s="228"/>
      <c r="UU86" s="228"/>
      <c r="UV86" s="228"/>
      <c r="UW86" s="228"/>
      <c r="UX86" s="228"/>
      <c r="UY86" s="228"/>
      <c r="UZ86" s="228"/>
      <c r="VA86" s="228"/>
      <c r="VB86" s="228"/>
      <c r="VC86" s="228"/>
      <c r="VD86" s="228"/>
      <c r="VE86" s="228"/>
      <c r="VF86" s="228"/>
      <c r="VG86" s="228"/>
      <c r="VH86" s="228"/>
      <c r="VI86" s="228"/>
      <c r="VJ86" s="228"/>
      <c r="VK86" s="228"/>
      <c r="VL86" s="228"/>
      <c r="VM86" s="228"/>
      <c r="VN86" s="228"/>
      <c r="VO86" s="228"/>
      <c r="VP86" s="228"/>
      <c r="VQ86" s="228"/>
      <c r="VR86" s="228"/>
      <c r="VS86" s="228"/>
      <c r="VT86" s="228"/>
      <c r="VU86" s="228"/>
      <c r="VV86" s="228"/>
      <c r="VW86" s="228"/>
      <c r="VX86" s="228"/>
      <c r="VY86" s="228"/>
      <c r="VZ86" s="228"/>
      <c r="WA86" s="228"/>
      <c r="WB86" s="228"/>
      <c r="WC86" s="228"/>
      <c r="WD86" s="228"/>
      <c r="WE86" s="228"/>
      <c r="WF86" s="228"/>
      <c r="WG86" s="228"/>
      <c r="WH86" s="228"/>
      <c r="WI86" s="228"/>
      <c r="WJ86" s="228"/>
      <c r="WK86" s="228"/>
      <c r="WL86" s="228"/>
      <c r="WM86" s="228"/>
      <c r="WN86" s="228"/>
      <c r="WO86" s="228"/>
      <c r="WP86" s="228"/>
      <c r="WQ86" s="228"/>
      <c r="WR86" s="228"/>
      <c r="WS86" s="228"/>
      <c r="WT86" s="228"/>
      <c r="WU86" s="228"/>
      <c r="WV86" s="228"/>
      <c r="WW86" s="228"/>
      <c r="WX86" s="228"/>
      <c r="WY86" s="228"/>
      <c r="WZ86" s="228"/>
      <c r="XA86" s="228"/>
      <c r="XB86" s="228"/>
      <c r="XC86" s="228"/>
      <c r="XD86" s="228"/>
      <c r="XE86" s="228"/>
      <c r="XF86" s="228"/>
      <c r="XG86" s="228"/>
      <c r="XH86" s="228"/>
      <c r="XI86" s="228"/>
      <c r="XJ86" s="228"/>
      <c r="XK86" s="228"/>
      <c r="XL86" s="228"/>
      <c r="XM86" s="228"/>
      <c r="XN86" s="228"/>
      <c r="XO86" s="228"/>
      <c r="XP86" s="228"/>
      <c r="XQ86" s="228"/>
      <c r="XR86" s="228"/>
      <c r="XS86" s="228"/>
      <c r="XT86" s="228"/>
      <c r="XU86" s="228"/>
      <c r="XV86" s="228"/>
      <c r="XW86" s="228"/>
      <c r="XX86" s="228"/>
      <c r="XY86" s="228"/>
      <c r="XZ86" s="228"/>
      <c r="YA86" s="228"/>
      <c r="YB86" s="228"/>
      <c r="YC86" s="228"/>
      <c r="YD86" s="228"/>
      <c r="YE86" s="228"/>
      <c r="YF86" s="228"/>
      <c r="YG86" s="228"/>
      <c r="YH86" s="228"/>
      <c r="YI86" s="228"/>
      <c r="YJ86" s="228"/>
      <c r="YK86" s="228"/>
      <c r="YL86" s="228"/>
      <c r="YM86" s="228"/>
      <c r="YN86" s="228"/>
      <c r="YO86" s="228"/>
      <c r="YP86" s="228"/>
      <c r="YQ86" s="228"/>
      <c r="YR86" s="228"/>
      <c r="YS86" s="228"/>
      <c r="YT86" s="228"/>
      <c r="YU86" s="228"/>
      <c r="YV86" s="228"/>
      <c r="YW86" s="228"/>
      <c r="YX86" s="228"/>
      <c r="YY86" s="228"/>
      <c r="YZ86" s="228"/>
      <c r="ZA86" s="228"/>
      <c r="ZB86" s="228"/>
      <c r="ZC86" s="228"/>
      <c r="ZD86" s="228"/>
      <c r="ZE86" s="228"/>
      <c r="ZF86" s="228"/>
      <c r="ZG86" s="228"/>
      <c r="ZH86" s="228"/>
      <c r="ZI86" s="228"/>
      <c r="ZJ86" s="228"/>
      <c r="ZK86" s="228"/>
      <c r="ZL86" s="228"/>
      <c r="ZM86" s="228"/>
      <c r="ZN86" s="228"/>
      <c r="ZO86" s="228"/>
      <c r="ZP86" s="228"/>
      <c r="ZQ86" s="228"/>
      <c r="ZR86" s="228"/>
      <c r="ZS86" s="228"/>
      <c r="ZT86" s="228"/>
      <c r="ZU86" s="228"/>
      <c r="ZV86" s="228"/>
      <c r="ZW86" s="228"/>
      <c r="ZX86" s="228"/>
      <c r="ZY86" s="228"/>
      <c r="ZZ86" s="228"/>
      <c r="AAA86" s="228"/>
      <c r="AAB86" s="228"/>
      <c r="AAC86" s="228"/>
      <c r="AAD86" s="228"/>
      <c r="AAE86" s="228"/>
      <c r="AAF86" s="228"/>
      <c r="AAG86" s="228"/>
      <c r="AAH86" s="228"/>
      <c r="AAI86" s="228"/>
      <c r="AAJ86" s="228"/>
      <c r="AAK86" s="228"/>
      <c r="AAL86" s="228"/>
      <c r="AAM86" s="228"/>
      <c r="AAN86" s="228"/>
      <c r="AAO86" s="228"/>
      <c r="AAP86" s="228"/>
      <c r="AAQ86" s="228"/>
      <c r="AAR86" s="228"/>
      <c r="AAS86" s="228"/>
      <c r="AAT86" s="228"/>
      <c r="AAU86" s="228"/>
      <c r="AAV86" s="228"/>
      <c r="AAW86" s="228"/>
      <c r="AAX86" s="228"/>
      <c r="AAY86" s="228"/>
      <c r="AAZ86" s="228"/>
      <c r="ABA86" s="228"/>
      <c r="ABB86" s="228"/>
      <c r="ABC86" s="228"/>
      <c r="ABD86" s="228"/>
      <c r="ABE86" s="228"/>
      <c r="ABF86" s="228"/>
      <c r="ABG86" s="228"/>
      <c r="ABH86" s="228"/>
      <c r="ABI86" s="228"/>
      <c r="ABJ86" s="228"/>
      <c r="ABK86" s="228"/>
      <c r="ABL86" s="228"/>
      <c r="ABM86" s="228"/>
      <c r="ABN86" s="228"/>
      <c r="ABO86" s="228"/>
      <c r="ABP86" s="228"/>
      <c r="ABQ86" s="228"/>
      <c r="ABR86" s="228"/>
      <c r="ABS86" s="228"/>
      <c r="ABT86" s="228"/>
      <c r="ABU86" s="228"/>
      <c r="ABV86" s="228"/>
      <c r="ABW86" s="228"/>
      <c r="ABX86" s="228"/>
      <c r="ABY86" s="228"/>
      <c r="ABZ86" s="228"/>
      <c r="ACA86" s="228"/>
      <c r="ACB86" s="228"/>
      <c r="ACC86" s="228"/>
      <c r="ACD86" s="228"/>
      <c r="ACE86" s="228"/>
      <c r="ACF86" s="228"/>
      <c r="ACG86" s="228"/>
      <c r="ACH86" s="228"/>
      <c r="ACI86" s="228"/>
      <c r="ACJ86" s="228"/>
      <c r="ACK86" s="228"/>
      <c r="ACL86" s="228"/>
      <c r="ACM86" s="228"/>
      <c r="ACN86" s="228"/>
      <c r="ACO86" s="228"/>
      <c r="ACP86" s="228"/>
      <c r="ACQ86" s="228"/>
      <c r="ACR86" s="228"/>
      <c r="ACS86" s="228"/>
      <c r="ACT86" s="228"/>
      <c r="ACU86" s="228"/>
      <c r="ACV86" s="228"/>
      <c r="ACW86" s="228"/>
      <c r="ACX86" s="228"/>
      <c r="ACY86" s="228"/>
      <c r="ACZ86" s="228"/>
      <c r="ADA86" s="228"/>
      <c r="ADB86" s="228"/>
      <c r="ADC86" s="228"/>
      <c r="ADD86" s="228"/>
      <c r="ADE86" s="228"/>
      <c r="ADF86" s="228"/>
      <c r="ADG86" s="228"/>
      <c r="ADH86" s="228"/>
      <c r="ADI86" s="228"/>
      <c r="ADJ86" s="228"/>
      <c r="ADK86" s="228"/>
      <c r="ADL86" s="228"/>
      <c r="ADM86" s="228"/>
      <c r="ADN86" s="228"/>
      <c r="ADO86" s="228"/>
      <c r="ADP86" s="228"/>
      <c r="ADQ86" s="228"/>
      <c r="ADR86" s="228"/>
      <c r="ADS86" s="228"/>
      <c r="ADT86" s="228"/>
      <c r="ADU86" s="228"/>
      <c r="ADV86" s="228"/>
      <c r="ADW86" s="228"/>
      <c r="ADX86" s="228"/>
      <c r="ADY86" s="228"/>
      <c r="ADZ86" s="228"/>
      <c r="AEA86" s="228"/>
      <c r="AEB86" s="228"/>
      <c r="AEC86" s="228"/>
      <c r="AED86" s="228"/>
      <c r="AEE86" s="228"/>
      <c r="AEF86" s="228"/>
      <c r="AEG86" s="228"/>
      <c r="AEH86" s="228"/>
      <c r="AEI86" s="228"/>
      <c r="AEJ86" s="228"/>
      <c r="AEK86" s="228"/>
      <c r="AEL86" s="228"/>
      <c r="AEM86" s="228"/>
      <c r="AEN86" s="228"/>
      <c r="AEO86" s="228"/>
      <c r="AEP86" s="228"/>
      <c r="AEQ86" s="228"/>
      <c r="AER86" s="228"/>
      <c r="AES86" s="228"/>
      <c r="AET86" s="228"/>
      <c r="AEU86" s="228"/>
      <c r="AEV86" s="228"/>
      <c r="AEW86" s="228"/>
      <c r="AEX86" s="228"/>
      <c r="AEY86" s="228"/>
      <c r="AEZ86" s="228"/>
      <c r="AFA86" s="228"/>
      <c r="AFB86" s="228"/>
      <c r="AFC86" s="228"/>
      <c r="AFD86" s="228"/>
      <c r="AFE86" s="228"/>
      <c r="AFF86" s="228"/>
      <c r="AFG86" s="228"/>
      <c r="AFH86" s="228"/>
      <c r="AFI86" s="228"/>
      <c r="AFJ86" s="228"/>
      <c r="AFK86" s="228"/>
      <c r="AFL86" s="228"/>
      <c r="AFM86" s="228"/>
      <c r="AFN86" s="228"/>
      <c r="AFO86" s="228"/>
      <c r="AFP86" s="228"/>
      <c r="AFQ86" s="228"/>
      <c r="AFR86" s="228"/>
      <c r="AFS86" s="228"/>
      <c r="AFT86" s="228"/>
      <c r="AFU86" s="228"/>
      <c r="AFV86" s="228"/>
      <c r="AFW86" s="228"/>
      <c r="AFX86" s="228"/>
      <c r="AFY86" s="228"/>
      <c r="AFZ86" s="228"/>
      <c r="AGA86" s="228"/>
      <c r="AGB86" s="228"/>
      <c r="AGC86" s="228"/>
      <c r="AGD86" s="228"/>
      <c r="AGE86" s="228"/>
      <c r="AGF86" s="228"/>
      <c r="AGG86" s="228"/>
      <c r="AGH86" s="228"/>
      <c r="AGI86" s="228"/>
      <c r="AGJ86" s="228"/>
      <c r="AGK86" s="228"/>
      <c r="AGL86" s="228"/>
      <c r="AGM86" s="228"/>
      <c r="AGN86" s="228"/>
      <c r="AGO86" s="228"/>
      <c r="AGP86" s="228"/>
      <c r="AGQ86" s="228"/>
      <c r="AGR86" s="228"/>
      <c r="AGS86" s="228"/>
      <c r="AGT86" s="228"/>
      <c r="AGU86" s="228"/>
      <c r="AGV86" s="228"/>
      <c r="AGW86" s="228"/>
      <c r="AGX86" s="228"/>
      <c r="AGY86" s="228"/>
      <c r="AGZ86" s="228"/>
      <c r="AHA86" s="228"/>
      <c r="AHB86" s="228"/>
      <c r="AHC86" s="228"/>
      <c r="AHD86" s="228"/>
      <c r="AHE86" s="228"/>
      <c r="AHF86" s="228"/>
      <c r="AHG86" s="228"/>
      <c r="AHH86" s="228"/>
      <c r="AHI86" s="228"/>
      <c r="AHJ86" s="228"/>
      <c r="AHK86" s="228"/>
      <c r="AHL86" s="228"/>
      <c r="AHM86" s="228"/>
      <c r="AHN86" s="228"/>
      <c r="AHO86" s="228"/>
      <c r="AHP86" s="228"/>
      <c r="AHQ86" s="228"/>
      <c r="AHR86" s="228"/>
      <c r="AHS86" s="228"/>
      <c r="AHT86" s="228"/>
      <c r="AHU86" s="228"/>
      <c r="AHV86" s="228"/>
      <c r="AHW86" s="228"/>
      <c r="AHX86" s="228"/>
      <c r="AHY86" s="228"/>
      <c r="AHZ86" s="228"/>
      <c r="AIA86" s="228"/>
      <c r="AIB86" s="228"/>
      <c r="AIC86" s="228"/>
      <c r="AID86" s="228"/>
      <c r="AIE86" s="228"/>
      <c r="AIF86" s="228"/>
      <c r="AIG86" s="228"/>
      <c r="AIH86" s="228"/>
      <c r="AII86" s="228"/>
      <c r="AIJ86" s="228"/>
      <c r="AIK86" s="228"/>
      <c r="AIL86" s="228"/>
      <c r="AIM86" s="228"/>
      <c r="AIN86" s="228"/>
      <c r="AIO86" s="228"/>
      <c r="AIP86" s="228"/>
      <c r="AIQ86" s="228"/>
      <c r="AIR86" s="228"/>
      <c r="AIS86" s="228"/>
      <c r="AIT86" s="228"/>
      <c r="AIU86" s="228"/>
      <c r="AIV86" s="228"/>
      <c r="AIW86" s="228"/>
      <c r="AIX86" s="228"/>
      <c r="AIY86" s="228"/>
      <c r="AIZ86" s="228"/>
      <c r="AJA86" s="228"/>
      <c r="AJB86" s="228"/>
      <c r="AJC86" s="228"/>
      <c r="AJD86" s="228"/>
      <c r="AJE86" s="228"/>
      <c r="AJF86" s="228"/>
      <c r="AJG86" s="228"/>
      <c r="AJH86" s="228"/>
      <c r="AJI86" s="228"/>
      <c r="AJJ86" s="228"/>
      <c r="AJK86" s="228"/>
      <c r="AJL86" s="228"/>
      <c r="AJM86" s="228"/>
      <c r="AJN86" s="228"/>
      <c r="AJO86" s="228"/>
      <c r="AJP86" s="228"/>
      <c r="AJQ86" s="228"/>
      <c r="AJR86" s="228"/>
      <c r="AJS86" s="228"/>
      <c r="AJT86" s="228"/>
      <c r="AJU86" s="228"/>
      <c r="AJV86" s="228"/>
      <c r="AJW86" s="228"/>
      <c r="AJX86" s="228"/>
      <c r="AJY86" s="228"/>
      <c r="AJZ86" s="228"/>
      <c r="AKA86" s="228"/>
      <c r="AKB86" s="228"/>
      <c r="AKC86" s="228"/>
      <c r="AKD86" s="228"/>
      <c r="AKE86" s="228"/>
      <c r="AKF86" s="228"/>
      <c r="AKG86" s="228"/>
      <c r="AKH86" s="228"/>
      <c r="AKI86" s="228"/>
      <c r="AKJ86" s="228"/>
      <c r="AKK86" s="228"/>
      <c r="AKL86" s="228"/>
      <c r="AKM86" s="228"/>
      <c r="AKN86" s="228"/>
      <c r="AKO86" s="228"/>
      <c r="AKP86" s="228"/>
      <c r="AKQ86" s="228"/>
      <c r="AKR86" s="228"/>
      <c r="AKS86" s="228"/>
      <c r="AKT86" s="228"/>
      <c r="AKU86" s="228"/>
      <c r="AKV86" s="228"/>
      <c r="AKW86" s="228"/>
      <c r="AKX86" s="228"/>
      <c r="AKY86" s="228"/>
      <c r="AKZ86" s="228"/>
      <c r="ALA86" s="228"/>
      <c r="ALB86" s="228"/>
      <c r="ALC86" s="228"/>
      <c r="ALD86" s="228"/>
      <c r="ALE86" s="228"/>
      <c r="ALF86" s="228"/>
      <c r="ALG86" s="228"/>
      <c r="ALH86" s="228"/>
    </row>
    <row r="87" spans="1:996">
      <c r="A87" s="37"/>
      <c r="B87" t="str">
        <f t="shared" si="0"/>
        <v>E313291</v>
      </c>
      <c r="C87" s="7" t="s">
        <v>119</v>
      </c>
      <c r="D87" s="26" t="s">
        <v>73</v>
      </c>
      <c r="E87" s="7">
        <v>313291</v>
      </c>
      <c r="F87" s="48" t="s">
        <v>123</v>
      </c>
      <c r="G87" s="49">
        <f>IFERROR(VLOOKUP(E87,'BD - E - Mvto Cx'!$A$15:$D$500,4,0),0)</f>
        <v>0.02</v>
      </c>
      <c r="H87" s="50">
        <f>IFERROR(VLOOKUP(E87,'BD - E - Mvto Cx'!$J$15:$M$500,4,0),0)</f>
        <v>0.02</v>
      </c>
      <c r="I87" s="50">
        <f>IFERROR(VLOOKUP(E87,'BD - E - Mvto Cx'!$S$15:$V$500,4,0),0)</f>
        <v>0.01</v>
      </c>
      <c r="J87" s="50">
        <f>IFERROR(VLOOKUP(E87,'BD - E - Mvto Cx'!$AB$15:$AE$500,4,0),0)</f>
        <v>0</v>
      </c>
      <c r="K87" s="50">
        <f>IFERROR(VLOOKUP(E87,'BD - E - Mvto Cx'!$AK$15:$AN$500,4,0),0)</f>
        <v>0</v>
      </c>
      <c r="L87" s="50">
        <f>IFERROR(VLOOKUP(E87,'BD - E - Mvto Cx'!$AT$15:$AW$500,4,0),0)</f>
        <v>0</v>
      </c>
      <c r="M87" s="50">
        <f>IFERROR(VLOOKUP(E87,'BD - E - Mvto Cx'!$BF$15:$BI$500,4,0),0)</f>
        <v>0</v>
      </c>
      <c r="N87" s="50">
        <f>IFERROR(VLOOKUP(E87,'BD - E - Mvto Cx'!$BO$15:$BR$500,4,0),0)</f>
        <v>0</v>
      </c>
      <c r="O87" s="50">
        <f>IFERROR(VLOOKUP(E87,'BD - E - Mvto Cx'!$BX$15:$CA$500,4,0),0)</f>
        <v>0</v>
      </c>
      <c r="P87" s="50">
        <f>IFERROR(VLOOKUP(E87,'BD - E - Mvto Cx'!$CG$15:$CJ$500,4,0),0)</f>
        <v>0</v>
      </c>
      <c r="Q87" s="50">
        <f>IFERROR(VLOOKUP(E87,'BD - E - Mvto Cx'!$CP$15:$CS$500,4,0),0)</f>
        <v>0</v>
      </c>
      <c r="R87" s="50">
        <f>IFERROR(VLOOKUP(E87,'BD - E - Mvto Cx'!$CY$15:$DB$500,4,0),0)</f>
        <v>0</v>
      </c>
    </row>
    <row r="88" spans="1:996">
      <c r="A88" s="37"/>
      <c r="B88" t="str">
        <f t="shared" si="0"/>
        <v>E331102</v>
      </c>
      <c r="C88" s="29" t="s">
        <v>357</v>
      </c>
      <c r="D88" s="26" t="s">
        <v>73</v>
      </c>
      <c r="E88" s="7">
        <v>331102</v>
      </c>
      <c r="F88" s="48" t="s">
        <v>391</v>
      </c>
      <c r="G88" s="49">
        <f>IFERROR(VLOOKUP(E88,'BD - E - Mvto Cx'!$A$15:$D$500,4,0),0)</f>
        <v>0</v>
      </c>
      <c r="H88" s="50">
        <f>IFERROR(VLOOKUP(E88,'BD - E - Mvto Cx'!$J$15:$M$500,4,0),0)</f>
        <v>0</v>
      </c>
      <c r="I88" s="50">
        <f>IFERROR(VLOOKUP(E88,'BD - E - Mvto Cx'!$S$15:$V$500,4,0),0)</f>
        <v>0</v>
      </c>
      <c r="J88" s="50">
        <f>IFERROR(VLOOKUP(E88,'BD - E - Mvto Cx'!$AB$15:$AE$500,4,0),0)</f>
        <v>0</v>
      </c>
      <c r="K88" s="50">
        <f>IFERROR(VLOOKUP(E88,'BD - E - Mvto Cx'!$AK$15:$AN$500,4,0),0)</f>
        <v>0</v>
      </c>
      <c r="L88" s="50">
        <f>IFERROR(VLOOKUP(E88,'BD - E - Mvto Cx'!$AT$15:$AW$500,4,0),0)</f>
        <v>0</v>
      </c>
      <c r="M88" s="50">
        <f>IFERROR(VLOOKUP(E88,'BD - E - Mvto Cx'!$BF$15:$BI$500,4,0),0)</f>
        <v>0</v>
      </c>
      <c r="N88" s="50">
        <f>IFERROR(VLOOKUP(E88,'BD - E - Mvto Cx'!$BO$15:$BR$500,4,0),0)</f>
        <v>0</v>
      </c>
      <c r="O88" s="50">
        <f>IFERROR(VLOOKUP(E88,'BD - E - Mvto Cx'!$BX$15:$CA$500,4,0),0)</f>
        <v>0</v>
      </c>
      <c r="P88" s="50">
        <f>IFERROR(VLOOKUP(E88,'BD - E - Mvto Cx'!$CG$15:$CJ$500,4,0),0)</f>
        <v>0</v>
      </c>
      <c r="Q88" s="50">
        <f>IFERROR(VLOOKUP(E88,'BD - E - Mvto Cx'!$CP$15:$CS$500,4,0),0)</f>
        <v>0</v>
      </c>
      <c r="R88" s="50">
        <f>IFERROR(VLOOKUP(E88,'BD - E - Mvto Cx'!$CY$15:$DB$500,4,0),0)</f>
        <v>0</v>
      </c>
    </row>
    <row r="89" spans="1:996">
      <c r="A89" s="37"/>
      <c r="B89" t="str">
        <f t="shared" si="0"/>
        <v>E331201</v>
      </c>
      <c r="C89" s="29" t="s">
        <v>609</v>
      </c>
      <c r="D89" s="26" t="s">
        <v>73</v>
      </c>
      <c r="E89" s="7">
        <v>331201</v>
      </c>
      <c r="F89" s="48" t="s">
        <v>589</v>
      </c>
      <c r="G89" s="49">
        <f>IFERROR(VLOOKUP(E89,'BD - E - Mvto Cx'!$A$15:$D$500,4,0),0)</f>
        <v>1767.5</v>
      </c>
      <c r="H89" s="50">
        <f>IFERROR(VLOOKUP(E89,'BD - E - Mvto Cx'!$J$15:$M$500,4,0),0)</f>
        <v>1166</v>
      </c>
      <c r="I89" s="50">
        <f>IFERROR(VLOOKUP(E89,'BD - E - Mvto Cx'!$S$15:$V$500,4,0),0)</f>
        <v>1188</v>
      </c>
      <c r="J89" s="50">
        <f>IFERROR(VLOOKUP(E89,'BD - E - Mvto Cx'!$AB$15:$AE$500,4,0),0)</f>
        <v>1265</v>
      </c>
      <c r="K89" s="50">
        <f>IFERROR(VLOOKUP(E89,'BD - E - Mvto Cx'!$AK$15:$AN$500,4,0),0)</f>
        <v>0</v>
      </c>
      <c r="L89" s="50">
        <f>IFERROR(VLOOKUP(E89,'BD - E - Mvto Cx'!$AT$15:$AW$500,4,0),0)</f>
        <v>0</v>
      </c>
      <c r="M89" s="50">
        <f>IFERROR(VLOOKUP(E89,'BD - E - Mvto Cx'!$BF$15:$BI$500,4,0),0)</f>
        <v>0</v>
      </c>
      <c r="N89" s="50">
        <f>IFERROR(VLOOKUP(E89,'BD - E - Mvto Cx'!$BO$15:$BR$500,4,0),0)</f>
        <v>0</v>
      </c>
      <c r="O89" s="50">
        <f>IFERROR(VLOOKUP(E89,'BD - E - Mvto Cx'!$BX$15:$CA$500,4,0),0)</f>
        <v>0</v>
      </c>
      <c r="P89" s="50">
        <f>IFERROR(VLOOKUP(E89,'BD - E - Mvto Cx'!$CG$15:$CJ$500,4,0),0)</f>
        <v>0</v>
      </c>
      <c r="Q89" s="50">
        <f>IFERROR(VLOOKUP(E89,'BD - E - Mvto Cx'!$CP$15:$CS$500,4,0),0)</f>
        <v>0</v>
      </c>
      <c r="R89" s="50">
        <f>IFERROR(VLOOKUP(E89,'BD - E - Mvto Cx'!$CY$15:$DB$500,4,0),0)</f>
        <v>0</v>
      </c>
    </row>
    <row r="90" spans="1:996">
      <c r="A90" s="37"/>
      <c r="B90" t="str">
        <f t="shared" si="0"/>
        <v>E331814</v>
      </c>
      <c r="C90" s="7" t="s">
        <v>119</v>
      </c>
      <c r="D90" s="26" t="s">
        <v>73</v>
      </c>
      <c r="E90" s="7">
        <v>331814</v>
      </c>
      <c r="F90" s="48" t="s">
        <v>183</v>
      </c>
      <c r="G90" s="49">
        <f>IFERROR(VLOOKUP(E90,'BD - E - Mvto Cx'!$A$15:$D$500,4,0),0)</f>
        <v>0</v>
      </c>
      <c r="H90" s="50">
        <f>IFERROR(VLOOKUP(E90,'BD - E - Mvto Cx'!$J$15:$M$500,4,0),0)</f>
        <v>0</v>
      </c>
      <c r="I90" s="50">
        <f>IFERROR(VLOOKUP(E90,'BD - E - Mvto Cx'!$S$15:$V$500,4,0),0)</f>
        <v>0</v>
      </c>
      <c r="J90" s="50">
        <f>IFERROR(VLOOKUP(E90,'BD - E - Mvto Cx'!$AB$15:$AE$500,4,0),0)</f>
        <v>0</v>
      </c>
      <c r="K90" s="50">
        <f>IFERROR(VLOOKUP(E90,'BD - E - Mvto Cx'!$AK$15:$AN$500,4,0),0)</f>
        <v>0</v>
      </c>
      <c r="L90" s="50">
        <f>IFERROR(VLOOKUP(E90,'BD - E - Mvto Cx'!$AT$15:$AW$500,4,0),0)</f>
        <v>0</v>
      </c>
      <c r="M90" s="50">
        <f>IFERROR(VLOOKUP(E90,'BD - E - Mvto Cx'!$BF$15:$BI$500,4,0),0)</f>
        <v>0</v>
      </c>
      <c r="N90" s="50">
        <f>IFERROR(VLOOKUP(E90,'BD - E - Mvto Cx'!$BO$15:$BR$500,4,0),0)</f>
        <v>0</v>
      </c>
      <c r="O90" s="50">
        <f>IFERROR(VLOOKUP(E90,'BD - E - Mvto Cx'!$BX$15:$CA$500,4,0),0)</f>
        <v>0</v>
      </c>
      <c r="P90" s="50">
        <f>IFERROR(VLOOKUP(E90,'BD - E - Mvto Cx'!$CG$15:$CJ$500,4,0),0)</f>
        <v>0</v>
      </c>
      <c r="Q90" s="50">
        <f>IFERROR(VLOOKUP(E90,'BD - E - Mvto Cx'!$CP$15:$CS$500,4,0),0)</f>
        <v>0</v>
      </c>
      <c r="R90" s="50">
        <f>IFERROR(VLOOKUP(E90,'BD - E - Mvto Cx'!$CY$15:$DB$500,4,0),0)</f>
        <v>0</v>
      </c>
    </row>
    <row r="91" spans="1:996">
      <c r="A91" s="37"/>
      <c r="B91" t="str">
        <f t="shared" ref="B91" si="4">D91&amp;E91</f>
        <v>E331848</v>
      </c>
      <c r="C91" s="7" t="s">
        <v>119</v>
      </c>
      <c r="D91" s="26" t="s">
        <v>73</v>
      </c>
      <c r="E91">
        <v>331848</v>
      </c>
      <c r="F91" s="108" t="s">
        <v>184</v>
      </c>
      <c r="G91" s="49">
        <f>IFERROR(VLOOKUP(E91,'BD - E - Mvto Cx'!$A$15:$D$500,4,0),0)</f>
        <v>0</v>
      </c>
      <c r="H91" s="50">
        <f>IFERROR(VLOOKUP(E91,'BD - E - Mvto Cx'!$J$15:$M$500,4,0),0)</f>
        <v>0</v>
      </c>
      <c r="I91" s="50">
        <f>IFERROR(VLOOKUP(E91,'BD - E - Mvto Cx'!$S$15:$V$500,4,0),0)</f>
        <v>0</v>
      </c>
      <c r="J91" s="50">
        <f>IFERROR(VLOOKUP(E91,'BD - E - Mvto Cx'!$AB$15:$AE$500,4,0),0)</f>
        <v>0</v>
      </c>
      <c r="K91" s="50">
        <f>IFERROR(VLOOKUP(E91,'BD - E - Mvto Cx'!$AK$15:$AN$500,4,0),0)</f>
        <v>0</v>
      </c>
      <c r="L91" s="50">
        <f>IFERROR(VLOOKUP(E91,'BD - E - Mvto Cx'!$AT$15:$AW$500,4,0),0)</f>
        <v>0</v>
      </c>
      <c r="M91" s="50">
        <f>IFERROR(VLOOKUP(E91,'BD - E - Mvto Cx'!$BF$15:$BI$500,4,0),0)</f>
        <v>0</v>
      </c>
      <c r="N91" s="50">
        <f>IFERROR(VLOOKUP(E91,'BD - E - Mvto Cx'!$BO$15:$BR$500,4,0),0)</f>
        <v>0</v>
      </c>
      <c r="O91" s="50">
        <f>IFERROR(VLOOKUP(E91,'BD - E - Mvto Cx'!$BX$15:$CA$500,4,0),0)</f>
        <v>0</v>
      </c>
      <c r="P91" s="50">
        <f>IFERROR(VLOOKUP(E91,'BD - E - Mvto Cx'!$CG$15:$CJ$500,4,0),0)</f>
        <v>0</v>
      </c>
      <c r="Q91" s="50">
        <f>IFERROR(VLOOKUP(E91,'BD - E - Mvto Cx'!$CP$15:$CS$500,4,0),0)</f>
        <v>0</v>
      </c>
      <c r="R91" s="50">
        <f>IFERROR(VLOOKUP(E91,'BD - E - Mvto Cx'!$CY$15:$DB$500,4,0),0)</f>
        <v>0</v>
      </c>
    </row>
    <row r="92" spans="1:996">
      <c r="A92" s="37"/>
      <c r="B92" t="str">
        <f>D92&amp;E92</f>
        <v>E331849</v>
      </c>
      <c r="C92" s="7" t="s">
        <v>119</v>
      </c>
      <c r="D92" s="26" t="s">
        <v>73</v>
      </c>
      <c r="E92" s="7">
        <v>331849</v>
      </c>
      <c r="F92" s="48" t="s">
        <v>124</v>
      </c>
      <c r="G92" s="49">
        <f>IFERROR(VLOOKUP(E92,'BD - E - Mvto Cx'!$A$15:$D$500,4,0),0)</f>
        <v>4.2699999999999996</v>
      </c>
      <c r="H92" s="50">
        <f>IFERROR(VLOOKUP(E92,'BD - E - Mvto Cx'!$J$15:$M$500,4,0),0)</f>
        <v>3.05</v>
      </c>
      <c r="I92" s="50">
        <f>IFERROR(VLOOKUP(E92,'BD - E - Mvto Cx'!$S$15:$V$500,4,0),0)</f>
        <v>4.01</v>
      </c>
      <c r="J92" s="50">
        <f>IFERROR(VLOOKUP(E92,'BD - E - Mvto Cx'!$AB$15:$AE$500,4,0),0)</f>
        <v>3.13</v>
      </c>
      <c r="K92" s="50">
        <f>IFERROR(VLOOKUP(E92,'BD - E - Mvto Cx'!$AK$15:$AN$500,4,0),0)</f>
        <v>0</v>
      </c>
      <c r="L92" s="50">
        <f>IFERROR(VLOOKUP(E92,'BD - E - Mvto Cx'!$AT$15:$AW$500,4,0),0)</f>
        <v>0</v>
      </c>
      <c r="M92" s="50">
        <f>IFERROR(VLOOKUP(E92,'BD - E - Mvto Cx'!$BF$15:$BI$500,4,0),0)</f>
        <v>0</v>
      </c>
      <c r="N92" s="50">
        <f>IFERROR(VLOOKUP(E92,'BD - E - Mvto Cx'!$BO$15:$BR$500,4,0),0)</f>
        <v>0</v>
      </c>
      <c r="O92" s="50">
        <f>IFERROR(VLOOKUP(E92,'BD - E - Mvto Cx'!$BX$15:$CA$500,4,0),0)</f>
        <v>0</v>
      </c>
      <c r="P92" s="50">
        <f>IFERROR(VLOOKUP(E92,'BD - E - Mvto Cx'!$CG$15:$CJ$500,4,0),0)</f>
        <v>0</v>
      </c>
      <c r="Q92" s="50">
        <f>IFERROR(VLOOKUP(E92,'BD - E - Mvto Cx'!$CP$15:$CS$500,4,0),0)</f>
        <v>0</v>
      </c>
      <c r="R92" s="50">
        <f>IFERROR(VLOOKUP(E92,'BD - E - Mvto Cx'!$CY$15:$DB$500,4,0),0)</f>
        <v>0</v>
      </c>
    </row>
    <row r="93" spans="1:996">
      <c r="A93" s="37"/>
      <c r="B93" t="str">
        <f>D93&amp;E93</f>
        <v>E333105</v>
      </c>
      <c r="C93" s="7" t="s">
        <v>119</v>
      </c>
      <c r="D93" s="26" t="s">
        <v>73</v>
      </c>
      <c r="E93" s="7">
        <v>333105</v>
      </c>
      <c r="F93" s="48" t="s">
        <v>125</v>
      </c>
      <c r="G93" s="49">
        <f>IFERROR(VLOOKUP(E93,'BD - E - Mvto Cx'!$A$15:$D$500,4,0),0)</f>
        <v>3.09</v>
      </c>
      <c r="H93" s="50">
        <f>IFERROR(VLOOKUP(E93,'BD - E - Mvto Cx'!$J$15:$M$500,4,0),0)</f>
        <v>0.18</v>
      </c>
      <c r="I93" s="50">
        <f>IFERROR(VLOOKUP(E93,'BD - E - Mvto Cx'!$S$15:$V$500,4,0),0)</f>
        <v>0.06</v>
      </c>
      <c r="J93" s="50">
        <f>IFERROR(VLOOKUP(E93,'BD - E - Mvto Cx'!$AB$15:$AE$500,4,0),0)</f>
        <v>0</v>
      </c>
      <c r="K93" s="50">
        <f>IFERROR(VLOOKUP(E93,'BD - E - Mvto Cx'!$AK$15:$AN$500,4,0),0)</f>
        <v>0</v>
      </c>
      <c r="L93" s="50">
        <f>IFERROR(VLOOKUP(E93,'BD - E - Mvto Cx'!$AT$15:$AW$500,4,0),0)</f>
        <v>0</v>
      </c>
      <c r="M93" s="50">
        <f>IFERROR(VLOOKUP(E93,'BD - E - Mvto Cx'!$BF$15:$BI$500,4,0),0)</f>
        <v>0</v>
      </c>
      <c r="N93" s="50">
        <f>IFERROR(VLOOKUP(E93,'BD - E - Mvto Cx'!$BO$15:$BR$500,4,0),0)</f>
        <v>0</v>
      </c>
      <c r="O93" s="50">
        <f>IFERROR(VLOOKUP(E93,'BD - E - Mvto Cx'!$BX$15:$CA$500,4,0),0)</f>
        <v>0</v>
      </c>
      <c r="P93" s="50">
        <f>IFERROR(VLOOKUP(E93,'BD - E - Mvto Cx'!$CG$15:$CJ$500,4,0),0)</f>
        <v>0</v>
      </c>
      <c r="Q93" s="50">
        <f>IFERROR(VLOOKUP(E93,'BD - E - Mvto Cx'!$CP$15:$CS$500,4,0),0)</f>
        <v>0</v>
      </c>
      <c r="R93" s="50">
        <f>IFERROR(VLOOKUP(E93,'BD - E - Mvto Cx'!$CY$15:$DB$500,4,0),0)</f>
        <v>0</v>
      </c>
    </row>
    <row r="94" spans="1:996">
      <c r="A94" s="37"/>
      <c r="B94" t="str">
        <f>D94&amp;E94</f>
        <v>E333111</v>
      </c>
      <c r="C94" s="7" t="s">
        <v>119</v>
      </c>
      <c r="D94" s="26" t="s">
        <v>73</v>
      </c>
      <c r="E94" s="7">
        <v>333111</v>
      </c>
      <c r="F94" s="48" t="s">
        <v>126</v>
      </c>
      <c r="G94" s="49">
        <f>IFERROR(VLOOKUP(E94,'BD - E - Mvto Cx'!$A$15:$D$500,4,0),0)</f>
        <v>0</v>
      </c>
      <c r="H94" s="50">
        <f>IFERROR(VLOOKUP(E94,'BD - E - Mvto Cx'!$J$15:$M$500,4,0),0)</f>
        <v>0</v>
      </c>
      <c r="I94" s="50">
        <f>IFERROR(VLOOKUP(E94,'BD - E - Mvto Cx'!$S$15:$V$500,4,0),0)</f>
        <v>0</v>
      </c>
      <c r="J94" s="50">
        <f>IFERROR(VLOOKUP(E94,'BD - E - Mvto Cx'!$AB$15:$AE$500,4,0),0)</f>
        <v>0</v>
      </c>
      <c r="K94" s="50">
        <f>IFERROR(VLOOKUP(E94,'BD - E - Mvto Cx'!$AK$15:$AN$500,4,0),0)</f>
        <v>0</v>
      </c>
      <c r="L94" s="50">
        <f>IFERROR(VLOOKUP(E94,'BD - E - Mvto Cx'!$AT$15:$AW$500,4,0),0)</f>
        <v>0</v>
      </c>
      <c r="M94" s="50">
        <f>IFERROR(VLOOKUP(E94,'BD - E - Mvto Cx'!$BF$15:$BI$500,4,0),0)</f>
        <v>0</v>
      </c>
      <c r="N94" s="50">
        <f>IFERROR(VLOOKUP(E94,'BD - E - Mvto Cx'!$BO$15:$BR$500,4,0),0)</f>
        <v>0</v>
      </c>
      <c r="O94" s="50">
        <f>IFERROR(VLOOKUP(E94,'BD - E - Mvto Cx'!$BX$15:$CA$500,4,0),0)</f>
        <v>0</v>
      </c>
      <c r="P94" s="50">
        <f>IFERROR(VLOOKUP(E94,'BD - E - Mvto Cx'!$CG$15:$CJ$500,4,0),0)</f>
        <v>0</v>
      </c>
      <c r="Q94" s="50">
        <f>IFERROR(VLOOKUP(E94,'BD - E - Mvto Cx'!$CP$15:$CS$500,4,0),0)</f>
        <v>0</v>
      </c>
      <c r="R94" s="50">
        <f>IFERROR(VLOOKUP(E94,'BD - E - Mvto Cx'!$CY$15:$DB$500,4,0),0)</f>
        <v>0</v>
      </c>
    </row>
    <row r="95" spans="1:996" s="75" customFormat="1">
      <c r="A95" s="104"/>
      <c r="B95" s="75" t="str">
        <f t="shared" ref="B95:B119" si="5">D95&amp;E95</f>
        <v>S111103</v>
      </c>
      <c r="C95" s="396" t="s">
        <v>608</v>
      </c>
      <c r="D95" s="27" t="s">
        <v>128</v>
      </c>
      <c r="E95" s="75">
        <v>111103</v>
      </c>
      <c r="F95" s="105" t="s">
        <v>74</v>
      </c>
      <c r="G95" s="74">
        <f>IFERROR(VLOOKUP(E95,'BD - E - Mvto Cx'!$E$15:$G$500,3,0),0)</f>
        <v>95118</v>
      </c>
      <c r="H95" s="72">
        <f>IFERROR(VLOOKUP(E95,'BD - E - Mvto Cx'!$N$15:$P$500,3,0),0)</f>
        <v>78091.3</v>
      </c>
      <c r="I95" s="73">
        <f>IFERROR(VLOOKUP(E95,'BD - E - Mvto Cx'!$W$15:$Y$497,3,0),0)</f>
        <v>62054.8</v>
      </c>
      <c r="J95" s="73">
        <f>IFERROR(VLOOKUP(E95,'BD - E - Mvto Cx'!$AF$15:$AI$500,3,0),0)</f>
        <v>67527.95</v>
      </c>
      <c r="K95" s="73">
        <f>IFERROR(VLOOKUP(E95,'BD - E - Mvto Cx'!$AO$15:$AQ$500,3,0),0)</f>
        <v>0</v>
      </c>
      <c r="L95" s="73">
        <f>IFERROR(VLOOKUP(E95,'BD - E - Mvto Cx'!$AX$15:$AZ$500,3,0),0)</f>
        <v>0</v>
      </c>
      <c r="M95" s="73">
        <f>IFERROR(VLOOKUP(E95,'BD - E - Mvto Cx'!$BJ$15:$BL$500,3,0),0)</f>
        <v>0</v>
      </c>
      <c r="N95" s="73">
        <f>IFERROR(VLOOKUP(E95,'BD - E - Mvto Cx'!$BS$15:$BU$500,3,0),0)</f>
        <v>0</v>
      </c>
      <c r="O95" s="73">
        <f>IFERROR(VLOOKUP(E95,'BD - E - Mvto Cx'!$CB$15:$CD$500,3,0),0)</f>
        <v>0</v>
      </c>
      <c r="P95" s="73">
        <f>IFERROR(VLOOKUP(E95,'BD - E - Mvto Cx'!$CK$15:$CM$500,3,0),0)</f>
        <v>0</v>
      </c>
      <c r="Q95" s="73">
        <f>IFERROR(VLOOKUP(E95,'BD - E - Mvto Cx'!$CT$15:$CV$500,3,0),0)</f>
        <v>0</v>
      </c>
      <c r="R95" s="73">
        <f>IFERROR(VLOOKUP(E95,'BD - E - Mvto Cx'!$DC$15:$DE$500,3,0),0)</f>
        <v>0</v>
      </c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6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  <c r="CZ95" s="106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6"/>
      <c r="DL95" s="106"/>
      <c r="DM95" s="106"/>
      <c r="DN95" s="106"/>
      <c r="DO95" s="106"/>
      <c r="DP95" s="106"/>
      <c r="DQ95" s="106"/>
      <c r="DR95" s="106"/>
      <c r="DS95" s="106"/>
      <c r="DT95" s="106"/>
      <c r="DU95" s="106"/>
      <c r="DV95" s="106"/>
      <c r="DW95" s="106"/>
      <c r="DX95" s="106"/>
      <c r="DY95" s="106"/>
      <c r="DZ95" s="106"/>
      <c r="EA95" s="106"/>
      <c r="EB95" s="106"/>
      <c r="EC95" s="106"/>
      <c r="ED95" s="106"/>
      <c r="EE95" s="106"/>
      <c r="EF95" s="106"/>
      <c r="EG95" s="106"/>
      <c r="EH95" s="106"/>
      <c r="EI95" s="106"/>
      <c r="EJ95" s="106"/>
      <c r="EK95" s="106"/>
      <c r="EL95" s="106"/>
      <c r="EM95" s="106"/>
      <c r="EN95" s="106"/>
      <c r="EO95" s="106"/>
      <c r="EP95" s="106"/>
      <c r="EQ95" s="106"/>
      <c r="ER95" s="106"/>
      <c r="ES95" s="106"/>
      <c r="ET95" s="106"/>
      <c r="EU95" s="106"/>
      <c r="EV95" s="106"/>
      <c r="EW95" s="106"/>
      <c r="EX95" s="106"/>
      <c r="EY95" s="106"/>
      <c r="EZ95" s="106"/>
      <c r="FA95" s="106"/>
      <c r="FB95" s="106"/>
      <c r="FC95" s="106"/>
      <c r="FD95" s="106"/>
      <c r="FE95" s="106"/>
      <c r="FF95" s="106"/>
      <c r="FG95" s="106"/>
      <c r="FH95" s="106"/>
      <c r="FI95" s="106"/>
      <c r="FJ95" s="106"/>
      <c r="FK95" s="106"/>
      <c r="FL95" s="106"/>
      <c r="FM95" s="106"/>
      <c r="FN95" s="106"/>
      <c r="FO95" s="106"/>
      <c r="FP95" s="106"/>
      <c r="FQ95" s="106"/>
      <c r="FR95" s="106"/>
      <c r="FS95" s="106"/>
      <c r="FT95" s="106"/>
      <c r="FU95" s="106"/>
      <c r="FV95" s="106"/>
      <c r="FW95" s="106"/>
      <c r="FX95" s="106"/>
      <c r="FY95" s="106"/>
      <c r="FZ95" s="106"/>
      <c r="GA95" s="106"/>
      <c r="GB95" s="106"/>
      <c r="GC95" s="106"/>
      <c r="GD95" s="106"/>
      <c r="GE95" s="106"/>
      <c r="GF95" s="106"/>
      <c r="GG95" s="106"/>
      <c r="GH95" s="106"/>
      <c r="GI95" s="106"/>
      <c r="GJ95" s="106"/>
      <c r="GK95" s="106"/>
      <c r="GL95" s="106"/>
      <c r="GM95" s="106"/>
      <c r="GN95" s="106"/>
      <c r="GO95" s="106"/>
      <c r="GP95" s="106"/>
      <c r="GQ95" s="106"/>
      <c r="GR95" s="106"/>
      <c r="GS95" s="106"/>
      <c r="GT95" s="106"/>
      <c r="GU95" s="106"/>
      <c r="GV95" s="106"/>
      <c r="GW95" s="106"/>
      <c r="GX95" s="106"/>
      <c r="GY95" s="106"/>
      <c r="GZ95" s="106"/>
      <c r="HA95" s="106"/>
      <c r="HB95" s="106"/>
      <c r="HC95" s="106"/>
      <c r="HD95" s="106"/>
      <c r="HE95" s="106"/>
      <c r="HF95" s="106"/>
      <c r="HG95" s="106"/>
      <c r="HH95" s="106"/>
      <c r="HI95" s="106"/>
      <c r="HJ95" s="106"/>
      <c r="HK95" s="106"/>
      <c r="HL95" s="106"/>
      <c r="HM95" s="106"/>
      <c r="HN95" s="106"/>
      <c r="HO95" s="106"/>
      <c r="HP95" s="106"/>
      <c r="HQ95" s="106"/>
      <c r="HR95" s="106"/>
      <c r="HS95" s="106"/>
      <c r="HT95" s="106"/>
      <c r="HU95" s="106"/>
      <c r="HV95" s="106"/>
      <c r="HW95" s="106"/>
      <c r="HX95" s="106"/>
      <c r="HY95" s="106"/>
      <c r="HZ95" s="106"/>
      <c r="IA95" s="106"/>
      <c r="IB95" s="106"/>
      <c r="IC95" s="106"/>
      <c r="ID95" s="106"/>
      <c r="IE95" s="106"/>
      <c r="IF95" s="106"/>
      <c r="IG95" s="106"/>
      <c r="IH95" s="106"/>
      <c r="II95" s="106"/>
      <c r="IJ95" s="106"/>
      <c r="IK95" s="106"/>
      <c r="IL95" s="106"/>
      <c r="IM95" s="106"/>
      <c r="IN95" s="106"/>
      <c r="IO95" s="106"/>
      <c r="IP95" s="106"/>
      <c r="IQ95" s="106"/>
      <c r="IR95" s="106"/>
      <c r="IS95" s="106"/>
      <c r="IT95" s="106"/>
      <c r="IU95" s="106"/>
      <c r="IV95" s="106"/>
      <c r="IW95" s="106"/>
      <c r="IX95" s="106"/>
      <c r="IY95" s="106"/>
      <c r="IZ95" s="106"/>
      <c r="JA95" s="106"/>
      <c r="JB95" s="106"/>
      <c r="JC95" s="106"/>
      <c r="JD95" s="106"/>
      <c r="JE95" s="106"/>
      <c r="JF95" s="106"/>
      <c r="JG95" s="106"/>
      <c r="JH95" s="106"/>
      <c r="JI95" s="106"/>
      <c r="JJ95" s="106"/>
      <c r="JK95" s="106"/>
      <c r="JL95" s="106"/>
      <c r="JM95" s="106"/>
      <c r="JN95" s="106"/>
      <c r="JO95" s="106"/>
      <c r="JP95" s="106"/>
      <c r="JQ95" s="106"/>
      <c r="JR95" s="106"/>
      <c r="JS95" s="106"/>
      <c r="JT95" s="106"/>
      <c r="JU95" s="106"/>
      <c r="JV95" s="106"/>
      <c r="JW95" s="106"/>
      <c r="JX95" s="106"/>
      <c r="JY95" s="106"/>
      <c r="JZ95" s="106"/>
      <c r="KA95" s="106"/>
      <c r="KB95" s="106"/>
      <c r="KC95" s="106"/>
      <c r="KD95" s="106"/>
      <c r="KE95" s="106"/>
      <c r="KF95" s="106"/>
      <c r="KG95" s="106"/>
      <c r="KH95" s="106"/>
      <c r="KI95" s="106"/>
      <c r="KJ95" s="106"/>
      <c r="KK95" s="106"/>
      <c r="KL95" s="106"/>
      <c r="KM95" s="106"/>
      <c r="KN95" s="106"/>
      <c r="KO95" s="106"/>
      <c r="KP95" s="106"/>
      <c r="KQ95" s="106"/>
      <c r="KR95" s="106"/>
      <c r="KS95" s="106"/>
      <c r="KT95" s="106"/>
      <c r="KU95" s="106"/>
      <c r="KV95" s="106"/>
      <c r="KW95" s="106"/>
      <c r="KX95" s="106"/>
      <c r="KY95" s="106"/>
      <c r="KZ95" s="106"/>
      <c r="LA95" s="106"/>
      <c r="LB95" s="106"/>
      <c r="LC95" s="106"/>
      <c r="LD95" s="106"/>
      <c r="LE95" s="106"/>
      <c r="LF95" s="106"/>
      <c r="LG95" s="106"/>
      <c r="LH95" s="106"/>
      <c r="LI95" s="106"/>
      <c r="LJ95" s="106"/>
      <c r="LK95" s="106"/>
      <c r="LL95" s="106"/>
      <c r="LM95" s="106"/>
      <c r="LN95" s="106"/>
      <c r="LO95" s="106"/>
      <c r="LP95" s="106"/>
      <c r="LQ95" s="106"/>
      <c r="LR95" s="106"/>
      <c r="LS95" s="106"/>
      <c r="LT95" s="106"/>
      <c r="LU95" s="106"/>
      <c r="LV95" s="106"/>
      <c r="LW95" s="106"/>
      <c r="LX95" s="106"/>
      <c r="LY95" s="106"/>
      <c r="LZ95" s="106"/>
      <c r="MA95" s="106"/>
      <c r="MB95" s="106"/>
      <c r="MC95" s="106"/>
      <c r="MD95" s="106"/>
      <c r="ME95" s="106"/>
      <c r="MF95" s="106"/>
      <c r="MG95" s="106"/>
      <c r="MH95" s="106"/>
      <c r="MI95" s="106"/>
      <c r="MJ95" s="106"/>
      <c r="MK95" s="106"/>
      <c r="ML95" s="106"/>
      <c r="MM95" s="106"/>
      <c r="MN95" s="106"/>
      <c r="MO95" s="106"/>
      <c r="MP95" s="106"/>
      <c r="MQ95" s="106"/>
      <c r="MR95" s="106"/>
      <c r="MS95" s="106"/>
      <c r="MT95" s="106"/>
      <c r="MU95" s="106"/>
      <c r="MV95" s="106"/>
      <c r="MW95" s="106"/>
      <c r="MX95" s="106"/>
      <c r="MY95" s="106"/>
      <c r="MZ95" s="106"/>
      <c r="NA95" s="106"/>
      <c r="NB95" s="106"/>
      <c r="NC95" s="106"/>
      <c r="ND95" s="106"/>
      <c r="NE95" s="106"/>
      <c r="NF95" s="106"/>
      <c r="NG95" s="106"/>
      <c r="NH95" s="106"/>
      <c r="NI95" s="106"/>
      <c r="NJ95" s="106"/>
      <c r="NK95" s="106"/>
      <c r="NL95" s="106"/>
      <c r="NM95" s="106"/>
      <c r="NN95" s="106"/>
      <c r="NO95" s="106"/>
      <c r="NP95" s="106"/>
      <c r="NQ95" s="106"/>
      <c r="NR95" s="106"/>
      <c r="NS95" s="106"/>
      <c r="NT95" s="106"/>
      <c r="NU95" s="106"/>
      <c r="NV95" s="106"/>
      <c r="NW95" s="106"/>
      <c r="NX95" s="106"/>
      <c r="NY95" s="106"/>
      <c r="NZ95" s="106"/>
      <c r="OA95" s="106"/>
      <c r="OB95" s="106"/>
      <c r="OC95" s="106"/>
      <c r="OD95" s="106"/>
      <c r="OE95" s="106"/>
      <c r="OF95" s="106"/>
      <c r="OG95" s="106"/>
      <c r="OH95" s="106"/>
      <c r="OI95" s="106"/>
      <c r="OJ95" s="106"/>
      <c r="OK95" s="106"/>
      <c r="OL95" s="106"/>
      <c r="OM95" s="106"/>
      <c r="ON95" s="106"/>
      <c r="OO95" s="106"/>
      <c r="OP95" s="106"/>
      <c r="OQ95" s="106"/>
      <c r="OR95" s="106"/>
      <c r="OS95" s="106"/>
      <c r="OT95" s="106"/>
      <c r="OU95" s="106"/>
      <c r="OV95" s="106"/>
      <c r="OW95" s="106"/>
      <c r="OX95" s="106"/>
      <c r="OY95" s="106"/>
      <c r="OZ95" s="106"/>
      <c r="PA95" s="106"/>
      <c r="PB95" s="106"/>
      <c r="PC95" s="106"/>
      <c r="PD95" s="106"/>
      <c r="PE95" s="106"/>
      <c r="PF95" s="106"/>
      <c r="PG95" s="106"/>
      <c r="PH95" s="106"/>
      <c r="PI95" s="106"/>
      <c r="PJ95" s="106"/>
      <c r="PK95" s="106"/>
      <c r="PL95" s="106"/>
      <c r="PM95" s="106"/>
      <c r="PN95" s="106"/>
      <c r="PO95" s="106"/>
      <c r="PP95" s="106"/>
      <c r="PQ95" s="106"/>
      <c r="PR95" s="106"/>
      <c r="PS95" s="106"/>
      <c r="PT95" s="106"/>
      <c r="PU95" s="106"/>
      <c r="PV95" s="106"/>
      <c r="PW95" s="106"/>
      <c r="PX95" s="106"/>
      <c r="PY95" s="106"/>
      <c r="PZ95" s="106"/>
      <c r="QA95" s="106"/>
      <c r="QB95" s="106"/>
      <c r="QC95" s="106"/>
      <c r="QD95" s="106"/>
      <c r="QE95" s="106"/>
      <c r="QF95" s="106"/>
      <c r="QG95" s="106"/>
      <c r="QH95" s="106"/>
      <c r="QI95" s="106"/>
      <c r="QJ95" s="106"/>
      <c r="QK95" s="106"/>
      <c r="QL95" s="106"/>
      <c r="QM95" s="106"/>
      <c r="QN95" s="106"/>
      <c r="QO95" s="106"/>
      <c r="QP95" s="106"/>
      <c r="QQ95" s="106"/>
      <c r="QR95" s="106"/>
      <c r="QS95" s="106"/>
      <c r="QT95" s="106"/>
      <c r="QU95" s="106"/>
      <c r="QV95" s="106"/>
      <c r="QW95" s="106"/>
      <c r="QX95" s="106"/>
      <c r="QY95" s="106"/>
      <c r="QZ95" s="106"/>
      <c r="RA95" s="106"/>
      <c r="RB95" s="106"/>
      <c r="RC95" s="106"/>
      <c r="RD95" s="106"/>
      <c r="RE95" s="106"/>
      <c r="RF95" s="106"/>
      <c r="RG95" s="106"/>
      <c r="RH95" s="106"/>
      <c r="RI95" s="106"/>
      <c r="RJ95" s="106"/>
      <c r="RK95" s="106"/>
      <c r="RL95" s="106"/>
      <c r="RM95" s="106"/>
      <c r="RN95" s="106"/>
      <c r="RO95" s="106"/>
      <c r="RP95" s="106"/>
      <c r="RQ95" s="106"/>
      <c r="RR95" s="106"/>
      <c r="RS95" s="106"/>
      <c r="RT95" s="106"/>
      <c r="RU95" s="106"/>
      <c r="RV95" s="106"/>
      <c r="RW95" s="106"/>
      <c r="RX95" s="106"/>
      <c r="RY95" s="106"/>
      <c r="RZ95" s="106"/>
      <c r="SA95" s="106"/>
      <c r="SB95" s="106"/>
      <c r="SC95" s="106"/>
      <c r="SD95" s="106"/>
      <c r="SE95" s="106"/>
      <c r="SF95" s="106"/>
      <c r="SG95" s="106"/>
      <c r="SH95" s="106"/>
      <c r="SI95" s="106"/>
      <c r="SJ95" s="106"/>
      <c r="SK95" s="106"/>
      <c r="SL95" s="106"/>
      <c r="SM95" s="106"/>
      <c r="SN95" s="106"/>
      <c r="SO95" s="106"/>
      <c r="SP95" s="106"/>
      <c r="SQ95" s="106"/>
      <c r="SR95" s="106"/>
      <c r="SS95" s="106"/>
      <c r="ST95" s="106"/>
      <c r="SU95" s="106"/>
      <c r="SV95" s="106"/>
      <c r="SW95" s="106"/>
      <c r="SX95" s="106"/>
      <c r="SY95" s="106"/>
      <c r="SZ95" s="106"/>
      <c r="TA95" s="106"/>
      <c r="TB95" s="106"/>
      <c r="TC95" s="106"/>
      <c r="TD95" s="106"/>
      <c r="TE95" s="106"/>
      <c r="TF95" s="106"/>
      <c r="TG95" s="106"/>
      <c r="TH95" s="106"/>
      <c r="TI95" s="106"/>
      <c r="TJ95" s="106"/>
      <c r="TK95" s="106"/>
      <c r="TL95" s="106"/>
      <c r="TM95" s="106"/>
      <c r="TN95" s="106"/>
      <c r="TO95" s="106"/>
      <c r="TP95" s="106"/>
      <c r="TQ95" s="106"/>
      <c r="TR95" s="106"/>
      <c r="TS95" s="106"/>
      <c r="TT95" s="106"/>
      <c r="TU95" s="106"/>
      <c r="TV95" s="106"/>
      <c r="TW95" s="106"/>
      <c r="TX95" s="106"/>
      <c r="TY95" s="106"/>
      <c r="TZ95" s="106"/>
      <c r="UA95" s="106"/>
      <c r="UB95" s="106"/>
      <c r="UC95" s="106"/>
      <c r="UD95" s="106"/>
      <c r="UE95" s="106"/>
      <c r="UF95" s="106"/>
      <c r="UG95" s="106"/>
      <c r="UH95" s="106"/>
      <c r="UI95" s="106"/>
      <c r="UJ95" s="106"/>
      <c r="UK95" s="106"/>
      <c r="UL95" s="106"/>
      <c r="UM95" s="106"/>
      <c r="UN95" s="106"/>
      <c r="UO95" s="106"/>
      <c r="UP95" s="106"/>
      <c r="UQ95" s="106"/>
      <c r="UR95" s="106"/>
      <c r="US95" s="106"/>
      <c r="UT95" s="106"/>
      <c r="UU95" s="106"/>
      <c r="UV95" s="106"/>
      <c r="UW95" s="106"/>
      <c r="UX95" s="106"/>
      <c r="UY95" s="106"/>
      <c r="UZ95" s="106"/>
      <c r="VA95" s="106"/>
      <c r="VB95" s="106"/>
      <c r="VC95" s="106"/>
      <c r="VD95" s="106"/>
      <c r="VE95" s="106"/>
      <c r="VF95" s="106"/>
      <c r="VG95" s="106"/>
      <c r="VH95" s="106"/>
      <c r="VI95" s="106"/>
      <c r="VJ95" s="106"/>
      <c r="VK95" s="106"/>
      <c r="VL95" s="106"/>
      <c r="VM95" s="106"/>
      <c r="VN95" s="106"/>
      <c r="VO95" s="106"/>
      <c r="VP95" s="106"/>
      <c r="VQ95" s="106"/>
      <c r="VR95" s="106"/>
      <c r="VS95" s="106"/>
      <c r="VT95" s="106"/>
      <c r="VU95" s="106"/>
      <c r="VV95" s="106"/>
      <c r="VW95" s="106"/>
      <c r="VX95" s="106"/>
      <c r="VY95" s="106"/>
      <c r="VZ95" s="106"/>
      <c r="WA95" s="106"/>
      <c r="WB95" s="106"/>
      <c r="WC95" s="106"/>
      <c r="WD95" s="106"/>
      <c r="WE95" s="106"/>
      <c r="WF95" s="106"/>
      <c r="WG95" s="106"/>
      <c r="WH95" s="106"/>
      <c r="WI95" s="106"/>
      <c r="WJ95" s="106"/>
      <c r="WK95" s="106"/>
      <c r="WL95" s="106"/>
      <c r="WM95" s="106"/>
      <c r="WN95" s="106"/>
      <c r="WO95" s="106"/>
      <c r="WP95" s="106"/>
      <c r="WQ95" s="106"/>
      <c r="WR95" s="106"/>
      <c r="WS95" s="106"/>
      <c r="WT95" s="106"/>
      <c r="WU95" s="106"/>
      <c r="WV95" s="106"/>
      <c r="WW95" s="106"/>
      <c r="WX95" s="106"/>
      <c r="WY95" s="106"/>
      <c r="WZ95" s="106"/>
      <c r="XA95" s="106"/>
      <c r="XB95" s="106"/>
      <c r="XC95" s="106"/>
      <c r="XD95" s="106"/>
      <c r="XE95" s="106"/>
      <c r="XF95" s="106"/>
      <c r="XG95" s="106"/>
      <c r="XH95" s="106"/>
      <c r="XI95" s="106"/>
      <c r="XJ95" s="106"/>
      <c r="XK95" s="106"/>
      <c r="XL95" s="106"/>
      <c r="XM95" s="106"/>
      <c r="XN95" s="106"/>
      <c r="XO95" s="106"/>
      <c r="XP95" s="106"/>
      <c r="XQ95" s="106"/>
      <c r="XR95" s="106"/>
      <c r="XS95" s="106"/>
      <c r="XT95" s="106"/>
      <c r="XU95" s="106"/>
      <c r="XV95" s="106"/>
      <c r="XW95" s="106"/>
      <c r="XX95" s="106"/>
      <c r="XY95" s="106"/>
      <c r="XZ95" s="106"/>
      <c r="YA95" s="106"/>
      <c r="YB95" s="106"/>
      <c r="YC95" s="106"/>
      <c r="YD95" s="106"/>
      <c r="YE95" s="106"/>
      <c r="YF95" s="106"/>
      <c r="YG95" s="106"/>
      <c r="YH95" s="106"/>
      <c r="YI95" s="106"/>
      <c r="YJ95" s="106"/>
      <c r="YK95" s="106"/>
      <c r="YL95" s="106"/>
      <c r="YM95" s="106"/>
      <c r="YN95" s="106"/>
      <c r="YO95" s="106"/>
      <c r="YP95" s="106"/>
      <c r="YQ95" s="106"/>
      <c r="YR95" s="106"/>
      <c r="YS95" s="106"/>
      <c r="YT95" s="106"/>
      <c r="YU95" s="106"/>
      <c r="YV95" s="106"/>
      <c r="YW95" s="106"/>
      <c r="YX95" s="106"/>
      <c r="YY95" s="106"/>
      <c r="YZ95" s="106"/>
      <c r="ZA95" s="106"/>
      <c r="ZB95" s="106"/>
      <c r="ZC95" s="106"/>
      <c r="ZD95" s="106"/>
      <c r="ZE95" s="106"/>
      <c r="ZF95" s="106"/>
      <c r="ZG95" s="106"/>
      <c r="ZH95" s="106"/>
      <c r="ZI95" s="106"/>
      <c r="ZJ95" s="106"/>
      <c r="ZK95" s="106"/>
      <c r="ZL95" s="106"/>
      <c r="ZM95" s="106"/>
      <c r="ZN95" s="106"/>
      <c r="ZO95" s="106"/>
      <c r="ZP95" s="106"/>
      <c r="ZQ95" s="106"/>
      <c r="ZR95" s="106"/>
      <c r="ZS95" s="106"/>
      <c r="ZT95" s="106"/>
      <c r="ZU95" s="106"/>
      <c r="ZV95" s="106"/>
      <c r="ZW95" s="106"/>
      <c r="ZX95" s="106"/>
      <c r="ZY95" s="106"/>
      <c r="ZZ95" s="106"/>
      <c r="AAA95" s="106"/>
      <c r="AAB95" s="106"/>
      <c r="AAC95" s="106"/>
      <c r="AAD95" s="106"/>
      <c r="AAE95" s="106"/>
      <c r="AAF95" s="106"/>
      <c r="AAG95" s="106"/>
      <c r="AAH95" s="106"/>
      <c r="AAI95" s="106"/>
      <c r="AAJ95" s="106"/>
      <c r="AAK95" s="106"/>
      <c r="AAL95" s="106"/>
      <c r="AAM95" s="106"/>
      <c r="AAN95" s="106"/>
      <c r="AAO95" s="106"/>
      <c r="AAP95" s="106"/>
      <c r="AAQ95" s="106"/>
      <c r="AAR95" s="106"/>
      <c r="AAS95" s="106"/>
      <c r="AAT95" s="106"/>
      <c r="AAU95" s="106"/>
      <c r="AAV95" s="106"/>
      <c r="AAW95" s="106"/>
      <c r="AAX95" s="106"/>
      <c r="AAY95" s="106"/>
      <c r="AAZ95" s="106"/>
      <c r="ABA95" s="106"/>
      <c r="ABB95" s="106"/>
      <c r="ABC95" s="106"/>
      <c r="ABD95" s="106"/>
      <c r="ABE95" s="106"/>
      <c r="ABF95" s="106"/>
      <c r="ABG95" s="106"/>
      <c r="ABH95" s="106"/>
      <c r="ABI95" s="106"/>
      <c r="ABJ95" s="106"/>
      <c r="ABK95" s="106"/>
      <c r="ABL95" s="106"/>
      <c r="ABM95" s="106"/>
      <c r="ABN95" s="106"/>
      <c r="ABO95" s="106"/>
      <c r="ABP95" s="106"/>
      <c r="ABQ95" s="106"/>
      <c r="ABR95" s="106"/>
      <c r="ABS95" s="106"/>
      <c r="ABT95" s="106"/>
      <c r="ABU95" s="106"/>
      <c r="ABV95" s="106"/>
      <c r="ABW95" s="106"/>
      <c r="ABX95" s="106"/>
      <c r="ABY95" s="106"/>
      <c r="ABZ95" s="106"/>
      <c r="ACA95" s="106"/>
      <c r="ACB95" s="106"/>
      <c r="ACC95" s="106"/>
      <c r="ACD95" s="106"/>
      <c r="ACE95" s="106"/>
      <c r="ACF95" s="106"/>
      <c r="ACG95" s="106"/>
      <c r="ACH95" s="106"/>
      <c r="ACI95" s="106"/>
      <c r="ACJ95" s="106"/>
      <c r="ACK95" s="106"/>
      <c r="ACL95" s="106"/>
      <c r="ACM95" s="106"/>
      <c r="ACN95" s="106"/>
      <c r="ACO95" s="106"/>
      <c r="ACP95" s="106"/>
      <c r="ACQ95" s="106"/>
      <c r="ACR95" s="106"/>
      <c r="ACS95" s="106"/>
      <c r="ACT95" s="106"/>
      <c r="ACU95" s="106"/>
      <c r="ACV95" s="106"/>
      <c r="ACW95" s="106"/>
      <c r="ACX95" s="106"/>
      <c r="ACY95" s="106"/>
      <c r="ACZ95" s="106"/>
      <c r="ADA95" s="106"/>
      <c r="ADB95" s="106"/>
      <c r="ADC95" s="106"/>
      <c r="ADD95" s="106"/>
      <c r="ADE95" s="106"/>
      <c r="ADF95" s="106"/>
      <c r="ADG95" s="106"/>
      <c r="ADH95" s="106"/>
      <c r="ADI95" s="106"/>
      <c r="ADJ95" s="106"/>
      <c r="ADK95" s="106"/>
      <c r="ADL95" s="106"/>
      <c r="ADM95" s="106"/>
      <c r="ADN95" s="106"/>
      <c r="ADO95" s="106"/>
      <c r="ADP95" s="106"/>
      <c r="ADQ95" s="106"/>
      <c r="ADR95" s="106"/>
      <c r="ADS95" s="106"/>
      <c r="ADT95" s="106"/>
      <c r="ADU95" s="106"/>
      <c r="ADV95" s="106"/>
      <c r="ADW95" s="106"/>
      <c r="ADX95" s="106"/>
      <c r="ADY95" s="106"/>
      <c r="ADZ95" s="106"/>
      <c r="AEA95" s="106"/>
      <c r="AEB95" s="106"/>
      <c r="AEC95" s="106"/>
      <c r="AED95" s="106"/>
      <c r="AEE95" s="106"/>
      <c r="AEF95" s="106"/>
      <c r="AEG95" s="106"/>
      <c r="AEH95" s="106"/>
      <c r="AEI95" s="106"/>
      <c r="AEJ95" s="106"/>
      <c r="AEK95" s="106"/>
      <c r="AEL95" s="106"/>
      <c r="AEM95" s="106"/>
      <c r="AEN95" s="106"/>
      <c r="AEO95" s="106"/>
      <c r="AEP95" s="106"/>
      <c r="AEQ95" s="106"/>
      <c r="AER95" s="106"/>
      <c r="AES95" s="106"/>
      <c r="AET95" s="106"/>
      <c r="AEU95" s="106"/>
      <c r="AEV95" s="106"/>
      <c r="AEW95" s="106"/>
      <c r="AEX95" s="106"/>
      <c r="AEY95" s="106"/>
      <c r="AEZ95" s="106"/>
      <c r="AFA95" s="106"/>
      <c r="AFB95" s="106"/>
      <c r="AFC95" s="106"/>
      <c r="AFD95" s="106"/>
      <c r="AFE95" s="106"/>
      <c r="AFF95" s="106"/>
      <c r="AFG95" s="106"/>
      <c r="AFH95" s="106"/>
      <c r="AFI95" s="106"/>
      <c r="AFJ95" s="106"/>
      <c r="AFK95" s="106"/>
      <c r="AFL95" s="106"/>
      <c r="AFM95" s="106"/>
      <c r="AFN95" s="106"/>
      <c r="AFO95" s="106"/>
      <c r="AFP95" s="106"/>
      <c r="AFQ95" s="106"/>
      <c r="AFR95" s="106"/>
      <c r="AFS95" s="106"/>
      <c r="AFT95" s="106"/>
      <c r="AFU95" s="106"/>
      <c r="AFV95" s="106"/>
      <c r="AFW95" s="106"/>
      <c r="AFX95" s="106"/>
      <c r="AFY95" s="106"/>
      <c r="AFZ95" s="106"/>
      <c r="AGA95" s="106"/>
      <c r="AGB95" s="106"/>
      <c r="AGC95" s="106"/>
      <c r="AGD95" s="106"/>
      <c r="AGE95" s="106"/>
      <c r="AGF95" s="106"/>
      <c r="AGG95" s="106"/>
      <c r="AGH95" s="106"/>
      <c r="AGI95" s="106"/>
      <c r="AGJ95" s="106"/>
      <c r="AGK95" s="106"/>
      <c r="AGL95" s="106"/>
      <c r="AGM95" s="106"/>
      <c r="AGN95" s="106"/>
      <c r="AGO95" s="106"/>
      <c r="AGP95" s="106"/>
      <c r="AGQ95" s="106"/>
      <c r="AGR95" s="106"/>
      <c r="AGS95" s="106"/>
      <c r="AGT95" s="106"/>
      <c r="AGU95" s="106"/>
      <c r="AGV95" s="106"/>
      <c r="AGW95" s="106"/>
      <c r="AGX95" s="106"/>
      <c r="AGY95" s="106"/>
      <c r="AGZ95" s="106"/>
      <c r="AHA95" s="106"/>
      <c r="AHB95" s="106"/>
      <c r="AHC95" s="106"/>
      <c r="AHD95" s="106"/>
      <c r="AHE95" s="106"/>
      <c r="AHF95" s="106"/>
      <c r="AHG95" s="106"/>
      <c r="AHH95" s="106"/>
      <c r="AHI95" s="106"/>
      <c r="AHJ95" s="106"/>
      <c r="AHK95" s="106"/>
      <c r="AHL95" s="106"/>
      <c r="AHM95" s="106"/>
      <c r="AHN95" s="106"/>
      <c r="AHO95" s="106"/>
      <c r="AHP95" s="106"/>
      <c r="AHQ95" s="106"/>
      <c r="AHR95" s="106"/>
      <c r="AHS95" s="106"/>
      <c r="AHT95" s="106"/>
      <c r="AHU95" s="106"/>
      <c r="AHV95" s="106"/>
      <c r="AHW95" s="106"/>
      <c r="AHX95" s="106"/>
      <c r="AHY95" s="106"/>
      <c r="AHZ95" s="106"/>
      <c r="AIA95" s="106"/>
      <c r="AIB95" s="106"/>
      <c r="AIC95" s="106"/>
      <c r="AID95" s="106"/>
      <c r="AIE95" s="106"/>
      <c r="AIF95" s="106"/>
      <c r="AIG95" s="106"/>
      <c r="AIH95" s="106"/>
      <c r="AII95" s="106"/>
      <c r="AIJ95" s="106"/>
      <c r="AIK95" s="106"/>
      <c r="AIL95" s="106"/>
      <c r="AIM95" s="106"/>
      <c r="AIN95" s="106"/>
      <c r="AIO95" s="106"/>
      <c r="AIP95" s="106"/>
      <c r="AIQ95" s="106"/>
      <c r="AIR95" s="106"/>
      <c r="AIS95" s="106"/>
      <c r="AIT95" s="106"/>
      <c r="AIU95" s="106"/>
      <c r="AIV95" s="106"/>
      <c r="AIW95" s="106"/>
      <c r="AIX95" s="106"/>
      <c r="AIY95" s="106"/>
      <c r="AIZ95" s="106"/>
      <c r="AJA95" s="106"/>
      <c r="AJB95" s="106"/>
      <c r="AJC95" s="106"/>
      <c r="AJD95" s="106"/>
      <c r="AJE95" s="106"/>
      <c r="AJF95" s="106"/>
      <c r="AJG95" s="106"/>
      <c r="AJH95" s="106"/>
      <c r="AJI95" s="106"/>
      <c r="AJJ95" s="106"/>
      <c r="AJK95" s="106"/>
      <c r="AJL95" s="106"/>
      <c r="AJM95" s="106"/>
      <c r="AJN95" s="106"/>
      <c r="AJO95" s="106"/>
      <c r="AJP95" s="106"/>
      <c r="AJQ95" s="106"/>
      <c r="AJR95" s="106"/>
      <c r="AJS95" s="106"/>
      <c r="AJT95" s="106"/>
      <c r="AJU95" s="106"/>
      <c r="AJV95" s="106"/>
      <c r="AJW95" s="106"/>
      <c r="AJX95" s="106"/>
      <c r="AJY95" s="106"/>
      <c r="AJZ95" s="106"/>
      <c r="AKA95" s="106"/>
      <c r="AKB95" s="106"/>
      <c r="AKC95" s="106"/>
      <c r="AKD95" s="106"/>
      <c r="AKE95" s="106"/>
      <c r="AKF95" s="106"/>
      <c r="AKG95" s="106"/>
      <c r="AKH95" s="106"/>
      <c r="AKI95" s="106"/>
      <c r="AKJ95" s="106"/>
      <c r="AKK95" s="106"/>
      <c r="AKL95" s="106"/>
      <c r="AKM95" s="106"/>
      <c r="AKN95" s="106"/>
      <c r="AKO95" s="106"/>
      <c r="AKP95" s="106"/>
      <c r="AKQ95" s="106"/>
      <c r="AKR95" s="106"/>
      <c r="AKS95" s="106"/>
      <c r="AKT95" s="106"/>
      <c r="AKU95" s="106"/>
      <c r="AKV95" s="106"/>
      <c r="AKW95" s="106"/>
      <c r="AKX95" s="106"/>
      <c r="AKY95" s="106"/>
      <c r="AKZ95" s="106"/>
      <c r="ALA95" s="106"/>
      <c r="ALB95" s="106"/>
      <c r="ALC95" s="106"/>
      <c r="ALD95" s="106"/>
      <c r="ALE95" s="106"/>
      <c r="ALF95" s="106"/>
      <c r="ALG95" s="106"/>
      <c r="ALH95" s="106"/>
    </row>
    <row r="96" spans="1:996" s="75" customFormat="1">
      <c r="A96" s="104"/>
      <c r="B96" s="75" t="str">
        <f t="shared" si="5"/>
        <v>S112103</v>
      </c>
      <c r="C96" s="75" t="s">
        <v>603</v>
      </c>
      <c r="D96" s="27" t="s">
        <v>128</v>
      </c>
      <c r="E96" s="75">
        <v>112103</v>
      </c>
      <c r="F96" s="105" t="s">
        <v>79</v>
      </c>
      <c r="G96" s="74">
        <f>IFERROR(VLOOKUP(E96,'BD - E - Mvto Cx'!$E$15:$G$500,3,0),0)</f>
        <v>4932.3500000000004</v>
      </c>
      <c r="H96" s="72">
        <f>IFERROR(VLOOKUP(E96,'BD - E - Mvto Cx'!$N$15:$P$500,3,0),0)</f>
        <v>146.56</v>
      </c>
      <c r="I96" s="73">
        <f>IFERROR(VLOOKUP(E96,'BD - E - Mvto Cx'!$W$15:$Y$497,3,0),0)</f>
        <v>841.7</v>
      </c>
      <c r="J96" s="73">
        <f>IFERROR(VLOOKUP(E96,'BD - E - Mvto Cx'!$AF$15:$AI$500,3,0),0)</f>
        <v>3281.63</v>
      </c>
      <c r="K96" s="73">
        <f>IFERROR(VLOOKUP(E96,'BD - E - Mvto Cx'!$AO$15:$AQ$500,3,0),0)</f>
        <v>0</v>
      </c>
      <c r="L96" s="73">
        <f>IFERROR(VLOOKUP(E96,'BD - E - Mvto Cx'!$AX$15:$AZ$500,3,0),0)</f>
        <v>0</v>
      </c>
      <c r="M96" s="73">
        <f>IFERROR(VLOOKUP(E96,'BD - E - Mvto Cx'!$BJ$15:$BL$500,3,0),0)</f>
        <v>0</v>
      </c>
      <c r="N96" s="73">
        <f>IFERROR(VLOOKUP(E96,'BD - E - Mvto Cx'!$BS$15:$BU$500,3,0),0)</f>
        <v>0</v>
      </c>
      <c r="O96" s="73">
        <f>IFERROR(VLOOKUP(E96,'BD - E - Mvto Cx'!$CB$15:$CD$500,3,0),0)</f>
        <v>0</v>
      </c>
      <c r="P96" s="73">
        <f>IFERROR(VLOOKUP(E96,'BD - E - Mvto Cx'!$CK$15:$CM$500,3,0),0)</f>
        <v>0</v>
      </c>
      <c r="Q96" s="73">
        <f>IFERROR(VLOOKUP(E96,'BD - E - Mvto Cx'!$CT$15:$CV$500,3,0),0)</f>
        <v>0</v>
      </c>
      <c r="R96" s="73">
        <f>IFERROR(VLOOKUP(E96,'BD - E - Mvto Cx'!$DC$15:$DE$500,3,0),0)</f>
        <v>0</v>
      </c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  <c r="DA96" s="106"/>
      <c r="DB96" s="106"/>
      <c r="DC96" s="106"/>
      <c r="DD96" s="106"/>
      <c r="DE96" s="106"/>
      <c r="DF96" s="106"/>
      <c r="DG96" s="106"/>
      <c r="DH96" s="106"/>
      <c r="DI96" s="106"/>
      <c r="DJ96" s="106"/>
      <c r="DK96" s="106"/>
      <c r="DL96" s="106"/>
      <c r="DM96" s="106"/>
      <c r="DN96" s="106"/>
      <c r="DO96" s="106"/>
      <c r="DP96" s="106"/>
      <c r="DQ96" s="106"/>
      <c r="DR96" s="106"/>
      <c r="DS96" s="106"/>
      <c r="DT96" s="106"/>
      <c r="DU96" s="106"/>
      <c r="DV96" s="106"/>
      <c r="DW96" s="106"/>
      <c r="DX96" s="106"/>
      <c r="DY96" s="106"/>
      <c r="DZ96" s="106"/>
      <c r="EA96" s="106"/>
      <c r="EB96" s="106"/>
      <c r="EC96" s="106"/>
      <c r="ED96" s="106"/>
      <c r="EE96" s="106"/>
      <c r="EF96" s="106"/>
      <c r="EG96" s="106"/>
      <c r="EH96" s="106"/>
      <c r="EI96" s="106"/>
      <c r="EJ96" s="106"/>
      <c r="EK96" s="106"/>
      <c r="EL96" s="106"/>
      <c r="EM96" s="106"/>
      <c r="EN96" s="106"/>
      <c r="EO96" s="106"/>
      <c r="EP96" s="106"/>
      <c r="EQ96" s="106"/>
      <c r="ER96" s="106"/>
      <c r="ES96" s="106"/>
      <c r="ET96" s="106"/>
      <c r="EU96" s="106"/>
      <c r="EV96" s="106"/>
      <c r="EW96" s="106"/>
      <c r="EX96" s="106"/>
      <c r="EY96" s="106"/>
      <c r="EZ96" s="106"/>
      <c r="FA96" s="106"/>
      <c r="FB96" s="106"/>
      <c r="FC96" s="106"/>
      <c r="FD96" s="106"/>
      <c r="FE96" s="106"/>
      <c r="FF96" s="106"/>
      <c r="FG96" s="106"/>
      <c r="FH96" s="106"/>
      <c r="FI96" s="106"/>
      <c r="FJ96" s="106"/>
      <c r="FK96" s="106"/>
      <c r="FL96" s="106"/>
      <c r="FM96" s="106"/>
      <c r="FN96" s="106"/>
      <c r="FO96" s="106"/>
      <c r="FP96" s="106"/>
      <c r="FQ96" s="106"/>
      <c r="FR96" s="106"/>
      <c r="FS96" s="106"/>
      <c r="FT96" s="106"/>
      <c r="FU96" s="106"/>
      <c r="FV96" s="106"/>
      <c r="FW96" s="106"/>
      <c r="FX96" s="106"/>
      <c r="FY96" s="106"/>
      <c r="FZ96" s="106"/>
      <c r="GA96" s="106"/>
      <c r="GB96" s="106"/>
      <c r="GC96" s="106"/>
      <c r="GD96" s="106"/>
      <c r="GE96" s="106"/>
      <c r="GF96" s="106"/>
      <c r="GG96" s="106"/>
      <c r="GH96" s="106"/>
      <c r="GI96" s="106"/>
      <c r="GJ96" s="106"/>
      <c r="GK96" s="106"/>
      <c r="GL96" s="106"/>
      <c r="GM96" s="106"/>
      <c r="GN96" s="106"/>
      <c r="GO96" s="106"/>
      <c r="GP96" s="106"/>
      <c r="GQ96" s="106"/>
      <c r="GR96" s="106"/>
      <c r="GS96" s="106"/>
      <c r="GT96" s="106"/>
      <c r="GU96" s="106"/>
      <c r="GV96" s="106"/>
      <c r="GW96" s="106"/>
      <c r="GX96" s="106"/>
      <c r="GY96" s="106"/>
      <c r="GZ96" s="106"/>
      <c r="HA96" s="106"/>
      <c r="HB96" s="106"/>
      <c r="HC96" s="106"/>
      <c r="HD96" s="106"/>
      <c r="HE96" s="106"/>
      <c r="HF96" s="106"/>
      <c r="HG96" s="106"/>
      <c r="HH96" s="106"/>
      <c r="HI96" s="106"/>
      <c r="HJ96" s="106"/>
      <c r="HK96" s="106"/>
      <c r="HL96" s="106"/>
      <c r="HM96" s="106"/>
      <c r="HN96" s="106"/>
      <c r="HO96" s="106"/>
      <c r="HP96" s="106"/>
      <c r="HQ96" s="106"/>
      <c r="HR96" s="106"/>
      <c r="HS96" s="106"/>
      <c r="HT96" s="106"/>
      <c r="HU96" s="106"/>
      <c r="HV96" s="106"/>
      <c r="HW96" s="106"/>
      <c r="HX96" s="106"/>
      <c r="HY96" s="106"/>
      <c r="HZ96" s="106"/>
      <c r="IA96" s="106"/>
      <c r="IB96" s="106"/>
      <c r="IC96" s="106"/>
      <c r="ID96" s="106"/>
      <c r="IE96" s="106"/>
      <c r="IF96" s="106"/>
      <c r="IG96" s="106"/>
      <c r="IH96" s="106"/>
      <c r="II96" s="106"/>
      <c r="IJ96" s="106"/>
      <c r="IK96" s="106"/>
      <c r="IL96" s="106"/>
      <c r="IM96" s="106"/>
      <c r="IN96" s="106"/>
      <c r="IO96" s="106"/>
      <c r="IP96" s="106"/>
      <c r="IQ96" s="106"/>
      <c r="IR96" s="106"/>
      <c r="IS96" s="106"/>
      <c r="IT96" s="106"/>
      <c r="IU96" s="106"/>
      <c r="IV96" s="106"/>
      <c r="IW96" s="106"/>
      <c r="IX96" s="106"/>
      <c r="IY96" s="106"/>
      <c r="IZ96" s="106"/>
      <c r="JA96" s="106"/>
      <c r="JB96" s="106"/>
      <c r="JC96" s="106"/>
      <c r="JD96" s="106"/>
      <c r="JE96" s="106"/>
      <c r="JF96" s="106"/>
      <c r="JG96" s="106"/>
      <c r="JH96" s="106"/>
      <c r="JI96" s="106"/>
      <c r="JJ96" s="106"/>
      <c r="JK96" s="106"/>
      <c r="JL96" s="106"/>
      <c r="JM96" s="106"/>
      <c r="JN96" s="106"/>
      <c r="JO96" s="106"/>
      <c r="JP96" s="106"/>
      <c r="JQ96" s="106"/>
      <c r="JR96" s="106"/>
      <c r="JS96" s="106"/>
      <c r="JT96" s="106"/>
      <c r="JU96" s="106"/>
      <c r="JV96" s="106"/>
      <c r="JW96" s="106"/>
      <c r="JX96" s="106"/>
      <c r="JY96" s="106"/>
      <c r="JZ96" s="106"/>
      <c r="KA96" s="106"/>
      <c r="KB96" s="106"/>
      <c r="KC96" s="106"/>
      <c r="KD96" s="106"/>
      <c r="KE96" s="106"/>
      <c r="KF96" s="106"/>
      <c r="KG96" s="106"/>
      <c r="KH96" s="106"/>
      <c r="KI96" s="106"/>
      <c r="KJ96" s="106"/>
      <c r="KK96" s="106"/>
      <c r="KL96" s="106"/>
      <c r="KM96" s="106"/>
      <c r="KN96" s="106"/>
      <c r="KO96" s="106"/>
      <c r="KP96" s="106"/>
      <c r="KQ96" s="106"/>
      <c r="KR96" s="106"/>
      <c r="KS96" s="106"/>
      <c r="KT96" s="106"/>
      <c r="KU96" s="106"/>
      <c r="KV96" s="106"/>
      <c r="KW96" s="106"/>
      <c r="KX96" s="106"/>
      <c r="KY96" s="106"/>
      <c r="KZ96" s="106"/>
      <c r="LA96" s="106"/>
      <c r="LB96" s="106"/>
      <c r="LC96" s="106"/>
      <c r="LD96" s="106"/>
      <c r="LE96" s="106"/>
      <c r="LF96" s="106"/>
      <c r="LG96" s="106"/>
      <c r="LH96" s="106"/>
      <c r="LI96" s="106"/>
      <c r="LJ96" s="106"/>
      <c r="LK96" s="106"/>
      <c r="LL96" s="106"/>
      <c r="LM96" s="106"/>
      <c r="LN96" s="106"/>
      <c r="LO96" s="106"/>
      <c r="LP96" s="106"/>
      <c r="LQ96" s="106"/>
      <c r="LR96" s="106"/>
      <c r="LS96" s="106"/>
      <c r="LT96" s="106"/>
      <c r="LU96" s="106"/>
      <c r="LV96" s="106"/>
      <c r="LW96" s="106"/>
      <c r="LX96" s="106"/>
      <c r="LY96" s="106"/>
      <c r="LZ96" s="106"/>
      <c r="MA96" s="106"/>
      <c r="MB96" s="106"/>
      <c r="MC96" s="106"/>
      <c r="MD96" s="106"/>
      <c r="ME96" s="106"/>
      <c r="MF96" s="106"/>
      <c r="MG96" s="106"/>
      <c r="MH96" s="106"/>
      <c r="MI96" s="106"/>
      <c r="MJ96" s="106"/>
      <c r="MK96" s="106"/>
      <c r="ML96" s="106"/>
      <c r="MM96" s="106"/>
      <c r="MN96" s="106"/>
      <c r="MO96" s="106"/>
      <c r="MP96" s="106"/>
      <c r="MQ96" s="106"/>
      <c r="MR96" s="106"/>
      <c r="MS96" s="106"/>
      <c r="MT96" s="106"/>
      <c r="MU96" s="106"/>
      <c r="MV96" s="106"/>
      <c r="MW96" s="106"/>
      <c r="MX96" s="106"/>
      <c r="MY96" s="106"/>
      <c r="MZ96" s="106"/>
      <c r="NA96" s="106"/>
      <c r="NB96" s="106"/>
      <c r="NC96" s="106"/>
      <c r="ND96" s="106"/>
      <c r="NE96" s="106"/>
      <c r="NF96" s="106"/>
      <c r="NG96" s="106"/>
      <c r="NH96" s="106"/>
      <c r="NI96" s="106"/>
      <c r="NJ96" s="106"/>
      <c r="NK96" s="106"/>
      <c r="NL96" s="106"/>
      <c r="NM96" s="106"/>
      <c r="NN96" s="106"/>
      <c r="NO96" s="106"/>
      <c r="NP96" s="106"/>
      <c r="NQ96" s="106"/>
      <c r="NR96" s="106"/>
      <c r="NS96" s="106"/>
      <c r="NT96" s="106"/>
      <c r="NU96" s="106"/>
      <c r="NV96" s="106"/>
      <c r="NW96" s="106"/>
      <c r="NX96" s="106"/>
      <c r="NY96" s="106"/>
      <c r="NZ96" s="106"/>
      <c r="OA96" s="106"/>
      <c r="OB96" s="106"/>
      <c r="OC96" s="106"/>
      <c r="OD96" s="106"/>
      <c r="OE96" s="106"/>
      <c r="OF96" s="106"/>
      <c r="OG96" s="106"/>
      <c r="OH96" s="106"/>
      <c r="OI96" s="106"/>
      <c r="OJ96" s="106"/>
      <c r="OK96" s="106"/>
      <c r="OL96" s="106"/>
      <c r="OM96" s="106"/>
      <c r="ON96" s="106"/>
      <c r="OO96" s="106"/>
      <c r="OP96" s="106"/>
      <c r="OQ96" s="106"/>
      <c r="OR96" s="106"/>
      <c r="OS96" s="106"/>
      <c r="OT96" s="106"/>
      <c r="OU96" s="106"/>
      <c r="OV96" s="106"/>
      <c r="OW96" s="106"/>
      <c r="OX96" s="106"/>
      <c r="OY96" s="106"/>
      <c r="OZ96" s="106"/>
      <c r="PA96" s="106"/>
      <c r="PB96" s="106"/>
      <c r="PC96" s="106"/>
      <c r="PD96" s="106"/>
      <c r="PE96" s="106"/>
      <c r="PF96" s="106"/>
      <c r="PG96" s="106"/>
      <c r="PH96" s="106"/>
      <c r="PI96" s="106"/>
      <c r="PJ96" s="106"/>
      <c r="PK96" s="106"/>
      <c r="PL96" s="106"/>
      <c r="PM96" s="106"/>
      <c r="PN96" s="106"/>
      <c r="PO96" s="106"/>
      <c r="PP96" s="106"/>
      <c r="PQ96" s="106"/>
      <c r="PR96" s="106"/>
      <c r="PS96" s="106"/>
      <c r="PT96" s="106"/>
      <c r="PU96" s="106"/>
      <c r="PV96" s="106"/>
      <c r="PW96" s="106"/>
      <c r="PX96" s="106"/>
      <c r="PY96" s="106"/>
      <c r="PZ96" s="106"/>
      <c r="QA96" s="106"/>
      <c r="QB96" s="106"/>
      <c r="QC96" s="106"/>
      <c r="QD96" s="106"/>
      <c r="QE96" s="106"/>
      <c r="QF96" s="106"/>
      <c r="QG96" s="106"/>
      <c r="QH96" s="106"/>
      <c r="QI96" s="106"/>
      <c r="QJ96" s="106"/>
      <c r="QK96" s="106"/>
      <c r="QL96" s="106"/>
      <c r="QM96" s="106"/>
      <c r="QN96" s="106"/>
      <c r="QO96" s="106"/>
      <c r="QP96" s="106"/>
      <c r="QQ96" s="106"/>
      <c r="QR96" s="106"/>
      <c r="QS96" s="106"/>
      <c r="QT96" s="106"/>
      <c r="QU96" s="106"/>
      <c r="QV96" s="106"/>
      <c r="QW96" s="106"/>
      <c r="QX96" s="106"/>
      <c r="QY96" s="106"/>
      <c r="QZ96" s="106"/>
      <c r="RA96" s="106"/>
      <c r="RB96" s="106"/>
      <c r="RC96" s="106"/>
      <c r="RD96" s="106"/>
      <c r="RE96" s="106"/>
      <c r="RF96" s="106"/>
      <c r="RG96" s="106"/>
      <c r="RH96" s="106"/>
      <c r="RI96" s="106"/>
      <c r="RJ96" s="106"/>
      <c r="RK96" s="106"/>
      <c r="RL96" s="106"/>
      <c r="RM96" s="106"/>
      <c r="RN96" s="106"/>
      <c r="RO96" s="106"/>
      <c r="RP96" s="106"/>
      <c r="RQ96" s="106"/>
      <c r="RR96" s="106"/>
      <c r="RS96" s="106"/>
      <c r="RT96" s="106"/>
      <c r="RU96" s="106"/>
      <c r="RV96" s="106"/>
      <c r="RW96" s="106"/>
      <c r="RX96" s="106"/>
      <c r="RY96" s="106"/>
      <c r="RZ96" s="106"/>
      <c r="SA96" s="106"/>
      <c r="SB96" s="106"/>
      <c r="SC96" s="106"/>
      <c r="SD96" s="106"/>
      <c r="SE96" s="106"/>
      <c r="SF96" s="106"/>
      <c r="SG96" s="106"/>
      <c r="SH96" s="106"/>
      <c r="SI96" s="106"/>
      <c r="SJ96" s="106"/>
      <c r="SK96" s="106"/>
      <c r="SL96" s="106"/>
      <c r="SM96" s="106"/>
      <c r="SN96" s="106"/>
      <c r="SO96" s="106"/>
      <c r="SP96" s="106"/>
      <c r="SQ96" s="106"/>
      <c r="SR96" s="106"/>
      <c r="SS96" s="106"/>
      <c r="ST96" s="106"/>
      <c r="SU96" s="106"/>
      <c r="SV96" s="106"/>
      <c r="SW96" s="106"/>
      <c r="SX96" s="106"/>
      <c r="SY96" s="106"/>
      <c r="SZ96" s="106"/>
      <c r="TA96" s="106"/>
      <c r="TB96" s="106"/>
      <c r="TC96" s="106"/>
      <c r="TD96" s="106"/>
      <c r="TE96" s="106"/>
      <c r="TF96" s="106"/>
      <c r="TG96" s="106"/>
      <c r="TH96" s="106"/>
      <c r="TI96" s="106"/>
      <c r="TJ96" s="106"/>
      <c r="TK96" s="106"/>
      <c r="TL96" s="106"/>
      <c r="TM96" s="106"/>
      <c r="TN96" s="106"/>
      <c r="TO96" s="106"/>
      <c r="TP96" s="106"/>
      <c r="TQ96" s="106"/>
      <c r="TR96" s="106"/>
      <c r="TS96" s="106"/>
      <c r="TT96" s="106"/>
      <c r="TU96" s="106"/>
      <c r="TV96" s="106"/>
      <c r="TW96" s="106"/>
      <c r="TX96" s="106"/>
      <c r="TY96" s="106"/>
      <c r="TZ96" s="106"/>
      <c r="UA96" s="106"/>
      <c r="UB96" s="106"/>
      <c r="UC96" s="106"/>
      <c r="UD96" s="106"/>
      <c r="UE96" s="106"/>
      <c r="UF96" s="106"/>
      <c r="UG96" s="106"/>
      <c r="UH96" s="106"/>
      <c r="UI96" s="106"/>
      <c r="UJ96" s="106"/>
      <c r="UK96" s="106"/>
      <c r="UL96" s="106"/>
      <c r="UM96" s="106"/>
      <c r="UN96" s="106"/>
      <c r="UO96" s="106"/>
      <c r="UP96" s="106"/>
      <c r="UQ96" s="106"/>
      <c r="UR96" s="106"/>
      <c r="US96" s="106"/>
      <c r="UT96" s="106"/>
      <c r="UU96" s="106"/>
      <c r="UV96" s="106"/>
      <c r="UW96" s="106"/>
      <c r="UX96" s="106"/>
      <c r="UY96" s="106"/>
      <c r="UZ96" s="106"/>
      <c r="VA96" s="106"/>
      <c r="VB96" s="106"/>
      <c r="VC96" s="106"/>
      <c r="VD96" s="106"/>
      <c r="VE96" s="106"/>
      <c r="VF96" s="106"/>
      <c r="VG96" s="106"/>
      <c r="VH96" s="106"/>
      <c r="VI96" s="106"/>
      <c r="VJ96" s="106"/>
      <c r="VK96" s="106"/>
      <c r="VL96" s="106"/>
      <c r="VM96" s="106"/>
      <c r="VN96" s="106"/>
      <c r="VO96" s="106"/>
      <c r="VP96" s="106"/>
      <c r="VQ96" s="106"/>
      <c r="VR96" s="106"/>
      <c r="VS96" s="106"/>
      <c r="VT96" s="106"/>
      <c r="VU96" s="106"/>
      <c r="VV96" s="106"/>
      <c r="VW96" s="106"/>
      <c r="VX96" s="106"/>
      <c r="VY96" s="106"/>
      <c r="VZ96" s="106"/>
      <c r="WA96" s="106"/>
      <c r="WB96" s="106"/>
      <c r="WC96" s="106"/>
      <c r="WD96" s="106"/>
      <c r="WE96" s="106"/>
      <c r="WF96" s="106"/>
      <c r="WG96" s="106"/>
      <c r="WH96" s="106"/>
      <c r="WI96" s="106"/>
      <c r="WJ96" s="106"/>
      <c r="WK96" s="106"/>
      <c r="WL96" s="106"/>
      <c r="WM96" s="106"/>
      <c r="WN96" s="106"/>
      <c r="WO96" s="106"/>
      <c r="WP96" s="106"/>
      <c r="WQ96" s="106"/>
      <c r="WR96" s="106"/>
      <c r="WS96" s="106"/>
      <c r="WT96" s="106"/>
      <c r="WU96" s="106"/>
      <c r="WV96" s="106"/>
      <c r="WW96" s="106"/>
      <c r="WX96" s="106"/>
      <c r="WY96" s="106"/>
      <c r="WZ96" s="106"/>
      <c r="XA96" s="106"/>
      <c r="XB96" s="106"/>
      <c r="XC96" s="106"/>
      <c r="XD96" s="106"/>
      <c r="XE96" s="106"/>
      <c r="XF96" s="106"/>
      <c r="XG96" s="106"/>
      <c r="XH96" s="106"/>
      <c r="XI96" s="106"/>
      <c r="XJ96" s="106"/>
      <c r="XK96" s="106"/>
      <c r="XL96" s="106"/>
      <c r="XM96" s="106"/>
      <c r="XN96" s="106"/>
      <c r="XO96" s="106"/>
      <c r="XP96" s="106"/>
      <c r="XQ96" s="106"/>
      <c r="XR96" s="106"/>
      <c r="XS96" s="106"/>
      <c r="XT96" s="106"/>
      <c r="XU96" s="106"/>
      <c r="XV96" s="106"/>
      <c r="XW96" s="106"/>
      <c r="XX96" s="106"/>
      <c r="XY96" s="106"/>
      <c r="XZ96" s="106"/>
      <c r="YA96" s="106"/>
      <c r="YB96" s="106"/>
      <c r="YC96" s="106"/>
      <c r="YD96" s="106"/>
      <c r="YE96" s="106"/>
      <c r="YF96" s="106"/>
      <c r="YG96" s="106"/>
      <c r="YH96" s="106"/>
      <c r="YI96" s="106"/>
      <c r="YJ96" s="106"/>
      <c r="YK96" s="106"/>
      <c r="YL96" s="106"/>
      <c r="YM96" s="106"/>
      <c r="YN96" s="106"/>
      <c r="YO96" s="106"/>
      <c r="YP96" s="106"/>
      <c r="YQ96" s="106"/>
      <c r="YR96" s="106"/>
      <c r="YS96" s="106"/>
      <c r="YT96" s="106"/>
      <c r="YU96" s="106"/>
      <c r="YV96" s="106"/>
      <c r="YW96" s="106"/>
      <c r="YX96" s="106"/>
      <c r="YY96" s="106"/>
      <c r="YZ96" s="106"/>
      <c r="ZA96" s="106"/>
      <c r="ZB96" s="106"/>
      <c r="ZC96" s="106"/>
      <c r="ZD96" s="106"/>
      <c r="ZE96" s="106"/>
      <c r="ZF96" s="106"/>
      <c r="ZG96" s="106"/>
      <c r="ZH96" s="106"/>
      <c r="ZI96" s="106"/>
      <c r="ZJ96" s="106"/>
      <c r="ZK96" s="106"/>
      <c r="ZL96" s="106"/>
      <c r="ZM96" s="106"/>
      <c r="ZN96" s="106"/>
      <c r="ZO96" s="106"/>
      <c r="ZP96" s="106"/>
      <c r="ZQ96" s="106"/>
      <c r="ZR96" s="106"/>
      <c r="ZS96" s="106"/>
      <c r="ZT96" s="106"/>
      <c r="ZU96" s="106"/>
      <c r="ZV96" s="106"/>
      <c r="ZW96" s="106"/>
      <c r="ZX96" s="106"/>
      <c r="ZY96" s="106"/>
      <c r="ZZ96" s="106"/>
      <c r="AAA96" s="106"/>
      <c r="AAB96" s="106"/>
      <c r="AAC96" s="106"/>
      <c r="AAD96" s="106"/>
      <c r="AAE96" s="106"/>
      <c r="AAF96" s="106"/>
      <c r="AAG96" s="106"/>
      <c r="AAH96" s="106"/>
      <c r="AAI96" s="106"/>
      <c r="AAJ96" s="106"/>
      <c r="AAK96" s="106"/>
      <c r="AAL96" s="106"/>
      <c r="AAM96" s="106"/>
      <c r="AAN96" s="106"/>
      <c r="AAO96" s="106"/>
      <c r="AAP96" s="106"/>
      <c r="AAQ96" s="106"/>
      <c r="AAR96" s="106"/>
      <c r="AAS96" s="106"/>
      <c r="AAT96" s="106"/>
      <c r="AAU96" s="106"/>
      <c r="AAV96" s="106"/>
      <c r="AAW96" s="106"/>
      <c r="AAX96" s="106"/>
      <c r="AAY96" s="106"/>
      <c r="AAZ96" s="106"/>
      <c r="ABA96" s="106"/>
      <c r="ABB96" s="106"/>
      <c r="ABC96" s="106"/>
      <c r="ABD96" s="106"/>
      <c r="ABE96" s="106"/>
      <c r="ABF96" s="106"/>
      <c r="ABG96" s="106"/>
      <c r="ABH96" s="106"/>
      <c r="ABI96" s="106"/>
      <c r="ABJ96" s="106"/>
      <c r="ABK96" s="106"/>
      <c r="ABL96" s="106"/>
      <c r="ABM96" s="106"/>
      <c r="ABN96" s="106"/>
      <c r="ABO96" s="106"/>
      <c r="ABP96" s="106"/>
      <c r="ABQ96" s="106"/>
      <c r="ABR96" s="106"/>
      <c r="ABS96" s="106"/>
      <c r="ABT96" s="106"/>
      <c r="ABU96" s="106"/>
      <c r="ABV96" s="106"/>
      <c r="ABW96" s="106"/>
      <c r="ABX96" s="106"/>
      <c r="ABY96" s="106"/>
      <c r="ABZ96" s="106"/>
      <c r="ACA96" s="106"/>
      <c r="ACB96" s="106"/>
      <c r="ACC96" s="106"/>
      <c r="ACD96" s="106"/>
      <c r="ACE96" s="106"/>
      <c r="ACF96" s="106"/>
      <c r="ACG96" s="106"/>
      <c r="ACH96" s="106"/>
      <c r="ACI96" s="106"/>
      <c r="ACJ96" s="106"/>
      <c r="ACK96" s="106"/>
      <c r="ACL96" s="106"/>
      <c r="ACM96" s="106"/>
      <c r="ACN96" s="106"/>
      <c r="ACO96" s="106"/>
      <c r="ACP96" s="106"/>
      <c r="ACQ96" s="106"/>
      <c r="ACR96" s="106"/>
      <c r="ACS96" s="106"/>
      <c r="ACT96" s="106"/>
      <c r="ACU96" s="106"/>
      <c r="ACV96" s="106"/>
      <c r="ACW96" s="106"/>
      <c r="ACX96" s="106"/>
      <c r="ACY96" s="106"/>
      <c r="ACZ96" s="106"/>
      <c r="ADA96" s="106"/>
      <c r="ADB96" s="106"/>
      <c r="ADC96" s="106"/>
      <c r="ADD96" s="106"/>
      <c r="ADE96" s="106"/>
      <c r="ADF96" s="106"/>
      <c r="ADG96" s="106"/>
      <c r="ADH96" s="106"/>
      <c r="ADI96" s="106"/>
      <c r="ADJ96" s="106"/>
      <c r="ADK96" s="106"/>
      <c r="ADL96" s="106"/>
      <c r="ADM96" s="106"/>
      <c r="ADN96" s="106"/>
      <c r="ADO96" s="106"/>
      <c r="ADP96" s="106"/>
      <c r="ADQ96" s="106"/>
      <c r="ADR96" s="106"/>
      <c r="ADS96" s="106"/>
      <c r="ADT96" s="106"/>
      <c r="ADU96" s="106"/>
      <c r="ADV96" s="106"/>
      <c r="ADW96" s="106"/>
      <c r="ADX96" s="106"/>
      <c r="ADY96" s="106"/>
      <c r="ADZ96" s="106"/>
      <c r="AEA96" s="106"/>
      <c r="AEB96" s="106"/>
      <c r="AEC96" s="106"/>
      <c r="AED96" s="106"/>
      <c r="AEE96" s="106"/>
      <c r="AEF96" s="106"/>
      <c r="AEG96" s="106"/>
      <c r="AEH96" s="106"/>
      <c r="AEI96" s="106"/>
      <c r="AEJ96" s="106"/>
      <c r="AEK96" s="106"/>
      <c r="AEL96" s="106"/>
      <c r="AEM96" s="106"/>
      <c r="AEN96" s="106"/>
      <c r="AEO96" s="106"/>
      <c r="AEP96" s="106"/>
      <c r="AEQ96" s="106"/>
      <c r="AER96" s="106"/>
      <c r="AES96" s="106"/>
      <c r="AET96" s="106"/>
      <c r="AEU96" s="106"/>
      <c r="AEV96" s="106"/>
      <c r="AEW96" s="106"/>
      <c r="AEX96" s="106"/>
      <c r="AEY96" s="106"/>
      <c r="AEZ96" s="106"/>
      <c r="AFA96" s="106"/>
      <c r="AFB96" s="106"/>
      <c r="AFC96" s="106"/>
      <c r="AFD96" s="106"/>
      <c r="AFE96" s="106"/>
      <c r="AFF96" s="106"/>
      <c r="AFG96" s="106"/>
      <c r="AFH96" s="106"/>
      <c r="AFI96" s="106"/>
      <c r="AFJ96" s="106"/>
      <c r="AFK96" s="106"/>
      <c r="AFL96" s="106"/>
      <c r="AFM96" s="106"/>
      <c r="AFN96" s="106"/>
      <c r="AFO96" s="106"/>
      <c r="AFP96" s="106"/>
      <c r="AFQ96" s="106"/>
      <c r="AFR96" s="106"/>
      <c r="AFS96" s="106"/>
      <c r="AFT96" s="106"/>
      <c r="AFU96" s="106"/>
      <c r="AFV96" s="106"/>
      <c r="AFW96" s="106"/>
      <c r="AFX96" s="106"/>
      <c r="AFY96" s="106"/>
      <c r="AFZ96" s="106"/>
      <c r="AGA96" s="106"/>
      <c r="AGB96" s="106"/>
      <c r="AGC96" s="106"/>
      <c r="AGD96" s="106"/>
      <c r="AGE96" s="106"/>
      <c r="AGF96" s="106"/>
      <c r="AGG96" s="106"/>
      <c r="AGH96" s="106"/>
      <c r="AGI96" s="106"/>
      <c r="AGJ96" s="106"/>
      <c r="AGK96" s="106"/>
      <c r="AGL96" s="106"/>
      <c r="AGM96" s="106"/>
      <c r="AGN96" s="106"/>
      <c r="AGO96" s="106"/>
      <c r="AGP96" s="106"/>
      <c r="AGQ96" s="106"/>
      <c r="AGR96" s="106"/>
      <c r="AGS96" s="106"/>
      <c r="AGT96" s="106"/>
      <c r="AGU96" s="106"/>
      <c r="AGV96" s="106"/>
      <c r="AGW96" s="106"/>
      <c r="AGX96" s="106"/>
      <c r="AGY96" s="106"/>
      <c r="AGZ96" s="106"/>
      <c r="AHA96" s="106"/>
      <c r="AHB96" s="106"/>
      <c r="AHC96" s="106"/>
      <c r="AHD96" s="106"/>
      <c r="AHE96" s="106"/>
      <c r="AHF96" s="106"/>
      <c r="AHG96" s="106"/>
      <c r="AHH96" s="106"/>
      <c r="AHI96" s="106"/>
      <c r="AHJ96" s="106"/>
      <c r="AHK96" s="106"/>
      <c r="AHL96" s="106"/>
      <c r="AHM96" s="106"/>
      <c r="AHN96" s="106"/>
      <c r="AHO96" s="106"/>
      <c r="AHP96" s="106"/>
      <c r="AHQ96" s="106"/>
      <c r="AHR96" s="106"/>
      <c r="AHS96" s="106"/>
      <c r="AHT96" s="106"/>
      <c r="AHU96" s="106"/>
      <c r="AHV96" s="106"/>
      <c r="AHW96" s="106"/>
      <c r="AHX96" s="106"/>
      <c r="AHY96" s="106"/>
      <c r="AHZ96" s="106"/>
      <c r="AIA96" s="106"/>
      <c r="AIB96" s="106"/>
      <c r="AIC96" s="106"/>
      <c r="AID96" s="106"/>
      <c r="AIE96" s="106"/>
      <c r="AIF96" s="106"/>
      <c r="AIG96" s="106"/>
      <c r="AIH96" s="106"/>
      <c r="AII96" s="106"/>
      <c r="AIJ96" s="106"/>
      <c r="AIK96" s="106"/>
      <c r="AIL96" s="106"/>
      <c r="AIM96" s="106"/>
      <c r="AIN96" s="106"/>
      <c r="AIO96" s="106"/>
      <c r="AIP96" s="106"/>
      <c r="AIQ96" s="106"/>
      <c r="AIR96" s="106"/>
      <c r="AIS96" s="106"/>
      <c r="AIT96" s="106"/>
      <c r="AIU96" s="106"/>
      <c r="AIV96" s="106"/>
      <c r="AIW96" s="106"/>
      <c r="AIX96" s="106"/>
      <c r="AIY96" s="106"/>
      <c r="AIZ96" s="106"/>
      <c r="AJA96" s="106"/>
      <c r="AJB96" s="106"/>
      <c r="AJC96" s="106"/>
      <c r="AJD96" s="106"/>
      <c r="AJE96" s="106"/>
      <c r="AJF96" s="106"/>
      <c r="AJG96" s="106"/>
      <c r="AJH96" s="106"/>
      <c r="AJI96" s="106"/>
      <c r="AJJ96" s="106"/>
      <c r="AJK96" s="106"/>
      <c r="AJL96" s="106"/>
      <c r="AJM96" s="106"/>
      <c r="AJN96" s="106"/>
      <c r="AJO96" s="106"/>
      <c r="AJP96" s="106"/>
      <c r="AJQ96" s="106"/>
      <c r="AJR96" s="106"/>
      <c r="AJS96" s="106"/>
      <c r="AJT96" s="106"/>
      <c r="AJU96" s="106"/>
      <c r="AJV96" s="106"/>
      <c r="AJW96" s="106"/>
      <c r="AJX96" s="106"/>
      <c r="AJY96" s="106"/>
      <c r="AJZ96" s="106"/>
      <c r="AKA96" s="106"/>
      <c r="AKB96" s="106"/>
      <c r="AKC96" s="106"/>
      <c r="AKD96" s="106"/>
      <c r="AKE96" s="106"/>
      <c r="AKF96" s="106"/>
      <c r="AKG96" s="106"/>
      <c r="AKH96" s="106"/>
      <c r="AKI96" s="106"/>
      <c r="AKJ96" s="106"/>
      <c r="AKK96" s="106"/>
      <c r="AKL96" s="106"/>
      <c r="AKM96" s="106"/>
      <c r="AKN96" s="106"/>
      <c r="AKO96" s="106"/>
      <c r="AKP96" s="106"/>
      <c r="AKQ96" s="106"/>
      <c r="AKR96" s="106"/>
      <c r="AKS96" s="106"/>
      <c r="AKT96" s="106"/>
      <c r="AKU96" s="106"/>
      <c r="AKV96" s="106"/>
      <c r="AKW96" s="106"/>
      <c r="AKX96" s="106"/>
      <c r="AKY96" s="106"/>
      <c r="AKZ96" s="106"/>
      <c r="ALA96" s="106"/>
      <c r="ALB96" s="106"/>
      <c r="ALC96" s="106"/>
      <c r="ALD96" s="106"/>
      <c r="ALE96" s="106"/>
      <c r="ALF96" s="106"/>
      <c r="ALG96" s="106"/>
      <c r="ALH96" s="106"/>
    </row>
    <row r="97" spans="1:996" s="75" customFormat="1" ht="15.75" customHeight="1">
      <c r="A97" s="104"/>
      <c r="B97" s="75" t="str">
        <f t="shared" si="5"/>
        <v>S112105</v>
      </c>
      <c r="C97" s="75" t="s">
        <v>603</v>
      </c>
      <c r="D97" s="27" t="s">
        <v>128</v>
      </c>
      <c r="E97" s="75">
        <v>112105</v>
      </c>
      <c r="F97" s="105" t="s">
        <v>594</v>
      </c>
      <c r="G97" s="74">
        <f>IFERROR(VLOOKUP(E97,'BD - E - Mvto Cx'!$E$15:$G$500,3,0),0)</f>
        <v>601.51</v>
      </c>
      <c r="H97" s="72">
        <f>IFERROR(VLOOKUP(E97,'BD - E - Mvto Cx'!$N$15:$P$500,3,0),0)</f>
        <v>662.74</v>
      </c>
      <c r="I97" s="73">
        <f>IFERROR(VLOOKUP(E97,'BD - E - Mvto Cx'!$W$15:$Y$497,3,0),0)</f>
        <v>522.91</v>
      </c>
      <c r="J97" s="73">
        <f>IFERROR(VLOOKUP(E97,'BD - E - Mvto Cx'!$AF$15:$AI$500,3,0),0)</f>
        <v>1532.29</v>
      </c>
      <c r="K97" s="73">
        <f>IFERROR(VLOOKUP(E97,'BD - E - Mvto Cx'!$AO$15:$AQ$500,3,0),0)</f>
        <v>0</v>
      </c>
      <c r="L97" s="73">
        <f>IFERROR(VLOOKUP(E97,'BD - E - Mvto Cx'!$AX$15:$AZ$500,3,0),0)</f>
        <v>0</v>
      </c>
      <c r="M97" s="73">
        <f>IFERROR(VLOOKUP(E97,'BD - E - Mvto Cx'!$BJ$15:$BL$500,3,0),0)</f>
        <v>0</v>
      </c>
      <c r="N97" s="73">
        <f>IFERROR(VLOOKUP(E97,'BD - E - Mvto Cx'!$BS$15:$BU$500,3,0),0)</f>
        <v>0</v>
      </c>
      <c r="O97" s="73">
        <f>IFERROR(VLOOKUP(E97,'BD - E - Mvto Cx'!$CB$15:$CD$500,3,0),0)</f>
        <v>0</v>
      </c>
      <c r="P97" s="73">
        <f>IFERROR(VLOOKUP(E97,'BD - E - Mvto Cx'!$CK$15:$CM$500,3,0),0)</f>
        <v>0</v>
      </c>
      <c r="Q97" s="73">
        <f>IFERROR(VLOOKUP(E97,'BD - E - Mvto Cx'!$CT$15:$CV$500,3,0),0)</f>
        <v>0</v>
      </c>
      <c r="R97" s="73">
        <f>IFERROR(VLOOKUP(E97,'BD - E - Mvto Cx'!$DC$15:$DE$500,3,0),0)</f>
        <v>0</v>
      </c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6"/>
      <c r="DE97" s="106"/>
      <c r="DF97" s="106"/>
      <c r="DG97" s="106"/>
      <c r="DH97" s="106"/>
      <c r="DI97" s="106"/>
      <c r="DJ97" s="106"/>
      <c r="DK97" s="106"/>
      <c r="DL97" s="106"/>
      <c r="DM97" s="106"/>
      <c r="DN97" s="106"/>
      <c r="DO97" s="106"/>
      <c r="DP97" s="106"/>
      <c r="DQ97" s="106"/>
      <c r="DR97" s="106"/>
      <c r="DS97" s="106"/>
      <c r="DT97" s="106"/>
      <c r="DU97" s="106"/>
      <c r="DV97" s="106"/>
      <c r="DW97" s="106"/>
      <c r="DX97" s="106"/>
      <c r="DY97" s="106"/>
      <c r="DZ97" s="106"/>
      <c r="EA97" s="106"/>
      <c r="EB97" s="106"/>
      <c r="EC97" s="106"/>
      <c r="ED97" s="106"/>
      <c r="EE97" s="106"/>
      <c r="EF97" s="106"/>
      <c r="EG97" s="106"/>
      <c r="EH97" s="106"/>
      <c r="EI97" s="106"/>
      <c r="EJ97" s="106"/>
      <c r="EK97" s="106"/>
      <c r="EL97" s="106"/>
      <c r="EM97" s="106"/>
      <c r="EN97" s="106"/>
      <c r="EO97" s="106"/>
      <c r="EP97" s="106"/>
      <c r="EQ97" s="106"/>
      <c r="ER97" s="106"/>
      <c r="ES97" s="106"/>
      <c r="ET97" s="106"/>
      <c r="EU97" s="106"/>
      <c r="EV97" s="106"/>
      <c r="EW97" s="106"/>
      <c r="EX97" s="106"/>
      <c r="EY97" s="106"/>
      <c r="EZ97" s="106"/>
      <c r="FA97" s="106"/>
      <c r="FB97" s="106"/>
      <c r="FC97" s="106"/>
      <c r="FD97" s="106"/>
      <c r="FE97" s="106"/>
      <c r="FF97" s="106"/>
      <c r="FG97" s="106"/>
      <c r="FH97" s="106"/>
      <c r="FI97" s="106"/>
      <c r="FJ97" s="106"/>
      <c r="FK97" s="106"/>
      <c r="FL97" s="106"/>
      <c r="FM97" s="106"/>
      <c r="FN97" s="106"/>
      <c r="FO97" s="106"/>
      <c r="FP97" s="106"/>
      <c r="FQ97" s="106"/>
      <c r="FR97" s="106"/>
      <c r="FS97" s="106"/>
      <c r="FT97" s="106"/>
      <c r="FU97" s="106"/>
      <c r="FV97" s="106"/>
      <c r="FW97" s="106"/>
      <c r="FX97" s="106"/>
      <c r="FY97" s="106"/>
      <c r="FZ97" s="106"/>
      <c r="GA97" s="106"/>
      <c r="GB97" s="106"/>
      <c r="GC97" s="106"/>
      <c r="GD97" s="106"/>
      <c r="GE97" s="106"/>
      <c r="GF97" s="106"/>
      <c r="GG97" s="106"/>
      <c r="GH97" s="106"/>
      <c r="GI97" s="106"/>
      <c r="GJ97" s="106"/>
      <c r="GK97" s="106"/>
      <c r="GL97" s="106"/>
      <c r="GM97" s="106"/>
      <c r="GN97" s="106"/>
      <c r="GO97" s="106"/>
      <c r="GP97" s="106"/>
      <c r="GQ97" s="106"/>
      <c r="GR97" s="106"/>
      <c r="GS97" s="106"/>
      <c r="GT97" s="106"/>
      <c r="GU97" s="106"/>
      <c r="GV97" s="106"/>
      <c r="GW97" s="106"/>
      <c r="GX97" s="106"/>
      <c r="GY97" s="106"/>
      <c r="GZ97" s="106"/>
      <c r="HA97" s="106"/>
      <c r="HB97" s="106"/>
      <c r="HC97" s="106"/>
      <c r="HD97" s="106"/>
      <c r="HE97" s="106"/>
      <c r="HF97" s="106"/>
      <c r="HG97" s="106"/>
      <c r="HH97" s="106"/>
      <c r="HI97" s="106"/>
      <c r="HJ97" s="106"/>
      <c r="HK97" s="106"/>
      <c r="HL97" s="106"/>
      <c r="HM97" s="106"/>
      <c r="HN97" s="106"/>
      <c r="HO97" s="106"/>
      <c r="HP97" s="106"/>
      <c r="HQ97" s="106"/>
      <c r="HR97" s="106"/>
      <c r="HS97" s="106"/>
      <c r="HT97" s="106"/>
      <c r="HU97" s="106"/>
      <c r="HV97" s="106"/>
      <c r="HW97" s="106"/>
      <c r="HX97" s="106"/>
      <c r="HY97" s="106"/>
      <c r="HZ97" s="106"/>
      <c r="IA97" s="106"/>
      <c r="IB97" s="106"/>
      <c r="IC97" s="106"/>
      <c r="ID97" s="106"/>
      <c r="IE97" s="106"/>
      <c r="IF97" s="106"/>
      <c r="IG97" s="106"/>
      <c r="IH97" s="106"/>
      <c r="II97" s="106"/>
      <c r="IJ97" s="106"/>
      <c r="IK97" s="106"/>
      <c r="IL97" s="106"/>
      <c r="IM97" s="106"/>
      <c r="IN97" s="106"/>
      <c r="IO97" s="106"/>
      <c r="IP97" s="106"/>
      <c r="IQ97" s="106"/>
      <c r="IR97" s="106"/>
      <c r="IS97" s="106"/>
      <c r="IT97" s="106"/>
      <c r="IU97" s="106"/>
      <c r="IV97" s="106"/>
      <c r="IW97" s="106"/>
      <c r="IX97" s="106"/>
      <c r="IY97" s="106"/>
      <c r="IZ97" s="106"/>
      <c r="JA97" s="106"/>
      <c r="JB97" s="106"/>
      <c r="JC97" s="106"/>
      <c r="JD97" s="106"/>
      <c r="JE97" s="106"/>
      <c r="JF97" s="106"/>
      <c r="JG97" s="106"/>
      <c r="JH97" s="106"/>
      <c r="JI97" s="106"/>
      <c r="JJ97" s="106"/>
      <c r="JK97" s="106"/>
      <c r="JL97" s="106"/>
      <c r="JM97" s="106"/>
      <c r="JN97" s="106"/>
      <c r="JO97" s="106"/>
      <c r="JP97" s="106"/>
      <c r="JQ97" s="106"/>
      <c r="JR97" s="106"/>
      <c r="JS97" s="106"/>
      <c r="JT97" s="106"/>
      <c r="JU97" s="106"/>
      <c r="JV97" s="106"/>
      <c r="JW97" s="106"/>
      <c r="JX97" s="106"/>
      <c r="JY97" s="106"/>
      <c r="JZ97" s="106"/>
      <c r="KA97" s="106"/>
      <c r="KB97" s="106"/>
      <c r="KC97" s="106"/>
      <c r="KD97" s="106"/>
      <c r="KE97" s="106"/>
      <c r="KF97" s="106"/>
      <c r="KG97" s="106"/>
      <c r="KH97" s="106"/>
      <c r="KI97" s="106"/>
      <c r="KJ97" s="106"/>
      <c r="KK97" s="106"/>
      <c r="KL97" s="106"/>
      <c r="KM97" s="106"/>
      <c r="KN97" s="106"/>
      <c r="KO97" s="106"/>
      <c r="KP97" s="106"/>
      <c r="KQ97" s="106"/>
      <c r="KR97" s="106"/>
      <c r="KS97" s="106"/>
      <c r="KT97" s="106"/>
      <c r="KU97" s="106"/>
      <c r="KV97" s="106"/>
      <c r="KW97" s="106"/>
      <c r="KX97" s="106"/>
      <c r="KY97" s="106"/>
      <c r="KZ97" s="106"/>
      <c r="LA97" s="106"/>
      <c r="LB97" s="106"/>
      <c r="LC97" s="106"/>
      <c r="LD97" s="106"/>
      <c r="LE97" s="106"/>
      <c r="LF97" s="106"/>
      <c r="LG97" s="106"/>
      <c r="LH97" s="106"/>
      <c r="LI97" s="106"/>
      <c r="LJ97" s="106"/>
      <c r="LK97" s="106"/>
      <c r="LL97" s="106"/>
      <c r="LM97" s="106"/>
      <c r="LN97" s="106"/>
      <c r="LO97" s="106"/>
      <c r="LP97" s="106"/>
      <c r="LQ97" s="106"/>
      <c r="LR97" s="106"/>
      <c r="LS97" s="106"/>
      <c r="LT97" s="106"/>
      <c r="LU97" s="106"/>
      <c r="LV97" s="106"/>
      <c r="LW97" s="106"/>
      <c r="LX97" s="106"/>
      <c r="LY97" s="106"/>
      <c r="LZ97" s="106"/>
      <c r="MA97" s="106"/>
      <c r="MB97" s="106"/>
      <c r="MC97" s="106"/>
      <c r="MD97" s="106"/>
      <c r="ME97" s="106"/>
      <c r="MF97" s="106"/>
      <c r="MG97" s="106"/>
      <c r="MH97" s="106"/>
      <c r="MI97" s="106"/>
      <c r="MJ97" s="106"/>
      <c r="MK97" s="106"/>
      <c r="ML97" s="106"/>
      <c r="MM97" s="106"/>
      <c r="MN97" s="106"/>
      <c r="MO97" s="106"/>
      <c r="MP97" s="106"/>
      <c r="MQ97" s="106"/>
      <c r="MR97" s="106"/>
      <c r="MS97" s="106"/>
      <c r="MT97" s="106"/>
      <c r="MU97" s="106"/>
      <c r="MV97" s="106"/>
      <c r="MW97" s="106"/>
      <c r="MX97" s="106"/>
      <c r="MY97" s="106"/>
      <c r="MZ97" s="106"/>
      <c r="NA97" s="106"/>
      <c r="NB97" s="106"/>
      <c r="NC97" s="106"/>
      <c r="ND97" s="106"/>
      <c r="NE97" s="106"/>
      <c r="NF97" s="106"/>
      <c r="NG97" s="106"/>
      <c r="NH97" s="106"/>
      <c r="NI97" s="106"/>
      <c r="NJ97" s="106"/>
      <c r="NK97" s="106"/>
      <c r="NL97" s="106"/>
      <c r="NM97" s="106"/>
      <c r="NN97" s="106"/>
      <c r="NO97" s="106"/>
      <c r="NP97" s="106"/>
      <c r="NQ97" s="106"/>
      <c r="NR97" s="106"/>
      <c r="NS97" s="106"/>
      <c r="NT97" s="106"/>
      <c r="NU97" s="106"/>
      <c r="NV97" s="106"/>
      <c r="NW97" s="106"/>
      <c r="NX97" s="106"/>
      <c r="NY97" s="106"/>
      <c r="NZ97" s="106"/>
      <c r="OA97" s="106"/>
      <c r="OB97" s="106"/>
      <c r="OC97" s="106"/>
      <c r="OD97" s="106"/>
      <c r="OE97" s="106"/>
      <c r="OF97" s="106"/>
      <c r="OG97" s="106"/>
      <c r="OH97" s="106"/>
      <c r="OI97" s="106"/>
      <c r="OJ97" s="106"/>
      <c r="OK97" s="106"/>
      <c r="OL97" s="106"/>
      <c r="OM97" s="106"/>
      <c r="ON97" s="106"/>
      <c r="OO97" s="106"/>
      <c r="OP97" s="106"/>
      <c r="OQ97" s="106"/>
      <c r="OR97" s="106"/>
      <c r="OS97" s="106"/>
      <c r="OT97" s="106"/>
      <c r="OU97" s="106"/>
      <c r="OV97" s="106"/>
      <c r="OW97" s="106"/>
      <c r="OX97" s="106"/>
      <c r="OY97" s="106"/>
      <c r="OZ97" s="106"/>
      <c r="PA97" s="106"/>
      <c r="PB97" s="106"/>
      <c r="PC97" s="106"/>
      <c r="PD97" s="106"/>
      <c r="PE97" s="106"/>
      <c r="PF97" s="106"/>
      <c r="PG97" s="106"/>
      <c r="PH97" s="106"/>
      <c r="PI97" s="106"/>
      <c r="PJ97" s="106"/>
      <c r="PK97" s="106"/>
      <c r="PL97" s="106"/>
      <c r="PM97" s="106"/>
      <c r="PN97" s="106"/>
      <c r="PO97" s="106"/>
      <c r="PP97" s="106"/>
      <c r="PQ97" s="106"/>
      <c r="PR97" s="106"/>
      <c r="PS97" s="106"/>
      <c r="PT97" s="106"/>
      <c r="PU97" s="106"/>
      <c r="PV97" s="106"/>
      <c r="PW97" s="106"/>
      <c r="PX97" s="106"/>
      <c r="PY97" s="106"/>
      <c r="PZ97" s="106"/>
      <c r="QA97" s="106"/>
      <c r="QB97" s="106"/>
      <c r="QC97" s="106"/>
      <c r="QD97" s="106"/>
      <c r="QE97" s="106"/>
      <c r="QF97" s="106"/>
      <c r="QG97" s="106"/>
      <c r="QH97" s="106"/>
      <c r="QI97" s="106"/>
      <c r="QJ97" s="106"/>
      <c r="QK97" s="106"/>
      <c r="QL97" s="106"/>
      <c r="QM97" s="106"/>
      <c r="QN97" s="106"/>
      <c r="QO97" s="106"/>
      <c r="QP97" s="106"/>
      <c r="QQ97" s="106"/>
      <c r="QR97" s="106"/>
      <c r="QS97" s="106"/>
      <c r="QT97" s="106"/>
      <c r="QU97" s="106"/>
      <c r="QV97" s="106"/>
      <c r="QW97" s="106"/>
      <c r="QX97" s="106"/>
      <c r="QY97" s="106"/>
      <c r="QZ97" s="106"/>
      <c r="RA97" s="106"/>
      <c r="RB97" s="106"/>
      <c r="RC97" s="106"/>
      <c r="RD97" s="106"/>
      <c r="RE97" s="106"/>
      <c r="RF97" s="106"/>
      <c r="RG97" s="106"/>
      <c r="RH97" s="106"/>
      <c r="RI97" s="106"/>
      <c r="RJ97" s="106"/>
      <c r="RK97" s="106"/>
      <c r="RL97" s="106"/>
      <c r="RM97" s="106"/>
      <c r="RN97" s="106"/>
      <c r="RO97" s="106"/>
      <c r="RP97" s="106"/>
      <c r="RQ97" s="106"/>
      <c r="RR97" s="106"/>
      <c r="RS97" s="106"/>
      <c r="RT97" s="106"/>
      <c r="RU97" s="106"/>
      <c r="RV97" s="106"/>
      <c r="RW97" s="106"/>
      <c r="RX97" s="106"/>
      <c r="RY97" s="106"/>
      <c r="RZ97" s="106"/>
      <c r="SA97" s="106"/>
      <c r="SB97" s="106"/>
      <c r="SC97" s="106"/>
      <c r="SD97" s="106"/>
      <c r="SE97" s="106"/>
      <c r="SF97" s="106"/>
      <c r="SG97" s="106"/>
      <c r="SH97" s="106"/>
      <c r="SI97" s="106"/>
      <c r="SJ97" s="106"/>
      <c r="SK97" s="106"/>
      <c r="SL97" s="106"/>
      <c r="SM97" s="106"/>
      <c r="SN97" s="106"/>
      <c r="SO97" s="106"/>
      <c r="SP97" s="106"/>
      <c r="SQ97" s="106"/>
      <c r="SR97" s="106"/>
      <c r="SS97" s="106"/>
      <c r="ST97" s="106"/>
      <c r="SU97" s="106"/>
      <c r="SV97" s="106"/>
      <c r="SW97" s="106"/>
      <c r="SX97" s="106"/>
      <c r="SY97" s="106"/>
      <c r="SZ97" s="106"/>
      <c r="TA97" s="106"/>
      <c r="TB97" s="106"/>
      <c r="TC97" s="106"/>
      <c r="TD97" s="106"/>
      <c r="TE97" s="106"/>
      <c r="TF97" s="106"/>
      <c r="TG97" s="106"/>
      <c r="TH97" s="106"/>
      <c r="TI97" s="106"/>
      <c r="TJ97" s="106"/>
      <c r="TK97" s="106"/>
      <c r="TL97" s="106"/>
      <c r="TM97" s="106"/>
      <c r="TN97" s="106"/>
      <c r="TO97" s="106"/>
      <c r="TP97" s="106"/>
      <c r="TQ97" s="106"/>
      <c r="TR97" s="106"/>
      <c r="TS97" s="106"/>
      <c r="TT97" s="106"/>
      <c r="TU97" s="106"/>
      <c r="TV97" s="106"/>
      <c r="TW97" s="106"/>
      <c r="TX97" s="106"/>
      <c r="TY97" s="106"/>
      <c r="TZ97" s="106"/>
      <c r="UA97" s="106"/>
      <c r="UB97" s="106"/>
      <c r="UC97" s="106"/>
      <c r="UD97" s="106"/>
      <c r="UE97" s="106"/>
      <c r="UF97" s="106"/>
      <c r="UG97" s="106"/>
      <c r="UH97" s="106"/>
      <c r="UI97" s="106"/>
      <c r="UJ97" s="106"/>
      <c r="UK97" s="106"/>
      <c r="UL97" s="106"/>
      <c r="UM97" s="106"/>
      <c r="UN97" s="106"/>
      <c r="UO97" s="106"/>
      <c r="UP97" s="106"/>
      <c r="UQ97" s="106"/>
      <c r="UR97" s="106"/>
      <c r="US97" s="106"/>
      <c r="UT97" s="106"/>
      <c r="UU97" s="106"/>
      <c r="UV97" s="106"/>
      <c r="UW97" s="106"/>
      <c r="UX97" s="106"/>
      <c r="UY97" s="106"/>
      <c r="UZ97" s="106"/>
      <c r="VA97" s="106"/>
      <c r="VB97" s="106"/>
      <c r="VC97" s="106"/>
      <c r="VD97" s="106"/>
      <c r="VE97" s="106"/>
      <c r="VF97" s="106"/>
      <c r="VG97" s="106"/>
      <c r="VH97" s="106"/>
      <c r="VI97" s="106"/>
      <c r="VJ97" s="106"/>
      <c r="VK97" s="106"/>
      <c r="VL97" s="106"/>
      <c r="VM97" s="106"/>
      <c r="VN97" s="106"/>
      <c r="VO97" s="106"/>
      <c r="VP97" s="106"/>
      <c r="VQ97" s="106"/>
      <c r="VR97" s="106"/>
      <c r="VS97" s="106"/>
      <c r="VT97" s="106"/>
      <c r="VU97" s="106"/>
      <c r="VV97" s="106"/>
      <c r="VW97" s="106"/>
      <c r="VX97" s="106"/>
      <c r="VY97" s="106"/>
      <c r="VZ97" s="106"/>
      <c r="WA97" s="106"/>
      <c r="WB97" s="106"/>
      <c r="WC97" s="106"/>
      <c r="WD97" s="106"/>
      <c r="WE97" s="106"/>
      <c r="WF97" s="106"/>
      <c r="WG97" s="106"/>
      <c r="WH97" s="106"/>
      <c r="WI97" s="106"/>
      <c r="WJ97" s="106"/>
      <c r="WK97" s="106"/>
      <c r="WL97" s="106"/>
      <c r="WM97" s="106"/>
      <c r="WN97" s="106"/>
      <c r="WO97" s="106"/>
      <c r="WP97" s="106"/>
      <c r="WQ97" s="106"/>
      <c r="WR97" s="106"/>
      <c r="WS97" s="106"/>
      <c r="WT97" s="106"/>
      <c r="WU97" s="106"/>
      <c r="WV97" s="106"/>
      <c r="WW97" s="106"/>
      <c r="WX97" s="106"/>
      <c r="WY97" s="106"/>
      <c r="WZ97" s="106"/>
      <c r="XA97" s="106"/>
      <c r="XB97" s="106"/>
      <c r="XC97" s="106"/>
      <c r="XD97" s="106"/>
      <c r="XE97" s="106"/>
      <c r="XF97" s="106"/>
      <c r="XG97" s="106"/>
      <c r="XH97" s="106"/>
      <c r="XI97" s="106"/>
      <c r="XJ97" s="106"/>
      <c r="XK97" s="106"/>
      <c r="XL97" s="106"/>
      <c r="XM97" s="106"/>
      <c r="XN97" s="106"/>
      <c r="XO97" s="106"/>
      <c r="XP97" s="106"/>
      <c r="XQ97" s="106"/>
      <c r="XR97" s="106"/>
      <c r="XS97" s="106"/>
      <c r="XT97" s="106"/>
      <c r="XU97" s="106"/>
      <c r="XV97" s="106"/>
      <c r="XW97" s="106"/>
      <c r="XX97" s="106"/>
      <c r="XY97" s="106"/>
      <c r="XZ97" s="106"/>
      <c r="YA97" s="106"/>
      <c r="YB97" s="106"/>
      <c r="YC97" s="106"/>
      <c r="YD97" s="106"/>
      <c r="YE97" s="106"/>
      <c r="YF97" s="106"/>
      <c r="YG97" s="106"/>
      <c r="YH97" s="106"/>
      <c r="YI97" s="106"/>
      <c r="YJ97" s="106"/>
      <c r="YK97" s="106"/>
      <c r="YL97" s="106"/>
      <c r="YM97" s="106"/>
      <c r="YN97" s="106"/>
      <c r="YO97" s="106"/>
      <c r="YP97" s="106"/>
      <c r="YQ97" s="106"/>
      <c r="YR97" s="106"/>
      <c r="YS97" s="106"/>
      <c r="YT97" s="106"/>
      <c r="YU97" s="106"/>
      <c r="YV97" s="106"/>
      <c r="YW97" s="106"/>
      <c r="YX97" s="106"/>
      <c r="YY97" s="106"/>
      <c r="YZ97" s="106"/>
      <c r="ZA97" s="106"/>
      <c r="ZB97" s="106"/>
      <c r="ZC97" s="106"/>
      <c r="ZD97" s="106"/>
      <c r="ZE97" s="106"/>
      <c r="ZF97" s="106"/>
      <c r="ZG97" s="106"/>
      <c r="ZH97" s="106"/>
      <c r="ZI97" s="106"/>
      <c r="ZJ97" s="106"/>
      <c r="ZK97" s="106"/>
      <c r="ZL97" s="106"/>
      <c r="ZM97" s="106"/>
      <c r="ZN97" s="106"/>
      <c r="ZO97" s="106"/>
      <c r="ZP97" s="106"/>
      <c r="ZQ97" s="106"/>
      <c r="ZR97" s="106"/>
      <c r="ZS97" s="106"/>
      <c r="ZT97" s="106"/>
      <c r="ZU97" s="106"/>
      <c r="ZV97" s="106"/>
      <c r="ZW97" s="106"/>
      <c r="ZX97" s="106"/>
      <c r="ZY97" s="106"/>
      <c r="ZZ97" s="106"/>
      <c r="AAA97" s="106"/>
      <c r="AAB97" s="106"/>
      <c r="AAC97" s="106"/>
      <c r="AAD97" s="106"/>
      <c r="AAE97" s="106"/>
      <c r="AAF97" s="106"/>
      <c r="AAG97" s="106"/>
      <c r="AAH97" s="106"/>
      <c r="AAI97" s="106"/>
      <c r="AAJ97" s="106"/>
      <c r="AAK97" s="106"/>
      <c r="AAL97" s="106"/>
      <c r="AAM97" s="106"/>
      <c r="AAN97" s="106"/>
      <c r="AAO97" s="106"/>
      <c r="AAP97" s="106"/>
      <c r="AAQ97" s="106"/>
      <c r="AAR97" s="106"/>
      <c r="AAS97" s="106"/>
      <c r="AAT97" s="106"/>
      <c r="AAU97" s="106"/>
      <c r="AAV97" s="106"/>
      <c r="AAW97" s="106"/>
      <c r="AAX97" s="106"/>
      <c r="AAY97" s="106"/>
      <c r="AAZ97" s="106"/>
      <c r="ABA97" s="106"/>
      <c r="ABB97" s="106"/>
      <c r="ABC97" s="106"/>
      <c r="ABD97" s="106"/>
      <c r="ABE97" s="106"/>
      <c r="ABF97" s="106"/>
      <c r="ABG97" s="106"/>
      <c r="ABH97" s="106"/>
      <c r="ABI97" s="106"/>
      <c r="ABJ97" s="106"/>
      <c r="ABK97" s="106"/>
      <c r="ABL97" s="106"/>
      <c r="ABM97" s="106"/>
      <c r="ABN97" s="106"/>
      <c r="ABO97" s="106"/>
      <c r="ABP97" s="106"/>
      <c r="ABQ97" s="106"/>
      <c r="ABR97" s="106"/>
      <c r="ABS97" s="106"/>
      <c r="ABT97" s="106"/>
      <c r="ABU97" s="106"/>
      <c r="ABV97" s="106"/>
      <c r="ABW97" s="106"/>
      <c r="ABX97" s="106"/>
      <c r="ABY97" s="106"/>
      <c r="ABZ97" s="106"/>
      <c r="ACA97" s="106"/>
      <c r="ACB97" s="106"/>
      <c r="ACC97" s="106"/>
      <c r="ACD97" s="106"/>
      <c r="ACE97" s="106"/>
      <c r="ACF97" s="106"/>
      <c r="ACG97" s="106"/>
      <c r="ACH97" s="106"/>
      <c r="ACI97" s="106"/>
      <c r="ACJ97" s="106"/>
      <c r="ACK97" s="106"/>
      <c r="ACL97" s="106"/>
      <c r="ACM97" s="106"/>
      <c r="ACN97" s="106"/>
      <c r="ACO97" s="106"/>
      <c r="ACP97" s="106"/>
      <c r="ACQ97" s="106"/>
      <c r="ACR97" s="106"/>
      <c r="ACS97" s="106"/>
      <c r="ACT97" s="106"/>
      <c r="ACU97" s="106"/>
      <c r="ACV97" s="106"/>
      <c r="ACW97" s="106"/>
      <c r="ACX97" s="106"/>
      <c r="ACY97" s="106"/>
      <c r="ACZ97" s="106"/>
      <c r="ADA97" s="106"/>
      <c r="ADB97" s="106"/>
      <c r="ADC97" s="106"/>
      <c r="ADD97" s="106"/>
      <c r="ADE97" s="106"/>
      <c r="ADF97" s="106"/>
      <c r="ADG97" s="106"/>
      <c r="ADH97" s="106"/>
      <c r="ADI97" s="106"/>
      <c r="ADJ97" s="106"/>
      <c r="ADK97" s="106"/>
      <c r="ADL97" s="106"/>
      <c r="ADM97" s="106"/>
      <c r="ADN97" s="106"/>
      <c r="ADO97" s="106"/>
      <c r="ADP97" s="106"/>
      <c r="ADQ97" s="106"/>
      <c r="ADR97" s="106"/>
      <c r="ADS97" s="106"/>
      <c r="ADT97" s="106"/>
      <c r="ADU97" s="106"/>
      <c r="ADV97" s="106"/>
      <c r="ADW97" s="106"/>
      <c r="ADX97" s="106"/>
      <c r="ADY97" s="106"/>
      <c r="ADZ97" s="106"/>
      <c r="AEA97" s="106"/>
      <c r="AEB97" s="106"/>
      <c r="AEC97" s="106"/>
      <c r="AED97" s="106"/>
      <c r="AEE97" s="106"/>
      <c r="AEF97" s="106"/>
      <c r="AEG97" s="106"/>
      <c r="AEH97" s="106"/>
      <c r="AEI97" s="106"/>
      <c r="AEJ97" s="106"/>
      <c r="AEK97" s="106"/>
      <c r="AEL97" s="106"/>
      <c r="AEM97" s="106"/>
      <c r="AEN97" s="106"/>
      <c r="AEO97" s="106"/>
      <c r="AEP97" s="106"/>
      <c r="AEQ97" s="106"/>
      <c r="AER97" s="106"/>
      <c r="AES97" s="106"/>
      <c r="AET97" s="106"/>
      <c r="AEU97" s="106"/>
      <c r="AEV97" s="106"/>
      <c r="AEW97" s="106"/>
      <c r="AEX97" s="106"/>
      <c r="AEY97" s="106"/>
      <c r="AEZ97" s="106"/>
      <c r="AFA97" s="106"/>
      <c r="AFB97" s="106"/>
      <c r="AFC97" s="106"/>
      <c r="AFD97" s="106"/>
      <c r="AFE97" s="106"/>
      <c r="AFF97" s="106"/>
      <c r="AFG97" s="106"/>
      <c r="AFH97" s="106"/>
      <c r="AFI97" s="106"/>
      <c r="AFJ97" s="106"/>
      <c r="AFK97" s="106"/>
      <c r="AFL97" s="106"/>
      <c r="AFM97" s="106"/>
      <c r="AFN97" s="106"/>
      <c r="AFO97" s="106"/>
      <c r="AFP97" s="106"/>
      <c r="AFQ97" s="106"/>
      <c r="AFR97" s="106"/>
      <c r="AFS97" s="106"/>
      <c r="AFT97" s="106"/>
      <c r="AFU97" s="106"/>
      <c r="AFV97" s="106"/>
      <c r="AFW97" s="106"/>
      <c r="AFX97" s="106"/>
      <c r="AFY97" s="106"/>
      <c r="AFZ97" s="106"/>
      <c r="AGA97" s="106"/>
      <c r="AGB97" s="106"/>
      <c r="AGC97" s="106"/>
      <c r="AGD97" s="106"/>
      <c r="AGE97" s="106"/>
      <c r="AGF97" s="106"/>
      <c r="AGG97" s="106"/>
      <c r="AGH97" s="106"/>
      <c r="AGI97" s="106"/>
      <c r="AGJ97" s="106"/>
      <c r="AGK97" s="106"/>
      <c r="AGL97" s="106"/>
      <c r="AGM97" s="106"/>
      <c r="AGN97" s="106"/>
      <c r="AGO97" s="106"/>
      <c r="AGP97" s="106"/>
      <c r="AGQ97" s="106"/>
      <c r="AGR97" s="106"/>
      <c r="AGS97" s="106"/>
      <c r="AGT97" s="106"/>
      <c r="AGU97" s="106"/>
      <c r="AGV97" s="106"/>
      <c r="AGW97" s="106"/>
      <c r="AGX97" s="106"/>
      <c r="AGY97" s="106"/>
      <c r="AGZ97" s="106"/>
      <c r="AHA97" s="106"/>
      <c r="AHB97" s="106"/>
      <c r="AHC97" s="106"/>
      <c r="AHD97" s="106"/>
      <c r="AHE97" s="106"/>
      <c r="AHF97" s="106"/>
      <c r="AHG97" s="106"/>
      <c r="AHH97" s="106"/>
      <c r="AHI97" s="106"/>
      <c r="AHJ97" s="106"/>
      <c r="AHK97" s="106"/>
      <c r="AHL97" s="106"/>
      <c r="AHM97" s="106"/>
      <c r="AHN97" s="106"/>
      <c r="AHO97" s="106"/>
      <c r="AHP97" s="106"/>
      <c r="AHQ97" s="106"/>
      <c r="AHR97" s="106"/>
      <c r="AHS97" s="106"/>
      <c r="AHT97" s="106"/>
      <c r="AHU97" s="106"/>
      <c r="AHV97" s="106"/>
      <c r="AHW97" s="106"/>
      <c r="AHX97" s="106"/>
      <c r="AHY97" s="106"/>
      <c r="AHZ97" s="106"/>
      <c r="AIA97" s="106"/>
      <c r="AIB97" s="106"/>
      <c r="AIC97" s="106"/>
      <c r="AID97" s="106"/>
      <c r="AIE97" s="106"/>
      <c r="AIF97" s="106"/>
      <c r="AIG97" s="106"/>
      <c r="AIH97" s="106"/>
      <c r="AII97" s="106"/>
      <c r="AIJ97" s="106"/>
      <c r="AIK97" s="106"/>
      <c r="AIL97" s="106"/>
      <c r="AIM97" s="106"/>
      <c r="AIN97" s="106"/>
      <c r="AIO97" s="106"/>
      <c r="AIP97" s="106"/>
      <c r="AIQ97" s="106"/>
      <c r="AIR97" s="106"/>
      <c r="AIS97" s="106"/>
      <c r="AIT97" s="106"/>
      <c r="AIU97" s="106"/>
      <c r="AIV97" s="106"/>
      <c r="AIW97" s="106"/>
      <c r="AIX97" s="106"/>
      <c r="AIY97" s="106"/>
      <c r="AIZ97" s="106"/>
      <c r="AJA97" s="106"/>
      <c r="AJB97" s="106"/>
      <c r="AJC97" s="106"/>
      <c r="AJD97" s="106"/>
      <c r="AJE97" s="106"/>
      <c r="AJF97" s="106"/>
      <c r="AJG97" s="106"/>
      <c r="AJH97" s="106"/>
      <c r="AJI97" s="106"/>
      <c r="AJJ97" s="106"/>
      <c r="AJK97" s="106"/>
      <c r="AJL97" s="106"/>
      <c r="AJM97" s="106"/>
      <c r="AJN97" s="106"/>
      <c r="AJO97" s="106"/>
      <c r="AJP97" s="106"/>
      <c r="AJQ97" s="106"/>
      <c r="AJR97" s="106"/>
      <c r="AJS97" s="106"/>
      <c r="AJT97" s="106"/>
      <c r="AJU97" s="106"/>
      <c r="AJV97" s="106"/>
      <c r="AJW97" s="106"/>
      <c r="AJX97" s="106"/>
      <c r="AJY97" s="106"/>
      <c r="AJZ97" s="106"/>
      <c r="AKA97" s="106"/>
      <c r="AKB97" s="106"/>
      <c r="AKC97" s="106"/>
      <c r="AKD97" s="106"/>
      <c r="AKE97" s="106"/>
      <c r="AKF97" s="106"/>
      <c r="AKG97" s="106"/>
      <c r="AKH97" s="106"/>
      <c r="AKI97" s="106"/>
      <c r="AKJ97" s="106"/>
      <c r="AKK97" s="106"/>
      <c r="AKL97" s="106"/>
      <c r="AKM97" s="106"/>
      <c r="AKN97" s="106"/>
      <c r="AKO97" s="106"/>
      <c r="AKP97" s="106"/>
      <c r="AKQ97" s="106"/>
      <c r="AKR97" s="106"/>
      <c r="AKS97" s="106"/>
      <c r="AKT97" s="106"/>
      <c r="AKU97" s="106"/>
      <c r="AKV97" s="106"/>
      <c r="AKW97" s="106"/>
      <c r="AKX97" s="106"/>
      <c r="AKY97" s="106"/>
      <c r="AKZ97" s="106"/>
      <c r="ALA97" s="106"/>
      <c r="ALB97" s="106"/>
      <c r="ALC97" s="106"/>
      <c r="ALD97" s="106"/>
      <c r="ALE97" s="106"/>
      <c r="ALF97" s="106"/>
      <c r="ALG97" s="106"/>
      <c r="ALH97" s="106"/>
    </row>
    <row r="98" spans="1:996" s="75" customFormat="1" ht="15.75" customHeight="1">
      <c r="A98" s="104"/>
      <c r="B98" s="75" t="str">
        <f t="shared" si="5"/>
        <v>S112107</v>
      </c>
      <c r="C98" s="75" t="s">
        <v>603</v>
      </c>
      <c r="D98" s="27" t="s">
        <v>128</v>
      </c>
      <c r="E98" s="75">
        <v>112107</v>
      </c>
      <c r="F98" s="105" t="s">
        <v>597</v>
      </c>
      <c r="G98" s="74">
        <f>IFERROR(VLOOKUP(E98,'BD - E - Mvto Cx'!$E$15:$G$500,3,0),0)</f>
        <v>0</v>
      </c>
      <c r="H98" s="72">
        <f>IFERROR(VLOOKUP(E98,'BD - E - Mvto Cx'!$N$15:$P$500,3,0),0)</f>
        <v>0</v>
      </c>
      <c r="I98" s="73">
        <f>IFERROR(VLOOKUP(E98,'BD - E - Mvto Cx'!$W$15:$Y$497,3,0),0)</f>
        <v>0</v>
      </c>
      <c r="J98" s="73">
        <f>IFERROR(VLOOKUP(E98,'BD - E - Mvto Cx'!$AF$15:$AI$500,3,0),0)</f>
        <v>661.81</v>
      </c>
      <c r="K98" s="73">
        <f>IFERROR(VLOOKUP(E98,'BD - E - Mvto Cx'!$AO$15:$AQ$500,3,0),0)</f>
        <v>0</v>
      </c>
      <c r="L98" s="73">
        <f>IFERROR(VLOOKUP(E98,'BD - E - Mvto Cx'!$AX$15:$AZ$500,3,0),0)</f>
        <v>0</v>
      </c>
      <c r="M98" s="73">
        <f>IFERROR(VLOOKUP(E98,'BD - E - Mvto Cx'!$BJ$15:$BL$500,3,0),0)</f>
        <v>0</v>
      </c>
      <c r="N98" s="73">
        <f>IFERROR(VLOOKUP(E98,'BD - E - Mvto Cx'!$BS$15:$BU$500,3,0),0)</f>
        <v>0</v>
      </c>
      <c r="O98" s="73">
        <f>IFERROR(VLOOKUP(E98,'BD - E - Mvto Cx'!$CB$15:$CD$500,3,0),0)</f>
        <v>0</v>
      </c>
      <c r="P98" s="73">
        <f>IFERROR(VLOOKUP(E98,'BD - E - Mvto Cx'!$CK$15:$CM$500,3,0),0)</f>
        <v>0</v>
      </c>
      <c r="Q98" s="73">
        <f>IFERROR(VLOOKUP(E98,'BD - E - Mvto Cx'!$CT$15:$CV$500,3,0),0)</f>
        <v>0</v>
      </c>
      <c r="R98" s="73">
        <f>IFERROR(VLOOKUP(E98,'BD - E - Mvto Cx'!$DC$15:$DE$500,3,0),0)</f>
        <v>0</v>
      </c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6"/>
      <c r="DL98" s="106"/>
      <c r="DM98" s="106"/>
      <c r="DN98" s="106"/>
      <c r="DO98" s="106"/>
      <c r="DP98" s="106"/>
      <c r="DQ98" s="106"/>
      <c r="DR98" s="106"/>
      <c r="DS98" s="106"/>
      <c r="DT98" s="106"/>
      <c r="DU98" s="106"/>
      <c r="DV98" s="106"/>
      <c r="DW98" s="106"/>
      <c r="DX98" s="106"/>
      <c r="DY98" s="106"/>
      <c r="DZ98" s="106"/>
      <c r="EA98" s="106"/>
      <c r="EB98" s="106"/>
      <c r="EC98" s="106"/>
      <c r="ED98" s="106"/>
      <c r="EE98" s="106"/>
      <c r="EF98" s="106"/>
      <c r="EG98" s="106"/>
      <c r="EH98" s="106"/>
      <c r="EI98" s="106"/>
      <c r="EJ98" s="106"/>
      <c r="EK98" s="106"/>
      <c r="EL98" s="106"/>
      <c r="EM98" s="106"/>
      <c r="EN98" s="106"/>
      <c r="EO98" s="106"/>
      <c r="EP98" s="106"/>
      <c r="EQ98" s="106"/>
      <c r="ER98" s="106"/>
      <c r="ES98" s="106"/>
      <c r="ET98" s="106"/>
      <c r="EU98" s="106"/>
      <c r="EV98" s="106"/>
      <c r="EW98" s="106"/>
      <c r="EX98" s="106"/>
      <c r="EY98" s="106"/>
      <c r="EZ98" s="106"/>
      <c r="FA98" s="106"/>
      <c r="FB98" s="106"/>
      <c r="FC98" s="106"/>
      <c r="FD98" s="106"/>
      <c r="FE98" s="106"/>
      <c r="FF98" s="106"/>
      <c r="FG98" s="106"/>
      <c r="FH98" s="106"/>
      <c r="FI98" s="106"/>
      <c r="FJ98" s="106"/>
      <c r="FK98" s="106"/>
      <c r="FL98" s="106"/>
      <c r="FM98" s="106"/>
      <c r="FN98" s="106"/>
      <c r="FO98" s="106"/>
      <c r="FP98" s="106"/>
      <c r="FQ98" s="106"/>
      <c r="FR98" s="106"/>
      <c r="FS98" s="106"/>
      <c r="FT98" s="106"/>
      <c r="FU98" s="106"/>
      <c r="FV98" s="106"/>
      <c r="FW98" s="106"/>
      <c r="FX98" s="106"/>
      <c r="FY98" s="106"/>
      <c r="FZ98" s="106"/>
      <c r="GA98" s="106"/>
      <c r="GB98" s="106"/>
      <c r="GC98" s="106"/>
      <c r="GD98" s="106"/>
      <c r="GE98" s="106"/>
      <c r="GF98" s="106"/>
      <c r="GG98" s="106"/>
      <c r="GH98" s="106"/>
      <c r="GI98" s="106"/>
      <c r="GJ98" s="106"/>
      <c r="GK98" s="106"/>
      <c r="GL98" s="106"/>
      <c r="GM98" s="106"/>
      <c r="GN98" s="106"/>
      <c r="GO98" s="106"/>
      <c r="GP98" s="106"/>
      <c r="GQ98" s="106"/>
      <c r="GR98" s="106"/>
      <c r="GS98" s="106"/>
      <c r="GT98" s="106"/>
      <c r="GU98" s="106"/>
      <c r="GV98" s="106"/>
      <c r="GW98" s="106"/>
      <c r="GX98" s="106"/>
      <c r="GY98" s="106"/>
      <c r="GZ98" s="106"/>
      <c r="HA98" s="106"/>
      <c r="HB98" s="106"/>
      <c r="HC98" s="106"/>
      <c r="HD98" s="106"/>
      <c r="HE98" s="106"/>
      <c r="HF98" s="106"/>
      <c r="HG98" s="106"/>
      <c r="HH98" s="106"/>
      <c r="HI98" s="106"/>
      <c r="HJ98" s="106"/>
      <c r="HK98" s="106"/>
      <c r="HL98" s="106"/>
      <c r="HM98" s="106"/>
      <c r="HN98" s="106"/>
      <c r="HO98" s="106"/>
      <c r="HP98" s="106"/>
      <c r="HQ98" s="106"/>
      <c r="HR98" s="106"/>
      <c r="HS98" s="106"/>
      <c r="HT98" s="106"/>
      <c r="HU98" s="106"/>
      <c r="HV98" s="106"/>
      <c r="HW98" s="106"/>
      <c r="HX98" s="106"/>
      <c r="HY98" s="106"/>
      <c r="HZ98" s="106"/>
      <c r="IA98" s="106"/>
      <c r="IB98" s="106"/>
      <c r="IC98" s="106"/>
      <c r="ID98" s="106"/>
      <c r="IE98" s="106"/>
      <c r="IF98" s="106"/>
      <c r="IG98" s="106"/>
      <c r="IH98" s="106"/>
      <c r="II98" s="106"/>
      <c r="IJ98" s="106"/>
      <c r="IK98" s="106"/>
      <c r="IL98" s="106"/>
      <c r="IM98" s="106"/>
      <c r="IN98" s="106"/>
      <c r="IO98" s="106"/>
      <c r="IP98" s="106"/>
      <c r="IQ98" s="106"/>
      <c r="IR98" s="106"/>
      <c r="IS98" s="106"/>
      <c r="IT98" s="106"/>
      <c r="IU98" s="106"/>
      <c r="IV98" s="106"/>
      <c r="IW98" s="106"/>
      <c r="IX98" s="106"/>
      <c r="IY98" s="106"/>
      <c r="IZ98" s="106"/>
      <c r="JA98" s="106"/>
      <c r="JB98" s="106"/>
      <c r="JC98" s="106"/>
      <c r="JD98" s="106"/>
      <c r="JE98" s="106"/>
      <c r="JF98" s="106"/>
      <c r="JG98" s="106"/>
      <c r="JH98" s="106"/>
      <c r="JI98" s="106"/>
      <c r="JJ98" s="106"/>
      <c r="JK98" s="106"/>
      <c r="JL98" s="106"/>
      <c r="JM98" s="106"/>
      <c r="JN98" s="106"/>
      <c r="JO98" s="106"/>
      <c r="JP98" s="106"/>
      <c r="JQ98" s="106"/>
      <c r="JR98" s="106"/>
      <c r="JS98" s="106"/>
      <c r="JT98" s="106"/>
      <c r="JU98" s="106"/>
      <c r="JV98" s="106"/>
      <c r="JW98" s="106"/>
      <c r="JX98" s="106"/>
      <c r="JY98" s="106"/>
      <c r="JZ98" s="106"/>
      <c r="KA98" s="106"/>
      <c r="KB98" s="106"/>
      <c r="KC98" s="106"/>
      <c r="KD98" s="106"/>
      <c r="KE98" s="106"/>
      <c r="KF98" s="106"/>
      <c r="KG98" s="106"/>
      <c r="KH98" s="106"/>
      <c r="KI98" s="106"/>
      <c r="KJ98" s="106"/>
      <c r="KK98" s="106"/>
      <c r="KL98" s="106"/>
      <c r="KM98" s="106"/>
      <c r="KN98" s="106"/>
      <c r="KO98" s="106"/>
      <c r="KP98" s="106"/>
      <c r="KQ98" s="106"/>
      <c r="KR98" s="106"/>
      <c r="KS98" s="106"/>
      <c r="KT98" s="106"/>
      <c r="KU98" s="106"/>
      <c r="KV98" s="106"/>
      <c r="KW98" s="106"/>
      <c r="KX98" s="106"/>
      <c r="KY98" s="106"/>
      <c r="KZ98" s="106"/>
      <c r="LA98" s="106"/>
      <c r="LB98" s="106"/>
      <c r="LC98" s="106"/>
      <c r="LD98" s="106"/>
      <c r="LE98" s="106"/>
      <c r="LF98" s="106"/>
      <c r="LG98" s="106"/>
      <c r="LH98" s="106"/>
      <c r="LI98" s="106"/>
      <c r="LJ98" s="106"/>
      <c r="LK98" s="106"/>
      <c r="LL98" s="106"/>
      <c r="LM98" s="106"/>
      <c r="LN98" s="106"/>
      <c r="LO98" s="106"/>
      <c r="LP98" s="106"/>
      <c r="LQ98" s="106"/>
      <c r="LR98" s="106"/>
      <c r="LS98" s="106"/>
      <c r="LT98" s="106"/>
      <c r="LU98" s="106"/>
      <c r="LV98" s="106"/>
      <c r="LW98" s="106"/>
      <c r="LX98" s="106"/>
      <c r="LY98" s="106"/>
      <c r="LZ98" s="106"/>
      <c r="MA98" s="106"/>
      <c r="MB98" s="106"/>
      <c r="MC98" s="106"/>
      <c r="MD98" s="106"/>
      <c r="ME98" s="106"/>
      <c r="MF98" s="106"/>
      <c r="MG98" s="106"/>
      <c r="MH98" s="106"/>
      <c r="MI98" s="106"/>
      <c r="MJ98" s="106"/>
      <c r="MK98" s="106"/>
      <c r="ML98" s="106"/>
      <c r="MM98" s="106"/>
      <c r="MN98" s="106"/>
      <c r="MO98" s="106"/>
      <c r="MP98" s="106"/>
      <c r="MQ98" s="106"/>
      <c r="MR98" s="106"/>
      <c r="MS98" s="106"/>
      <c r="MT98" s="106"/>
      <c r="MU98" s="106"/>
      <c r="MV98" s="106"/>
      <c r="MW98" s="106"/>
      <c r="MX98" s="106"/>
      <c r="MY98" s="106"/>
      <c r="MZ98" s="106"/>
      <c r="NA98" s="106"/>
      <c r="NB98" s="106"/>
      <c r="NC98" s="106"/>
      <c r="ND98" s="106"/>
      <c r="NE98" s="106"/>
      <c r="NF98" s="106"/>
      <c r="NG98" s="106"/>
      <c r="NH98" s="106"/>
      <c r="NI98" s="106"/>
      <c r="NJ98" s="106"/>
      <c r="NK98" s="106"/>
      <c r="NL98" s="106"/>
      <c r="NM98" s="106"/>
      <c r="NN98" s="106"/>
      <c r="NO98" s="106"/>
      <c r="NP98" s="106"/>
      <c r="NQ98" s="106"/>
      <c r="NR98" s="106"/>
      <c r="NS98" s="106"/>
      <c r="NT98" s="106"/>
      <c r="NU98" s="106"/>
      <c r="NV98" s="106"/>
      <c r="NW98" s="106"/>
      <c r="NX98" s="106"/>
      <c r="NY98" s="106"/>
      <c r="NZ98" s="106"/>
      <c r="OA98" s="106"/>
      <c r="OB98" s="106"/>
      <c r="OC98" s="106"/>
      <c r="OD98" s="106"/>
      <c r="OE98" s="106"/>
      <c r="OF98" s="106"/>
      <c r="OG98" s="106"/>
      <c r="OH98" s="106"/>
      <c r="OI98" s="106"/>
      <c r="OJ98" s="106"/>
      <c r="OK98" s="106"/>
      <c r="OL98" s="106"/>
      <c r="OM98" s="106"/>
      <c r="ON98" s="106"/>
      <c r="OO98" s="106"/>
      <c r="OP98" s="106"/>
      <c r="OQ98" s="106"/>
      <c r="OR98" s="106"/>
      <c r="OS98" s="106"/>
      <c r="OT98" s="106"/>
      <c r="OU98" s="106"/>
      <c r="OV98" s="106"/>
      <c r="OW98" s="106"/>
      <c r="OX98" s="106"/>
      <c r="OY98" s="106"/>
      <c r="OZ98" s="106"/>
      <c r="PA98" s="106"/>
      <c r="PB98" s="106"/>
      <c r="PC98" s="106"/>
      <c r="PD98" s="106"/>
      <c r="PE98" s="106"/>
      <c r="PF98" s="106"/>
      <c r="PG98" s="106"/>
      <c r="PH98" s="106"/>
      <c r="PI98" s="106"/>
      <c r="PJ98" s="106"/>
      <c r="PK98" s="106"/>
      <c r="PL98" s="106"/>
      <c r="PM98" s="106"/>
      <c r="PN98" s="106"/>
      <c r="PO98" s="106"/>
      <c r="PP98" s="106"/>
      <c r="PQ98" s="106"/>
      <c r="PR98" s="106"/>
      <c r="PS98" s="106"/>
      <c r="PT98" s="106"/>
      <c r="PU98" s="106"/>
      <c r="PV98" s="106"/>
      <c r="PW98" s="106"/>
      <c r="PX98" s="106"/>
      <c r="PY98" s="106"/>
      <c r="PZ98" s="106"/>
      <c r="QA98" s="106"/>
      <c r="QB98" s="106"/>
      <c r="QC98" s="106"/>
      <c r="QD98" s="106"/>
      <c r="QE98" s="106"/>
      <c r="QF98" s="106"/>
      <c r="QG98" s="106"/>
      <c r="QH98" s="106"/>
      <c r="QI98" s="106"/>
      <c r="QJ98" s="106"/>
      <c r="QK98" s="106"/>
      <c r="QL98" s="106"/>
      <c r="QM98" s="106"/>
      <c r="QN98" s="106"/>
      <c r="QO98" s="106"/>
      <c r="QP98" s="106"/>
      <c r="QQ98" s="106"/>
      <c r="QR98" s="106"/>
      <c r="QS98" s="106"/>
      <c r="QT98" s="106"/>
      <c r="QU98" s="106"/>
      <c r="QV98" s="106"/>
      <c r="QW98" s="106"/>
      <c r="QX98" s="106"/>
      <c r="QY98" s="106"/>
      <c r="QZ98" s="106"/>
      <c r="RA98" s="106"/>
      <c r="RB98" s="106"/>
      <c r="RC98" s="106"/>
      <c r="RD98" s="106"/>
      <c r="RE98" s="106"/>
      <c r="RF98" s="106"/>
      <c r="RG98" s="106"/>
      <c r="RH98" s="106"/>
      <c r="RI98" s="106"/>
      <c r="RJ98" s="106"/>
      <c r="RK98" s="106"/>
      <c r="RL98" s="106"/>
      <c r="RM98" s="106"/>
      <c r="RN98" s="106"/>
      <c r="RO98" s="106"/>
      <c r="RP98" s="106"/>
      <c r="RQ98" s="106"/>
      <c r="RR98" s="106"/>
      <c r="RS98" s="106"/>
      <c r="RT98" s="106"/>
      <c r="RU98" s="106"/>
      <c r="RV98" s="106"/>
      <c r="RW98" s="106"/>
      <c r="RX98" s="106"/>
      <c r="RY98" s="106"/>
      <c r="RZ98" s="106"/>
      <c r="SA98" s="106"/>
      <c r="SB98" s="106"/>
      <c r="SC98" s="106"/>
      <c r="SD98" s="106"/>
      <c r="SE98" s="106"/>
      <c r="SF98" s="106"/>
      <c r="SG98" s="106"/>
      <c r="SH98" s="106"/>
      <c r="SI98" s="106"/>
      <c r="SJ98" s="106"/>
      <c r="SK98" s="106"/>
      <c r="SL98" s="106"/>
      <c r="SM98" s="106"/>
      <c r="SN98" s="106"/>
      <c r="SO98" s="106"/>
      <c r="SP98" s="106"/>
      <c r="SQ98" s="106"/>
      <c r="SR98" s="106"/>
      <c r="SS98" s="106"/>
      <c r="ST98" s="106"/>
      <c r="SU98" s="106"/>
      <c r="SV98" s="106"/>
      <c r="SW98" s="106"/>
      <c r="SX98" s="106"/>
      <c r="SY98" s="106"/>
      <c r="SZ98" s="106"/>
      <c r="TA98" s="106"/>
      <c r="TB98" s="106"/>
      <c r="TC98" s="106"/>
      <c r="TD98" s="106"/>
      <c r="TE98" s="106"/>
      <c r="TF98" s="106"/>
      <c r="TG98" s="106"/>
      <c r="TH98" s="106"/>
      <c r="TI98" s="106"/>
      <c r="TJ98" s="106"/>
      <c r="TK98" s="106"/>
      <c r="TL98" s="106"/>
      <c r="TM98" s="106"/>
      <c r="TN98" s="106"/>
      <c r="TO98" s="106"/>
      <c r="TP98" s="106"/>
      <c r="TQ98" s="106"/>
      <c r="TR98" s="106"/>
      <c r="TS98" s="106"/>
      <c r="TT98" s="106"/>
      <c r="TU98" s="106"/>
      <c r="TV98" s="106"/>
      <c r="TW98" s="106"/>
      <c r="TX98" s="106"/>
      <c r="TY98" s="106"/>
      <c r="TZ98" s="106"/>
      <c r="UA98" s="106"/>
      <c r="UB98" s="106"/>
      <c r="UC98" s="106"/>
      <c r="UD98" s="106"/>
      <c r="UE98" s="106"/>
      <c r="UF98" s="106"/>
      <c r="UG98" s="106"/>
      <c r="UH98" s="106"/>
      <c r="UI98" s="106"/>
      <c r="UJ98" s="106"/>
      <c r="UK98" s="106"/>
      <c r="UL98" s="106"/>
      <c r="UM98" s="106"/>
      <c r="UN98" s="106"/>
      <c r="UO98" s="106"/>
      <c r="UP98" s="106"/>
      <c r="UQ98" s="106"/>
      <c r="UR98" s="106"/>
      <c r="US98" s="106"/>
      <c r="UT98" s="106"/>
      <c r="UU98" s="106"/>
      <c r="UV98" s="106"/>
      <c r="UW98" s="106"/>
      <c r="UX98" s="106"/>
      <c r="UY98" s="106"/>
      <c r="UZ98" s="106"/>
      <c r="VA98" s="106"/>
      <c r="VB98" s="106"/>
      <c r="VC98" s="106"/>
      <c r="VD98" s="106"/>
      <c r="VE98" s="106"/>
      <c r="VF98" s="106"/>
      <c r="VG98" s="106"/>
      <c r="VH98" s="106"/>
      <c r="VI98" s="106"/>
      <c r="VJ98" s="106"/>
      <c r="VK98" s="106"/>
      <c r="VL98" s="106"/>
      <c r="VM98" s="106"/>
      <c r="VN98" s="106"/>
      <c r="VO98" s="106"/>
      <c r="VP98" s="106"/>
      <c r="VQ98" s="106"/>
      <c r="VR98" s="106"/>
      <c r="VS98" s="106"/>
      <c r="VT98" s="106"/>
      <c r="VU98" s="106"/>
      <c r="VV98" s="106"/>
      <c r="VW98" s="106"/>
      <c r="VX98" s="106"/>
      <c r="VY98" s="106"/>
      <c r="VZ98" s="106"/>
      <c r="WA98" s="106"/>
      <c r="WB98" s="106"/>
      <c r="WC98" s="106"/>
      <c r="WD98" s="106"/>
      <c r="WE98" s="106"/>
      <c r="WF98" s="106"/>
      <c r="WG98" s="106"/>
      <c r="WH98" s="106"/>
      <c r="WI98" s="106"/>
      <c r="WJ98" s="106"/>
      <c r="WK98" s="106"/>
      <c r="WL98" s="106"/>
      <c r="WM98" s="106"/>
      <c r="WN98" s="106"/>
      <c r="WO98" s="106"/>
      <c r="WP98" s="106"/>
      <c r="WQ98" s="106"/>
      <c r="WR98" s="106"/>
      <c r="WS98" s="106"/>
      <c r="WT98" s="106"/>
      <c r="WU98" s="106"/>
      <c r="WV98" s="106"/>
      <c r="WW98" s="106"/>
      <c r="WX98" s="106"/>
      <c r="WY98" s="106"/>
      <c r="WZ98" s="106"/>
      <c r="XA98" s="106"/>
      <c r="XB98" s="106"/>
      <c r="XC98" s="106"/>
      <c r="XD98" s="106"/>
      <c r="XE98" s="106"/>
      <c r="XF98" s="106"/>
      <c r="XG98" s="106"/>
      <c r="XH98" s="106"/>
      <c r="XI98" s="106"/>
      <c r="XJ98" s="106"/>
      <c r="XK98" s="106"/>
      <c r="XL98" s="106"/>
      <c r="XM98" s="106"/>
      <c r="XN98" s="106"/>
      <c r="XO98" s="106"/>
      <c r="XP98" s="106"/>
      <c r="XQ98" s="106"/>
      <c r="XR98" s="106"/>
      <c r="XS98" s="106"/>
      <c r="XT98" s="106"/>
      <c r="XU98" s="106"/>
      <c r="XV98" s="106"/>
      <c r="XW98" s="106"/>
      <c r="XX98" s="106"/>
      <c r="XY98" s="106"/>
      <c r="XZ98" s="106"/>
      <c r="YA98" s="106"/>
      <c r="YB98" s="106"/>
      <c r="YC98" s="106"/>
      <c r="YD98" s="106"/>
      <c r="YE98" s="106"/>
      <c r="YF98" s="106"/>
      <c r="YG98" s="106"/>
      <c r="YH98" s="106"/>
      <c r="YI98" s="106"/>
      <c r="YJ98" s="106"/>
      <c r="YK98" s="106"/>
      <c r="YL98" s="106"/>
      <c r="YM98" s="106"/>
      <c r="YN98" s="106"/>
      <c r="YO98" s="106"/>
      <c r="YP98" s="106"/>
      <c r="YQ98" s="106"/>
      <c r="YR98" s="106"/>
      <c r="YS98" s="106"/>
      <c r="YT98" s="106"/>
      <c r="YU98" s="106"/>
      <c r="YV98" s="106"/>
      <c r="YW98" s="106"/>
      <c r="YX98" s="106"/>
      <c r="YY98" s="106"/>
      <c r="YZ98" s="106"/>
      <c r="ZA98" s="106"/>
      <c r="ZB98" s="106"/>
      <c r="ZC98" s="106"/>
      <c r="ZD98" s="106"/>
      <c r="ZE98" s="106"/>
      <c r="ZF98" s="106"/>
      <c r="ZG98" s="106"/>
      <c r="ZH98" s="106"/>
      <c r="ZI98" s="106"/>
      <c r="ZJ98" s="106"/>
      <c r="ZK98" s="106"/>
      <c r="ZL98" s="106"/>
      <c r="ZM98" s="106"/>
      <c r="ZN98" s="106"/>
      <c r="ZO98" s="106"/>
      <c r="ZP98" s="106"/>
      <c r="ZQ98" s="106"/>
      <c r="ZR98" s="106"/>
      <c r="ZS98" s="106"/>
      <c r="ZT98" s="106"/>
      <c r="ZU98" s="106"/>
      <c r="ZV98" s="106"/>
      <c r="ZW98" s="106"/>
      <c r="ZX98" s="106"/>
      <c r="ZY98" s="106"/>
      <c r="ZZ98" s="106"/>
      <c r="AAA98" s="106"/>
      <c r="AAB98" s="106"/>
      <c r="AAC98" s="106"/>
      <c r="AAD98" s="106"/>
      <c r="AAE98" s="106"/>
      <c r="AAF98" s="106"/>
      <c r="AAG98" s="106"/>
      <c r="AAH98" s="106"/>
      <c r="AAI98" s="106"/>
      <c r="AAJ98" s="106"/>
      <c r="AAK98" s="106"/>
      <c r="AAL98" s="106"/>
      <c r="AAM98" s="106"/>
      <c r="AAN98" s="106"/>
      <c r="AAO98" s="106"/>
      <c r="AAP98" s="106"/>
      <c r="AAQ98" s="106"/>
      <c r="AAR98" s="106"/>
      <c r="AAS98" s="106"/>
      <c r="AAT98" s="106"/>
      <c r="AAU98" s="106"/>
      <c r="AAV98" s="106"/>
      <c r="AAW98" s="106"/>
      <c r="AAX98" s="106"/>
      <c r="AAY98" s="106"/>
      <c r="AAZ98" s="106"/>
      <c r="ABA98" s="106"/>
      <c r="ABB98" s="106"/>
      <c r="ABC98" s="106"/>
      <c r="ABD98" s="106"/>
      <c r="ABE98" s="106"/>
      <c r="ABF98" s="106"/>
      <c r="ABG98" s="106"/>
      <c r="ABH98" s="106"/>
      <c r="ABI98" s="106"/>
      <c r="ABJ98" s="106"/>
      <c r="ABK98" s="106"/>
      <c r="ABL98" s="106"/>
      <c r="ABM98" s="106"/>
      <c r="ABN98" s="106"/>
      <c r="ABO98" s="106"/>
      <c r="ABP98" s="106"/>
      <c r="ABQ98" s="106"/>
      <c r="ABR98" s="106"/>
      <c r="ABS98" s="106"/>
      <c r="ABT98" s="106"/>
      <c r="ABU98" s="106"/>
      <c r="ABV98" s="106"/>
      <c r="ABW98" s="106"/>
      <c r="ABX98" s="106"/>
      <c r="ABY98" s="106"/>
      <c r="ABZ98" s="106"/>
      <c r="ACA98" s="106"/>
      <c r="ACB98" s="106"/>
      <c r="ACC98" s="106"/>
      <c r="ACD98" s="106"/>
      <c r="ACE98" s="106"/>
      <c r="ACF98" s="106"/>
      <c r="ACG98" s="106"/>
      <c r="ACH98" s="106"/>
      <c r="ACI98" s="106"/>
      <c r="ACJ98" s="106"/>
      <c r="ACK98" s="106"/>
      <c r="ACL98" s="106"/>
      <c r="ACM98" s="106"/>
      <c r="ACN98" s="106"/>
      <c r="ACO98" s="106"/>
      <c r="ACP98" s="106"/>
      <c r="ACQ98" s="106"/>
      <c r="ACR98" s="106"/>
      <c r="ACS98" s="106"/>
      <c r="ACT98" s="106"/>
      <c r="ACU98" s="106"/>
      <c r="ACV98" s="106"/>
      <c r="ACW98" s="106"/>
      <c r="ACX98" s="106"/>
      <c r="ACY98" s="106"/>
      <c r="ACZ98" s="106"/>
      <c r="ADA98" s="106"/>
      <c r="ADB98" s="106"/>
      <c r="ADC98" s="106"/>
      <c r="ADD98" s="106"/>
      <c r="ADE98" s="106"/>
      <c r="ADF98" s="106"/>
      <c r="ADG98" s="106"/>
      <c r="ADH98" s="106"/>
      <c r="ADI98" s="106"/>
      <c r="ADJ98" s="106"/>
      <c r="ADK98" s="106"/>
      <c r="ADL98" s="106"/>
      <c r="ADM98" s="106"/>
      <c r="ADN98" s="106"/>
      <c r="ADO98" s="106"/>
      <c r="ADP98" s="106"/>
      <c r="ADQ98" s="106"/>
      <c r="ADR98" s="106"/>
      <c r="ADS98" s="106"/>
      <c r="ADT98" s="106"/>
      <c r="ADU98" s="106"/>
      <c r="ADV98" s="106"/>
      <c r="ADW98" s="106"/>
      <c r="ADX98" s="106"/>
      <c r="ADY98" s="106"/>
      <c r="ADZ98" s="106"/>
      <c r="AEA98" s="106"/>
      <c r="AEB98" s="106"/>
      <c r="AEC98" s="106"/>
      <c r="AED98" s="106"/>
      <c r="AEE98" s="106"/>
      <c r="AEF98" s="106"/>
      <c r="AEG98" s="106"/>
      <c r="AEH98" s="106"/>
      <c r="AEI98" s="106"/>
      <c r="AEJ98" s="106"/>
      <c r="AEK98" s="106"/>
      <c r="AEL98" s="106"/>
      <c r="AEM98" s="106"/>
      <c r="AEN98" s="106"/>
      <c r="AEO98" s="106"/>
      <c r="AEP98" s="106"/>
      <c r="AEQ98" s="106"/>
      <c r="AER98" s="106"/>
      <c r="AES98" s="106"/>
      <c r="AET98" s="106"/>
      <c r="AEU98" s="106"/>
      <c r="AEV98" s="106"/>
      <c r="AEW98" s="106"/>
      <c r="AEX98" s="106"/>
      <c r="AEY98" s="106"/>
      <c r="AEZ98" s="106"/>
      <c r="AFA98" s="106"/>
      <c r="AFB98" s="106"/>
      <c r="AFC98" s="106"/>
      <c r="AFD98" s="106"/>
      <c r="AFE98" s="106"/>
      <c r="AFF98" s="106"/>
      <c r="AFG98" s="106"/>
      <c r="AFH98" s="106"/>
      <c r="AFI98" s="106"/>
      <c r="AFJ98" s="106"/>
      <c r="AFK98" s="106"/>
      <c r="AFL98" s="106"/>
      <c r="AFM98" s="106"/>
      <c r="AFN98" s="106"/>
      <c r="AFO98" s="106"/>
      <c r="AFP98" s="106"/>
      <c r="AFQ98" s="106"/>
      <c r="AFR98" s="106"/>
      <c r="AFS98" s="106"/>
      <c r="AFT98" s="106"/>
      <c r="AFU98" s="106"/>
      <c r="AFV98" s="106"/>
      <c r="AFW98" s="106"/>
      <c r="AFX98" s="106"/>
      <c r="AFY98" s="106"/>
      <c r="AFZ98" s="106"/>
      <c r="AGA98" s="106"/>
      <c r="AGB98" s="106"/>
      <c r="AGC98" s="106"/>
      <c r="AGD98" s="106"/>
      <c r="AGE98" s="106"/>
      <c r="AGF98" s="106"/>
      <c r="AGG98" s="106"/>
      <c r="AGH98" s="106"/>
      <c r="AGI98" s="106"/>
      <c r="AGJ98" s="106"/>
      <c r="AGK98" s="106"/>
      <c r="AGL98" s="106"/>
      <c r="AGM98" s="106"/>
      <c r="AGN98" s="106"/>
      <c r="AGO98" s="106"/>
      <c r="AGP98" s="106"/>
      <c r="AGQ98" s="106"/>
      <c r="AGR98" s="106"/>
      <c r="AGS98" s="106"/>
      <c r="AGT98" s="106"/>
      <c r="AGU98" s="106"/>
      <c r="AGV98" s="106"/>
      <c r="AGW98" s="106"/>
      <c r="AGX98" s="106"/>
      <c r="AGY98" s="106"/>
      <c r="AGZ98" s="106"/>
      <c r="AHA98" s="106"/>
      <c r="AHB98" s="106"/>
      <c r="AHC98" s="106"/>
      <c r="AHD98" s="106"/>
      <c r="AHE98" s="106"/>
      <c r="AHF98" s="106"/>
      <c r="AHG98" s="106"/>
      <c r="AHH98" s="106"/>
      <c r="AHI98" s="106"/>
      <c r="AHJ98" s="106"/>
      <c r="AHK98" s="106"/>
      <c r="AHL98" s="106"/>
      <c r="AHM98" s="106"/>
      <c r="AHN98" s="106"/>
      <c r="AHO98" s="106"/>
      <c r="AHP98" s="106"/>
      <c r="AHQ98" s="106"/>
      <c r="AHR98" s="106"/>
      <c r="AHS98" s="106"/>
      <c r="AHT98" s="106"/>
      <c r="AHU98" s="106"/>
      <c r="AHV98" s="106"/>
      <c r="AHW98" s="106"/>
      <c r="AHX98" s="106"/>
      <c r="AHY98" s="106"/>
      <c r="AHZ98" s="106"/>
      <c r="AIA98" s="106"/>
      <c r="AIB98" s="106"/>
      <c r="AIC98" s="106"/>
      <c r="AID98" s="106"/>
      <c r="AIE98" s="106"/>
      <c r="AIF98" s="106"/>
      <c r="AIG98" s="106"/>
      <c r="AIH98" s="106"/>
      <c r="AII98" s="106"/>
      <c r="AIJ98" s="106"/>
      <c r="AIK98" s="106"/>
      <c r="AIL98" s="106"/>
      <c r="AIM98" s="106"/>
      <c r="AIN98" s="106"/>
      <c r="AIO98" s="106"/>
      <c r="AIP98" s="106"/>
      <c r="AIQ98" s="106"/>
      <c r="AIR98" s="106"/>
      <c r="AIS98" s="106"/>
      <c r="AIT98" s="106"/>
      <c r="AIU98" s="106"/>
      <c r="AIV98" s="106"/>
      <c r="AIW98" s="106"/>
      <c r="AIX98" s="106"/>
      <c r="AIY98" s="106"/>
      <c r="AIZ98" s="106"/>
      <c r="AJA98" s="106"/>
      <c r="AJB98" s="106"/>
      <c r="AJC98" s="106"/>
      <c r="AJD98" s="106"/>
      <c r="AJE98" s="106"/>
      <c r="AJF98" s="106"/>
      <c r="AJG98" s="106"/>
      <c r="AJH98" s="106"/>
      <c r="AJI98" s="106"/>
      <c r="AJJ98" s="106"/>
      <c r="AJK98" s="106"/>
      <c r="AJL98" s="106"/>
      <c r="AJM98" s="106"/>
      <c r="AJN98" s="106"/>
      <c r="AJO98" s="106"/>
      <c r="AJP98" s="106"/>
      <c r="AJQ98" s="106"/>
      <c r="AJR98" s="106"/>
      <c r="AJS98" s="106"/>
      <c r="AJT98" s="106"/>
      <c r="AJU98" s="106"/>
      <c r="AJV98" s="106"/>
      <c r="AJW98" s="106"/>
      <c r="AJX98" s="106"/>
      <c r="AJY98" s="106"/>
      <c r="AJZ98" s="106"/>
      <c r="AKA98" s="106"/>
      <c r="AKB98" s="106"/>
      <c r="AKC98" s="106"/>
      <c r="AKD98" s="106"/>
      <c r="AKE98" s="106"/>
      <c r="AKF98" s="106"/>
      <c r="AKG98" s="106"/>
      <c r="AKH98" s="106"/>
      <c r="AKI98" s="106"/>
      <c r="AKJ98" s="106"/>
      <c r="AKK98" s="106"/>
      <c r="AKL98" s="106"/>
      <c r="AKM98" s="106"/>
      <c r="AKN98" s="106"/>
      <c r="AKO98" s="106"/>
      <c r="AKP98" s="106"/>
      <c r="AKQ98" s="106"/>
      <c r="AKR98" s="106"/>
      <c r="AKS98" s="106"/>
      <c r="AKT98" s="106"/>
      <c r="AKU98" s="106"/>
      <c r="AKV98" s="106"/>
      <c r="AKW98" s="106"/>
      <c r="AKX98" s="106"/>
      <c r="AKY98" s="106"/>
      <c r="AKZ98" s="106"/>
      <c r="ALA98" s="106"/>
      <c r="ALB98" s="106"/>
      <c r="ALC98" s="106"/>
      <c r="ALD98" s="106"/>
      <c r="ALE98" s="106"/>
      <c r="ALF98" s="106"/>
      <c r="ALG98" s="106"/>
      <c r="ALH98" s="106"/>
    </row>
    <row r="99" spans="1:996" s="75" customFormat="1" ht="15.75" customHeight="1">
      <c r="A99" s="104"/>
      <c r="B99" s="75" t="str">
        <f t="shared" si="5"/>
        <v>S112108</v>
      </c>
      <c r="C99" s="75" t="s">
        <v>603</v>
      </c>
      <c r="D99" s="27" t="s">
        <v>128</v>
      </c>
      <c r="E99" s="75">
        <v>112108</v>
      </c>
      <c r="F99" s="105" t="s">
        <v>598</v>
      </c>
      <c r="G99" s="74">
        <f>IFERROR(VLOOKUP(E99,'BD - E - Mvto Cx'!$E$15:$G$500,3,0),0)</f>
        <v>493.49</v>
      </c>
      <c r="H99" s="72">
        <f>IFERROR(VLOOKUP(E99,'BD - E - Mvto Cx'!$N$15:$P$500,3,0),0)</f>
        <v>362.2</v>
      </c>
      <c r="I99" s="73">
        <f>IFERROR(VLOOKUP(E99,'BD - E - Mvto Cx'!$W$15:$Y$497,3,0),0)</f>
        <v>1697.62</v>
      </c>
      <c r="J99" s="73">
        <f>IFERROR(VLOOKUP(E99,'BD - E - Mvto Cx'!$AF$15:$AI$500,3,0),0)</f>
        <v>2539.4299999999998</v>
      </c>
      <c r="K99" s="73">
        <f>IFERROR(VLOOKUP(E99,'BD - E - Mvto Cx'!$AO$15:$AQ$500,3,0),0)</f>
        <v>0</v>
      </c>
      <c r="L99" s="73">
        <f>IFERROR(VLOOKUP(E99,'BD - E - Mvto Cx'!$AX$15:$AZ$500,3,0),0)</f>
        <v>0</v>
      </c>
      <c r="M99" s="73">
        <f>IFERROR(VLOOKUP(E99,'BD - E - Mvto Cx'!$BJ$15:$BL$500,3,0),0)</f>
        <v>0</v>
      </c>
      <c r="N99" s="73">
        <f>IFERROR(VLOOKUP(E99,'BD - E - Mvto Cx'!$BS$15:$BU$500,3,0),0)</f>
        <v>0</v>
      </c>
      <c r="O99" s="73">
        <f>IFERROR(VLOOKUP(E99,'BD - E - Mvto Cx'!$CB$15:$CD$500,3,0),0)</f>
        <v>0</v>
      </c>
      <c r="P99" s="73">
        <f>IFERROR(VLOOKUP(E99,'BD - E - Mvto Cx'!$CK$15:$CM$500,3,0),0)</f>
        <v>0</v>
      </c>
      <c r="Q99" s="73">
        <f>IFERROR(VLOOKUP(E99,'BD - E - Mvto Cx'!$CT$15:$CV$500,3,0),0)</f>
        <v>0</v>
      </c>
      <c r="R99" s="73">
        <f>IFERROR(VLOOKUP(E99,'BD - E - Mvto Cx'!$DC$15:$DE$500,3,0),0)</f>
        <v>0</v>
      </c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6"/>
      <c r="DL99" s="106"/>
      <c r="DM99" s="106"/>
      <c r="DN99" s="106"/>
      <c r="DO99" s="106"/>
      <c r="DP99" s="106"/>
      <c r="DQ99" s="106"/>
      <c r="DR99" s="106"/>
      <c r="DS99" s="106"/>
      <c r="DT99" s="106"/>
      <c r="DU99" s="106"/>
      <c r="DV99" s="106"/>
      <c r="DW99" s="106"/>
      <c r="DX99" s="106"/>
      <c r="DY99" s="106"/>
      <c r="DZ99" s="106"/>
      <c r="EA99" s="106"/>
      <c r="EB99" s="106"/>
      <c r="EC99" s="106"/>
      <c r="ED99" s="106"/>
      <c r="EE99" s="106"/>
      <c r="EF99" s="106"/>
      <c r="EG99" s="106"/>
      <c r="EH99" s="106"/>
      <c r="EI99" s="106"/>
      <c r="EJ99" s="106"/>
      <c r="EK99" s="106"/>
      <c r="EL99" s="106"/>
      <c r="EM99" s="106"/>
      <c r="EN99" s="106"/>
      <c r="EO99" s="106"/>
      <c r="EP99" s="106"/>
      <c r="EQ99" s="106"/>
      <c r="ER99" s="106"/>
      <c r="ES99" s="106"/>
      <c r="ET99" s="106"/>
      <c r="EU99" s="106"/>
      <c r="EV99" s="106"/>
      <c r="EW99" s="106"/>
      <c r="EX99" s="106"/>
      <c r="EY99" s="106"/>
      <c r="EZ99" s="106"/>
      <c r="FA99" s="106"/>
      <c r="FB99" s="106"/>
      <c r="FC99" s="106"/>
      <c r="FD99" s="106"/>
      <c r="FE99" s="106"/>
      <c r="FF99" s="106"/>
      <c r="FG99" s="106"/>
      <c r="FH99" s="106"/>
      <c r="FI99" s="106"/>
      <c r="FJ99" s="106"/>
      <c r="FK99" s="106"/>
      <c r="FL99" s="106"/>
      <c r="FM99" s="106"/>
      <c r="FN99" s="106"/>
      <c r="FO99" s="106"/>
      <c r="FP99" s="106"/>
      <c r="FQ99" s="106"/>
      <c r="FR99" s="106"/>
      <c r="FS99" s="106"/>
      <c r="FT99" s="106"/>
      <c r="FU99" s="106"/>
      <c r="FV99" s="106"/>
      <c r="FW99" s="106"/>
      <c r="FX99" s="106"/>
      <c r="FY99" s="106"/>
      <c r="FZ99" s="106"/>
      <c r="GA99" s="106"/>
      <c r="GB99" s="106"/>
      <c r="GC99" s="106"/>
      <c r="GD99" s="106"/>
      <c r="GE99" s="106"/>
      <c r="GF99" s="106"/>
      <c r="GG99" s="106"/>
      <c r="GH99" s="106"/>
      <c r="GI99" s="106"/>
      <c r="GJ99" s="106"/>
      <c r="GK99" s="106"/>
      <c r="GL99" s="106"/>
      <c r="GM99" s="106"/>
      <c r="GN99" s="106"/>
      <c r="GO99" s="106"/>
      <c r="GP99" s="106"/>
      <c r="GQ99" s="106"/>
      <c r="GR99" s="106"/>
      <c r="GS99" s="106"/>
      <c r="GT99" s="106"/>
      <c r="GU99" s="106"/>
      <c r="GV99" s="106"/>
      <c r="GW99" s="106"/>
      <c r="GX99" s="106"/>
      <c r="GY99" s="106"/>
      <c r="GZ99" s="106"/>
      <c r="HA99" s="106"/>
      <c r="HB99" s="106"/>
      <c r="HC99" s="106"/>
      <c r="HD99" s="106"/>
      <c r="HE99" s="106"/>
      <c r="HF99" s="106"/>
      <c r="HG99" s="106"/>
      <c r="HH99" s="106"/>
      <c r="HI99" s="106"/>
      <c r="HJ99" s="106"/>
      <c r="HK99" s="106"/>
      <c r="HL99" s="106"/>
      <c r="HM99" s="106"/>
      <c r="HN99" s="106"/>
      <c r="HO99" s="106"/>
      <c r="HP99" s="106"/>
      <c r="HQ99" s="106"/>
      <c r="HR99" s="106"/>
      <c r="HS99" s="106"/>
      <c r="HT99" s="106"/>
      <c r="HU99" s="106"/>
      <c r="HV99" s="106"/>
      <c r="HW99" s="106"/>
      <c r="HX99" s="106"/>
      <c r="HY99" s="106"/>
      <c r="HZ99" s="106"/>
      <c r="IA99" s="106"/>
      <c r="IB99" s="106"/>
      <c r="IC99" s="106"/>
      <c r="ID99" s="106"/>
      <c r="IE99" s="106"/>
      <c r="IF99" s="106"/>
      <c r="IG99" s="106"/>
      <c r="IH99" s="106"/>
      <c r="II99" s="106"/>
      <c r="IJ99" s="106"/>
      <c r="IK99" s="106"/>
      <c r="IL99" s="106"/>
      <c r="IM99" s="106"/>
      <c r="IN99" s="106"/>
      <c r="IO99" s="106"/>
      <c r="IP99" s="106"/>
      <c r="IQ99" s="106"/>
      <c r="IR99" s="106"/>
      <c r="IS99" s="106"/>
      <c r="IT99" s="106"/>
      <c r="IU99" s="106"/>
      <c r="IV99" s="106"/>
      <c r="IW99" s="106"/>
      <c r="IX99" s="106"/>
      <c r="IY99" s="106"/>
      <c r="IZ99" s="106"/>
      <c r="JA99" s="106"/>
      <c r="JB99" s="106"/>
      <c r="JC99" s="106"/>
      <c r="JD99" s="106"/>
      <c r="JE99" s="106"/>
      <c r="JF99" s="106"/>
      <c r="JG99" s="106"/>
      <c r="JH99" s="106"/>
      <c r="JI99" s="106"/>
      <c r="JJ99" s="106"/>
      <c r="JK99" s="106"/>
      <c r="JL99" s="106"/>
      <c r="JM99" s="106"/>
      <c r="JN99" s="106"/>
      <c r="JO99" s="106"/>
      <c r="JP99" s="106"/>
      <c r="JQ99" s="106"/>
      <c r="JR99" s="106"/>
      <c r="JS99" s="106"/>
      <c r="JT99" s="106"/>
      <c r="JU99" s="106"/>
      <c r="JV99" s="106"/>
      <c r="JW99" s="106"/>
      <c r="JX99" s="106"/>
      <c r="JY99" s="106"/>
      <c r="JZ99" s="106"/>
      <c r="KA99" s="106"/>
      <c r="KB99" s="106"/>
      <c r="KC99" s="106"/>
      <c r="KD99" s="106"/>
      <c r="KE99" s="106"/>
      <c r="KF99" s="106"/>
      <c r="KG99" s="106"/>
      <c r="KH99" s="106"/>
      <c r="KI99" s="106"/>
      <c r="KJ99" s="106"/>
      <c r="KK99" s="106"/>
      <c r="KL99" s="106"/>
      <c r="KM99" s="106"/>
      <c r="KN99" s="106"/>
      <c r="KO99" s="106"/>
      <c r="KP99" s="106"/>
      <c r="KQ99" s="106"/>
      <c r="KR99" s="106"/>
      <c r="KS99" s="106"/>
      <c r="KT99" s="106"/>
      <c r="KU99" s="106"/>
      <c r="KV99" s="106"/>
      <c r="KW99" s="106"/>
      <c r="KX99" s="106"/>
      <c r="KY99" s="106"/>
      <c r="KZ99" s="106"/>
      <c r="LA99" s="106"/>
      <c r="LB99" s="106"/>
      <c r="LC99" s="106"/>
      <c r="LD99" s="106"/>
      <c r="LE99" s="106"/>
      <c r="LF99" s="106"/>
      <c r="LG99" s="106"/>
      <c r="LH99" s="106"/>
      <c r="LI99" s="106"/>
      <c r="LJ99" s="106"/>
      <c r="LK99" s="106"/>
      <c r="LL99" s="106"/>
      <c r="LM99" s="106"/>
      <c r="LN99" s="106"/>
      <c r="LO99" s="106"/>
      <c r="LP99" s="106"/>
      <c r="LQ99" s="106"/>
      <c r="LR99" s="106"/>
      <c r="LS99" s="106"/>
      <c r="LT99" s="106"/>
      <c r="LU99" s="106"/>
      <c r="LV99" s="106"/>
      <c r="LW99" s="106"/>
      <c r="LX99" s="106"/>
      <c r="LY99" s="106"/>
      <c r="LZ99" s="106"/>
      <c r="MA99" s="106"/>
      <c r="MB99" s="106"/>
      <c r="MC99" s="106"/>
      <c r="MD99" s="106"/>
      <c r="ME99" s="106"/>
      <c r="MF99" s="106"/>
      <c r="MG99" s="106"/>
      <c r="MH99" s="106"/>
      <c r="MI99" s="106"/>
      <c r="MJ99" s="106"/>
      <c r="MK99" s="106"/>
      <c r="ML99" s="106"/>
      <c r="MM99" s="106"/>
      <c r="MN99" s="106"/>
      <c r="MO99" s="106"/>
      <c r="MP99" s="106"/>
      <c r="MQ99" s="106"/>
      <c r="MR99" s="106"/>
      <c r="MS99" s="106"/>
      <c r="MT99" s="106"/>
      <c r="MU99" s="106"/>
      <c r="MV99" s="106"/>
      <c r="MW99" s="106"/>
      <c r="MX99" s="106"/>
      <c r="MY99" s="106"/>
      <c r="MZ99" s="106"/>
      <c r="NA99" s="106"/>
      <c r="NB99" s="106"/>
      <c r="NC99" s="106"/>
      <c r="ND99" s="106"/>
      <c r="NE99" s="106"/>
      <c r="NF99" s="106"/>
      <c r="NG99" s="106"/>
      <c r="NH99" s="106"/>
      <c r="NI99" s="106"/>
      <c r="NJ99" s="106"/>
      <c r="NK99" s="106"/>
      <c r="NL99" s="106"/>
      <c r="NM99" s="106"/>
      <c r="NN99" s="106"/>
      <c r="NO99" s="106"/>
      <c r="NP99" s="106"/>
      <c r="NQ99" s="106"/>
      <c r="NR99" s="106"/>
      <c r="NS99" s="106"/>
      <c r="NT99" s="106"/>
      <c r="NU99" s="106"/>
      <c r="NV99" s="106"/>
      <c r="NW99" s="106"/>
      <c r="NX99" s="106"/>
      <c r="NY99" s="106"/>
      <c r="NZ99" s="106"/>
      <c r="OA99" s="106"/>
      <c r="OB99" s="106"/>
      <c r="OC99" s="106"/>
      <c r="OD99" s="106"/>
      <c r="OE99" s="106"/>
      <c r="OF99" s="106"/>
      <c r="OG99" s="106"/>
      <c r="OH99" s="106"/>
      <c r="OI99" s="106"/>
      <c r="OJ99" s="106"/>
      <c r="OK99" s="106"/>
      <c r="OL99" s="106"/>
      <c r="OM99" s="106"/>
      <c r="ON99" s="106"/>
      <c r="OO99" s="106"/>
      <c r="OP99" s="106"/>
      <c r="OQ99" s="106"/>
      <c r="OR99" s="106"/>
      <c r="OS99" s="106"/>
      <c r="OT99" s="106"/>
      <c r="OU99" s="106"/>
      <c r="OV99" s="106"/>
      <c r="OW99" s="106"/>
      <c r="OX99" s="106"/>
      <c r="OY99" s="106"/>
      <c r="OZ99" s="106"/>
      <c r="PA99" s="106"/>
      <c r="PB99" s="106"/>
      <c r="PC99" s="106"/>
      <c r="PD99" s="106"/>
      <c r="PE99" s="106"/>
      <c r="PF99" s="106"/>
      <c r="PG99" s="106"/>
      <c r="PH99" s="106"/>
      <c r="PI99" s="106"/>
      <c r="PJ99" s="106"/>
      <c r="PK99" s="106"/>
      <c r="PL99" s="106"/>
      <c r="PM99" s="106"/>
      <c r="PN99" s="106"/>
      <c r="PO99" s="106"/>
      <c r="PP99" s="106"/>
      <c r="PQ99" s="106"/>
      <c r="PR99" s="106"/>
      <c r="PS99" s="106"/>
      <c r="PT99" s="106"/>
      <c r="PU99" s="106"/>
      <c r="PV99" s="106"/>
      <c r="PW99" s="106"/>
      <c r="PX99" s="106"/>
      <c r="PY99" s="106"/>
      <c r="PZ99" s="106"/>
      <c r="QA99" s="106"/>
      <c r="QB99" s="106"/>
      <c r="QC99" s="106"/>
      <c r="QD99" s="106"/>
      <c r="QE99" s="106"/>
      <c r="QF99" s="106"/>
      <c r="QG99" s="106"/>
      <c r="QH99" s="106"/>
      <c r="QI99" s="106"/>
      <c r="QJ99" s="106"/>
      <c r="QK99" s="106"/>
      <c r="QL99" s="106"/>
      <c r="QM99" s="106"/>
      <c r="QN99" s="106"/>
      <c r="QO99" s="106"/>
      <c r="QP99" s="106"/>
      <c r="QQ99" s="106"/>
      <c r="QR99" s="106"/>
      <c r="QS99" s="106"/>
      <c r="QT99" s="106"/>
      <c r="QU99" s="106"/>
      <c r="QV99" s="106"/>
      <c r="QW99" s="106"/>
      <c r="QX99" s="106"/>
      <c r="QY99" s="106"/>
      <c r="QZ99" s="106"/>
      <c r="RA99" s="106"/>
      <c r="RB99" s="106"/>
      <c r="RC99" s="106"/>
      <c r="RD99" s="106"/>
      <c r="RE99" s="106"/>
      <c r="RF99" s="106"/>
      <c r="RG99" s="106"/>
      <c r="RH99" s="106"/>
      <c r="RI99" s="106"/>
      <c r="RJ99" s="106"/>
      <c r="RK99" s="106"/>
      <c r="RL99" s="106"/>
      <c r="RM99" s="106"/>
      <c r="RN99" s="106"/>
      <c r="RO99" s="106"/>
      <c r="RP99" s="106"/>
      <c r="RQ99" s="106"/>
      <c r="RR99" s="106"/>
      <c r="RS99" s="106"/>
      <c r="RT99" s="106"/>
      <c r="RU99" s="106"/>
      <c r="RV99" s="106"/>
      <c r="RW99" s="106"/>
      <c r="RX99" s="106"/>
      <c r="RY99" s="106"/>
      <c r="RZ99" s="106"/>
      <c r="SA99" s="106"/>
      <c r="SB99" s="106"/>
      <c r="SC99" s="106"/>
      <c r="SD99" s="106"/>
      <c r="SE99" s="106"/>
      <c r="SF99" s="106"/>
      <c r="SG99" s="106"/>
      <c r="SH99" s="106"/>
      <c r="SI99" s="106"/>
      <c r="SJ99" s="106"/>
      <c r="SK99" s="106"/>
      <c r="SL99" s="106"/>
      <c r="SM99" s="106"/>
      <c r="SN99" s="106"/>
      <c r="SO99" s="106"/>
      <c r="SP99" s="106"/>
      <c r="SQ99" s="106"/>
      <c r="SR99" s="106"/>
      <c r="SS99" s="106"/>
      <c r="ST99" s="106"/>
      <c r="SU99" s="106"/>
      <c r="SV99" s="106"/>
      <c r="SW99" s="106"/>
      <c r="SX99" s="106"/>
      <c r="SY99" s="106"/>
      <c r="SZ99" s="106"/>
      <c r="TA99" s="106"/>
      <c r="TB99" s="106"/>
      <c r="TC99" s="106"/>
      <c r="TD99" s="106"/>
      <c r="TE99" s="106"/>
      <c r="TF99" s="106"/>
      <c r="TG99" s="106"/>
      <c r="TH99" s="106"/>
      <c r="TI99" s="106"/>
      <c r="TJ99" s="106"/>
      <c r="TK99" s="106"/>
      <c r="TL99" s="106"/>
      <c r="TM99" s="106"/>
      <c r="TN99" s="106"/>
      <c r="TO99" s="106"/>
      <c r="TP99" s="106"/>
      <c r="TQ99" s="106"/>
      <c r="TR99" s="106"/>
      <c r="TS99" s="106"/>
      <c r="TT99" s="106"/>
      <c r="TU99" s="106"/>
      <c r="TV99" s="106"/>
      <c r="TW99" s="106"/>
      <c r="TX99" s="106"/>
      <c r="TY99" s="106"/>
      <c r="TZ99" s="106"/>
      <c r="UA99" s="106"/>
      <c r="UB99" s="106"/>
      <c r="UC99" s="106"/>
      <c r="UD99" s="106"/>
      <c r="UE99" s="106"/>
      <c r="UF99" s="106"/>
      <c r="UG99" s="106"/>
      <c r="UH99" s="106"/>
      <c r="UI99" s="106"/>
      <c r="UJ99" s="106"/>
      <c r="UK99" s="106"/>
      <c r="UL99" s="106"/>
      <c r="UM99" s="106"/>
      <c r="UN99" s="106"/>
      <c r="UO99" s="106"/>
      <c r="UP99" s="106"/>
      <c r="UQ99" s="106"/>
      <c r="UR99" s="106"/>
      <c r="US99" s="106"/>
      <c r="UT99" s="106"/>
      <c r="UU99" s="106"/>
      <c r="UV99" s="106"/>
      <c r="UW99" s="106"/>
      <c r="UX99" s="106"/>
      <c r="UY99" s="106"/>
      <c r="UZ99" s="106"/>
      <c r="VA99" s="106"/>
      <c r="VB99" s="106"/>
      <c r="VC99" s="106"/>
      <c r="VD99" s="106"/>
      <c r="VE99" s="106"/>
      <c r="VF99" s="106"/>
      <c r="VG99" s="106"/>
      <c r="VH99" s="106"/>
      <c r="VI99" s="106"/>
      <c r="VJ99" s="106"/>
      <c r="VK99" s="106"/>
      <c r="VL99" s="106"/>
      <c r="VM99" s="106"/>
      <c r="VN99" s="106"/>
      <c r="VO99" s="106"/>
      <c r="VP99" s="106"/>
      <c r="VQ99" s="106"/>
      <c r="VR99" s="106"/>
      <c r="VS99" s="106"/>
      <c r="VT99" s="106"/>
      <c r="VU99" s="106"/>
      <c r="VV99" s="106"/>
      <c r="VW99" s="106"/>
      <c r="VX99" s="106"/>
      <c r="VY99" s="106"/>
      <c r="VZ99" s="106"/>
      <c r="WA99" s="106"/>
      <c r="WB99" s="106"/>
      <c r="WC99" s="106"/>
      <c r="WD99" s="106"/>
      <c r="WE99" s="106"/>
      <c r="WF99" s="106"/>
      <c r="WG99" s="106"/>
      <c r="WH99" s="106"/>
      <c r="WI99" s="106"/>
      <c r="WJ99" s="106"/>
      <c r="WK99" s="106"/>
      <c r="WL99" s="106"/>
      <c r="WM99" s="106"/>
      <c r="WN99" s="106"/>
      <c r="WO99" s="106"/>
      <c r="WP99" s="106"/>
      <c r="WQ99" s="106"/>
      <c r="WR99" s="106"/>
      <c r="WS99" s="106"/>
      <c r="WT99" s="106"/>
      <c r="WU99" s="106"/>
      <c r="WV99" s="106"/>
      <c r="WW99" s="106"/>
      <c r="WX99" s="106"/>
      <c r="WY99" s="106"/>
      <c r="WZ99" s="106"/>
      <c r="XA99" s="106"/>
      <c r="XB99" s="106"/>
      <c r="XC99" s="106"/>
      <c r="XD99" s="106"/>
      <c r="XE99" s="106"/>
      <c r="XF99" s="106"/>
      <c r="XG99" s="106"/>
      <c r="XH99" s="106"/>
      <c r="XI99" s="106"/>
      <c r="XJ99" s="106"/>
      <c r="XK99" s="106"/>
      <c r="XL99" s="106"/>
      <c r="XM99" s="106"/>
      <c r="XN99" s="106"/>
      <c r="XO99" s="106"/>
      <c r="XP99" s="106"/>
      <c r="XQ99" s="106"/>
      <c r="XR99" s="106"/>
      <c r="XS99" s="106"/>
      <c r="XT99" s="106"/>
      <c r="XU99" s="106"/>
      <c r="XV99" s="106"/>
      <c r="XW99" s="106"/>
      <c r="XX99" s="106"/>
      <c r="XY99" s="106"/>
      <c r="XZ99" s="106"/>
      <c r="YA99" s="106"/>
      <c r="YB99" s="106"/>
      <c r="YC99" s="106"/>
      <c r="YD99" s="106"/>
      <c r="YE99" s="106"/>
      <c r="YF99" s="106"/>
      <c r="YG99" s="106"/>
      <c r="YH99" s="106"/>
      <c r="YI99" s="106"/>
      <c r="YJ99" s="106"/>
      <c r="YK99" s="106"/>
      <c r="YL99" s="106"/>
      <c r="YM99" s="106"/>
      <c r="YN99" s="106"/>
      <c r="YO99" s="106"/>
      <c r="YP99" s="106"/>
      <c r="YQ99" s="106"/>
      <c r="YR99" s="106"/>
      <c r="YS99" s="106"/>
      <c r="YT99" s="106"/>
      <c r="YU99" s="106"/>
      <c r="YV99" s="106"/>
      <c r="YW99" s="106"/>
      <c r="YX99" s="106"/>
      <c r="YY99" s="106"/>
      <c r="YZ99" s="106"/>
      <c r="ZA99" s="106"/>
      <c r="ZB99" s="106"/>
      <c r="ZC99" s="106"/>
      <c r="ZD99" s="106"/>
      <c r="ZE99" s="106"/>
      <c r="ZF99" s="106"/>
      <c r="ZG99" s="106"/>
      <c r="ZH99" s="106"/>
      <c r="ZI99" s="106"/>
      <c r="ZJ99" s="106"/>
      <c r="ZK99" s="106"/>
      <c r="ZL99" s="106"/>
      <c r="ZM99" s="106"/>
      <c r="ZN99" s="106"/>
      <c r="ZO99" s="106"/>
      <c r="ZP99" s="106"/>
      <c r="ZQ99" s="106"/>
      <c r="ZR99" s="106"/>
      <c r="ZS99" s="106"/>
      <c r="ZT99" s="106"/>
      <c r="ZU99" s="106"/>
      <c r="ZV99" s="106"/>
      <c r="ZW99" s="106"/>
      <c r="ZX99" s="106"/>
      <c r="ZY99" s="106"/>
      <c r="ZZ99" s="106"/>
      <c r="AAA99" s="106"/>
      <c r="AAB99" s="106"/>
      <c r="AAC99" s="106"/>
      <c r="AAD99" s="106"/>
      <c r="AAE99" s="106"/>
      <c r="AAF99" s="106"/>
      <c r="AAG99" s="106"/>
      <c r="AAH99" s="106"/>
      <c r="AAI99" s="106"/>
      <c r="AAJ99" s="106"/>
      <c r="AAK99" s="106"/>
      <c r="AAL99" s="106"/>
      <c r="AAM99" s="106"/>
      <c r="AAN99" s="106"/>
      <c r="AAO99" s="106"/>
      <c r="AAP99" s="106"/>
      <c r="AAQ99" s="106"/>
      <c r="AAR99" s="106"/>
      <c r="AAS99" s="106"/>
      <c r="AAT99" s="106"/>
      <c r="AAU99" s="106"/>
      <c r="AAV99" s="106"/>
      <c r="AAW99" s="106"/>
      <c r="AAX99" s="106"/>
      <c r="AAY99" s="106"/>
      <c r="AAZ99" s="106"/>
      <c r="ABA99" s="106"/>
      <c r="ABB99" s="106"/>
      <c r="ABC99" s="106"/>
      <c r="ABD99" s="106"/>
      <c r="ABE99" s="106"/>
      <c r="ABF99" s="106"/>
      <c r="ABG99" s="106"/>
      <c r="ABH99" s="106"/>
      <c r="ABI99" s="106"/>
      <c r="ABJ99" s="106"/>
      <c r="ABK99" s="106"/>
      <c r="ABL99" s="106"/>
      <c r="ABM99" s="106"/>
      <c r="ABN99" s="106"/>
      <c r="ABO99" s="106"/>
      <c r="ABP99" s="106"/>
      <c r="ABQ99" s="106"/>
      <c r="ABR99" s="106"/>
      <c r="ABS99" s="106"/>
      <c r="ABT99" s="106"/>
      <c r="ABU99" s="106"/>
      <c r="ABV99" s="106"/>
      <c r="ABW99" s="106"/>
      <c r="ABX99" s="106"/>
      <c r="ABY99" s="106"/>
      <c r="ABZ99" s="106"/>
      <c r="ACA99" s="106"/>
      <c r="ACB99" s="106"/>
      <c r="ACC99" s="106"/>
      <c r="ACD99" s="106"/>
      <c r="ACE99" s="106"/>
      <c r="ACF99" s="106"/>
      <c r="ACG99" s="106"/>
      <c r="ACH99" s="106"/>
      <c r="ACI99" s="106"/>
      <c r="ACJ99" s="106"/>
      <c r="ACK99" s="106"/>
      <c r="ACL99" s="106"/>
      <c r="ACM99" s="106"/>
      <c r="ACN99" s="106"/>
      <c r="ACO99" s="106"/>
      <c r="ACP99" s="106"/>
      <c r="ACQ99" s="106"/>
      <c r="ACR99" s="106"/>
      <c r="ACS99" s="106"/>
      <c r="ACT99" s="106"/>
      <c r="ACU99" s="106"/>
      <c r="ACV99" s="106"/>
      <c r="ACW99" s="106"/>
      <c r="ACX99" s="106"/>
      <c r="ACY99" s="106"/>
      <c r="ACZ99" s="106"/>
      <c r="ADA99" s="106"/>
      <c r="ADB99" s="106"/>
      <c r="ADC99" s="106"/>
      <c r="ADD99" s="106"/>
      <c r="ADE99" s="106"/>
      <c r="ADF99" s="106"/>
      <c r="ADG99" s="106"/>
      <c r="ADH99" s="106"/>
      <c r="ADI99" s="106"/>
      <c r="ADJ99" s="106"/>
      <c r="ADK99" s="106"/>
      <c r="ADL99" s="106"/>
      <c r="ADM99" s="106"/>
      <c r="ADN99" s="106"/>
      <c r="ADO99" s="106"/>
      <c r="ADP99" s="106"/>
      <c r="ADQ99" s="106"/>
      <c r="ADR99" s="106"/>
      <c r="ADS99" s="106"/>
      <c r="ADT99" s="106"/>
      <c r="ADU99" s="106"/>
      <c r="ADV99" s="106"/>
      <c r="ADW99" s="106"/>
      <c r="ADX99" s="106"/>
      <c r="ADY99" s="106"/>
      <c r="ADZ99" s="106"/>
      <c r="AEA99" s="106"/>
      <c r="AEB99" s="106"/>
      <c r="AEC99" s="106"/>
      <c r="AED99" s="106"/>
      <c r="AEE99" s="106"/>
      <c r="AEF99" s="106"/>
      <c r="AEG99" s="106"/>
      <c r="AEH99" s="106"/>
      <c r="AEI99" s="106"/>
      <c r="AEJ99" s="106"/>
      <c r="AEK99" s="106"/>
      <c r="AEL99" s="106"/>
      <c r="AEM99" s="106"/>
      <c r="AEN99" s="106"/>
      <c r="AEO99" s="106"/>
      <c r="AEP99" s="106"/>
      <c r="AEQ99" s="106"/>
      <c r="AER99" s="106"/>
      <c r="AES99" s="106"/>
      <c r="AET99" s="106"/>
      <c r="AEU99" s="106"/>
      <c r="AEV99" s="106"/>
      <c r="AEW99" s="106"/>
      <c r="AEX99" s="106"/>
      <c r="AEY99" s="106"/>
      <c r="AEZ99" s="106"/>
      <c r="AFA99" s="106"/>
      <c r="AFB99" s="106"/>
      <c r="AFC99" s="106"/>
      <c r="AFD99" s="106"/>
      <c r="AFE99" s="106"/>
      <c r="AFF99" s="106"/>
      <c r="AFG99" s="106"/>
      <c r="AFH99" s="106"/>
      <c r="AFI99" s="106"/>
      <c r="AFJ99" s="106"/>
      <c r="AFK99" s="106"/>
      <c r="AFL99" s="106"/>
      <c r="AFM99" s="106"/>
      <c r="AFN99" s="106"/>
      <c r="AFO99" s="106"/>
      <c r="AFP99" s="106"/>
      <c r="AFQ99" s="106"/>
      <c r="AFR99" s="106"/>
      <c r="AFS99" s="106"/>
      <c r="AFT99" s="106"/>
      <c r="AFU99" s="106"/>
      <c r="AFV99" s="106"/>
      <c r="AFW99" s="106"/>
      <c r="AFX99" s="106"/>
      <c r="AFY99" s="106"/>
      <c r="AFZ99" s="106"/>
      <c r="AGA99" s="106"/>
      <c r="AGB99" s="106"/>
      <c r="AGC99" s="106"/>
      <c r="AGD99" s="106"/>
      <c r="AGE99" s="106"/>
      <c r="AGF99" s="106"/>
      <c r="AGG99" s="106"/>
      <c r="AGH99" s="106"/>
      <c r="AGI99" s="106"/>
      <c r="AGJ99" s="106"/>
      <c r="AGK99" s="106"/>
      <c r="AGL99" s="106"/>
      <c r="AGM99" s="106"/>
      <c r="AGN99" s="106"/>
      <c r="AGO99" s="106"/>
      <c r="AGP99" s="106"/>
      <c r="AGQ99" s="106"/>
      <c r="AGR99" s="106"/>
      <c r="AGS99" s="106"/>
      <c r="AGT99" s="106"/>
      <c r="AGU99" s="106"/>
      <c r="AGV99" s="106"/>
      <c r="AGW99" s="106"/>
      <c r="AGX99" s="106"/>
      <c r="AGY99" s="106"/>
      <c r="AGZ99" s="106"/>
      <c r="AHA99" s="106"/>
      <c r="AHB99" s="106"/>
      <c r="AHC99" s="106"/>
      <c r="AHD99" s="106"/>
      <c r="AHE99" s="106"/>
      <c r="AHF99" s="106"/>
      <c r="AHG99" s="106"/>
      <c r="AHH99" s="106"/>
      <c r="AHI99" s="106"/>
      <c r="AHJ99" s="106"/>
      <c r="AHK99" s="106"/>
      <c r="AHL99" s="106"/>
      <c r="AHM99" s="106"/>
      <c r="AHN99" s="106"/>
      <c r="AHO99" s="106"/>
      <c r="AHP99" s="106"/>
      <c r="AHQ99" s="106"/>
      <c r="AHR99" s="106"/>
      <c r="AHS99" s="106"/>
      <c r="AHT99" s="106"/>
      <c r="AHU99" s="106"/>
      <c r="AHV99" s="106"/>
      <c r="AHW99" s="106"/>
      <c r="AHX99" s="106"/>
      <c r="AHY99" s="106"/>
      <c r="AHZ99" s="106"/>
      <c r="AIA99" s="106"/>
      <c r="AIB99" s="106"/>
      <c r="AIC99" s="106"/>
      <c r="AID99" s="106"/>
      <c r="AIE99" s="106"/>
      <c r="AIF99" s="106"/>
      <c r="AIG99" s="106"/>
      <c r="AIH99" s="106"/>
      <c r="AII99" s="106"/>
      <c r="AIJ99" s="106"/>
      <c r="AIK99" s="106"/>
      <c r="AIL99" s="106"/>
      <c r="AIM99" s="106"/>
      <c r="AIN99" s="106"/>
      <c r="AIO99" s="106"/>
      <c r="AIP99" s="106"/>
      <c r="AIQ99" s="106"/>
      <c r="AIR99" s="106"/>
      <c r="AIS99" s="106"/>
      <c r="AIT99" s="106"/>
      <c r="AIU99" s="106"/>
      <c r="AIV99" s="106"/>
      <c r="AIW99" s="106"/>
      <c r="AIX99" s="106"/>
      <c r="AIY99" s="106"/>
      <c r="AIZ99" s="106"/>
      <c r="AJA99" s="106"/>
      <c r="AJB99" s="106"/>
      <c r="AJC99" s="106"/>
      <c r="AJD99" s="106"/>
      <c r="AJE99" s="106"/>
      <c r="AJF99" s="106"/>
      <c r="AJG99" s="106"/>
      <c r="AJH99" s="106"/>
      <c r="AJI99" s="106"/>
      <c r="AJJ99" s="106"/>
      <c r="AJK99" s="106"/>
      <c r="AJL99" s="106"/>
      <c r="AJM99" s="106"/>
      <c r="AJN99" s="106"/>
      <c r="AJO99" s="106"/>
      <c r="AJP99" s="106"/>
      <c r="AJQ99" s="106"/>
      <c r="AJR99" s="106"/>
      <c r="AJS99" s="106"/>
      <c r="AJT99" s="106"/>
      <c r="AJU99" s="106"/>
      <c r="AJV99" s="106"/>
      <c r="AJW99" s="106"/>
      <c r="AJX99" s="106"/>
      <c r="AJY99" s="106"/>
      <c r="AJZ99" s="106"/>
      <c r="AKA99" s="106"/>
      <c r="AKB99" s="106"/>
      <c r="AKC99" s="106"/>
      <c r="AKD99" s="106"/>
      <c r="AKE99" s="106"/>
      <c r="AKF99" s="106"/>
      <c r="AKG99" s="106"/>
      <c r="AKH99" s="106"/>
      <c r="AKI99" s="106"/>
      <c r="AKJ99" s="106"/>
      <c r="AKK99" s="106"/>
      <c r="AKL99" s="106"/>
      <c r="AKM99" s="106"/>
      <c r="AKN99" s="106"/>
      <c r="AKO99" s="106"/>
      <c r="AKP99" s="106"/>
      <c r="AKQ99" s="106"/>
      <c r="AKR99" s="106"/>
      <c r="AKS99" s="106"/>
      <c r="AKT99" s="106"/>
      <c r="AKU99" s="106"/>
      <c r="AKV99" s="106"/>
      <c r="AKW99" s="106"/>
      <c r="AKX99" s="106"/>
      <c r="AKY99" s="106"/>
      <c r="AKZ99" s="106"/>
      <c r="ALA99" s="106"/>
      <c r="ALB99" s="106"/>
      <c r="ALC99" s="106"/>
      <c r="ALD99" s="106"/>
      <c r="ALE99" s="106"/>
      <c r="ALF99" s="106"/>
      <c r="ALG99" s="106"/>
      <c r="ALH99" s="106"/>
    </row>
    <row r="100" spans="1:996" s="75" customFormat="1" ht="15.75" customHeight="1">
      <c r="A100" s="104"/>
      <c r="B100" s="75" t="str">
        <f t="shared" ref="B100" si="6">D100&amp;E100</f>
        <v>S112109</v>
      </c>
      <c r="C100" s="75" t="s">
        <v>603</v>
      </c>
      <c r="D100" s="27" t="s">
        <v>128</v>
      </c>
      <c r="E100" s="75">
        <v>112109</v>
      </c>
      <c r="F100" s="105" t="s">
        <v>600</v>
      </c>
      <c r="G100" s="74">
        <f>IFERROR(VLOOKUP(E100,'BD - E - Mvto Cx'!$E$15:$G$500,3,0),0)</f>
        <v>8302.3799999999992</v>
      </c>
      <c r="H100" s="72">
        <f>IFERROR(VLOOKUP(E100,'BD - E - Mvto Cx'!$N$15:$P$500,3,0),0)</f>
        <v>0</v>
      </c>
      <c r="I100" s="73">
        <f>IFERROR(VLOOKUP(E100,'BD - E - Mvto Cx'!$W$15:$Y$497,3,0),0)</f>
        <v>0</v>
      </c>
      <c r="J100" s="73">
        <f>IFERROR(VLOOKUP(E100,'BD - E - Mvto Cx'!$AF$15:$AI$500,3,0),0)</f>
        <v>0</v>
      </c>
      <c r="K100" s="73">
        <f>IFERROR(VLOOKUP(E100,'BD - E - Mvto Cx'!$AO$15:$AQ$500,3,0),0)</f>
        <v>0</v>
      </c>
      <c r="L100" s="73">
        <f>IFERROR(VLOOKUP(E100,'BD - E - Mvto Cx'!$AX$15:$AZ$500,3,0),0)</f>
        <v>0</v>
      </c>
      <c r="M100" s="73">
        <f>IFERROR(VLOOKUP(E100,'BD - E - Mvto Cx'!$BJ$15:$BL$500,3,0),0)</f>
        <v>0</v>
      </c>
      <c r="N100" s="73">
        <f>IFERROR(VLOOKUP(E100,'BD - E - Mvto Cx'!$BS$15:$BU$500,3,0),0)</f>
        <v>0</v>
      </c>
      <c r="O100" s="73">
        <f>IFERROR(VLOOKUP(E100,'BD - E - Mvto Cx'!$CB$15:$CD$500,3,0),0)</f>
        <v>0</v>
      </c>
      <c r="P100" s="73">
        <f>IFERROR(VLOOKUP(E100,'BD - E - Mvto Cx'!$CK$15:$CM$500,3,0),0)</f>
        <v>0</v>
      </c>
      <c r="Q100" s="73">
        <f>IFERROR(VLOOKUP(E100,'BD - E - Mvto Cx'!$CT$15:$CV$500,3,0),0)</f>
        <v>0</v>
      </c>
      <c r="R100" s="73">
        <f>IFERROR(VLOOKUP(E100,'BD - E - Mvto Cx'!$DC$15:$DE$500,3,0),0)</f>
        <v>0</v>
      </c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6"/>
      <c r="DL100" s="106"/>
      <c r="DM100" s="106"/>
      <c r="DN100" s="106"/>
      <c r="DO100" s="106"/>
      <c r="DP100" s="106"/>
      <c r="DQ100" s="106"/>
      <c r="DR100" s="106"/>
      <c r="DS100" s="106"/>
      <c r="DT100" s="106"/>
      <c r="DU100" s="106"/>
      <c r="DV100" s="106"/>
      <c r="DW100" s="106"/>
      <c r="DX100" s="106"/>
      <c r="DY100" s="106"/>
      <c r="DZ100" s="106"/>
      <c r="EA100" s="106"/>
      <c r="EB100" s="106"/>
      <c r="EC100" s="106"/>
      <c r="ED100" s="106"/>
      <c r="EE100" s="106"/>
      <c r="EF100" s="106"/>
      <c r="EG100" s="106"/>
      <c r="EH100" s="106"/>
      <c r="EI100" s="106"/>
      <c r="EJ100" s="106"/>
      <c r="EK100" s="106"/>
      <c r="EL100" s="106"/>
      <c r="EM100" s="106"/>
      <c r="EN100" s="106"/>
      <c r="EO100" s="106"/>
      <c r="EP100" s="106"/>
      <c r="EQ100" s="106"/>
      <c r="ER100" s="106"/>
      <c r="ES100" s="106"/>
      <c r="ET100" s="106"/>
      <c r="EU100" s="106"/>
      <c r="EV100" s="106"/>
      <c r="EW100" s="106"/>
      <c r="EX100" s="106"/>
      <c r="EY100" s="106"/>
      <c r="EZ100" s="106"/>
      <c r="FA100" s="106"/>
      <c r="FB100" s="106"/>
      <c r="FC100" s="106"/>
      <c r="FD100" s="106"/>
      <c r="FE100" s="106"/>
      <c r="FF100" s="106"/>
      <c r="FG100" s="106"/>
      <c r="FH100" s="106"/>
      <c r="FI100" s="106"/>
      <c r="FJ100" s="106"/>
      <c r="FK100" s="106"/>
      <c r="FL100" s="106"/>
      <c r="FM100" s="106"/>
      <c r="FN100" s="106"/>
      <c r="FO100" s="106"/>
      <c r="FP100" s="106"/>
      <c r="FQ100" s="106"/>
      <c r="FR100" s="106"/>
      <c r="FS100" s="106"/>
      <c r="FT100" s="106"/>
      <c r="FU100" s="106"/>
      <c r="FV100" s="106"/>
      <c r="FW100" s="106"/>
      <c r="FX100" s="106"/>
      <c r="FY100" s="106"/>
      <c r="FZ100" s="106"/>
      <c r="GA100" s="106"/>
      <c r="GB100" s="106"/>
      <c r="GC100" s="106"/>
      <c r="GD100" s="106"/>
      <c r="GE100" s="106"/>
      <c r="GF100" s="106"/>
      <c r="GG100" s="106"/>
      <c r="GH100" s="106"/>
      <c r="GI100" s="106"/>
      <c r="GJ100" s="106"/>
      <c r="GK100" s="106"/>
      <c r="GL100" s="106"/>
      <c r="GM100" s="106"/>
      <c r="GN100" s="106"/>
      <c r="GO100" s="106"/>
      <c r="GP100" s="106"/>
      <c r="GQ100" s="106"/>
      <c r="GR100" s="106"/>
      <c r="GS100" s="106"/>
      <c r="GT100" s="106"/>
      <c r="GU100" s="106"/>
      <c r="GV100" s="106"/>
      <c r="GW100" s="106"/>
      <c r="GX100" s="106"/>
      <c r="GY100" s="106"/>
      <c r="GZ100" s="106"/>
      <c r="HA100" s="106"/>
      <c r="HB100" s="106"/>
      <c r="HC100" s="106"/>
      <c r="HD100" s="106"/>
      <c r="HE100" s="106"/>
      <c r="HF100" s="106"/>
      <c r="HG100" s="106"/>
      <c r="HH100" s="106"/>
      <c r="HI100" s="106"/>
      <c r="HJ100" s="106"/>
      <c r="HK100" s="106"/>
      <c r="HL100" s="106"/>
      <c r="HM100" s="106"/>
      <c r="HN100" s="106"/>
      <c r="HO100" s="106"/>
      <c r="HP100" s="106"/>
      <c r="HQ100" s="106"/>
      <c r="HR100" s="106"/>
      <c r="HS100" s="106"/>
      <c r="HT100" s="106"/>
      <c r="HU100" s="106"/>
      <c r="HV100" s="106"/>
      <c r="HW100" s="106"/>
      <c r="HX100" s="106"/>
      <c r="HY100" s="106"/>
      <c r="HZ100" s="106"/>
      <c r="IA100" s="106"/>
      <c r="IB100" s="106"/>
      <c r="IC100" s="106"/>
      <c r="ID100" s="106"/>
      <c r="IE100" s="106"/>
      <c r="IF100" s="106"/>
      <c r="IG100" s="106"/>
      <c r="IH100" s="106"/>
      <c r="II100" s="106"/>
      <c r="IJ100" s="106"/>
      <c r="IK100" s="106"/>
      <c r="IL100" s="106"/>
      <c r="IM100" s="106"/>
      <c r="IN100" s="106"/>
      <c r="IO100" s="106"/>
      <c r="IP100" s="106"/>
      <c r="IQ100" s="106"/>
      <c r="IR100" s="106"/>
      <c r="IS100" s="106"/>
      <c r="IT100" s="106"/>
      <c r="IU100" s="106"/>
      <c r="IV100" s="106"/>
      <c r="IW100" s="106"/>
      <c r="IX100" s="106"/>
      <c r="IY100" s="106"/>
      <c r="IZ100" s="106"/>
      <c r="JA100" s="106"/>
      <c r="JB100" s="106"/>
      <c r="JC100" s="106"/>
      <c r="JD100" s="106"/>
      <c r="JE100" s="106"/>
      <c r="JF100" s="106"/>
      <c r="JG100" s="106"/>
      <c r="JH100" s="106"/>
      <c r="JI100" s="106"/>
      <c r="JJ100" s="106"/>
      <c r="JK100" s="106"/>
      <c r="JL100" s="106"/>
      <c r="JM100" s="106"/>
      <c r="JN100" s="106"/>
      <c r="JO100" s="106"/>
      <c r="JP100" s="106"/>
      <c r="JQ100" s="106"/>
      <c r="JR100" s="106"/>
      <c r="JS100" s="106"/>
      <c r="JT100" s="106"/>
      <c r="JU100" s="106"/>
      <c r="JV100" s="106"/>
      <c r="JW100" s="106"/>
      <c r="JX100" s="106"/>
      <c r="JY100" s="106"/>
      <c r="JZ100" s="106"/>
      <c r="KA100" s="106"/>
      <c r="KB100" s="106"/>
      <c r="KC100" s="106"/>
      <c r="KD100" s="106"/>
      <c r="KE100" s="106"/>
      <c r="KF100" s="106"/>
      <c r="KG100" s="106"/>
      <c r="KH100" s="106"/>
      <c r="KI100" s="106"/>
      <c r="KJ100" s="106"/>
      <c r="KK100" s="106"/>
      <c r="KL100" s="106"/>
      <c r="KM100" s="106"/>
      <c r="KN100" s="106"/>
      <c r="KO100" s="106"/>
      <c r="KP100" s="106"/>
      <c r="KQ100" s="106"/>
      <c r="KR100" s="106"/>
      <c r="KS100" s="106"/>
      <c r="KT100" s="106"/>
      <c r="KU100" s="106"/>
      <c r="KV100" s="106"/>
      <c r="KW100" s="106"/>
      <c r="KX100" s="106"/>
      <c r="KY100" s="106"/>
      <c r="KZ100" s="106"/>
      <c r="LA100" s="106"/>
      <c r="LB100" s="106"/>
      <c r="LC100" s="106"/>
      <c r="LD100" s="106"/>
      <c r="LE100" s="106"/>
      <c r="LF100" s="106"/>
      <c r="LG100" s="106"/>
      <c r="LH100" s="106"/>
      <c r="LI100" s="106"/>
      <c r="LJ100" s="106"/>
      <c r="LK100" s="106"/>
      <c r="LL100" s="106"/>
      <c r="LM100" s="106"/>
      <c r="LN100" s="106"/>
      <c r="LO100" s="106"/>
      <c r="LP100" s="106"/>
      <c r="LQ100" s="106"/>
      <c r="LR100" s="106"/>
      <c r="LS100" s="106"/>
      <c r="LT100" s="106"/>
      <c r="LU100" s="106"/>
      <c r="LV100" s="106"/>
      <c r="LW100" s="106"/>
      <c r="LX100" s="106"/>
      <c r="LY100" s="106"/>
      <c r="LZ100" s="106"/>
      <c r="MA100" s="106"/>
      <c r="MB100" s="106"/>
      <c r="MC100" s="106"/>
      <c r="MD100" s="106"/>
      <c r="ME100" s="106"/>
      <c r="MF100" s="106"/>
      <c r="MG100" s="106"/>
      <c r="MH100" s="106"/>
      <c r="MI100" s="106"/>
      <c r="MJ100" s="106"/>
      <c r="MK100" s="106"/>
      <c r="ML100" s="106"/>
      <c r="MM100" s="106"/>
      <c r="MN100" s="106"/>
      <c r="MO100" s="106"/>
      <c r="MP100" s="106"/>
      <c r="MQ100" s="106"/>
      <c r="MR100" s="106"/>
      <c r="MS100" s="106"/>
      <c r="MT100" s="106"/>
      <c r="MU100" s="106"/>
      <c r="MV100" s="106"/>
      <c r="MW100" s="106"/>
      <c r="MX100" s="106"/>
      <c r="MY100" s="106"/>
      <c r="MZ100" s="106"/>
      <c r="NA100" s="106"/>
      <c r="NB100" s="106"/>
      <c r="NC100" s="106"/>
      <c r="ND100" s="106"/>
      <c r="NE100" s="106"/>
      <c r="NF100" s="106"/>
      <c r="NG100" s="106"/>
      <c r="NH100" s="106"/>
      <c r="NI100" s="106"/>
      <c r="NJ100" s="106"/>
      <c r="NK100" s="106"/>
      <c r="NL100" s="106"/>
      <c r="NM100" s="106"/>
      <c r="NN100" s="106"/>
      <c r="NO100" s="106"/>
      <c r="NP100" s="106"/>
      <c r="NQ100" s="106"/>
      <c r="NR100" s="106"/>
      <c r="NS100" s="106"/>
      <c r="NT100" s="106"/>
      <c r="NU100" s="106"/>
      <c r="NV100" s="106"/>
      <c r="NW100" s="106"/>
      <c r="NX100" s="106"/>
      <c r="NY100" s="106"/>
      <c r="NZ100" s="106"/>
      <c r="OA100" s="106"/>
      <c r="OB100" s="106"/>
      <c r="OC100" s="106"/>
      <c r="OD100" s="106"/>
      <c r="OE100" s="106"/>
      <c r="OF100" s="106"/>
      <c r="OG100" s="106"/>
      <c r="OH100" s="106"/>
      <c r="OI100" s="106"/>
      <c r="OJ100" s="106"/>
      <c r="OK100" s="106"/>
      <c r="OL100" s="106"/>
      <c r="OM100" s="106"/>
      <c r="ON100" s="106"/>
      <c r="OO100" s="106"/>
      <c r="OP100" s="106"/>
      <c r="OQ100" s="106"/>
      <c r="OR100" s="106"/>
      <c r="OS100" s="106"/>
      <c r="OT100" s="106"/>
      <c r="OU100" s="106"/>
      <c r="OV100" s="106"/>
      <c r="OW100" s="106"/>
      <c r="OX100" s="106"/>
      <c r="OY100" s="106"/>
      <c r="OZ100" s="106"/>
      <c r="PA100" s="106"/>
      <c r="PB100" s="106"/>
      <c r="PC100" s="106"/>
      <c r="PD100" s="106"/>
      <c r="PE100" s="106"/>
      <c r="PF100" s="106"/>
      <c r="PG100" s="106"/>
      <c r="PH100" s="106"/>
      <c r="PI100" s="106"/>
      <c r="PJ100" s="106"/>
      <c r="PK100" s="106"/>
      <c r="PL100" s="106"/>
      <c r="PM100" s="106"/>
      <c r="PN100" s="106"/>
      <c r="PO100" s="106"/>
      <c r="PP100" s="106"/>
      <c r="PQ100" s="106"/>
      <c r="PR100" s="106"/>
      <c r="PS100" s="106"/>
      <c r="PT100" s="106"/>
      <c r="PU100" s="106"/>
      <c r="PV100" s="106"/>
      <c r="PW100" s="106"/>
      <c r="PX100" s="106"/>
      <c r="PY100" s="106"/>
      <c r="PZ100" s="106"/>
      <c r="QA100" s="106"/>
      <c r="QB100" s="106"/>
      <c r="QC100" s="106"/>
      <c r="QD100" s="106"/>
      <c r="QE100" s="106"/>
      <c r="QF100" s="106"/>
      <c r="QG100" s="106"/>
      <c r="QH100" s="106"/>
      <c r="QI100" s="106"/>
      <c r="QJ100" s="106"/>
      <c r="QK100" s="106"/>
      <c r="QL100" s="106"/>
      <c r="QM100" s="106"/>
      <c r="QN100" s="106"/>
      <c r="QO100" s="106"/>
      <c r="QP100" s="106"/>
      <c r="QQ100" s="106"/>
      <c r="QR100" s="106"/>
      <c r="QS100" s="106"/>
      <c r="QT100" s="106"/>
      <c r="QU100" s="106"/>
      <c r="QV100" s="106"/>
      <c r="QW100" s="106"/>
      <c r="QX100" s="106"/>
      <c r="QY100" s="106"/>
      <c r="QZ100" s="106"/>
      <c r="RA100" s="106"/>
      <c r="RB100" s="106"/>
      <c r="RC100" s="106"/>
      <c r="RD100" s="106"/>
      <c r="RE100" s="106"/>
      <c r="RF100" s="106"/>
      <c r="RG100" s="106"/>
      <c r="RH100" s="106"/>
      <c r="RI100" s="106"/>
      <c r="RJ100" s="106"/>
      <c r="RK100" s="106"/>
      <c r="RL100" s="106"/>
      <c r="RM100" s="106"/>
      <c r="RN100" s="106"/>
      <c r="RO100" s="106"/>
      <c r="RP100" s="106"/>
      <c r="RQ100" s="106"/>
      <c r="RR100" s="106"/>
      <c r="RS100" s="106"/>
      <c r="RT100" s="106"/>
      <c r="RU100" s="106"/>
      <c r="RV100" s="106"/>
      <c r="RW100" s="106"/>
      <c r="RX100" s="106"/>
      <c r="RY100" s="106"/>
      <c r="RZ100" s="106"/>
      <c r="SA100" s="106"/>
      <c r="SB100" s="106"/>
      <c r="SC100" s="106"/>
      <c r="SD100" s="106"/>
      <c r="SE100" s="106"/>
      <c r="SF100" s="106"/>
      <c r="SG100" s="106"/>
      <c r="SH100" s="106"/>
      <c r="SI100" s="106"/>
      <c r="SJ100" s="106"/>
      <c r="SK100" s="106"/>
      <c r="SL100" s="106"/>
      <c r="SM100" s="106"/>
      <c r="SN100" s="106"/>
      <c r="SO100" s="106"/>
      <c r="SP100" s="106"/>
      <c r="SQ100" s="106"/>
      <c r="SR100" s="106"/>
      <c r="SS100" s="106"/>
      <c r="ST100" s="106"/>
      <c r="SU100" s="106"/>
      <c r="SV100" s="106"/>
      <c r="SW100" s="106"/>
      <c r="SX100" s="106"/>
      <c r="SY100" s="106"/>
      <c r="SZ100" s="106"/>
      <c r="TA100" s="106"/>
      <c r="TB100" s="106"/>
      <c r="TC100" s="106"/>
      <c r="TD100" s="106"/>
      <c r="TE100" s="106"/>
      <c r="TF100" s="106"/>
      <c r="TG100" s="106"/>
      <c r="TH100" s="106"/>
      <c r="TI100" s="106"/>
      <c r="TJ100" s="106"/>
      <c r="TK100" s="106"/>
      <c r="TL100" s="106"/>
      <c r="TM100" s="106"/>
      <c r="TN100" s="106"/>
      <c r="TO100" s="106"/>
      <c r="TP100" s="106"/>
      <c r="TQ100" s="106"/>
      <c r="TR100" s="106"/>
      <c r="TS100" s="106"/>
      <c r="TT100" s="106"/>
      <c r="TU100" s="106"/>
      <c r="TV100" s="106"/>
      <c r="TW100" s="106"/>
      <c r="TX100" s="106"/>
      <c r="TY100" s="106"/>
      <c r="TZ100" s="106"/>
      <c r="UA100" s="106"/>
      <c r="UB100" s="106"/>
      <c r="UC100" s="106"/>
      <c r="UD100" s="106"/>
      <c r="UE100" s="106"/>
      <c r="UF100" s="106"/>
      <c r="UG100" s="106"/>
      <c r="UH100" s="106"/>
      <c r="UI100" s="106"/>
      <c r="UJ100" s="106"/>
      <c r="UK100" s="106"/>
      <c r="UL100" s="106"/>
      <c r="UM100" s="106"/>
      <c r="UN100" s="106"/>
      <c r="UO100" s="106"/>
      <c r="UP100" s="106"/>
      <c r="UQ100" s="106"/>
      <c r="UR100" s="106"/>
      <c r="US100" s="106"/>
      <c r="UT100" s="106"/>
      <c r="UU100" s="106"/>
      <c r="UV100" s="106"/>
      <c r="UW100" s="106"/>
      <c r="UX100" s="106"/>
      <c r="UY100" s="106"/>
      <c r="UZ100" s="106"/>
      <c r="VA100" s="106"/>
      <c r="VB100" s="106"/>
      <c r="VC100" s="106"/>
      <c r="VD100" s="106"/>
      <c r="VE100" s="106"/>
      <c r="VF100" s="106"/>
      <c r="VG100" s="106"/>
      <c r="VH100" s="106"/>
      <c r="VI100" s="106"/>
      <c r="VJ100" s="106"/>
      <c r="VK100" s="106"/>
      <c r="VL100" s="106"/>
      <c r="VM100" s="106"/>
      <c r="VN100" s="106"/>
      <c r="VO100" s="106"/>
      <c r="VP100" s="106"/>
      <c r="VQ100" s="106"/>
      <c r="VR100" s="106"/>
      <c r="VS100" s="106"/>
      <c r="VT100" s="106"/>
      <c r="VU100" s="106"/>
      <c r="VV100" s="106"/>
      <c r="VW100" s="106"/>
      <c r="VX100" s="106"/>
      <c r="VY100" s="106"/>
      <c r="VZ100" s="106"/>
      <c r="WA100" s="106"/>
      <c r="WB100" s="106"/>
      <c r="WC100" s="106"/>
      <c r="WD100" s="106"/>
      <c r="WE100" s="106"/>
      <c r="WF100" s="106"/>
      <c r="WG100" s="106"/>
      <c r="WH100" s="106"/>
      <c r="WI100" s="106"/>
      <c r="WJ100" s="106"/>
      <c r="WK100" s="106"/>
      <c r="WL100" s="106"/>
      <c r="WM100" s="106"/>
      <c r="WN100" s="106"/>
      <c r="WO100" s="106"/>
      <c r="WP100" s="106"/>
      <c r="WQ100" s="106"/>
      <c r="WR100" s="106"/>
      <c r="WS100" s="106"/>
      <c r="WT100" s="106"/>
      <c r="WU100" s="106"/>
      <c r="WV100" s="106"/>
      <c r="WW100" s="106"/>
      <c r="WX100" s="106"/>
      <c r="WY100" s="106"/>
      <c r="WZ100" s="106"/>
      <c r="XA100" s="106"/>
      <c r="XB100" s="106"/>
      <c r="XC100" s="106"/>
      <c r="XD100" s="106"/>
      <c r="XE100" s="106"/>
      <c r="XF100" s="106"/>
      <c r="XG100" s="106"/>
      <c r="XH100" s="106"/>
      <c r="XI100" s="106"/>
      <c r="XJ100" s="106"/>
      <c r="XK100" s="106"/>
      <c r="XL100" s="106"/>
      <c r="XM100" s="106"/>
      <c r="XN100" s="106"/>
      <c r="XO100" s="106"/>
      <c r="XP100" s="106"/>
      <c r="XQ100" s="106"/>
      <c r="XR100" s="106"/>
      <c r="XS100" s="106"/>
      <c r="XT100" s="106"/>
      <c r="XU100" s="106"/>
      <c r="XV100" s="106"/>
      <c r="XW100" s="106"/>
      <c r="XX100" s="106"/>
      <c r="XY100" s="106"/>
      <c r="XZ100" s="106"/>
      <c r="YA100" s="106"/>
      <c r="YB100" s="106"/>
      <c r="YC100" s="106"/>
      <c r="YD100" s="106"/>
      <c r="YE100" s="106"/>
      <c r="YF100" s="106"/>
      <c r="YG100" s="106"/>
      <c r="YH100" s="106"/>
      <c r="YI100" s="106"/>
      <c r="YJ100" s="106"/>
      <c r="YK100" s="106"/>
      <c r="YL100" s="106"/>
      <c r="YM100" s="106"/>
      <c r="YN100" s="106"/>
      <c r="YO100" s="106"/>
      <c r="YP100" s="106"/>
      <c r="YQ100" s="106"/>
      <c r="YR100" s="106"/>
      <c r="YS100" s="106"/>
      <c r="YT100" s="106"/>
      <c r="YU100" s="106"/>
      <c r="YV100" s="106"/>
      <c r="YW100" s="106"/>
      <c r="YX100" s="106"/>
      <c r="YY100" s="106"/>
      <c r="YZ100" s="106"/>
      <c r="ZA100" s="106"/>
      <c r="ZB100" s="106"/>
      <c r="ZC100" s="106"/>
      <c r="ZD100" s="106"/>
      <c r="ZE100" s="106"/>
      <c r="ZF100" s="106"/>
      <c r="ZG100" s="106"/>
      <c r="ZH100" s="106"/>
      <c r="ZI100" s="106"/>
      <c r="ZJ100" s="106"/>
      <c r="ZK100" s="106"/>
      <c r="ZL100" s="106"/>
      <c r="ZM100" s="106"/>
      <c r="ZN100" s="106"/>
      <c r="ZO100" s="106"/>
      <c r="ZP100" s="106"/>
      <c r="ZQ100" s="106"/>
      <c r="ZR100" s="106"/>
      <c r="ZS100" s="106"/>
      <c r="ZT100" s="106"/>
      <c r="ZU100" s="106"/>
      <c r="ZV100" s="106"/>
      <c r="ZW100" s="106"/>
      <c r="ZX100" s="106"/>
      <c r="ZY100" s="106"/>
      <c r="ZZ100" s="106"/>
      <c r="AAA100" s="106"/>
      <c r="AAB100" s="106"/>
      <c r="AAC100" s="106"/>
      <c r="AAD100" s="106"/>
      <c r="AAE100" s="106"/>
      <c r="AAF100" s="106"/>
      <c r="AAG100" s="106"/>
      <c r="AAH100" s="106"/>
      <c r="AAI100" s="106"/>
      <c r="AAJ100" s="106"/>
      <c r="AAK100" s="106"/>
      <c r="AAL100" s="106"/>
      <c r="AAM100" s="106"/>
      <c r="AAN100" s="106"/>
      <c r="AAO100" s="106"/>
      <c r="AAP100" s="106"/>
      <c r="AAQ100" s="106"/>
      <c r="AAR100" s="106"/>
      <c r="AAS100" s="106"/>
      <c r="AAT100" s="106"/>
      <c r="AAU100" s="106"/>
      <c r="AAV100" s="106"/>
      <c r="AAW100" s="106"/>
      <c r="AAX100" s="106"/>
      <c r="AAY100" s="106"/>
      <c r="AAZ100" s="106"/>
      <c r="ABA100" s="106"/>
      <c r="ABB100" s="106"/>
      <c r="ABC100" s="106"/>
      <c r="ABD100" s="106"/>
      <c r="ABE100" s="106"/>
      <c r="ABF100" s="106"/>
      <c r="ABG100" s="106"/>
      <c r="ABH100" s="106"/>
      <c r="ABI100" s="106"/>
      <c r="ABJ100" s="106"/>
      <c r="ABK100" s="106"/>
      <c r="ABL100" s="106"/>
      <c r="ABM100" s="106"/>
      <c r="ABN100" s="106"/>
      <c r="ABO100" s="106"/>
      <c r="ABP100" s="106"/>
      <c r="ABQ100" s="106"/>
      <c r="ABR100" s="106"/>
      <c r="ABS100" s="106"/>
      <c r="ABT100" s="106"/>
      <c r="ABU100" s="106"/>
      <c r="ABV100" s="106"/>
      <c r="ABW100" s="106"/>
      <c r="ABX100" s="106"/>
      <c r="ABY100" s="106"/>
      <c r="ABZ100" s="106"/>
      <c r="ACA100" s="106"/>
      <c r="ACB100" s="106"/>
      <c r="ACC100" s="106"/>
      <c r="ACD100" s="106"/>
      <c r="ACE100" s="106"/>
      <c r="ACF100" s="106"/>
      <c r="ACG100" s="106"/>
      <c r="ACH100" s="106"/>
      <c r="ACI100" s="106"/>
      <c r="ACJ100" s="106"/>
      <c r="ACK100" s="106"/>
      <c r="ACL100" s="106"/>
      <c r="ACM100" s="106"/>
      <c r="ACN100" s="106"/>
      <c r="ACO100" s="106"/>
      <c r="ACP100" s="106"/>
      <c r="ACQ100" s="106"/>
      <c r="ACR100" s="106"/>
      <c r="ACS100" s="106"/>
      <c r="ACT100" s="106"/>
      <c r="ACU100" s="106"/>
      <c r="ACV100" s="106"/>
      <c r="ACW100" s="106"/>
      <c r="ACX100" s="106"/>
      <c r="ACY100" s="106"/>
      <c r="ACZ100" s="106"/>
      <c r="ADA100" s="106"/>
      <c r="ADB100" s="106"/>
      <c r="ADC100" s="106"/>
      <c r="ADD100" s="106"/>
      <c r="ADE100" s="106"/>
      <c r="ADF100" s="106"/>
      <c r="ADG100" s="106"/>
      <c r="ADH100" s="106"/>
      <c r="ADI100" s="106"/>
      <c r="ADJ100" s="106"/>
      <c r="ADK100" s="106"/>
      <c r="ADL100" s="106"/>
      <c r="ADM100" s="106"/>
      <c r="ADN100" s="106"/>
      <c r="ADO100" s="106"/>
      <c r="ADP100" s="106"/>
      <c r="ADQ100" s="106"/>
      <c r="ADR100" s="106"/>
      <c r="ADS100" s="106"/>
      <c r="ADT100" s="106"/>
      <c r="ADU100" s="106"/>
      <c r="ADV100" s="106"/>
      <c r="ADW100" s="106"/>
      <c r="ADX100" s="106"/>
      <c r="ADY100" s="106"/>
      <c r="ADZ100" s="106"/>
      <c r="AEA100" s="106"/>
      <c r="AEB100" s="106"/>
      <c r="AEC100" s="106"/>
      <c r="AED100" s="106"/>
      <c r="AEE100" s="106"/>
      <c r="AEF100" s="106"/>
      <c r="AEG100" s="106"/>
      <c r="AEH100" s="106"/>
      <c r="AEI100" s="106"/>
      <c r="AEJ100" s="106"/>
      <c r="AEK100" s="106"/>
      <c r="AEL100" s="106"/>
      <c r="AEM100" s="106"/>
      <c r="AEN100" s="106"/>
      <c r="AEO100" s="106"/>
      <c r="AEP100" s="106"/>
      <c r="AEQ100" s="106"/>
      <c r="AER100" s="106"/>
      <c r="AES100" s="106"/>
      <c r="AET100" s="106"/>
      <c r="AEU100" s="106"/>
      <c r="AEV100" s="106"/>
      <c r="AEW100" s="106"/>
      <c r="AEX100" s="106"/>
      <c r="AEY100" s="106"/>
      <c r="AEZ100" s="106"/>
      <c r="AFA100" s="106"/>
      <c r="AFB100" s="106"/>
      <c r="AFC100" s="106"/>
      <c r="AFD100" s="106"/>
      <c r="AFE100" s="106"/>
      <c r="AFF100" s="106"/>
      <c r="AFG100" s="106"/>
      <c r="AFH100" s="106"/>
      <c r="AFI100" s="106"/>
      <c r="AFJ100" s="106"/>
      <c r="AFK100" s="106"/>
      <c r="AFL100" s="106"/>
      <c r="AFM100" s="106"/>
      <c r="AFN100" s="106"/>
      <c r="AFO100" s="106"/>
      <c r="AFP100" s="106"/>
      <c r="AFQ100" s="106"/>
      <c r="AFR100" s="106"/>
      <c r="AFS100" s="106"/>
      <c r="AFT100" s="106"/>
      <c r="AFU100" s="106"/>
      <c r="AFV100" s="106"/>
      <c r="AFW100" s="106"/>
      <c r="AFX100" s="106"/>
      <c r="AFY100" s="106"/>
      <c r="AFZ100" s="106"/>
      <c r="AGA100" s="106"/>
      <c r="AGB100" s="106"/>
      <c r="AGC100" s="106"/>
      <c r="AGD100" s="106"/>
      <c r="AGE100" s="106"/>
      <c r="AGF100" s="106"/>
      <c r="AGG100" s="106"/>
      <c r="AGH100" s="106"/>
      <c r="AGI100" s="106"/>
      <c r="AGJ100" s="106"/>
      <c r="AGK100" s="106"/>
      <c r="AGL100" s="106"/>
      <c r="AGM100" s="106"/>
      <c r="AGN100" s="106"/>
      <c r="AGO100" s="106"/>
      <c r="AGP100" s="106"/>
      <c r="AGQ100" s="106"/>
      <c r="AGR100" s="106"/>
      <c r="AGS100" s="106"/>
      <c r="AGT100" s="106"/>
      <c r="AGU100" s="106"/>
      <c r="AGV100" s="106"/>
      <c r="AGW100" s="106"/>
      <c r="AGX100" s="106"/>
      <c r="AGY100" s="106"/>
      <c r="AGZ100" s="106"/>
      <c r="AHA100" s="106"/>
      <c r="AHB100" s="106"/>
      <c r="AHC100" s="106"/>
      <c r="AHD100" s="106"/>
      <c r="AHE100" s="106"/>
      <c r="AHF100" s="106"/>
      <c r="AHG100" s="106"/>
      <c r="AHH100" s="106"/>
      <c r="AHI100" s="106"/>
      <c r="AHJ100" s="106"/>
      <c r="AHK100" s="106"/>
      <c r="AHL100" s="106"/>
      <c r="AHM100" s="106"/>
      <c r="AHN100" s="106"/>
      <c r="AHO100" s="106"/>
      <c r="AHP100" s="106"/>
      <c r="AHQ100" s="106"/>
      <c r="AHR100" s="106"/>
      <c r="AHS100" s="106"/>
      <c r="AHT100" s="106"/>
      <c r="AHU100" s="106"/>
      <c r="AHV100" s="106"/>
      <c r="AHW100" s="106"/>
      <c r="AHX100" s="106"/>
      <c r="AHY100" s="106"/>
      <c r="AHZ100" s="106"/>
      <c r="AIA100" s="106"/>
      <c r="AIB100" s="106"/>
      <c r="AIC100" s="106"/>
      <c r="AID100" s="106"/>
      <c r="AIE100" s="106"/>
      <c r="AIF100" s="106"/>
      <c r="AIG100" s="106"/>
      <c r="AIH100" s="106"/>
      <c r="AII100" s="106"/>
      <c r="AIJ100" s="106"/>
      <c r="AIK100" s="106"/>
      <c r="AIL100" s="106"/>
      <c r="AIM100" s="106"/>
      <c r="AIN100" s="106"/>
      <c r="AIO100" s="106"/>
      <c r="AIP100" s="106"/>
      <c r="AIQ100" s="106"/>
      <c r="AIR100" s="106"/>
      <c r="AIS100" s="106"/>
      <c r="AIT100" s="106"/>
      <c r="AIU100" s="106"/>
      <c r="AIV100" s="106"/>
      <c r="AIW100" s="106"/>
      <c r="AIX100" s="106"/>
      <c r="AIY100" s="106"/>
      <c r="AIZ100" s="106"/>
      <c r="AJA100" s="106"/>
      <c r="AJB100" s="106"/>
      <c r="AJC100" s="106"/>
      <c r="AJD100" s="106"/>
      <c r="AJE100" s="106"/>
      <c r="AJF100" s="106"/>
      <c r="AJG100" s="106"/>
      <c r="AJH100" s="106"/>
      <c r="AJI100" s="106"/>
      <c r="AJJ100" s="106"/>
      <c r="AJK100" s="106"/>
      <c r="AJL100" s="106"/>
      <c r="AJM100" s="106"/>
      <c r="AJN100" s="106"/>
      <c r="AJO100" s="106"/>
      <c r="AJP100" s="106"/>
      <c r="AJQ100" s="106"/>
      <c r="AJR100" s="106"/>
      <c r="AJS100" s="106"/>
      <c r="AJT100" s="106"/>
      <c r="AJU100" s="106"/>
      <c r="AJV100" s="106"/>
      <c r="AJW100" s="106"/>
      <c r="AJX100" s="106"/>
      <c r="AJY100" s="106"/>
      <c r="AJZ100" s="106"/>
      <c r="AKA100" s="106"/>
      <c r="AKB100" s="106"/>
      <c r="AKC100" s="106"/>
      <c r="AKD100" s="106"/>
      <c r="AKE100" s="106"/>
      <c r="AKF100" s="106"/>
      <c r="AKG100" s="106"/>
      <c r="AKH100" s="106"/>
      <c r="AKI100" s="106"/>
      <c r="AKJ100" s="106"/>
      <c r="AKK100" s="106"/>
      <c r="AKL100" s="106"/>
      <c r="AKM100" s="106"/>
      <c r="AKN100" s="106"/>
      <c r="AKO100" s="106"/>
      <c r="AKP100" s="106"/>
      <c r="AKQ100" s="106"/>
      <c r="AKR100" s="106"/>
      <c r="AKS100" s="106"/>
      <c r="AKT100" s="106"/>
      <c r="AKU100" s="106"/>
      <c r="AKV100" s="106"/>
      <c r="AKW100" s="106"/>
      <c r="AKX100" s="106"/>
      <c r="AKY100" s="106"/>
      <c r="AKZ100" s="106"/>
      <c r="ALA100" s="106"/>
      <c r="ALB100" s="106"/>
      <c r="ALC100" s="106"/>
      <c r="ALD100" s="106"/>
      <c r="ALE100" s="106"/>
      <c r="ALF100" s="106"/>
      <c r="ALG100" s="106"/>
      <c r="ALH100" s="106"/>
    </row>
    <row r="101" spans="1:996" s="75" customFormat="1" ht="15.75" customHeight="1">
      <c r="A101" s="104"/>
      <c r="B101" s="75" t="str">
        <f t="shared" si="5"/>
        <v>S112110</v>
      </c>
      <c r="C101" s="75" t="s">
        <v>603</v>
      </c>
      <c r="D101" s="27" t="s">
        <v>128</v>
      </c>
      <c r="E101" s="75">
        <v>112110</v>
      </c>
      <c r="F101" s="105" t="s">
        <v>595</v>
      </c>
      <c r="G101" s="74">
        <f>IFERROR(VLOOKUP(E101,'BD - E - Mvto Cx'!$E$15:$G$500,3,0),0)</f>
        <v>1408.99</v>
      </c>
      <c r="H101" s="72">
        <f>IFERROR(VLOOKUP(E101,'BD - E - Mvto Cx'!$N$15:$P$500,3,0),0)</f>
        <v>941.47</v>
      </c>
      <c r="I101" s="73">
        <f>IFERROR(VLOOKUP(E101,'BD - E - Mvto Cx'!$W$15:$Y$497,3,0),0)</f>
        <v>2941.78</v>
      </c>
      <c r="J101" s="73">
        <f>IFERROR(VLOOKUP(E101,'BD - E - Mvto Cx'!$AF$15:$AI$500,3,0),0)</f>
        <v>1804.12</v>
      </c>
      <c r="K101" s="73">
        <f>IFERROR(VLOOKUP(E101,'BD - E - Mvto Cx'!$AO$15:$AQ$500,3,0),0)</f>
        <v>0</v>
      </c>
      <c r="L101" s="73">
        <f>IFERROR(VLOOKUP(E101,'BD - E - Mvto Cx'!$AX$15:$AZ$500,3,0),0)</f>
        <v>0</v>
      </c>
      <c r="M101" s="73">
        <f>IFERROR(VLOOKUP(E101,'BD - E - Mvto Cx'!$BJ$15:$BL$500,3,0),0)</f>
        <v>0</v>
      </c>
      <c r="N101" s="73">
        <f>IFERROR(VLOOKUP(E101,'BD - E - Mvto Cx'!$BS$15:$BU$500,3,0),0)</f>
        <v>0</v>
      </c>
      <c r="O101" s="73">
        <f>IFERROR(VLOOKUP(E101,'BD - E - Mvto Cx'!$CB$15:$CD$500,3,0),0)</f>
        <v>0</v>
      </c>
      <c r="P101" s="73">
        <f>IFERROR(VLOOKUP(E101,'BD - E - Mvto Cx'!$CK$15:$CM$500,3,0),0)</f>
        <v>0</v>
      </c>
      <c r="Q101" s="73">
        <f>IFERROR(VLOOKUP(E101,'BD - E - Mvto Cx'!$CT$15:$CV$500,3,0),0)</f>
        <v>0</v>
      </c>
      <c r="R101" s="73">
        <f>IFERROR(VLOOKUP(E101,'BD - E - Mvto Cx'!$DC$15:$DE$500,3,0),0)</f>
        <v>0</v>
      </c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6"/>
      <c r="DL101" s="106"/>
      <c r="DM101" s="106"/>
      <c r="DN101" s="106"/>
      <c r="DO101" s="106"/>
      <c r="DP101" s="106"/>
      <c r="DQ101" s="106"/>
      <c r="DR101" s="106"/>
      <c r="DS101" s="106"/>
      <c r="DT101" s="106"/>
      <c r="DU101" s="106"/>
      <c r="DV101" s="106"/>
      <c r="DW101" s="106"/>
      <c r="DX101" s="106"/>
      <c r="DY101" s="106"/>
      <c r="DZ101" s="106"/>
      <c r="EA101" s="106"/>
      <c r="EB101" s="106"/>
      <c r="EC101" s="106"/>
      <c r="ED101" s="106"/>
      <c r="EE101" s="106"/>
      <c r="EF101" s="106"/>
      <c r="EG101" s="106"/>
      <c r="EH101" s="106"/>
      <c r="EI101" s="106"/>
      <c r="EJ101" s="106"/>
      <c r="EK101" s="106"/>
      <c r="EL101" s="106"/>
      <c r="EM101" s="106"/>
      <c r="EN101" s="106"/>
      <c r="EO101" s="106"/>
      <c r="EP101" s="106"/>
      <c r="EQ101" s="106"/>
      <c r="ER101" s="106"/>
      <c r="ES101" s="106"/>
      <c r="ET101" s="106"/>
      <c r="EU101" s="106"/>
      <c r="EV101" s="106"/>
      <c r="EW101" s="106"/>
      <c r="EX101" s="106"/>
      <c r="EY101" s="106"/>
      <c r="EZ101" s="106"/>
      <c r="FA101" s="106"/>
      <c r="FB101" s="106"/>
      <c r="FC101" s="106"/>
      <c r="FD101" s="106"/>
      <c r="FE101" s="106"/>
      <c r="FF101" s="106"/>
      <c r="FG101" s="106"/>
      <c r="FH101" s="106"/>
      <c r="FI101" s="106"/>
      <c r="FJ101" s="106"/>
      <c r="FK101" s="106"/>
      <c r="FL101" s="106"/>
      <c r="FM101" s="106"/>
      <c r="FN101" s="106"/>
      <c r="FO101" s="106"/>
      <c r="FP101" s="106"/>
      <c r="FQ101" s="106"/>
      <c r="FR101" s="106"/>
      <c r="FS101" s="106"/>
      <c r="FT101" s="106"/>
      <c r="FU101" s="106"/>
      <c r="FV101" s="106"/>
      <c r="FW101" s="106"/>
      <c r="FX101" s="106"/>
      <c r="FY101" s="106"/>
      <c r="FZ101" s="106"/>
      <c r="GA101" s="106"/>
      <c r="GB101" s="106"/>
      <c r="GC101" s="106"/>
      <c r="GD101" s="106"/>
      <c r="GE101" s="106"/>
      <c r="GF101" s="106"/>
      <c r="GG101" s="106"/>
      <c r="GH101" s="106"/>
      <c r="GI101" s="106"/>
      <c r="GJ101" s="106"/>
      <c r="GK101" s="106"/>
      <c r="GL101" s="106"/>
      <c r="GM101" s="106"/>
      <c r="GN101" s="106"/>
      <c r="GO101" s="106"/>
      <c r="GP101" s="106"/>
      <c r="GQ101" s="106"/>
      <c r="GR101" s="106"/>
      <c r="GS101" s="106"/>
      <c r="GT101" s="106"/>
      <c r="GU101" s="106"/>
      <c r="GV101" s="106"/>
      <c r="GW101" s="106"/>
      <c r="GX101" s="106"/>
      <c r="GY101" s="106"/>
      <c r="GZ101" s="106"/>
      <c r="HA101" s="106"/>
      <c r="HB101" s="106"/>
      <c r="HC101" s="106"/>
      <c r="HD101" s="106"/>
      <c r="HE101" s="106"/>
      <c r="HF101" s="106"/>
      <c r="HG101" s="106"/>
      <c r="HH101" s="106"/>
      <c r="HI101" s="106"/>
      <c r="HJ101" s="106"/>
      <c r="HK101" s="106"/>
      <c r="HL101" s="106"/>
      <c r="HM101" s="106"/>
      <c r="HN101" s="106"/>
      <c r="HO101" s="106"/>
      <c r="HP101" s="106"/>
      <c r="HQ101" s="106"/>
      <c r="HR101" s="106"/>
      <c r="HS101" s="106"/>
      <c r="HT101" s="106"/>
      <c r="HU101" s="106"/>
      <c r="HV101" s="106"/>
      <c r="HW101" s="106"/>
      <c r="HX101" s="106"/>
      <c r="HY101" s="106"/>
      <c r="HZ101" s="106"/>
      <c r="IA101" s="106"/>
      <c r="IB101" s="106"/>
      <c r="IC101" s="106"/>
      <c r="ID101" s="106"/>
      <c r="IE101" s="106"/>
      <c r="IF101" s="106"/>
      <c r="IG101" s="106"/>
      <c r="IH101" s="106"/>
      <c r="II101" s="106"/>
      <c r="IJ101" s="106"/>
      <c r="IK101" s="106"/>
      <c r="IL101" s="106"/>
      <c r="IM101" s="106"/>
      <c r="IN101" s="106"/>
      <c r="IO101" s="106"/>
      <c r="IP101" s="106"/>
      <c r="IQ101" s="106"/>
      <c r="IR101" s="106"/>
      <c r="IS101" s="106"/>
      <c r="IT101" s="106"/>
      <c r="IU101" s="106"/>
      <c r="IV101" s="106"/>
      <c r="IW101" s="106"/>
      <c r="IX101" s="106"/>
      <c r="IY101" s="106"/>
      <c r="IZ101" s="106"/>
      <c r="JA101" s="106"/>
      <c r="JB101" s="106"/>
      <c r="JC101" s="106"/>
      <c r="JD101" s="106"/>
      <c r="JE101" s="106"/>
      <c r="JF101" s="106"/>
      <c r="JG101" s="106"/>
      <c r="JH101" s="106"/>
      <c r="JI101" s="106"/>
      <c r="JJ101" s="106"/>
      <c r="JK101" s="106"/>
      <c r="JL101" s="106"/>
      <c r="JM101" s="106"/>
      <c r="JN101" s="106"/>
      <c r="JO101" s="106"/>
      <c r="JP101" s="106"/>
      <c r="JQ101" s="106"/>
      <c r="JR101" s="106"/>
      <c r="JS101" s="106"/>
      <c r="JT101" s="106"/>
      <c r="JU101" s="106"/>
      <c r="JV101" s="106"/>
      <c r="JW101" s="106"/>
      <c r="JX101" s="106"/>
      <c r="JY101" s="106"/>
      <c r="JZ101" s="106"/>
      <c r="KA101" s="106"/>
      <c r="KB101" s="106"/>
      <c r="KC101" s="106"/>
      <c r="KD101" s="106"/>
      <c r="KE101" s="106"/>
      <c r="KF101" s="106"/>
      <c r="KG101" s="106"/>
      <c r="KH101" s="106"/>
      <c r="KI101" s="106"/>
      <c r="KJ101" s="106"/>
      <c r="KK101" s="106"/>
      <c r="KL101" s="106"/>
      <c r="KM101" s="106"/>
      <c r="KN101" s="106"/>
      <c r="KO101" s="106"/>
      <c r="KP101" s="106"/>
      <c r="KQ101" s="106"/>
      <c r="KR101" s="106"/>
      <c r="KS101" s="106"/>
      <c r="KT101" s="106"/>
      <c r="KU101" s="106"/>
      <c r="KV101" s="106"/>
      <c r="KW101" s="106"/>
      <c r="KX101" s="106"/>
      <c r="KY101" s="106"/>
      <c r="KZ101" s="106"/>
      <c r="LA101" s="106"/>
      <c r="LB101" s="106"/>
      <c r="LC101" s="106"/>
      <c r="LD101" s="106"/>
      <c r="LE101" s="106"/>
      <c r="LF101" s="106"/>
      <c r="LG101" s="106"/>
      <c r="LH101" s="106"/>
      <c r="LI101" s="106"/>
      <c r="LJ101" s="106"/>
      <c r="LK101" s="106"/>
      <c r="LL101" s="106"/>
      <c r="LM101" s="106"/>
      <c r="LN101" s="106"/>
      <c r="LO101" s="106"/>
      <c r="LP101" s="106"/>
      <c r="LQ101" s="106"/>
      <c r="LR101" s="106"/>
      <c r="LS101" s="106"/>
      <c r="LT101" s="106"/>
      <c r="LU101" s="106"/>
      <c r="LV101" s="106"/>
      <c r="LW101" s="106"/>
      <c r="LX101" s="106"/>
      <c r="LY101" s="106"/>
      <c r="LZ101" s="106"/>
      <c r="MA101" s="106"/>
      <c r="MB101" s="106"/>
      <c r="MC101" s="106"/>
      <c r="MD101" s="106"/>
      <c r="ME101" s="106"/>
      <c r="MF101" s="106"/>
      <c r="MG101" s="106"/>
      <c r="MH101" s="106"/>
      <c r="MI101" s="106"/>
      <c r="MJ101" s="106"/>
      <c r="MK101" s="106"/>
      <c r="ML101" s="106"/>
      <c r="MM101" s="106"/>
      <c r="MN101" s="106"/>
      <c r="MO101" s="106"/>
      <c r="MP101" s="106"/>
      <c r="MQ101" s="106"/>
      <c r="MR101" s="106"/>
      <c r="MS101" s="106"/>
      <c r="MT101" s="106"/>
      <c r="MU101" s="106"/>
      <c r="MV101" s="106"/>
      <c r="MW101" s="106"/>
      <c r="MX101" s="106"/>
      <c r="MY101" s="106"/>
      <c r="MZ101" s="106"/>
      <c r="NA101" s="106"/>
      <c r="NB101" s="106"/>
      <c r="NC101" s="106"/>
      <c r="ND101" s="106"/>
      <c r="NE101" s="106"/>
      <c r="NF101" s="106"/>
      <c r="NG101" s="106"/>
      <c r="NH101" s="106"/>
      <c r="NI101" s="106"/>
      <c r="NJ101" s="106"/>
      <c r="NK101" s="106"/>
      <c r="NL101" s="106"/>
      <c r="NM101" s="106"/>
      <c r="NN101" s="106"/>
      <c r="NO101" s="106"/>
      <c r="NP101" s="106"/>
      <c r="NQ101" s="106"/>
      <c r="NR101" s="106"/>
      <c r="NS101" s="106"/>
      <c r="NT101" s="106"/>
      <c r="NU101" s="106"/>
      <c r="NV101" s="106"/>
      <c r="NW101" s="106"/>
      <c r="NX101" s="106"/>
      <c r="NY101" s="106"/>
      <c r="NZ101" s="106"/>
      <c r="OA101" s="106"/>
      <c r="OB101" s="106"/>
      <c r="OC101" s="106"/>
      <c r="OD101" s="106"/>
      <c r="OE101" s="106"/>
      <c r="OF101" s="106"/>
      <c r="OG101" s="106"/>
      <c r="OH101" s="106"/>
      <c r="OI101" s="106"/>
      <c r="OJ101" s="106"/>
      <c r="OK101" s="106"/>
      <c r="OL101" s="106"/>
      <c r="OM101" s="106"/>
      <c r="ON101" s="106"/>
      <c r="OO101" s="106"/>
      <c r="OP101" s="106"/>
      <c r="OQ101" s="106"/>
      <c r="OR101" s="106"/>
      <c r="OS101" s="106"/>
      <c r="OT101" s="106"/>
      <c r="OU101" s="106"/>
      <c r="OV101" s="106"/>
      <c r="OW101" s="106"/>
      <c r="OX101" s="106"/>
      <c r="OY101" s="106"/>
      <c r="OZ101" s="106"/>
      <c r="PA101" s="106"/>
      <c r="PB101" s="106"/>
      <c r="PC101" s="106"/>
      <c r="PD101" s="106"/>
      <c r="PE101" s="106"/>
      <c r="PF101" s="106"/>
      <c r="PG101" s="106"/>
      <c r="PH101" s="106"/>
      <c r="PI101" s="106"/>
      <c r="PJ101" s="106"/>
      <c r="PK101" s="106"/>
      <c r="PL101" s="106"/>
      <c r="PM101" s="106"/>
      <c r="PN101" s="106"/>
      <c r="PO101" s="106"/>
      <c r="PP101" s="106"/>
      <c r="PQ101" s="106"/>
      <c r="PR101" s="106"/>
      <c r="PS101" s="106"/>
      <c r="PT101" s="106"/>
      <c r="PU101" s="106"/>
      <c r="PV101" s="106"/>
      <c r="PW101" s="106"/>
      <c r="PX101" s="106"/>
      <c r="PY101" s="106"/>
      <c r="PZ101" s="106"/>
      <c r="QA101" s="106"/>
      <c r="QB101" s="106"/>
      <c r="QC101" s="106"/>
      <c r="QD101" s="106"/>
      <c r="QE101" s="106"/>
      <c r="QF101" s="106"/>
      <c r="QG101" s="106"/>
      <c r="QH101" s="106"/>
      <c r="QI101" s="106"/>
      <c r="QJ101" s="106"/>
      <c r="QK101" s="106"/>
      <c r="QL101" s="106"/>
      <c r="QM101" s="106"/>
      <c r="QN101" s="106"/>
      <c r="QO101" s="106"/>
      <c r="QP101" s="106"/>
      <c r="QQ101" s="106"/>
      <c r="QR101" s="106"/>
      <c r="QS101" s="106"/>
      <c r="QT101" s="106"/>
      <c r="QU101" s="106"/>
      <c r="QV101" s="106"/>
      <c r="QW101" s="106"/>
      <c r="QX101" s="106"/>
      <c r="QY101" s="106"/>
      <c r="QZ101" s="106"/>
      <c r="RA101" s="106"/>
      <c r="RB101" s="106"/>
      <c r="RC101" s="106"/>
      <c r="RD101" s="106"/>
      <c r="RE101" s="106"/>
      <c r="RF101" s="106"/>
      <c r="RG101" s="106"/>
      <c r="RH101" s="106"/>
      <c r="RI101" s="106"/>
      <c r="RJ101" s="106"/>
      <c r="RK101" s="106"/>
      <c r="RL101" s="106"/>
      <c r="RM101" s="106"/>
      <c r="RN101" s="106"/>
      <c r="RO101" s="106"/>
      <c r="RP101" s="106"/>
      <c r="RQ101" s="106"/>
      <c r="RR101" s="106"/>
      <c r="RS101" s="106"/>
      <c r="RT101" s="106"/>
      <c r="RU101" s="106"/>
      <c r="RV101" s="106"/>
      <c r="RW101" s="106"/>
      <c r="RX101" s="106"/>
      <c r="RY101" s="106"/>
      <c r="RZ101" s="106"/>
      <c r="SA101" s="106"/>
      <c r="SB101" s="106"/>
      <c r="SC101" s="106"/>
      <c r="SD101" s="106"/>
      <c r="SE101" s="106"/>
      <c r="SF101" s="106"/>
      <c r="SG101" s="106"/>
      <c r="SH101" s="106"/>
      <c r="SI101" s="106"/>
      <c r="SJ101" s="106"/>
      <c r="SK101" s="106"/>
      <c r="SL101" s="106"/>
      <c r="SM101" s="106"/>
      <c r="SN101" s="106"/>
      <c r="SO101" s="106"/>
      <c r="SP101" s="106"/>
      <c r="SQ101" s="106"/>
      <c r="SR101" s="106"/>
      <c r="SS101" s="106"/>
      <c r="ST101" s="106"/>
      <c r="SU101" s="106"/>
      <c r="SV101" s="106"/>
      <c r="SW101" s="106"/>
      <c r="SX101" s="106"/>
      <c r="SY101" s="106"/>
      <c r="SZ101" s="106"/>
      <c r="TA101" s="106"/>
      <c r="TB101" s="106"/>
      <c r="TC101" s="106"/>
      <c r="TD101" s="106"/>
      <c r="TE101" s="106"/>
      <c r="TF101" s="106"/>
      <c r="TG101" s="106"/>
      <c r="TH101" s="106"/>
      <c r="TI101" s="106"/>
      <c r="TJ101" s="106"/>
      <c r="TK101" s="106"/>
      <c r="TL101" s="106"/>
      <c r="TM101" s="106"/>
      <c r="TN101" s="106"/>
      <c r="TO101" s="106"/>
      <c r="TP101" s="106"/>
      <c r="TQ101" s="106"/>
      <c r="TR101" s="106"/>
      <c r="TS101" s="106"/>
      <c r="TT101" s="106"/>
      <c r="TU101" s="106"/>
      <c r="TV101" s="106"/>
      <c r="TW101" s="106"/>
      <c r="TX101" s="106"/>
      <c r="TY101" s="106"/>
      <c r="TZ101" s="106"/>
      <c r="UA101" s="106"/>
      <c r="UB101" s="106"/>
      <c r="UC101" s="106"/>
      <c r="UD101" s="106"/>
      <c r="UE101" s="106"/>
      <c r="UF101" s="106"/>
      <c r="UG101" s="106"/>
      <c r="UH101" s="106"/>
      <c r="UI101" s="106"/>
      <c r="UJ101" s="106"/>
      <c r="UK101" s="106"/>
      <c r="UL101" s="106"/>
      <c r="UM101" s="106"/>
      <c r="UN101" s="106"/>
      <c r="UO101" s="106"/>
      <c r="UP101" s="106"/>
      <c r="UQ101" s="106"/>
      <c r="UR101" s="106"/>
      <c r="US101" s="106"/>
      <c r="UT101" s="106"/>
      <c r="UU101" s="106"/>
      <c r="UV101" s="106"/>
      <c r="UW101" s="106"/>
      <c r="UX101" s="106"/>
      <c r="UY101" s="106"/>
      <c r="UZ101" s="106"/>
      <c r="VA101" s="106"/>
      <c r="VB101" s="106"/>
      <c r="VC101" s="106"/>
      <c r="VD101" s="106"/>
      <c r="VE101" s="106"/>
      <c r="VF101" s="106"/>
      <c r="VG101" s="106"/>
      <c r="VH101" s="106"/>
      <c r="VI101" s="106"/>
      <c r="VJ101" s="106"/>
      <c r="VK101" s="106"/>
      <c r="VL101" s="106"/>
      <c r="VM101" s="106"/>
      <c r="VN101" s="106"/>
      <c r="VO101" s="106"/>
      <c r="VP101" s="106"/>
      <c r="VQ101" s="106"/>
      <c r="VR101" s="106"/>
      <c r="VS101" s="106"/>
      <c r="VT101" s="106"/>
      <c r="VU101" s="106"/>
      <c r="VV101" s="106"/>
      <c r="VW101" s="106"/>
      <c r="VX101" s="106"/>
      <c r="VY101" s="106"/>
      <c r="VZ101" s="106"/>
      <c r="WA101" s="106"/>
      <c r="WB101" s="106"/>
      <c r="WC101" s="106"/>
      <c r="WD101" s="106"/>
      <c r="WE101" s="106"/>
      <c r="WF101" s="106"/>
      <c r="WG101" s="106"/>
      <c r="WH101" s="106"/>
      <c r="WI101" s="106"/>
      <c r="WJ101" s="106"/>
      <c r="WK101" s="106"/>
      <c r="WL101" s="106"/>
      <c r="WM101" s="106"/>
      <c r="WN101" s="106"/>
      <c r="WO101" s="106"/>
      <c r="WP101" s="106"/>
      <c r="WQ101" s="106"/>
      <c r="WR101" s="106"/>
      <c r="WS101" s="106"/>
      <c r="WT101" s="106"/>
      <c r="WU101" s="106"/>
      <c r="WV101" s="106"/>
      <c r="WW101" s="106"/>
      <c r="WX101" s="106"/>
      <c r="WY101" s="106"/>
      <c r="WZ101" s="106"/>
      <c r="XA101" s="106"/>
      <c r="XB101" s="106"/>
      <c r="XC101" s="106"/>
      <c r="XD101" s="106"/>
      <c r="XE101" s="106"/>
      <c r="XF101" s="106"/>
      <c r="XG101" s="106"/>
      <c r="XH101" s="106"/>
      <c r="XI101" s="106"/>
      <c r="XJ101" s="106"/>
      <c r="XK101" s="106"/>
      <c r="XL101" s="106"/>
      <c r="XM101" s="106"/>
      <c r="XN101" s="106"/>
      <c r="XO101" s="106"/>
      <c r="XP101" s="106"/>
      <c r="XQ101" s="106"/>
      <c r="XR101" s="106"/>
      <c r="XS101" s="106"/>
      <c r="XT101" s="106"/>
      <c r="XU101" s="106"/>
      <c r="XV101" s="106"/>
      <c r="XW101" s="106"/>
      <c r="XX101" s="106"/>
      <c r="XY101" s="106"/>
      <c r="XZ101" s="106"/>
      <c r="YA101" s="106"/>
      <c r="YB101" s="106"/>
      <c r="YC101" s="106"/>
      <c r="YD101" s="106"/>
      <c r="YE101" s="106"/>
      <c r="YF101" s="106"/>
      <c r="YG101" s="106"/>
      <c r="YH101" s="106"/>
      <c r="YI101" s="106"/>
      <c r="YJ101" s="106"/>
      <c r="YK101" s="106"/>
      <c r="YL101" s="106"/>
      <c r="YM101" s="106"/>
      <c r="YN101" s="106"/>
      <c r="YO101" s="106"/>
      <c r="YP101" s="106"/>
      <c r="YQ101" s="106"/>
      <c r="YR101" s="106"/>
      <c r="YS101" s="106"/>
      <c r="YT101" s="106"/>
      <c r="YU101" s="106"/>
      <c r="YV101" s="106"/>
      <c r="YW101" s="106"/>
      <c r="YX101" s="106"/>
      <c r="YY101" s="106"/>
      <c r="YZ101" s="106"/>
      <c r="ZA101" s="106"/>
      <c r="ZB101" s="106"/>
      <c r="ZC101" s="106"/>
      <c r="ZD101" s="106"/>
      <c r="ZE101" s="106"/>
      <c r="ZF101" s="106"/>
      <c r="ZG101" s="106"/>
      <c r="ZH101" s="106"/>
      <c r="ZI101" s="106"/>
      <c r="ZJ101" s="106"/>
      <c r="ZK101" s="106"/>
      <c r="ZL101" s="106"/>
      <c r="ZM101" s="106"/>
      <c r="ZN101" s="106"/>
      <c r="ZO101" s="106"/>
      <c r="ZP101" s="106"/>
      <c r="ZQ101" s="106"/>
      <c r="ZR101" s="106"/>
      <c r="ZS101" s="106"/>
      <c r="ZT101" s="106"/>
      <c r="ZU101" s="106"/>
      <c r="ZV101" s="106"/>
      <c r="ZW101" s="106"/>
      <c r="ZX101" s="106"/>
      <c r="ZY101" s="106"/>
      <c r="ZZ101" s="106"/>
      <c r="AAA101" s="106"/>
      <c r="AAB101" s="106"/>
      <c r="AAC101" s="106"/>
      <c r="AAD101" s="106"/>
      <c r="AAE101" s="106"/>
      <c r="AAF101" s="106"/>
      <c r="AAG101" s="106"/>
      <c r="AAH101" s="106"/>
      <c r="AAI101" s="106"/>
      <c r="AAJ101" s="106"/>
      <c r="AAK101" s="106"/>
      <c r="AAL101" s="106"/>
      <c r="AAM101" s="106"/>
      <c r="AAN101" s="106"/>
      <c r="AAO101" s="106"/>
      <c r="AAP101" s="106"/>
      <c r="AAQ101" s="106"/>
      <c r="AAR101" s="106"/>
      <c r="AAS101" s="106"/>
      <c r="AAT101" s="106"/>
      <c r="AAU101" s="106"/>
      <c r="AAV101" s="106"/>
      <c r="AAW101" s="106"/>
      <c r="AAX101" s="106"/>
      <c r="AAY101" s="106"/>
      <c r="AAZ101" s="106"/>
      <c r="ABA101" s="106"/>
      <c r="ABB101" s="106"/>
      <c r="ABC101" s="106"/>
      <c r="ABD101" s="106"/>
      <c r="ABE101" s="106"/>
      <c r="ABF101" s="106"/>
      <c r="ABG101" s="106"/>
      <c r="ABH101" s="106"/>
      <c r="ABI101" s="106"/>
      <c r="ABJ101" s="106"/>
      <c r="ABK101" s="106"/>
      <c r="ABL101" s="106"/>
      <c r="ABM101" s="106"/>
      <c r="ABN101" s="106"/>
      <c r="ABO101" s="106"/>
      <c r="ABP101" s="106"/>
      <c r="ABQ101" s="106"/>
      <c r="ABR101" s="106"/>
      <c r="ABS101" s="106"/>
      <c r="ABT101" s="106"/>
      <c r="ABU101" s="106"/>
      <c r="ABV101" s="106"/>
      <c r="ABW101" s="106"/>
      <c r="ABX101" s="106"/>
      <c r="ABY101" s="106"/>
      <c r="ABZ101" s="106"/>
      <c r="ACA101" s="106"/>
      <c r="ACB101" s="106"/>
      <c r="ACC101" s="106"/>
      <c r="ACD101" s="106"/>
      <c r="ACE101" s="106"/>
      <c r="ACF101" s="106"/>
      <c r="ACG101" s="106"/>
      <c r="ACH101" s="106"/>
      <c r="ACI101" s="106"/>
      <c r="ACJ101" s="106"/>
      <c r="ACK101" s="106"/>
      <c r="ACL101" s="106"/>
      <c r="ACM101" s="106"/>
      <c r="ACN101" s="106"/>
      <c r="ACO101" s="106"/>
      <c r="ACP101" s="106"/>
      <c r="ACQ101" s="106"/>
      <c r="ACR101" s="106"/>
      <c r="ACS101" s="106"/>
      <c r="ACT101" s="106"/>
      <c r="ACU101" s="106"/>
      <c r="ACV101" s="106"/>
      <c r="ACW101" s="106"/>
      <c r="ACX101" s="106"/>
      <c r="ACY101" s="106"/>
      <c r="ACZ101" s="106"/>
      <c r="ADA101" s="106"/>
      <c r="ADB101" s="106"/>
      <c r="ADC101" s="106"/>
      <c r="ADD101" s="106"/>
      <c r="ADE101" s="106"/>
      <c r="ADF101" s="106"/>
      <c r="ADG101" s="106"/>
      <c r="ADH101" s="106"/>
      <c r="ADI101" s="106"/>
      <c r="ADJ101" s="106"/>
      <c r="ADK101" s="106"/>
      <c r="ADL101" s="106"/>
      <c r="ADM101" s="106"/>
      <c r="ADN101" s="106"/>
      <c r="ADO101" s="106"/>
      <c r="ADP101" s="106"/>
      <c r="ADQ101" s="106"/>
      <c r="ADR101" s="106"/>
      <c r="ADS101" s="106"/>
      <c r="ADT101" s="106"/>
      <c r="ADU101" s="106"/>
      <c r="ADV101" s="106"/>
      <c r="ADW101" s="106"/>
      <c r="ADX101" s="106"/>
      <c r="ADY101" s="106"/>
      <c r="ADZ101" s="106"/>
      <c r="AEA101" s="106"/>
      <c r="AEB101" s="106"/>
      <c r="AEC101" s="106"/>
      <c r="AED101" s="106"/>
      <c r="AEE101" s="106"/>
      <c r="AEF101" s="106"/>
      <c r="AEG101" s="106"/>
      <c r="AEH101" s="106"/>
      <c r="AEI101" s="106"/>
      <c r="AEJ101" s="106"/>
      <c r="AEK101" s="106"/>
      <c r="AEL101" s="106"/>
      <c r="AEM101" s="106"/>
      <c r="AEN101" s="106"/>
      <c r="AEO101" s="106"/>
      <c r="AEP101" s="106"/>
      <c r="AEQ101" s="106"/>
      <c r="AER101" s="106"/>
      <c r="AES101" s="106"/>
      <c r="AET101" s="106"/>
      <c r="AEU101" s="106"/>
      <c r="AEV101" s="106"/>
      <c r="AEW101" s="106"/>
      <c r="AEX101" s="106"/>
      <c r="AEY101" s="106"/>
      <c r="AEZ101" s="106"/>
      <c r="AFA101" s="106"/>
      <c r="AFB101" s="106"/>
      <c r="AFC101" s="106"/>
      <c r="AFD101" s="106"/>
      <c r="AFE101" s="106"/>
      <c r="AFF101" s="106"/>
      <c r="AFG101" s="106"/>
      <c r="AFH101" s="106"/>
      <c r="AFI101" s="106"/>
      <c r="AFJ101" s="106"/>
      <c r="AFK101" s="106"/>
      <c r="AFL101" s="106"/>
      <c r="AFM101" s="106"/>
      <c r="AFN101" s="106"/>
      <c r="AFO101" s="106"/>
      <c r="AFP101" s="106"/>
      <c r="AFQ101" s="106"/>
      <c r="AFR101" s="106"/>
      <c r="AFS101" s="106"/>
      <c r="AFT101" s="106"/>
      <c r="AFU101" s="106"/>
      <c r="AFV101" s="106"/>
      <c r="AFW101" s="106"/>
      <c r="AFX101" s="106"/>
      <c r="AFY101" s="106"/>
      <c r="AFZ101" s="106"/>
      <c r="AGA101" s="106"/>
      <c r="AGB101" s="106"/>
      <c r="AGC101" s="106"/>
      <c r="AGD101" s="106"/>
      <c r="AGE101" s="106"/>
      <c r="AGF101" s="106"/>
      <c r="AGG101" s="106"/>
      <c r="AGH101" s="106"/>
      <c r="AGI101" s="106"/>
      <c r="AGJ101" s="106"/>
      <c r="AGK101" s="106"/>
      <c r="AGL101" s="106"/>
      <c r="AGM101" s="106"/>
      <c r="AGN101" s="106"/>
      <c r="AGO101" s="106"/>
      <c r="AGP101" s="106"/>
      <c r="AGQ101" s="106"/>
      <c r="AGR101" s="106"/>
      <c r="AGS101" s="106"/>
      <c r="AGT101" s="106"/>
      <c r="AGU101" s="106"/>
      <c r="AGV101" s="106"/>
      <c r="AGW101" s="106"/>
      <c r="AGX101" s="106"/>
      <c r="AGY101" s="106"/>
      <c r="AGZ101" s="106"/>
      <c r="AHA101" s="106"/>
      <c r="AHB101" s="106"/>
      <c r="AHC101" s="106"/>
      <c r="AHD101" s="106"/>
      <c r="AHE101" s="106"/>
      <c r="AHF101" s="106"/>
      <c r="AHG101" s="106"/>
      <c r="AHH101" s="106"/>
      <c r="AHI101" s="106"/>
      <c r="AHJ101" s="106"/>
      <c r="AHK101" s="106"/>
      <c r="AHL101" s="106"/>
      <c r="AHM101" s="106"/>
      <c r="AHN101" s="106"/>
      <c r="AHO101" s="106"/>
      <c r="AHP101" s="106"/>
      <c r="AHQ101" s="106"/>
      <c r="AHR101" s="106"/>
      <c r="AHS101" s="106"/>
      <c r="AHT101" s="106"/>
      <c r="AHU101" s="106"/>
      <c r="AHV101" s="106"/>
      <c r="AHW101" s="106"/>
      <c r="AHX101" s="106"/>
      <c r="AHY101" s="106"/>
      <c r="AHZ101" s="106"/>
      <c r="AIA101" s="106"/>
      <c r="AIB101" s="106"/>
      <c r="AIC101" s="106"/>
      <c r="AID101" s="106"/>
      <c r="AIE101" s="106"/>
      <c r="AIF101" s="106"/>
      <c r="AIG101" s="106"/>
      <c r="AIH101" s="106"/>
      <c r="AII101" s="106"/>
      <c r="AIJ101" s="106"/>
      <c r="AIK101" s="106"/>
      <c r="AIL101" s="106"/>
      <c r="AIM101" s="106"/>
      <c r="AIN101" s="106"/>
      <c r="AIO101" s="106"/>
      <c r="AIP101" s="106"/>
      <c r="AIQ101" s="106"/>
      <c r="AIR101" s="106"/>
      <c r="AIS101" s="106"/>
      <c r="AIT101" s="106"/>
      <c r="AIU101" s="106"/>
      <c r="AIV101" s="106"/>
      <c r="AIW101" s="106"/>
      <c r="AIX101" s="106"/>
      <c r="AIY101" s="106"/>
      <c r="AIZ101" s="106"/>
      <c r="AJA101" s="106"/>
      <c r="AJB101" s="106"/>
      <c r="AJC101" s="106"/>
      <c r="AJD101" s="106"/>
      <c r="AJE101" s="106"/>
      <c r="AJF101" s="106"/>
      <c r="AJG101" s="106"/>
      <c r="AJH101" s="106"/>
      <c r="AJI101" s="106"/>
      <c r="AJJ101" s="106"/>
      <c r="AJK101" s="106"/>
      <c r="AJL101" s="106"/>
      <c r="AJM101" s="106"/>
      <c r="AJN101" s="106"/>
      <c r="AJO101" s="106"/>
      <c r="AJP101" s="106"/>
      <c r="AJQ101" s="106"/>
      <c r="AJR101" s="106"/>
      <c r="AJS101" s="106"/>
      <c r="AJT101" s="106"/>
      <c r="AJU101" s="106"/>
      <c r="AJV101" s="106"/>
      <c r="AJW101" s="106"/>
      <c r="AJX101" s="106"/>
      <c r="AJY101" s="106"/>
      <c r="AJZ101" s="106"/>
      <c r="AKA101" s="106"/>
      <c r="AKB101" s="106"/>
      <c r="AKC101" s="106"/>
      <c r="AKD101" s="106"/>
      <c r="AKE101" s="106"/>
      <c r="AKF101" s="106"/>
      <c r="AKG101" s="106"/>
      <c r="AKH101" s="106"/>
      <c r="AKI101" s="106"/>
      <c r="AKJ101" s="106"/>
      <c r="AKK101" s="106"/>
      <c r="AKL101" s="106"/>
      <c r="AKM101" s="106"/>
      <c r="AKN101" s="106"/>
      <c r="AKO101" s="106"/>
      <c r="AKP101" s="106"/>
      <c r="AKQ101" s="106"/>
      <c r="AKR101" s="106"/>
      <c r="AKS101" s="106"/>
      <c r="AKT101" s="106"/>
      <c r="AKU101" s="106"/>
      <c r="AKV101" s="106"/>
      <c r="AKW101" s="106"/>
      <c r="AKX101" s="106"/>
      <c r="AKY101" s="106"/>
      <c r="AKZ101" s="106"/>
      <c r="ALA101" s="106"/>
      <c r="ALB101" s="106"/>
      <c r="ALC101" s="106"/>
      <c r="ALD101" s="106"/>
      <c r="ALE101" s="106"/>
      <c r="ALF101" s="106"/>
      <c r="ALG101" s="106"/>
      <c r="ALH101" s="106"/>
    </row>
    <row r="102" spans="1:996" s="75" customFormat="1" ht="15.75" customHeight="1">
      <c r="A102" s="104"/>
      <c r="B102" s="75" t="str">
        <f t="shared" si="5"/>
        <v>S112112</v>
      </c>
      <c r="C102" s="75" t="s">
        <v>603</v>
      </c>
      <c r="D102" s="27" t="s">
        <v>128</v>
      </c>
      <c r="E102" s="75">
        <v>112112</v>
      </c>
      <c r="F102" s="105" t="s">
        <v>80</v>
      </c>
      <c r="G102" s="74">
        <f>IFERROR(VLOOKUP(E102,'BD - E - Mvto Cx'!$E$15:$G$500,3,0),0)</f>
        <v>0</v>
      </c>
      <c r="H102" s="72">
        <f>IFERROR(VLOOKUP(E102,'BD - E - Mvto Cx'!$N$15:$P$500,3,0),0)</f>
        <v>1208.56</v>
      </c>
      <c r="I102" s="73">
        <f>IFERROR(VLOOKUP(E102,'BD - E - Mvto Cx'!$W$15:$Y$497,3,0),0)</f>
        <v>134.74</v>
      </c>
      <c r="J102" s="73">
        <f>IFERROR(VLOOKUP(E102,'BD - E - Mvto Cx'!$AF$15:$AI$500,3,0),0)</f>
        <v>342.14</v>
      </c>
      <c r="K102" s="73">
        <f>IFERROR(VLOOKUP(E102,'BD - E - Mvto Cx'!$AO$15:$AQ$500,3,0),0)</f>
        <v>0</v>
      </c>
      <c r="L102" s="73">
        <f>IFERROR(VLOOKUP(E102,'BD - E - Mvto Cx'!$AX$15:$AZ$500,3,0),0)</f>
        <v>0</v>
      </c>
      <c r="M102" s="73">
        <f>IFERROR(VLOOKUP(E102,'BD - E - Mvto Cx'!$BJ$15:$BL$500,3,0),0)</f>
        <v>0</v>
      </c>
      <c r="N102" s="73">
        <f>IFERROR(VLOOKUP(E102,'BD - E - Mvto Cx'!$BS$15:$BU$500,3,0),0)</f>
        <v>0</v>
      </c>
      <c r="O102" s="73">
        <f>IFERROR(VLOOKUP(E102,'BD - E - Mvto Cx'!$CB$15:$CD$500,3,0),0)</f>
        <v>0</v>
      </c>
      <c r="P102" s="73">
        <f>IFERROR(VLOOKUP(E102,'BD - E - Mvto Cx'!$CK$15:$CM$500,3,0),0)</f>
        <v>0</v>
      </c>
      <c r="Q102" s="73">
        <f>IFERROR(VLOOKUP(E102,'BD - E - Mvto Cx'!$CT$15:$CV$500,3,0),0)</f>
        <v>0</v>
      </c>
      <c r="R102" s="73">
        <f>IFERROR(VLOOKUP(E102,'BD - E - Mvto Cx'!$DC$15:$DE$500,3,0),0)</f>
        <v>0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  <c r="DM102" s="106"/>
      <c r="DN102" s="106"/>
      <c r="DO102" s="106"/>
      <c r="DP102" s="106"/>
      <c r="DQ102" s="106"/>
      <c r="DR102" s="106"/>
      <c r="DS102" s="106"/>
      <c r="DT102" s="106"/>
      <c r="DU102" s="106"/>
      <c r="DV102" s="106"/>
      <c r="DW102" s="106"/>
      <c r="DX102" s="106"/>
      <c r="DY102" s="106"/>
      <c r="DZ102" s="106"/>
      <c r="EA102" s="106"/>
      <c r="EB102" s="106"/>
      <c r="EC102" s="106"/>
      <c r="ED102" s="106"/>
      <c r="EE102" s="106"/>
      <c r="EF102" s="106"/>
      <c r="EG102" s="106"/>
      <c r="EH102" s="106"/>
      <c r="EI102" s="106"/>
      <c r="EJ102" s="106"/>
      <c r="EK102" s="106"/>
      <c r="EL102" s="106"/>
      <c r="EM102" s="106"/>
      <c r="EN102" s="106"/>
      <c r="EO102" s="106"/>
      <c r="EP102" s="106"/>
      <c r="EQ102" s="106"/>
      <c r="ER102" s="106"/>
      <c r="ES102" s="106"/>
      <c r="ET102" s="106"/>
      <c r="EU102" s="106"/>
      <c r="EV102" s="106"/>
      <c r="EW102" s="106"/>
      <c r="EX102" s="106"/>
      <c r="EY102" s="106"/>
      <c r="EZ102" s="106"/>
      <c r="FA102" s="106"/>
      <c r="FB102" s="106"/>
      <c r="FC102" s="106"/>
      <c r="FD102" s="106"/>
      <c r="FE102" s="106"/>
      <c r="FF102" s="106"/>
      <c r="FG102" s="106"/>
      <c r="FH102" s="106"/>
      <c r="FI102" s="106"/>
      <c r="FJ102" s="106"/>
      <c r="FK102" s="106"/>
      <c r="FL102" s="106"/>
      <c r="FM102" s="106"/>
      <c r="FN102" s="106"/>
      <c r="FO102" s="106"/>
      <c r="FP102" s="106"/>
      <c r="FQ102" s="106"/>
      <c r="FR102" s="106"/>
      <c r="FS102" s="106"/>
      <c r="FT102" s="106"/>
      <c r="FU102" s="106"/>
      <c r="FV102" s="106"/>
      <c r="FW102" s="106"/>
      <c r="FX102" s="106"/>
      <c r="FY102" s="106"/>
      <c r="FZ102" s="106"/>
      <c r="GA102" s="106"/>
      <c r="GB102" s="106"/>
      <c r="GC102" s="106"/>
      <c r="GD102" s="106"/>
      <c r="GE102" s="106"/>
      <c r="GF102" s="106"/>
      <c r="GG102" s="106"/>
      <c r="GH102" s="106"/>
      <c r="GI102" s="106"/>
      <c r="GJ102" s="106"/>
      <c r="GK102" s="106"/>
      <c r="GL102" s="106"/>
      <c r="GM102" s="106"/>
      <c r="GN102" s="106"/>
      <c r="GO102" s="106"/>
      <c r="GP102" s="106"/>
      <c r="GQ102" s="106"/>
      <c r="GR102" s="106"/>
      <c r="GS102" s="106"/>
      <c r="GT102" s="106"/>
      <c r="GU102" s="106"/>
      <c r="GV102" s="106"/>
      <c r="GW102" s="106"/>
      <c r="GX102" s="106"/>
      <c r="GY102" s="106"/>
      <c r="GZ102" s="106"/>
      <c r="HA102" s="106"/>
      <c r="HB102" s="106"/>
      <c r="HC102" s="106"/>
      <c r="HD102" s="106"/>
      <c r="HE102" s="106"/>
      <c r="HF102" s="106"/>
      <c r="HG102" s="106"/>
      <c r="HH102" s="106"/>
      <c r="HI102" s="106"/>
      <c r="HJ102" s="106"/>
      <c r="HK102" s="106"/>
      <c r="HL102" s="106"/>
      <c r="HM102" s="106"/>
      <c r="HN102" s="106"/>
      <c r="HO102" s="106"/>
      <c r="HP102" s="106"/>
      <c r="HQ102" s="106"/>
      <c r="HR102" s="106"/>
      <c r="HS102" s="106"/>
      <c r="HT102" s="106"/>
      <c r="HU102" s="106"/>
      <c r="HV102" s="106"/>
      <c r="HW102" s="106"/>
      <c r="HX102" s="106"/>
      <c r="HY102" s="106"/>
      <c r="HZ102" s="106"/>
      <c r="IA102" s="106"/>
      <c r="IB102" s="106"/>
      <c r="IC102" s="106"/>
      <c r="ID102" s="106"/>
      <c r="IE102" s="106"/>
      <c r="IF102" s="106"/>
      <c r="IG102" s="106"/>
      <c r="IH102" s="106"/>
      <c r="II102" s="106"/>
      <c r="IJ102" s="106"/>
      <c r="IK102" s="106"/>
      <c r="IL102" s="106"/>
      <c r="IM102" s="106"/>
      <c r="IN102" s="106"/>
      <c r="IO102" s="106"/>
      <c r="IP102" s="106"/>
      <c r="IQ102" s="106"/>
      <c r="IR102" s="106"/>
      <c r="IS102" s="106"/>
      <c r="IT102" s="106"/>
      <c r="IU102" s="106"/>
      <c r="IV102" s="106"/>
      <c r="IW102" s="106"/>
      <c r="IX102" s="106"/>
      <c r="IY102" s="106"/>
      <c r="IZ102" s="106"/>
      <c r="JA102" s="106"/>
      <c r="JB102" s="106"/>
      <c r="JC102" s="106"/>
      <c r="JD102" s="106"/>
      <c r="JE102" s="106"/>
      <c r="JF102" s="106"/>
      <c r="JG102" s="106"/>
      <c r="JH102" s="106"/>
      <c r="JI102" s="106"/>
      <c r="JJ102" s="106"/>
      <c r="JK102" s="106"/>
      <c r="JL102" s="106"/>
      <c r="JM102" s="106"/>
      <c r="JN102" s="106"/>
      <c r="JO102" s="106"/>
      <c r="JP102" s="106"/>
      <c r="JQ102" s="106"/>
      <c r="JR102" s="106"/>
      <c r="JS102" s="106"/>
      <c r="JT102" s="106"/>
      <c r="JU102" s="106"/>
      <c r="JV102" s="106"/>
      <c r="JW102" s="106"/>
      <c r="JX102" s="106"/>
      <c r="JY102" s="106"/>
      <c r="JZ102" s="106"/>
      <c r="KA102" s="106"/>
      <c r="KB102" s="106"/>
      <c r="KC102" s="106"/>
      <c r="KD102" s="106"/>
      <c r="KE102" s="106"/>
      <c r="KF102" s="106"/>
      <c r="KG102" s="106"/>
      <c r="KH102" s="106"/>
      <c r="KI102" s="106"/>
      <c r="KJ102" s="106"/>
      <c r="KK102" s="106"/>
      <c r="KL102" s="106"/>
      <c r="KM102" s="106"/>
      <c r="KN102" s="106"/>
      <c r="KO102" s="106"/>
      <c r="KP102" s="106"/>
      <c r="KQ102" s="106"/>
      <c r="KR102" s="106"/>
      <c r="KS102" s="106"/>
      <c r="KT102" s="106"/>
      <c r="KU102" s="106"/>
      <c r="KV102" s="106"/>
      <c r="KW102" s="106"/>
      <c r="KX102" s="106"/>
      <c r="KY102" s="106"/>
      <c r="KZ102" s="106"/>
      <c r="LA102" s="106"/>
      <c r="LB102" s="106"/>
      <c r="LC102" s="106"/>
      <c r="LD102" s="106"/>
      <c r="LE102" s="106"/>
      <c r="LF102" s="106"/>
      <c r="LG102" s="106"/>
      <c r="LH102" s="106"/>
      <c r="LI102" s="106"/>
      <c r="LJ102" s="106"/>
      <c r="LK102" s="106"/>
      <c r="LL102" s="106"/>
      <c r="LM102" s="106"/>
      <c r="LN102" s="106"/>
      <c r="LO102" s="106"/>
      <c r="LP102" s="106"/>
      <c r="LQ102" s="106"/>
      <c r="LR102" s="106"/>
      <c r="LS102" s="106"/>
      <c r="LT102" s="106"/>
      <c r="LU102" s="106"/>
      <c r="LV102" s="106"/>
      <c r="LW102" s="106"/>
      <c r="LX102" s="106"/>
      <c r="LY102" s="106"/>
      <c r="LZ102" s="106"/>
      <c r="MA102" s="106"/>
      <c r="MB102" s="106"/>
      <c r="MC102" s="106"/>
      <c r="MD102" s="106"/>
      <c r="ME102" s="106"/>
      <c r="MF102" s="106"/>
      <c r="MG102" s="106"/>
      <c r="MH102" s="106"/>
      <c r="MI102" s="106"/>
      <c r="MJ102" s="106"/>
      <c r="MK102" s="106"/>
      <c r="ML102" s="106"/>
      <c r="MM102" s="106"/>
      <c r="MN102" s="106"/>
      <c r="MO102" s="106"/>
      <c r="MP102" s="106"/>
      <c r="MQ102" s="106"/>
      <c r="MR102" s="106"/>
      <c r="MS102" s="106"/>
      <c r="MT102" s="106"/>
      <c r="MU102" s="106"/>
      <c r="MV102" s="106"/>
      <c r="MW102" s="106"/>
      <c r="MX102" s="106"/>
      <c r="MY102" s="106"/>
      <c r="MZ102" s="106"/>
      <c r="NA102" s="106"/>
      <c r="NB102" s="106"/>
      <c r="NC102" s="106"/>
      <c r="ND102" s="106"/>
      <c r="NE102" s="106"/>
      <c r="NF102" s="106"/>
      <c r="NG102" s="106"/>
      <c r="NH102" s="106"/>
      <c r="NI102" s="106"/>
      <c r="NJ102" s="106"/>
      <c r="NK102" s="106"/>
      <c r="NL102" s="106"/>
      <c r="NM102" s="106"/>
      <c r="NN102" s="106"/>
      <c r="NO102" s="106"/>
      <c r="NP102" s="106"/>
      <c r="NQ102" s="106"/>
      <c r="NR102" s="106"/>
      <c r="NS102" s="106"/>
      <c r="NT102" s="106"/>
      <c r="NU102" s="106"/>
      <c r="NV102" s="106"/>
      <c r="NW102" s="106"/>
      <c r="NX102" s="106"/>
      <c r="NY102" s="106"/>
      <c r="NZ102" s="106"/>
      <c r="OA102" s="106"/>
      <c r="OB102" s="106"/>
      <c r="OC102" s="106"/>
      <c r="OD102" s="106"/>
      <c r="OE102" s="106"/>
      <c r="OF102" s="106"/>
      <c r="OG102" s="106"/>
      <c r="OH102" s="106"/>
      <c r="OI102" s="106"/>
      <c r="OJ102" s="106"/>
      <c r="OK102" s="106"/>
      <c r="OL102" s="106"/>
      <c r="OM102" s="106"/>
      <c r="ON102" s="106"/>
      <c r="OO102" s="106"/>
      <c r="OP102" s="106"/>
      <c r="OQ102" s="106"/>
      <c r="OR102" s="106"/>
      <c r="OS102" s="106"/>
      <c r="OT102" s="106"/>
      <c r="OU102" s="106"/>
      <c r="OV102" s="106"/>
      <c r="OW102" s="106"/>
      <c r="OX102" s="106"/>
      <c r="OY102" s="106"/>
      <c r="OZ102" s="106"/>
      <c r="PA102" s="106"/>
      <c r="PB102" s="106"/>
      <c r="PC102" s="106"/>
      <c r="PD102" s="106"/>
      <c r="PE102" s="106"/>
      <c r="PF102" s="106"/>
      <c r="PG102" s="106"/>
      <c r="PH102" s="106"/>
      <c r="PI102" s="106"/>
      <c r="PJ102" s="106"/>
      <c r="PK102" s="106"/>
      <c r="PL102" s="106"/>
      <c r="PM102" s="106"/>
      <c r="PN102" s="106"/>
      <c r="PO102" s="106"/>
      <c r="PP102" s="106"/>
      <c r="PQ102" s="106"/>
      <c r="PR102" s="106"/>
      <c r="PS102" s="106"/>
      <c r="PT102" s="106"/>
      <c r="PU102" s="106"/>
      <c r="PV102" s="106"/>
      <c r="PW102" s="106"/>
      <c r="PX102" s="106"/>
      <c r="PY102" s="106"/>
      <c r="PZ102" s="106"/>
      <c r="QA102" s="106"/>
      <c r="QB102" s="106"/>
      <c r="QC102" s="106"/>
      <c r="QD102" s="106"/>
      <c r="QE102" s="106"/>
      <c r="QF102" s="106"/>
      <c r="QG102" s="106"/>
      <c r="QH102" s="106"/>
      <c r="QI102" s="106"/>
      <c r="QJ102" s="106"/>
      <c r="QK102" s="106"/>
      <c r="QL102" s="106"/>
      <c r="QM102" s="106"/>
      <c r="QN102" s="106"/>
      <c r="QO102" s="106"/>
      <c r="QP102" s="106"/>
      <c r="QQ102" s="106"/>
      <c r="QR102" s="106"/>
      <c r="QS102" s="106"/>
      <c r="QT102" s="106"/>
      <c r="QU102" s="106"/>
      <c r="QV102" s="106"/>
      <c r="QW102" s="106"/>
      <c r="QX102" s="106"/>
      <c r="QY102" s="106"/>
      <c r="QZ102" s="106"/>
      <c r="RA102" s="106"/>
      <c r="RB102" s="106"/>
      <c r="RC102" s="106"/>
      <c r="RD102" s="106"/>
      <c r="RE102" s="106"/>
      <c r="RF102" s="106"/>
      <c r="RG102" s="106"/>
      <c r="RH102" s="106"/>
      <c r="RI102" s="106"/>
      <c r="RJ102" s="106"/>
      <c r="RK102" s="106"/>
      <c r="RL102" s="106"/>
      <c r="RM102" s="106"/>
      <c r="RN102" s="106"/>
      <c r="RO102" s="106"/>
      <c r="RP102" s="106"/>
      <c r="RQ102" s="106"/>
      <c r="RR102" s="106"/>
      <c r="RS102" s="106"/>
      <c r="RT102" s="106"/>
      <c r="RU102" s="106"/>
      <c r="RV102" s="106"/>
      <c r="RW102" s="106"/>
      <c r="RX102" s="106"/>
      <c r="RY102" s="106"/>
      <c r="RZ102" s="106"/>
      <c r="SA102" s="106"/>
      <c r="SB102" s="106"/>
      <c r="SC102" s="106"/>
      <c r="SD102" s="106"/>
      <c r="SE102" s="106"/>
      <c r="SF102" s="106"/>
      <c r="SG102" s="106"/>
      <c r="SH102" s="106"/>
      <c r="SI102" s="106"/>
      <c r="SJ102" s="106"/>
      <c r="SK102" s="106"/>
      <c r="SL102" s="106"/>
      <c r="SM102" s="106"/>
      <c r="SN102" s="106"/>
      <c r="SO102" s="106"/>
      <c r="SP102" s="106"/>
      <c r="SQ102" s="106"/>
      <c r="SR102" s="106"/>
      <c r="SS102" s="106"/>
      <c r="ST102" s="106"/>
      <c r="SU102" s="106"/>
      <c r="SV102" s="106"/>
      <c r="SW102" s="106"/>
      <c r="SX102" s="106"/>
      <c r="SY102" s="106"/>
      <c r="SZ102" s="106"/>
      <c r="TA102" s="106"/>
      <c r="TB102" s="106"/>
      <c r="TC102" s="106"/>
      <c r="TD102" s="106"/>
      <c r="TE102" s="106"/>
      <c r="TF102" s="106"/>
      <c r="TG102" s="106"/>
      <c r="TH102" s="106"/>
      <c r="TI102" s="106"/>
      <c r="TJ102" s="106"/>
      <c r="TK102" s="106"/>
      <c r="TL102" s="106"/>
      <c r="TM102" s="106"/>
      <c r="TN102" s="106"/>
      <c r="TO102" s="106"/>
      <c r="TP102" s="106"/>
      <c r="TQ102" s="106"/>
      <c r="TR102" s="106"/>
      <c r="TS102" s="106"/>
      <c r="TT102" s="106"/>
      <c r="TU102" s="106"/>
      <c r="TV102" s="106"/>
      <c r="TW102" s="106"/>
      <c r="TX102" s="106"/>
      <c r="TY102" s="106"/>
      <c r="TZ102" s="106"/>
      <c r="UA102" s="106"/>
      <c r="UB102" s="106"/>
      <c r="UC102" s="106"/>
      <c r="UD102" s="106"/>
      <c r="UE102" s="106"/>
      <c r="UF102" s="106"/>
      <c r="UG102" s="106"/>
      <c r="UH102" s="106"/>
      <c r="UI102" s="106"/>
      <c r="UJ102" s="106"/>
      <c r="UK102" s="106"/>
      <c r="UL102" s="106"/>
      <c r="UM102" s="106"/>
      <c r="UN102" s="106"/>
      <c r="UO102" s="106"/>
      <c r="UP102" s="106"/>
      <c r="UQ102" s="106"/>
      <c r="UR102" s="106"/>
      <c r="US102" s="106"/>
      <c r="UT102" s="106"/>
      <c r="UU102" s="106"/>
      <c r="UV102" s="106"/>
      <c r="UW102" s="106"/>
      <c r="UX102" s="106"/>
      <c r="UY102" s="106"/>
      <c r="UZ102" s="106"/>
      <c r="VA102" s="106"/>
      <c r="VB102" s="106"/>
      <c r="VC102" s="106"/>
      <c r="VD102" s="106"/>
      <c r="VE102" s="106"/>
      <c r="VF102" s="106"/>
      <c r="VG102" s="106"/>
      <c r="VH102" s="106"/>
      <c r="VI102" s="106"/>
      <c r="VJ102" s="106"/>
      <c r="VK102" s="106"/>
      <c r="VL102" s="106"/>
      <c r="VM102" s="106"/>
      <c r="VN102" s="106"/>
      <c r="VO102" s="106"/>
      <c r="VP102" s="106"/>
      <c r="VQ102" s="106"/>
      <c r="VR102" s="106"/>
      <c r="VS102" s="106"/>
      <c r="VT102" s="106"/>
      <c r="VU102" s="106"/>
      <c r="VV102" s="106"/>
      <c r="VW102" s="106"/>
      <c r="VX102" s="106"/>
      <c r="VY102" s="106"/>
      <c r="VZ102" s="106"/>
      <c r="WA102" s="106"/>
      <c r="WB102" s="106"/>
      <c r="WC102" s="106"/>
      <c r="WD102" s="106"/>
      <c r="WE102" s="106"/>
      <c r="WF102" s="106"/>
      <c r="WG102" s="106"/>
      <c r="WH102" s="106"/>
      <c r="WI102" s="106"/>
      <c r="WJ102" s="106"/>
      <c r="WK102" s="106"/>
      <c r="WL102" s="106"/>
      <c r="WM102" s="106"/>
      <c r="WN102" s="106"/>
      <c r="WO102" s="106"/>
      <c r="WP102" s="106"/>
      <c r="WQ102" s="106"/>
      <c r="WR102" s="106"/>
      <c r="WS102" s="106"/>
      <c r="WT102" s="106"/>
      <c r="WU102" s="106"/>
      <c r="WV102" s="106"/>
      <c r="WW102" s="106"/>
      <c r="WX102" s="106"/>
      <c r="WY102" s="106"/>
      <c r="WZ102" s="106"/>
      <c r="XA102" s="106"/>
      <c r="XB102" s="106"/>
      <c r="XC102" s="106"/>
      <c r="XD102" s="106"/>
      <c r="XE102" s="106"/>
      <c r="XF102" s="106"/>
      <c r="XG102" s="106"/>
      <c r="XH102" s="106"/>
      <c r="XI102" s="106"/>
      <c r="XJ102" s="106"/>
      <c r="XK102" s="106"/>
      <c r="XL102" s="106"/>
      <c r="XM102" s="106"/>
      <c r="XN102" s="106"/>
      <c r="XO102" s="106"/>
      <c r="XP102" s="106"/>
      <c r="XQ102" s="106"/>
      <c r="XR102" s="106"/>
      <c r="XS102" s="106"/>
      <c r="XT102" s="106"/>
      <c r="XU102" s="106"/>
      <c r="XV102" s="106"/>
      <c r="XW102" s="106"/>
      <c r="XX102" s="106"/>
      <c r="XY102" s="106"/>
      <c r="XZ102" s="106"/>
      <c r="YA102" s="106"/>
      <c r="YB102" s="106"/>
      <c r="YC102" s="106"/>
      <c r="YD102" s="106"/>
      <c r="YE102" s="106"/>
      <c r="YF102" s="106"/>
      <c r="YG102" s="106"/>
      <c r="YH102" s="106"/>
      <c r="YI102" s="106"/>
      <c r="YJ102" s="106"/>
      <c r="YK102" s="106"/>
      <c r="YL102" s="106"/>
      <c r="YM102" s="106"/>
      <c r="YN102" s="106"/>
      <c r="YO102" s="106"/>
      <c r="YP102" s="106"/>
      <c r="YQ102" s="106"/>
      <c r="YR102" s="106"/>
      <c r="YS102" s="106"/>
      <c r="YT102" s="106"/>
      <c r="YU102" s="106"/>
      <c r="YV102" s="106"/>
      <c r="YW102" s="106"/>
      <c r="YX102" s="106"/>
      <c r="YY102" s="106"/>
      <c r="YZ102" s="106"/>
      <c r="ZA102" s="106"/>
      <c r="ZB102" s="106"/>
      <c r="ZC102" s="106"/>
      <c r="ZD102" s="106"/>
      <c r="ZE102" s="106"/>
      <c r="ZF102" s="106"/>
      <c r="ZG102" s="106"/>
      <c r="ZH102" s="106"/>
      <c r="ZI102" s="106"/>
      <c r="ZJ102" s="106"/>
      <c r="ZK102" s="106"/>
      <c r="ZL102" s="106"/>
      <c r="ZM102" s="106"/>
      <c r="ZN102" s="106"/>
      <c r="ZO102" s="106"/>
      <c r="ZP102" s="106"/>
      <c r="ZQ102" s="106"/>
      <c r="ZR102" s="106"/>
      <c r="ZS102" s="106"/>
      <c r="ZT102" s="106"/>
      <c r="ZU102" s="106"/>
      <c r="ZV102" s="106"/>
      <c r="ZW102" s="106"/>
      <c r="ZX102" s="106"/>
      <c r="ZY102" s="106"/>
      <c r="ZZ102" s="106"/>
      <c r="AAA102" s="106"/>
      <c r="AAB102" s="106"/>
      <c r="AAC102" s="106"/>
      <c r="AAD102" s="106"/>
      <c r="AAE102" s="106"/>
      <c r="AAF102" s="106"/>
      <c r="AAG102" s="106"/>
      <c r="AAH102" s="106"/>
      <c r="AAI102" s="106"/>
      <c r="AAJ102" s="106"/>
      <c r="AAK102" s="106"/>
      <c r="AAL102" s="106"/>
      <c r="AAM102" s="106"/>
      <c r="AAN102" s="106"/>
      <c r="AAO102" s="106"/>
      <c r="AAP102" s="106"/>
      <c r="AAQ102" s="106"/>
      <c r="AAR102" s="106"/>
      <c r="AAS102" s="106"/>
      <c r="AAT102" s="106"/>
      <c r="AAU102" s="106"/>
      <c r="AAV102" s="106"/>
      <c r="AAW102" s="106"/>
      <c r="AAX102" s="106"/>
      <c r="AAY102" s="106"/>
      <c r="AAZ102" s="106"/>
      <c r="ABA102" s="106"/>
      <c r="ABB102" s="106"/>
      <c r="ABC102" s="106"/>
      <c r="ABD102" s="106"/>
      <c r="ABE102" s="106"/>
      <c r="ABF102" s="106"/>
      <c r="ABG102" s="106"/>
      <c r="ABH102" s="106"/>
      <c r="ABI102" s="106"/>
      <c r="ABJ102" s="106"/>
      <c r="ABK102" s="106"/>
      <c r="ABL102" s="106"/>
      <c r="ABM102" s="106"/>
      <c r="ABN102" s="106"/>
      <c r="ABO102" s="106"/>
      <c r="ABP102" s="106"/>
      <c r="ABQ102" s="106"/>
      <c r="ABR102" s="106"/>
      <c r="ABS102" s="106"/>
      <c r="ABT102" s="106"/>
      <c r="ABU102" s="106"/>
      <c r="ABV102" s="106"/>
      <c r="ABW102" s="106"/>
      <c r="ABX102" s="106"/>
      <c r="ABY102" s="106"/>
      <c r="ABZ102" s="106"/>
      <c r="ACA102" s="106"/>
      <c r="ACB102" s="106"/>
      <c r="ACC102" s="106"/>
      <c r="ACD102" s="106"/>
      <c r="ACE102" s="106"/>
      <c r="ACF102" s="106"/>
      <c r="ACG102" s="106"/>
      <c r="ACH102" s="106"/>
      <c r="ACI102" s="106"/>
      <c r="ACJ102" s="106"/>
      <c r="ACK102" s="106"/>
      <c r="ACL102" s="106"/>
      <c r="ACM102" s="106"/>
      <c r="ACN102" s="106"/>
      <c r="ACO102" s="106"/>
      <c r="ACP102" s="106"/>
      <c r="ACQ102" s="106"/>
      <c r="ACR102" s="106"/>
      <c r="ACS102" s="106"/>
      <c r="ACT102" s="106"/>
      <c r="ACU102" s="106"/>
      <c r="ACV102" s="106"/>
      <c r="ACW102" s="106"/>
      <c r="ACX102" s="106"/>
      <c r="ACY102" s="106"/>
      <c r="ACZ102" s="106"/>
      <c r="ADA102" s="106"/>
      <c r="ADB102" s="106"/>
      <c r="ADC102" s="106"/>
      <c r="ADD102" s="106"/>
      <c r="ADE102" s="106"/>
      <c r="ADF102" s="106"/>
      <c r="ADG102" s="106"/>
      <c r="ADH102" s="106"/>
      <c r="ADI102" s="106"/>
      <c r="ADJ102" s="106"/>
      <c r="ADK102" s="106"/>
      <c r="ADL102" s="106"/>
      <c r="ADM102" s="106"/>
      <c r="ADN102" s="106"/>
      <c r="ADO102" s="106"/>
      <c r="ADP102" s="106"/>
      <c r="ADQ102" s="106"/>
      <c r="ADR102" s="106"/>
      <c r="ADS102" s="106"/>
      <c r="ADT102" s="106"/>
      <c r="ADU102" s="106"/>
      <c r="ADV102" s="106"/>
      <c r="ADW102" s="106"/>
      <c r="ADX102" s="106"/>
      <c r="ADY102" s="106"/>
      <c r="ADZ102" s="106"/>
      <c r="AEA102" s="106"/>
      <c r="AEB102" s="106"/>
      <c r="AEC102" s="106"/>
      <c r="AED102" s="106"/>
      <c r="AEE102" s="106"/>
      <c r="AEF102" s="106"/>
      <c r="AEG102" s="106"/>
      <c r="AEH102" s="106"/>
      <c r="AEI102" s="106"/>
      <c r="AEJ102" s="106"/>
      <c r="AEK102" s="106"/>
      <c r="AEL102" s="106"/>
      <c r="AEM102" s="106"/>
      <c r="AEN102" s="106"/>
      <c r="AEO102" s="106"/>
      <c r="AEP102" s="106"/>
      <c r="AEQ102" s="106"/>
      <c r="AER102" s="106"/>
      <c r="AES102" s="106"/>
      <c r="AET102" s="106"/>
      <c r="AEU102" s="106"/>
      <c r="AEV102" s="106"/>
      <c r="AEW102" s="106"/>
      <c r="AEX102" s="106"/>
      <c r="AEY102" s="106"/>
      <c r="AEZ102" s="106"/>
      <c r="AFA102" s="106"/>
      <c r="AFB102" s="106"/>
      <c r="AFC102" s="106"/>
      <c r="AFD102" s="106"/>
      <c r="AFE102" s="106"/>
      <c r="AFF102" s="106"/>
      <c r="AFG102" s="106"/>
      <c r="AFH102" s="106"/>
      <c r="AFI102" s="106"/>
      <c r="AFJ102" s="106"/>
      <c r="AFK102" s="106"/>
      <c r="AFL102" s="106"/>
      <c r="AFM102" s="106"/>
      <c r="AFN102" s="106"/>
      <c r="AFO102" s="106"/>
      <c r="AFP102" s="106"/>
      <c r="AFQ102" s="106"/>
      <c r="AFR102" s="106"/>
      <c r="AFS102" s="106"/>
      <c r="AFT102" s="106"/>
      <c r="AFU102" s="106"/>
      <c r="AFV102" s="106"/>
      <c r="AFW102" s="106"/>
      <c r="AFX102" s="106"/>
      <c r="AFY102" s="106"/>
      <c r="AFZ102" s="106"/>
      <c r="AGA102" s="106"/>
      <c r="AGB102" s="106"/>
      <c r="AGC102" s="106"/>
      <c r="AGD102" s="106"/>
      <c r="AGE102" s="106"/>
      <c r="AGF102" s="106"/>
      <c r="AGG102" s="106"/>
      <c r="AGH102" s="106"/>
      <c r="AGI102" s="106"/>
      <c r="AGJ102" s="106"/>
      <c r="AGK102" s="106"/>
      <c r="AGL102" s="106"/>
      <c r="AGM102" s="106"/>
      <c r="AGN102" s="106"/>
      <c r="AGO102" s="106"/>
      <c r="AGP102" s="106"/>
      <c r="AGQ102" s="106"/>
      <c r="AGR102" s="106"/>
      <c r="AGS102" s="106"/>
      <c r="AGT102" s="106"/>
      <c r="AGU102" s="106"/>
      <c r="AGV102" s="106"/>
      <c r="AGW102" s="106"/>
      <c r="AGX102" s="106"/>
      <c r="AGY102" s="106"/>
      <c r="AGZ102" s="106"/>
      <c r="AHA102" s="106"/>
      <c r="AHB102" s="106"/>
      <c r="AHC102" s="106"/>
      <c r="AHD102" s="106"/>
      <c r="AHE102" s="106"/>
      <c r="AHF102" s="106"/>
      <c r="AHG102" s="106"/>
      <c r="AHH102" s="106"/>
      <c r="AHI102" s="106"/>
      <c r="AHJ102" s="106"/>
      <c r="AHK102" s="106"/>
      <c r="AHL102" s="106"/>
      <c r="AHM102" s="106"/>
      <c r="AHN102" s="106"/>
      <c r="AHO102" s="106"/>
      <c r="AHP102" s="106"/>
      <c r="AHQ102" s="106"/>
      <c r="AHR102" s="106"/>
      <c r="AHS102" s="106"/>
      <c r="AHT102" s="106"/>
      <c r="AHU102" s="106"/>
      <c r="AHV102" s="106"/>
      <c r="AHW102" s="106"/>
      <c r="AHX102" s="106"/>
      <c r="AHY102" s="106"/>
      <c r="AHZ102" s="106"/>
      <c r="AIA102" s="106"/>
      <c r="AIB102" s="106"/>
      <c r="AIC102" s="106"/>
      <c r="AID102" s="106"/>
      <c r="AIE102" s="106"/>
      <c r="AIF102" s="106"/>
      <c r="AIG102" s="106"/>
      <c r="AIH102" s="106"/>
      <c r="AII102" s="106"/>
      <c r="AIJ102" s="106"/>
      <c r="AIK102" s="106"/>
      <c r="AIL102" s="106"/>
      <c r="AIM102" s="106"/>
      <c r="AIN102" s="106"/>
      <c r="AIO102" s="106"/>
      <c r="AIP102" s="106"/>
      <c r="AIQ102" s="106"/>
      <c r="AIR102" s="106"/>
      <c r="AIS102" s="106"/>
      <c r="AIT102" s="106"/>
      <c r="AIU102" s="106"/>
      <c r="AIV102" s="106"/>
      <c r="AIW102" s="106"/>
      <c r="AIX102" s="106"/>
      <c r="AIY102" s="106"/>
      <c r="AIZ102" s="106"/>
      <c r="AJA102" s="106"/>
      <c r="AJB102" s="106"/>
      <c r="AJC102" s="106"/>
      <c r="AJD102" s="106"/>
      <c r="AJE102" s="106"/>
      <c r="AJF102" s="106"/>
      <c r="AJG102" s="106"/>
      <c r="AJH102" s="106"/>
      <c r="AJI102" s="106"/>
      <c r="AJJ102" s="106"/>
      <c r="AJK102" s="106"/>
      <c r="AJL102" s="106"/>
      <c r="AJM102" s="106"/>
      <c r="AJN102" s="106"/>
      <c r="AJO102" s="106"/>
      <c r="AJP102" s="106"/>
      <c r="AJQ102" s="106"/>
      <c r="AJR102" s="106"/>
      <c r="AJS102" s="106"/>
      <c r="AJT102" s="106"/>
      <c r="AJU102" s="106"/>
      <c r="AJV102" s="106"/>
      <c r="AJW102" s="106"/>
      <c r="AJX102" s="106"/>
      <c r="AJY102" s="106"/>
      <c r="AJZ102" s="106"/>
      <c r="AKA102" s="106"/>
      <c r="AKB102" s="106"/>
      <c r="AKC102" s="106"/>
      <c r="AKD102" s="106"/>
      <c r="AKE102" s="106"/>
      <c r="AKF102" s="106"/>
      <c r="AKG102" s="106"/>
      <c r="AKH102" s="106"/>
      <c r="AKI102" s="106"/>
      <c r="AKJ102" s="106"/>
      <c r="AKK102" s="106"/>
      <c r="AKL102" s="106"/>
      <c r="AKM102" s="106"/>
      <c r="AKN102" s="106"/>
      <c r="AKO102" s="106"/>
      <c r="AKP102" s="106"/>
      <c r="AKQ102" s="106"/>
      <c r="AKR102" s="106"/>
      <c r="AKS102" s="106"/>
      <c r="AKT102" s="106"/>
      <c r="AKU102" s="106"/>
      <c r="AKV102" s="106"/>
      <c r="AKW102" s="106"/>
      <c r="AKX102" s="106"/>
      <c r="AKY102" s="106"/>
      <c r="AKZ102" s="106"/>
      <c r="ALA102" s="106"/>
      <c r="ALB102" s="106"/>
      <c r="ALC102" s="106"/>
      <c r="ALD102" s="106"/>
      <c r="ALE102" s="106"/>
      <c r="ALF102" s="106"/>
      <c r="ALG102" s="106"/>
      <c r="ALH102" s="106"/>
    </row>
    <row r="103" spans="1:996" s="75" customFormat="1" ht="15.75" customHeight="1">
      <c r="A103" s="104"/>
      <c r="B103" s="75" t="str">
        <f t="shared" si="5"/>
        <v>S112116</v>
      </c>
      <c r="C103" s="75" t="s">
        <v>604</v>
      </c>
      <c r="D103" s="27" t="s">
        <v>128</v>
      </c>
      <c r="E103" s="75">
        <v>112116</v>
      </c>
      <c r="F103" s="105" t="s">
        <v>577</v>
      </c>
      <c r="G103" s="74">
        <f>IFERROR(VLOOKUP(E103,'BD - E - Mvto Cx'!$E$15:$G$500,3,0),0)</f>
        <v>151013.56</v>
      </c>
      <c r="H103" s="72">
        <f>IFERROR(VLOOKUP(E103,'BD - E - Mvto Cx'!$N$15:$P$500,3,0),0)</f>
        <v>132572.29</v>
      </c>
      <c r="I103" s="73">
        <f>IFERROR(VLOOKUP(E103,'BD - E - Mvto Cx'!$W$15:$Y$497,3,0),0)</f>
        <v>107548.18</v>
      </c>
      <c r="J103" s="73">
        <f>IFERROR(VLOOKUP(E103,'BD - E - Mvto Cx'!$AF$15:$AI$500,3,0),0)</f>
        <v>98496.73</v>
      </c>
      <c r="K103" s="73">
        <f>IFERROR(VLOOKUP(E103,'BD - E - Mvto Cx'!$AO$15:$AQ$500,3,0),0)</f>
        <v>0</v>
      </c>
      <c r="L103" s="73">
        <f>IFERROR(VLOOKUP(E103,'BD - E - Mvto Cx'!$AX$15:$AZ$500,3,0),0)</f>
        <v>0</v>
      </c>
      <c r="M103" s="73">
        <f>IFERROR(VLOOKUP(E103,'BD - E - Mvto Cx'!$BJ$15:$BL$500,3,0),0)</f>
        <v>0</v>
      </c>
      <c r="N103" s="73">
        <f>IFERROR(VLOOKUP(E103,'BD - E - Mvto Cx'!$BS$15:$BU$500,3,0),0)</f>
        <v>0</v>
      </c>
      <c r="O103" s="73">
        <f>IFERROR(VLOOKUP(E103,'BD - E - Mvto Cx'!$CB$15:$CD$500,3,0),0)</f>
        <v>0</v>
      </c>
      <c r="P103" s="73">
        <f>IFERROR(VLOOKUP(E103,'BD - E - Mvto Cx'!$CK$15:$CM$500,3,0),0)</f>
        <v>0</v>
      </c>
      <c r="Q103" s="73">
        <f>IFERROR(VLOOKUP(E103,'BD - E - Mvto Cx'!$CT$15:$CV$500,3,0),0)</f>
        <v>0</v>
      </c>
      <c r="R103" s="73">
        <f>IFERROR(VLOOKUP(E103,'BD - E - Mvto Cx'!$DC$15:$DE$500,3,0),0)</f>
        <v>0</v>
      </c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06"/>
      <c r="DI103" s="106"/>
      <c r="DJ103" s="106"/>
      <c r="DK103" s="106"/>
      <c r="DL103" s="106"/>
      <c r="DM103" s="106"/>
      <c r="DN103" s="106"/>
      <c r="DO103" s="106"/>
      <c r="DP103" s="106"/>
      <c r="DQ103" s="106"/>
      <c r="DR103" s="106"/>
      <c r="DS103" s="106"/>
      <c r="DT103" s="106"/>
      <c r="DU103" s="106"/>
      <c r="DV103" s="106"/>
      <c r="DW103" s="106"/>
      <c r="DX103" s="106"/>
      <c r="DY103" s="106"/>
      <c r="DZ103" s="106"/>
      <c r="EA103" s="106"/>
      <c r="EB103" s="106"/>
      <c r="EC103" s="106"/>
      <c r="ED103" s="106"/>
      <c r="EE103" s="106"/>
      <c r="EF103" s="106"/>
      <c r="EG103" s="106"/>
      <c r="EH103" s="106"/>
      <c r="EI103" s="106"/>
      <c r="EJ103" s="106"/>
      <c r="EK103" s="106"/>
      <c r="EL103" s="106"/>
      <c r="EM103" s="106"/>
      <c r="EN103" s="106"/>
      <c r="EO103" s="106"/>
      <c r="EP103" s="106"/>
      <c r="EQ103" s="106"/>
      <c r="ER103" s="106"/>
      <c r="ES103" s="106"/>
      <c r="ET103" s="106"/>
      <c r="EU103" s="106"/>
      <c r="EV103" s="106"/>
      <c r="EW103" s="106"/>
      <c r="EX103" s="106"/>
      <c r="EY103" s="106"/>
      <c r="EZ103" s="106"/>
      <c r="FA103" s="106"/>
      <c r="FB103" s="106"/>
      <c r="FC103" s="106"/>
      <c r="FD103" s="106"/>
      <c r="FE103" s="106"/>
      <c r="FF103" s="106"/>
      <c r="FG103" s="106"/>
      <c r="FH103" s="106"/>
      <c r="FI103" s="106"/>
      <c r="FJ103" s="106"/>
      <c r="FK103" s="106"/>
      <c r="FL103" s="106"/>
      <c r="FM103" s="106"/>
      <c r="FN103" s="106"/>
      <c r="FO103" s="106"/>
      <c r="FP103" s="106"/>
      <c r="FQ103" s="106"/>
      <c r="FR103" s="106"/>
      <c r="FS103" s="106"/>
      <c r="FT103" s="106"/>
      <c r="FU103" s="106"/>
      <c r="FV103" s="106"/>
      <c r="FW103" s="106"/>
      <c r="FX103" s="106"/>
      <c r="FY103" s="106"/>
      <c r="FZ103" s="106"/>
      <c r="GA103" s="106"/>
      <c r="GB103" s="106"/>
      <c r="GC103" s="106"/>
      <c r="GD103" s="106"/>
      <c r="GE103" s="106"/>
      <c r="GF103" s="106"/>
      <c r="GG103" s="106"/>
      <c r="GH103" s="106"/>
      <c r="GI103" s="106"/>
      <c r="GJ103" s="106"/>
      <c r="GK103" s="106"/>
      <c r="GL103" s="106"/>
      <c r="GM103" s="106"/>
      <c r="GN103" s="106"/>
      <c r="GO103" s="106"/>
      <c r="GP103" s="106"/>
      <c r="GQ103" s="106"/>
      <c r="GR103" s="106"/>
      <c r="GS103" s="106"/>
      <c r="GT103" s="106"/>
      <c r="GU103" s="106"/>
      <c r="GV103" s="106"/>
      <c r="GW103" s="106"/>
      <c r="GX103" s="106"/>
      <c r="GY103" s="106"/>
      <c r="GZ103" s="106"/>
      <c r="HA103" s="106"/>
      <c r="HB103" s="106"/>
      <c r="HC103" s="106"/>
      <c r="HD103" s="106"/>
      <c r="HE103" s="106"/>
      <c r="HF103" s="106"/>
      <c r="HG103" s="106"/>
      <c r="HH103" s="106"/>
      <c r="HI103" s="106"/>
      <c r="HJ103" s="106"/>
      <c r="HK103" s="106"/>
      <c r="HL103" s="106"/>
      <c r="HM103" s="106"/>
      <c r="HN103" s="106"/>
      <c r="HO103" s="106"/>
      <c r="HP103" s="106"/>
      <c r="HQ103" s="106"/>
      <c r="HR103" s="106"/>
      <c r="HS103" s="106"/>
      <c r="HT103" s="106"/>
      <c r="HU103" s="106"/>
      <c r="HV103" s="106"/>
      <c r="HW103" s="106"/>
      <c r="HX103" s="106"/>
      <c r="HY103" s="106"/>
      <c r="HZ103" s="106"/>
      <c r="IA103" s="106"/>
      <c r="IB103" s="106"/>
      <c r="IC103" s="106"/>
      <c r="ID103" s="106"/>
      <c r="IE103" s="106"/>
      <c r="IF103" s="106"/>
      <c r="IG103" s="106"/>
      <c r="IH103" s="106"/>
      <c r="II103" s="106"/>
      <c r="IJ103" s="106"/>
      <c r="IK103" s="106"/>
      <c r="IL103" s="106"/>
      <c r="IM103" s="106"/>
      <c r="IN103" s="106"/>
      <c r="IO103" s="106"/>
      <c r="IP103" s="106"/>
      <c r="IQ103" s="106"/>
      <c r="IR103" s="106"/>
      <c r="IS103" s="106"/>
      <c r="IT103" s="106"/>
      <c r="IU103" s="106"/>
      <c r="IV103" s="106"/>
      <c r="IW103" s="106"/>
      <c r="IX103" s="106"/>
      <c r="IY103" s="106"/>
      <c r="IZ103" s="106"/>
      <c r="JA103" s="106"/>
      <c r="JB103" s="106"/>
      <c r="JC103" s="106"/>
      <c r="JD103" s="106"/>
      <c r="JE103" s="106"/>
      <c r="JF103" s="106"/>
      <c r="JG103" s="106"/>
      <c r="JH103" s="106"/>
      <c r="JI103" s="106"/>
      <c r="JJ103" s="106"/>
      <c r="JK103" s="106"/>
      <c r="JL103" s="106"/>
      <c r="JM103" s="106"/>
      <c r="JN103" s="106"/>
      <c r="JO103" s="106"/>
      <c r="JP103" s="106"/>
      <c r="JQ103" s="106"/>
      <c r="JR103" s="106"/>
      <c r="JS103" s="106"/>
      <c r="JT103" s="106"/>
      <c r="JU103" s="106"/>
      <c r="JV103" s="106"/>
      <c r="JW103" s="106"/>
      <c r="JX103" s="106"/>
      <c r="JY103" s="106"/>
      <c r="JZ103" s="106"/>
      <c r="KA103" s="106"/>
      <c r="KB103" s="106"/>
      <c r="KC103" s="106"/>
      <c r="KD103" s="106"/>
      <c r="KE103" s="106"/>
      <c r="KF103" s="106"/>
      <c r="KG103" s="106"/>
      <c r="KH103" s="106"/>
      <c r="KI103" s="106"/>
      <c r="KJ103" s="106"/>
      <c r="KK103" s="106"/>
      <c r="KL103" s="106"/>
      <c r="KM103" s="106"/>
      <c r="KN103" s="106"/>
      <c r="KO103" s="106"/>
      <c r="KP103" s="106"/>
      <c r="KQ103" s="106"/>
      <c r="KR103" s="106"/>
      <c r="KS103" s="106"/>
      <c r="KT103" s="106"/>
      <c r="KU103" s="106"/>
      <c r="KV103" s="106"/>
      <c r="KW103" s="106"/>
      <c r="KX103" s="106"/>
      <c r="KY103" s="106"/>
      <c r="KZ103" s="106"/>
      <c r="LA103" s="106"/>
      <c r="LB103" s="106"/>
      <c r="LC103" s="106"/>
      <c r="LD103" s="106"/>
      <c r="LE103" s="106"/>
      <c r="LF103" s="106"/>
      <c r="LG103" s="106"/>
      <c r="LH103" s="106"/>
      <c r="LI103" s="106"/>
      <c r="LJ103" s="106"/>
      <c r="LK103" s="106"/>
      <c r="LL103" s="106"/>
      <c r="LM103" s="106"/>
      <c r="LN103" s="106"/>
      <c r="LO103" s="106"/>
      <c r="LP103" s="106"/>
      <c r="LQ103" s="106"/>
      <c r="LR103" s="106"/>
      <c r="LS103" s="106"/>
      <c r="LT103" s="106"/>
      <c r="LU103" s="106"/>
      <c r="LV103" s="106"/>
      <c r="LW103" s="106"/>
      <c r="LX103" s="106"/>
      <c r="LY103" s="106"/>
      <c r="LZ103" s="106"/>
      <c r="MA103" s="106"/>
      <c r="MB103" s="106"/>
      <c r="MC103" s="106"/>
      <c r="MD103" s="106"/>
      <c r="ME103" s="106"/>
      <c r="MF103" s="106"/>
      <c r="MG103" s="106"/>
      <c r="MH103" s="106"/>
      <c r="MI103" s="106"/>
      <c r="MJ103" s="106"/>
      <c r="MK103" s="106"/>
      <c r="ML103" s="106"/>
      <c r="MM103" s="106"/>
      <c r="MN103" s="106"/>
      <c r="MO103" s="106"/>
      <c r="MP103" s="106"/>
      <c r="MQ103" s="106"/>
      <c r="MR103" s="106"/>
      <c r="MS103" s="106"/>
      <c r="MT103" s="106"/>
      <c r="MU103" s="106"/>
      <c r="MV103" s="106"/>
      <c r="MW103" s="106"/>
      <c r="MX103" s="106"/>
      <c r="MY103" s="106"/>
      <c r="MZ103" s="106"/>
      <c r="NA103" s="106"/>
      <c r="NB103" s="106"/>
      <c r="NC103" s="106"/>
      <c r="ND103" s="106"/>
      <c r="NE103" s="106"/>
      <c r="NF103" s="106"/>
      <c r="NG103" s="106"/>
      <c r="NH103" s="106"/>
      <c r="NI103" s="106"/>
      <c r="NJ103" s="106"/>
      <c r="NK103" s="106"/>
      <c r="NL103" s="106"/>
      <c r="NM103" s="106"/>
      <c r="NN103" s="106"/>
      <c r="NO103" s="106"/>
      <c r="NP103" s="106"/>
      <c r="NQ103" s="106"/>
      <c r="NR103" s="106"/>
      <c r="NS103" s="106"/>
      <c r="NT103" s="106"/>
      <c r="NU103" s="106"/>
      <c r="NV103" s="106"/>
      <c r="NW103" s="106"/>
      <c r="NX103" s="106"/>
      <c r="NY103" s="106"/>
      <c r="NZ103" s="106"/>
      <c r="OA103" s="106"/>
      <c r="OB103" s="106"/>
      <c r="OC103" s="106"/>
      <c r="OD103" s="106"/>
      <c r="OE103" s="106"/>
      <c r="OF103" s="106"/>
      <c r="OG103" s="106"/>
      <c r="OH103" s="106"/>
      <c r="OI103" s="106"/>
      <c r="OJ103" s="106"/>
      <c r="OK103" s="106"/>
      <c r="OL103" s="106"/>
      <c r="OM103" s="106"/>
      <c r="ON103" s="106"/>
      <c r="OO103" s="106"/>
      <c r="OP103" s="106"/>
      <c r="OQ103" s="106"/>
      <c r="OR103" s="106"/>
      <c r="OS103" s="106"/>
      <c r="OT103" s="106"/>
      <c r="OU103" s="106"/>
      <c r="OV103" s="106"/>
      <c r="OW103" s="106"/>
      <c r="OX103" s="106"/>
      <c r="OY103" s="106"/>
      <c r="OZ103" s="106"/>
      <c r="PA103" s="106"/>
      <c r="PB103" s="106"/>
      <c r="PC103" s="106"/>
      <c r="PD103" s="106"/>
      <c r="PE103" s="106"/>
      <c r="PF103" s="106"/>
      <c r="PG103" s="106"/>
      <c r="PH103" s="106"/>
      <c r="PI103" s="106"/>
      <c r="PJ103" s="106"/>
      <c r="PK103" s="106"/>
      <c r="PL103" s="106"/>
      <c r="PM103" s="106"/>
      <c r="PN103" s="106"/>
      <c r="PO103" s="106"/>
      <c r="PP103" s="106"/>
      <c r="PQ103" s="106"/>
      <c r="PR103" s="106"/>
      <c r="PS103" s="106"/>
      <c r="PT103" s="106"/>
      <c r="PU103" s="106"/>
      <c r="PV103" s="106"/>
      <c r="PW103" s="106"/>
      <c r="PX103" s="106"/>
      <c r="PY103" s="106"/>
      <c r="PZ103" s="106"/>
      <c r="QA103" s="106"/>
      <c r="QB103" s="106"/>
      <c r="QC103" s="106"/>
      <c r="QD103" s="106"/>
      <c r="QE103" s="106"/>
      <c r="QF103" s="106"/>
      <c r="QG103" s="106"/>
      <c r="QH103" s="106"/>
      <c r="QI103" s="106"/>
      <c r="QJ103" s="106"/>
      <c r="QK103" s="106"/>
      <c r="QL103" s="106"/>
      <c r="QM103" s="106"/>
      <c r="QN103" s="106"/>
      <c r="QO103" s="106"/>
      <c r="QP103" s="106"/>
      <c r="QQ103" s="106"/>
      <c r="QR103" s="106"/>
      <c r="QS103" s="106"/>
      <c r="QT103" s="106"/>
      <c r="QU103" s="106"/>
      <c r="QV103" s="106"/>
      <c r="QW103" s="106"/>
      <c r="QX103" s="106"/>
      <c r="QY103" s="106"/>
      <c r="QZ103" s="106"/>
      <c r="RA103" s="106"/>
      <c r="RB103" s="106"/>
      <c r="RC103" s="106"/>
      <c r="RD103" s="106"/>
      <c r="RE103" s="106"/>
      <c r="RF103" s="106"/>
      <c r="RG103" s="106"/>
      <c r="RH103" s="106"/>
      <c r="RI103" s="106"/>
      <c r="RJ103" s="106"/>
      <c r="RK103" s="106"/>
      <c r="RL103" s="106"/>
      <c r="RM103" s="106"/>
      <c r="RN103" s="106"/>
      <c r="RO103" s="106"/>
      <c r="RP103" s="106"/>
      <c r="RQ103" s="106"/>
      <c r="RR103" s="106"/>
      <c r="RS103" s="106"/>
      <c r="RT103" s="106"/>
      <c r="RU103" s="106"/>
      <c r="RV103" s="106"/>
      <c r="RW103" s="106"/>
      <c r="RX103" s="106"/>
      <c r="RY103" s="106"/>
      <c r="RZ103" s="106"/>
      <c r="SA103" s="106"/>
      <c r="SB103" s="106"/>
      <c r="SC103" s="106"/>
      <c r="SD103" s="106"/>
      <c r="SE103" s="106"/>
      <c r="SF103" s="106"/>
      <c r="SG103" s="106"/>
      <c r="SH103" s="106"/>
      <c r="SI103" s="106"/>
      <c r="SJ103" s="106"/>
      <c r="SK103" s="106"/>
      <c r="SL103" s="106"/>
      <c r="SM103" s="106"/>
      <c r="SN103" s="106"/>
      <c r="SO103" s="106"/>
      <c r="SP103" s="106"/>
      <c r="SQ103" s="106"/>
      <c r="SR103" s="106"/>
      <c r="SS103" s="106"/>
      <c r="ST103" s="106"/>
      <c r="SU103" s="106"/>
      <c r="SV103" s="106"/>
      <c r="SW103" s="106"/>
      <c r="SX103" s="106"/>
      <c r="SY103" s="106"/>
      <c r="SZ103" s="106"/>
      <c r="TA103" s="106"/>
      <c r="TB103" s="106"/>
      <c r="TC103" s="106"/>
      <c r="TD103" s="106"/>
      <c r="TE103" s="106"/>
      <c r="TF103" s="106"/>
      <c r="TG103" s="106"/>
      <c r="TH103" s="106"/>
      <c r="TI103" s="106"/>
      <c r="TJ103" s="106"/>
      <c r="TK103" s="106"/>
      <c r="TL103" s="106"/>
      <c r="TM103" s="106"/>
      <c r="TN103" s="106"/>
      <c r="TO103" s="106"/>
      <c r="TP103" s="106"/>
      <c r="TQ103" s="106"/>
      <c r="TR103" s="106"/>
      <c r="TS103" s="106"/>
      <c r="TT103" s="106"/>
      <c r="TU103" s="106"/>
      <c r="TV103" s="106"/>
      <c r="TW103" s="106"/>
      <c r="TX103" s="106"/>
      <c r="TY103" s="106"/>
      <c r="TZ103" s="106"/>
      <c r="UA103" s="106"/>
      <c r="UB103" s="106"/>
      <c r="UC103" s="106"/>
      <c r="UD103" s="106"/>
      <c r="UE103" s="106"/>
      <c r="UF103" s="106"/>
      <c r="UG103" s="106"/>
      <c r="UH103" s="106"/>
      <c r="UI103" s="106"/>
      <c r="UJ103" s="106"/>
      <c r="UK103" s="106"/>
      <c r="UL103" s="106"/>
      <c r="UM103" s="106"/>
      <c r="UN103" s="106"/>
      <c r="UO103" s="106"/>
      <c r="UP103" s="106"/>
      <c r="UQ103" s="106"/>
      <c r="UR103" s="106"/>
      <c r="US103" s="106"/>
      <c r="UT103" s="106"/>
      <c r="UU103" s="106"/>
      <c r="UV103" s="106"/>
      <c r="UW103" s="106"/>
      <c r="UX103" s="106"/>
      <c r="UY103" s="106"/>
      <c r="UZ103" s="106"/>
      <c r="VA103" s="106"/>
      <c r="VB103" s="106"/>
      <c r="VC103" s="106"/>
      <c r="VD103" s="106"/>
      <c r="VE103" s="106"/>
      <c r="VF103" s="106"/>
      <c r="VG103" s="106"/>
      <c r="VH103" s="106"/>
      <c r="VI103" s="106"/>
      <c r="VJ103" s="106"/>
      <c r="VK103" s="106"/>
      <c r="VL103" s="106"/>
      <c r="VM103" s="106"/>
      <c r="VN103" s="106"/>
      <c r="VO103" s="106"/>
      <c r="VP103" s="106"/>
      <c r="VQ103" s="106"/>
      <c r="VR103" s="106"/>
      <c r="VS103" s="106"/>
      <c r="VT103" s="106"/>
      <c r="VU103" s="106"/>
      <c r="VV103" s="106"/>
      <c r="VW103" s="106"/>
      <c r="VX103" s="106"/>
      <c r="VY103" s="106"/>
      <c r="VZ103" s="106"/>
      <c r="WA103" s="106"/>
      <c r="WB103" s="106"/>
      <c r="WC103" s="106"/>
      <c r="WD103" s="106"/>
      <c r="WE103" s="106"/>
      <c r="WF103" s="106"/>
      <c r="WG103" s="106"/>
      <c r="WH103" s="106"/>
      <c r="WI103" s="106"/>
      <c r="WJ103" s="106"/>
      <c r="WK103" s="106"/>
      <c r="WL103" s="106"/>
      <c r="WM103" s="106"/>
      <c r="WN103" s="106"/>
      <c r="WO103" s="106"/>
      <c r="WP103" s="106"/>
      <c r="WQ103" s="106"/>
      <c r="WR103" s="106"/>
      <c r="WS103" s="106"/>
      <c r="WT103" s="106"/>
      <c r="WU103" s="106"/>
      <c r="WV103" s="106"/>
      <c r="WW103" s="106"/>
      <c r="WX103" s="106"/>
      <c r="WY103" s="106"/>
      <c r="WZ103" s="106"/>
      <c r="XA103" s="106"/>
      <c r="XB103" s="106"/>
      <c r="XC103" s="106"/>
      <c r="XD103" s="106"/>
      <c r="XE103" s="106"/>
      <c r="XF103" s="106"/>
      <c r="XG103" s="106"/>
      <c r="XH103" s="106"/>
      <c r="XI103" s="106"/>
      <c r="XJ103" s="106"/>
      <c r="XK103" s="106"/>
      <c r="XL103" s="106"/>
      <c r="XM103" s="106"/>
      <c r="XN103" s="106"/>
      <c r="XO103" s="106"/>
      <c r="XP103" s="106"/>
      <c r="XQ103" s="106"/>
      <c r="XR103" s="106"/>
      <c r="XS103" s="106"/>
      <c r="XT103" s="106"/>
      <c r="XU103" s="106"/>
      <c r="XV103" s="106"/>
      <c r="XW103" s="106"/>
      <c r="XX103" s="106"/>
      <c r="XY103" s="106"/>
      <c r="XZ103" s="106"/>
      <c r="YA103" s="106"/>
      <c r="YB103" s="106"/>
      <c r="YC103" s="106"/>
      <c r="YD103" s="106"/>
      <c r="YE103" s="106"/>
      <c r="YF103" s="106"/>
      <c r="YG103" s="106"/>
      <c r="YH103" s="106"/>
      <c r="YI103" s="106"/>
      <c r="YJ103" s="106"/>
      <c r="YK103" s="106"/>
      <c r="YL103" s="106"/>
      <c r="YM103" s="106"/>
      <c r="YN103" s="106"/>
      <c r="YO103" s="106"/>
      <c r="YP103" s="106"/>
      <c r="YQ103" s="106"/>
      <c r="YR103" s="106"/>
      <c r="YS103" s="106"/>
      <c r="YT103" s="106"/>
      <c r="YU103" s="106"/>
      <c r="YV103" s="106"/>
      <c r="YW103" s="106"/>
      <c r="YX103" s="106"/>
      <c r="YY103" s="106"/>
      <c r="YZ103" s="106"/>
      <c r="ZA103" s="106"/>
      <c r="ZB103" s="106"/>
      <c r="ZC103" s="106"/>
      <c r="ZD103" s="106"/>
      <c r="ZE103" s="106"/>
      <c r="ZF103" s="106"/>
      <c r="ZG103" s="106"/>
      <c r="ZH103" s="106"/>
      <c r="ZI103" s="106"/>
      <c r="ZJ103" s="106"/>
      <c r="ZK103" s="106"/>
      <c r="ZL103" s="106"/>
      <c r="ZM103" s="106"/>
      <c r="ZN103" s="106"/>
      <c r="ZO103" s="106"/>
      <c r="ZP103" s="106"/>
      <c r="ZQ103" s="106"/>
      <c r="ZR103" s="106"/>
      <c r="ZS103" s="106"/>
      <c r="ZT103" s="106"/>
      <c r="ZU103" s="106"/>
      <c r="ZV103" s="106"/>
      <c r="ZW103" s="106"/>
      <c r="ZX103" s="106"/>
      <c r="ZY103" s="106"/>
      <c r="ZZ103" s="106"/>
      <c r="AAA103" s="106"/>
      <c r="AAB103" s="106"/>
      <c r="AAC103" s="106"/>
      <c r="AAD103" s="106"/>
      <c r="AAE103" s="106"/>
      <c r="AAF103" s="106"/>
      <c r="AAG103" s="106"/>
      <c r="AAH103" s="106"/>
      <c r="AAI103" s="106"/>
      <c r="AAJ103" s="106"/>
      <c r="AAK103" s="106"/>
      <c r="AAL103" s="106"/>
      <c r="AAM103" s="106"/>
      <c r="AAN103" s="106"/>
      <c r="AAO103" s="106"/>
      <c r="AAP103" s="106"/>
      <c r="AAQ103" s="106"/>
      <c r="AAR103" s="106"/>
      <c r="AAS103" s="106"/>
      <c r="AAT103" s="106"/>
      <c r="AAU103" s="106"/>
      <c r="AAV103" s="106"/>
      <c r="AAW103" s="106"/>
      <c r="AAX103" s="106"/>
      <c r="AAY103" s="106"/>
      <c r="AAZ103" s="106"/>
      <c r="ABA103" s="106"/>
      <c r="ABB103" s="106"/>
      <c r="ABC103" s="106"/>
      <c r="ABD103" s="106"/>
      <c r="ABE103" s="106"/>
      <c r="ABF103" s="106"/>
      <c r="ABG103" s="106"/>
      <c r="ABH103" s="106"/>
      <c r="ABI103" s="106"/>
      <c r="ABJ103" s="106"/>
      <c r="ABK103" s="106"/>
      <c r="ABL103" s="106"/>
      <c r="ABM103" s="106"/>
      <c r="ABN103" s="106"/>
      <c r="ABO103" s="106"/>
      <c r="ABP103" s="106"/>
      <c r="ABQ103" s="106"/>
      <c r="ABR103" s="106"/>
      <c r="ABS103" s="106"/>
      <c r="ABT103" s="106"/>
      <c r="ABU103" s="106"/>
      <c r="ABV103" s="106"/>
      <c r="ABW103" s="106"/>
      <c r="ABX103" s="106"/>
      <c r="ABY103" s="106"/>
      <c r="ABZ103" s="106"/>
      <c r="ACA103" s="106"/>
      <c r="ACB103" s="106"/>
      <c r="ACC103" s="106"/>
      <c r="ACD103" s="106"/>
      <c r="ACE103" s="106"/>
      <c r="ACF103" s="106"/>
      <c r="ACG103" s="106"/>
      <c r="ACH103" s="106"/>
      <c r="ACI103" s="106"/>
      <c r="ACJ103" s="106"/>
      <c r="ACK103" s="106"/>
      <c r="ACL103" s="106"/>
      <c r="ACM103" s="106"/>
      <c r="ACN103" s="106"/>
      <c r="ACO103" s="106"/>
      <c r="ACP103" s="106"/>
      <c r="ACQ103" s="106"/>
      <c r="ACR103" s="106"/>
      <c r="ACS103" s="106"/>
      <c r="ACT103" s="106"/>
      <c r="ACU103" s="106"/>
      <c r="ACV103" s="106"/>
      <c r="ACW103" s="106"/>
      <c r="ACX103" s="106"/>
      <c r="ACY103" s="106"/>
      <c r="ACZ103" s="106"/>
      <c r="ADA103" s="106"/>
      <c r="ADB103" s="106"/>
      <c r="ADC103" s="106"/>
      <c r="ADD103" s="106"/>
      <c r="ADE103" s="106"/>
      <c r="ADF103" s="106"/>
      <c r="ADG103" s="106"/>
      <c r="ADH103" s="106"/>
      <c r="ADI103" s="106"/>
      <c r="ADJ103" s="106"/>
      <c r="ADK103" s="106"/>
      <c r="ADL103" s="106"/>
      <c r="ADM103" s="106"/>
      <c r="ADN103" s="106"/>
      <c r="ADO103" s="106"/>
      <c r="ADP103" s="106"/>
      <c r="ADQ103" s="106"/>
      <c r="ADR103" s="106"/>
      <c r="ADS103" s="106"/>
      <c r="ADT103" s="106"/>
      <c r="ADU103" s="106"/>
      <c r="ADV103" s="106"/>
      <c r="ADW103" s="106"/>
      <c r="ADX103" s="106"/>
      <c r="ADY103" s="106"/>
      <c r="ADZ103" s="106"/>
      <c r="AEA103" s="106"/>
      <c r="AEB103" s="106"/>
      <c r="AEC103" s="106"/>
      <c r="AED103" s="106"/>
      <c r="AEE103" s="106"/>
      <c r="AEF103" s="106"/>
      <c r="AEG103" s="106"/>
      <c r="AEH103" s="106"/>
      <c r="AEI103" s="106"/>
      <c r="AEJ103" s="106"/>
      <c r="AEK103" s="106"/>
      <c r="AEL103" s="106"/>
      <c r="AEM103" s="106"/>
      <c r="AEN103" s="106"/>
      <c r="AEO103" s="106"/>
      <c r="AEP103" s="106"/>
      <c r="AEQ103" s="106"/>
      <c r="AER103" s="106"/>
      <c r="AES103" s="106"/>
      <c r="AET103" s="106"/>
      <c r="AEU103" s="106"/>
      <c r="AEV103" s="106"/>
      <c r="AEW103" s="106"/>
      <c r="AEX103" s="106"/>
      <c r="AEY103" s="106"/>
      <c r="AEZ103" s="106"/>
      <c r="AFA103" s="106"/>
      <c r="AFB103" s="106"/>
      <c r="AFC103" s="106"/>
      <c r="AFD103" s="106"/>
      <c r="AFE103" s="106"/>
      <c r="AFF103" s="106"/>
      <c r="AFG103" s="106"/>
      <c r="AFH103" s="106"/>
      <c r="AFI103" s="106"/>
      <c r="AFJ103" s="106"/>
      <c r="AFK103" s="106"/>
      <c r="AFL103" s="106"/>
      <c r="AFM103" s="106"/>
      <c r="AFN103" s="106"/>
      <c r="AFO103" s="106"/>
      <c r="AFP103" s="106"/>
      <c r="AFQ103" s="106"/>
      <c r="AFR103" s="106"/>
      <c r="AFS103" s="106"/>
      <c r="AFT103" s="106"/>
      <c r="AFU103" s="106"/>
      <c r="AFV103" s="106"/>
      <c r="AFW103" s="106"/>
      <c r="AFX103" s="106"/>
      <c r="AFY103" s="106"/>
      <c r="AFZ103" s="106"/>
      <c r="AGA103" s="106"/>
      <c r="AGB103" s="106"/>
      <c r="AGC103" s="106"/>
      <c r="AGD103" s="106"/>
      <c r="AGE103" s="106"/>
      <c r="AGF103" s="106"/>
      <c r="AGG103" s="106"/>
      <c r="AGH103" s="106"/>
      <c r="AGI103" s="106"/>
      <c r="AGJ103" s="106"/>
      <c r="AGK103" s="106"/>
      <c r="AGL103" s="106"/>
      <c r="AGM103" s="106"/>
      <c r="AGN103" s="106"/>
      <c r="AGO103" s="106"/>
      <c r="AGP103" s="106"/>
      <c r="AGQ103" s="106"/>
      <c r="AGR103" s="106"/>
      <c r="AGS103" s="106"/>
      <c r="AGT103" s="106"/>
      <c r="AGU103" s="106"/>
      <c r="AGV103" s="106"/>
      <c r="AGW103" s="106"/>
      <c r="AGX103" s="106"/>
      <c r="AGY103" s="106"/>
      <c r="AGZ103" s="106"/>
      <c r="AHA103" s="106"/>
      <c r="AHB103" s="106"/>
      <c r="AHC103" s="106"/>
      <c r="AHD103" s="106"/>
      <c r="AHE103" s="106"/>
      <c r="AHF103" s="106"/>
      <c r="AHG103" s="106"/>
      <c r="AHH103" s="106"/>
      <c r="AHI103" s="106"/>
      <c r="AHJ103" s="106"/>
      <c r="AHK103" s="106"/>
      <c r="AHL103" s="106"/>
      <c r="AHM103" s="106"/>
      <c r="AHN103" s="106"/>
      <c r="AHO103" s="106"/>
      <c r="AHP103" s="106"/>
      <c r="AHQ103" s="106"/>
      <c r="AHR103" s="106"/>
      <c r="AHS103" s="106"/>
      <c r="AHT103" s="106"/>
      <c r="AHU103" s="106"/>
      <c r="AHV103" s="106"/>
      <c r="AHW103" s="106"/>
      <c r="AHX103" s="106"/>
      <c r="AHY103" s="106"/>
      <c r="AHZ103" s="106"/>
      <c r="AIA103" s="106"/>
      <c r="AIB103" s="106"/>
      <c r="AIC103" s="106"/>
      <c r="AID103" s="106"/>
      <c r="AIE103" s="106"/>
      <c r="AIF103" s="106"/>
      <c r="AIG103" s="106"/>
      <c r="AIH103" s="106"/>
      <c r="AII103" s="106"/>
      <c r="AIJ103" s="106"/>
      <c r="AIK103" s="106"/>
      <c r="AIL103" s="106"/>
      <c r="AIM103" s="106"/>
      <c r="AIN103" s="106"/>
      <c r="AIO103" s="106"/>
      <c r="AIP103" s="106"/>
      <c r="AIQ103" s="106"/>
      <c r="AIR103" s="106"/>
      <c r="AIS103" s="106"/>
      <c r="AIT103" s="106"/>
      <c r="AIU103" s="106"/>
      <c r="AIV103" s="106"/>
      <c r="AIW103" s="106"/>
      <c r="AIX103" s="106"/>
      <c r="AIY103" s="106"/>
      <c r="AIZ103" s="106"/>
      <c r="AJA103" s="106"/>
      <c r="AJB103" s="106"/>
      <c r="AJC103" s="106"/>
      <c r="AJD103" s="106"/>
      <c r="AJE103" s="106"/>
      <c r="AJF103" s="106"/>
      <c r="AJG103" s="106"/>
      <c r="AJH103" s="106"/>
      <c r="AJI103" s="106"/>
      <c r="AJJ103" s="106"/>
      <c r="AJK103" s="106"/>
      <c r="AJL103" s="106"/>
      <c r="AJM103" s="106"/>
      <c r="AJN103" s="106"/>
      <c r="AJO103" s="106"/>
      <c r="AJP103" s="106"/>
      <c r="AJQ103" s="106"/>
      <c r="AJR103" s="106"/>
      <c r="AJS103" s="106"/>
      <c r="AJT103" s="106"/>
      <c r="AJU103" s="106"/>
      <c r="AJV103" s="106"/>
      <c r="AJW103" s="106"/>
      <c r="AJX103" s="106"/>
      <c r="AJY103" s="106"/>
      <c r="AJZ103" s="106"/>
      <c r="AKA103" s="106"/>
      <c r="AKB103" s="106"/>
      <c r="AKC103" s="106"/>
      <c r="AKD103" s="106"/>
      <c r="AKE103" s="106"/>
      <c r="AKF103" s="106"/>
      <c r="AKG103" s="106"/>
      <c r="AKH103" s="106"/>
      <c r="AKI103" s="106"/>
      <c r="AKJ103" s="106"/>
      <c r="AKK103" s="106"/>
      <c r="AKL103" s="106"/>
      <c r="AKM103" s="106"/>
      <c r="AKN103" s="106"/>
      <c r="AKO103" s="106"/>
      <c r="AKP103" s="106"/>
      <c r="AKQ103" s="106"/>
      <c r="AKR103" s="106"/>
      <c r="AKS103" s="106"/>
      <c r="AKT103" s="106"/>
      <c r="AKU103" s="106"/>
      <c r="AKV103" s="106"/>
      <c r="AKW103" s="106"/>
      <c r="AKX103" s="106"/>
      <c r="AKY103" s="106"/>
      <c r="AKZ103" s="106"/>
      <c r="ALA103" s="106"/>
      <c r="ALB103" s="106"/>
      <c r="ALC103" s="106"/>
      <c r="ALD103" s="106"/>
      <c r="ALE103" s="106"/>
      <c r="ALF103" s="106"/>
      <c r="ALG103" s="106"/>
      <c r="ALH103" s="106"/>
    </row>
    <row r="104" spans="1:996" s="75" customFormat="1" ht="15.75" customHeight="1">
      <c r="A104" s="104"/>
      <c r="B104" s="75" t="str">
        <f t="shared" si="5"/>
        <v>S112301</v>
      </c>
      <c r="C104" s="396" t="s">
        <v>607</v>
      </c>
      <c r="D104" s="27" t="s">
        <v>128</v>
      </c>
      <c r="E104" s="75">
        <v>112301</v>
      </c>
      <c r="F104" s="105" t="s">
        <v>83</v>
      </c>
      <c r="G104" s="74">
        <f>IFERROR(VLOOKUP(E104,'BD - E - Mvto Cx'!$E$15:$G$500,3,0),0)</f>
        <v>306485.34999999998</v>
      </c>
      <c r="H104" s="72">
        <f>IFERROR(VLOOKUP(E104,'BD - E - Mvto Cx'!$N$15:$P$500,3,0),0)</f>
        <v>208359.15</v>
      </c>
      <c r="I104" s="73">
        <f>IFERROR(VLOOKUP(E104,'BD - E - Mvto Cx'!$W$15:$Y$497,3,0),0)</f>
        <v>201912.32000000001</v>
      </c>
      <c r="J104" s="73">
        <f>IFERROR(VLOOKUP(E104,'BD - E - Mvto Cx'!$AF$15:$AI$500,3,0),0)</f>
        <v>205580.95</v>
      </c>
      <c r="K104" s="73">
        <f>IFERROR(VLOOKUP(E104,'BD - E - Mvto Cx'!$AO$15:$AQ$500,3,0),0)</f>
        <v>0</v>
      </c>
      <c r="L104" s="73">
        <f>IFERROR(VLOOKUP(E104,'BD - E - Mvto Cx'!$AX$15:$AZ$500,3,0),0)</f>
        <v>0</v>
      </c>
      <c r="M104" s="73">
        <f>IFERROR(VLOOKUP(E104,'BD - E - Mvto Cx'!$BJ$15:$BL$500,3,0),0)</f>
        <v>0</v>
      </c>
      <c r="N104" s="73">
        <f>IFERROR(VLOOKUP(E104,'BD - E - Mvto Cx'!$BS$15:$BU$500,3,0),0)</f>
        <v>0</v>
      </c>
      <c r="O104" s="73">
        <f>IFERROR(VLOOKUP(E104,'BD - E - Mvto Cx'!$CB$15:$CD$500,3,0),0)</f>
        <v>0</v>
      </c>
      <c r="P104" s="73">
        <f>IFERROR(VLOOKUP(E104,'BD - E - Mvto Cx'!$CK$15:$CM$500,3,0),0)</f>
        <v>0</v>
      </c>
      <c r="Q104" s="73">
        <f>IFERROR(VLOOKUP(E104,'BD - E - Mvto Cx'!$CT$15:$CV$500,3,0),0)</f>
        <v>0</v>
      </c>
      <c r="R104" s="73">
        <f>IFERROR(VLOOKUP(E104,'BD - E - Mvto Cx'!$DC$15:$DE$500,3,0),0)</f>
        <v>0</v>
      </c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06"/>
      <c r="DE104" s="106"/>
      <c r="DF104" s="106"/>
      <c r="DG104" s="106"/>
      <c r="DH104" s="106"/>
      <c r="DI104" s="106"/>
      <c r="DJ104" s="106"/>
      <c r="DK104" s="106"/>
      <c r="DL104" s="106"/>
      <c r="DM104" s="106"/>
      <c r="DN104" s="106"/>
      <c r="DO104" s="106"/>
      <c r="DP104" s="106"/>
      <c r="DQ104" s="106"/>
      <c r="DR104" s="106"/>
      <c r="DS104" s="106"/>
      <c r="DT104" s="106"/>
      <c r="DU104" s="106"/>
      <c r="DV104" s="106"/>
      <c r="DW104" s="106"/>
      <c r="DX104" s="106"/>
      <c r="DY104" s="106"/>
      <c r="DZ104" s="106"/>
      <c r="EA104" s="106"/>
      <c r="EB104" s="106"/>
      <c r="EC104" s="106"/>
      <c r="ED104" s="106"/>
      <c r="EE104" s="106"/>
      <c r="EF104" s="106"/>
      <c r="EG104" s="106"/>
      <c r="EH104" s="106"/>
      <c r="EI104" s="106"/>
      <c r="EJ104" s="106"/>
      <c r="EK104" s="106"/>
      <c r="EL104" s="106"/>
      <c r="EM104" s="106"/>
      <c r="EN104" s="106"/>
      <c r="EO104" s="106"/>
      <c r="EP104" s="106"/>
      <c r="EQ104" s="106"/>
      <c r="ER104" s="106"/>
      <c r="ES104" s="106"/>
      <c r="ET104" s="106"/>
      <c r="EU104" s="106"/>
      <c r="EV104" s="106"/>
      <c r="EW104" s="106"/>
      <c r="EX104" s="106"/>
      <c r="EY104" s="106"/>
      <c r="EZ104" s="106"/>
      <c r="FA104" s="106"/>
      <c r="FB104" s="106"/>
      <c r="FC104" s="106"/>
      <c r="FD104" s="106"/>
      <c r="FE104" s="106"/>
      <c r="FF104" s="106"/>
      <c r="FG104" s="106"/>
      <c r="FH104" s="106"/>
      <c r="FI104" s="106"/>
      <c r="FJ104" s="106"/>
      <c r="FK104" s="106"/>
      <c r="FL104" s="106"/>
      <c r="FM104" s="106"/>
      <c r="FN104" s="106"/>
      <c r="FO104" s="106"/>
      <c r="FP104" s="106"/>
      <c r="FQ104" s="106"/>
      <c r="FR104" s="106"/>
      <c r="FS104" s="106"/>
      <c r="FT104" s="106"/>
      <c r="FU104" s="106"/>
      <c r="FV104" s="106"/>
      <c r="FW104" s="106"/>
      <c r="FX104" s="106"/>
      <c r="FY104" s="106"/>
      <c r="FZ104" s="106"/>
      <c r="GA104" s="106"/>
      <c r="GB104" s="106"/>
      <c r="GC104" s="106"/>
      <c r="GD104" s="106"/>
      <c r="GE104" s="106"/>
      <c r="GF104" s="106"/>
      <c r="GG104" s="106"/>
      <c r="GH104" s="106"/>
      <c r="GI104" s="106"/>
      <c r="GJ104" s="106"/>
      <c r="GK104" s="106"/>
      <c r="GL104" s="106"/>
      <c r="GM104" s="106"/>
      <c r="GN104" s="106"/>
      <c r="GO104" s="106"/>
      <c r="GP104" s="106"/>
      <c r="GQ104" s="106"/>
      <c r="GR104" s="106"/>
      <c r="GS104" s="106"/>
      <c r="GT104" s="106"/>
      <c r="GU104" s="106"/>
      <c r="GV104" s="106"/>
      <c r="GW104" s="106"/>
      <c r="GX104" s="106"/>
      <c r="GY104" s="106"/>
      <c r="GZ104" s="106"/>
      <c r="HA104" s="106"/>
      <c r="HB104" s="106"/>
      <c r="HC104" s="106"/>
      <c r="HD104" s="106"/>
      <c r="HE104" s="106"/>
      <c r="HF104" s="106"/>
      <c r="HG104" s="106"/>
      <c r="HH104" s="106"/>
      <c r="HI104" s="106"/>
      <c r="HJ104" s="106"/>
      <c r="HK104" s="106"/>
      <c r="HL104" s="106"/>
      <c r="HM104" s="106"/>
      <c r="HN104" s="106"/>
      <c r="HO104" s="106"/>
      <c r="HP104" s="106"/>
      <c r="HQ104" s="106"/>
      <c r="HR104" s="106"/>
      <c r="HS104" s="106"/>
      <c r="HT104" s="106"/>
      <c r="HU104" s="106"/>
      <c r="HV104" s="106"/>
      <c r="HW104" s="106"/>
      <c r="HX104" s="106"/>
      <c r="HY104" s="106"/>
      <c r="HZ104" s="106"/>
      <c r="IA104" s="106"/>
      <c r="IB104" s="106"/>
      <c r="IC104" s="106"/>
      <c r="ID104" s="106"/>
      <c r="IE104" s="106"/>
      <c r="IF104" s="106"/>
      <c r="IG104" s="106"/>
      <c r="IH104" s="106"/>
      <c r="II104" s="106"/>
      <c r="IJ104" s="106"/>
      <c r="IK104" s="106"/>
      <c r="IL104" s="106"/>
      <c r="IM104" s="106"/>
      <c r="IN104" s="106"/>
      <c r="IO104" s="106"/>
      <c r="IP104" s="106"/>
      <c r="IQ104" s="106"/>
      <c r="IR104" s="106"/>
      <c r="IS104" s="106"/>
      <c r="IT104" s="106"/>
      <c r="IU104" s="106"/>
      <c r="IV104" s="106"/>
      <c r="IW104" s="106"/>
      <c r="IX104" s="106"/>
      <c r="IY104" s="106"/>
      <c r="IZ104" s="106"/>
      <c r="JA104" s="106"/>
      <c r="JB104" s="106"/>
      <c r="JC104" s="106"/>
      <c r="JD104" s="106"/>
      <c r="JE104" s="106"/>
      <c r="JF104" s="106"/>
      <c r="JG104" s="106"/>
      <c r="JH104" s="106"/>
      <c r="JI104" s="106"/>
      <c r="JJ104" s="106"/>
      <c r="JK104" s="106"/>
      <c r="JL104" s="106"/>
      <c r="JM104" s="106"/>
      <c r="JN104" s="106"/>
      <c r="JO104" s="106"/>
      <c r="JP104" s="106"/>
      <c r="JQ104" s="106"/>
      <c r="JR104" s="106"/>
      <c r="JS104" s="106"/>
      <c r="JT104" s="106"/>
      <c r="JU104" s="106"/>
      <c r="JV104" s="106"/>
      <c r="JW104" s="106"/>
      <c r="JX104" s="106"/>
      <c r="JY104" s="106"/>
      <c r="JZ104" s="106"/>
      <c r="KA104" s="106"/>
      <c r="KB104" s="106"/>
      <c r="KC104" s="106"/>
      <c r="KD104" s="106"/>
      <c r="KE104" s="106"/>
      <c r="KF104" s="106"/>
      <c r="KG104" s="106"/>
      <c r="KH104" s="106"/>
      <c r="KI104" s="106"/>
      <c r="KJ104" s="106"/>
      <c r="KK104" s="106"/>
      <c r="KL104" s="106"/>
      <c r="KM104" s="106"/>
      <c r="KN104" s="106"/>
      <c r="KO104" s="106"/>
      <c r="KP104" s="106"/>
      <c r="KQ104" s="106"/>
      <c r="KR104" s="106"/>
      <c r="KS104" s="106"/>
      <c r="KT104" s="106"/>
      <c r="KU104" s="106"/>
      <c r="KV104" s="106"/>
      <c r="KW104" s="106"/>
      <c r="KX104" s="106"/>
      <c r="KY104" s="106"/>
      <c r="KZ104" s="106"/>
      <c r="LA104" s="106"/>
      <c r="LB104" s="106"/>
      <c r="LC104" s="106"/>
      <c r="LD104" s="106"/>
      <c r="LE104" s="106"/>
      <c r="LF104" s="106"/>
      <c r="LG104" s="106"/>
      <c r="LH104" s="106"/>
      <c r="LI104" s="106"/>
      <c r="LJ104" s="106"/>
      <c r="LK104" s="106"/>
      <c r="LL104" s="106"/>
      <c r="LM104" s="106"/>
      <c r="LN104" s="106"/>
      <c r="LO104" s="106"/>
      <c r="LP104" s="106"/>
      <c r="LQ104" s="106"/>
      <c r="LR104" s="106"/>
      <c r="LS104" s="106"/>
      <c r="LT104" s="106"/>
      <c r="LU104" s="106"/>
      <c r="LV104" s="106"/>
      <c r="LW104" s="106"/>
      <c r="LX104" s="106"/>
      <c r="LY104" s="106"/>
      <c r="LZ104" s="106"/>
      <c r="MA104" s="106"/>
      <c r="MB104" s="106"/>
      <c r="MC104" s="106"/>
      <c r="MD104" s="106"/>
      <c r="ME104" s="106"/>
      <c r="MF104" s="106"/>
      <c r="MG104" s="106"/>
      <c r="MH104" s="106"/>
      <c r="MI104" s="106"/>
      <c r="MJ104" s="106"/>
      <c r="MK104" s="106"/>
      <c r="ML104" s="106"/>
      <c r="MM104" s="106"/>
      <c r="MN104" s="106"/>
      <c r="MO104" s="106"/>
      <c r="MP104" s="106"/>
      <c r="MQ104" s="106"/>
      <c r="MR104" s="106"/>
      <c r="MS104" s="106"/>
      <c r="MT104" s="106"/>
      <c r="MU104" s="106"/>
      <c r="MV104" s="106"/>
      <c r="MW104" s="106"/>
      <c r="MX104" s="106"/>
      <c r="MY104" s="106"/>
      <c r="MZ104" s="106"/>
      <c r="NA104" s="106"/>
      <c r="NB104" s="106"/>
      <c r="NC104" s="106"/>
      <c r="ND104" s="106"/>
      <c r="NE104" s="106"/>
      <c r="NF104" s="106"/>
      <c r="NG104" s="106"/>
      <c r="NH104" s="106"/>
      <c r="NI104" s="106"/>
      <c r="NJ104" s="106"/>
      <c r="NK104" s="106"/>
      <c r="NL104" s="106"/>
      <c r="NM104" s="106"/>
      <c r="NN104" s="106"/>
      <c r="NO104" s="106"/>
      <c r="NP104" s="106"/>
      <c r="NQ104" s="106"/>
      <c r="NR104" s="106"/>
      <c r="NS104" s="106"/>
      <c r="NT104" s="106"/>
      <c r="NU104" s="106"/>
      <c r="NV104" s="106"/>
      <c r="NW104" s="106"/>
      <c r="NX104" s="106"/>
      <c r="NY104" s="106"/>
      <c r="NZ104" s="106"/>
      <c r="OA104" s="106"/>
      <c r="OB104" s="106"/>
      <c r="OC104" s="106"/>
      <c r="OD104" s="106"/>
      <c r="OE104" s="106"/>
      <c r="OF104" s="106"/>
      <c r="OG104" s="106"/>
      <c r="OH104" s="106"/>
      <c r="OI104" s="106"/>
      <c r="OJ104" s="106"/>
      <c r="OK104" s="106"/>
      <c r="OL104" s="106"/>
      <c r="OM104" s="106"/>
      <c r="ON104" s="106"/>
      <c r="OO104" s="106"/>
      <c r="OP104" s="106"/>
      <c r="OQ104" s="106"/>
      <c r="OR104" s="106"/>
      <c r="OS104" s="106"/>
      <c r="OT104" s="106"/>
      <c r="OU104" s="106"/>
      <c r="OV104" s="106"/>
      <c r="OW104" s="106"/>
      <c r="OX104" s="106"/>
      <c r="OY104" s="106"/>
      <c r="OZ104" s="106"/>
      <c r="PA104" s="106"/>
      <c r="PB104" s="106"/>
      <c r="PC104" s="106"/>
      <c r="PD104" s="106"/>
      <c r="PE104" s="106"/>
      <c r="PF104" s="106"/>
      <c r="PG104" s="106"/>
      <c r="PH104" s="106"/>
      <c r="PI104" s="106"/>
      <c r="PJ104" s="106"/>
      <c r="PK104" s="106"/>
      <c r="PL104" s="106"/>
      <c r="PM104" s="106"/>
      <c r="PN104" s="106"/>
      <c r="PO104" s="106"/>
      <c r="PP104" s="106"/>
      <c r="PQ104" s="106"/>
      <c r="PR104" s="106"/>
      <c r="PS104" s="106"/>
      <c r="PT104" s="106"/>
      <c r="PU104" s="106"/>
      <c r="PV104" s="106"/>
      <c r="PW104" s="106"/>
      <c r="PX104" s="106"/>
      <c r="PY104" s="106"/>
      <c r="PZ104" s="106"/>
      <c r="QA104" s="106"/>
      <c r="QB104" s="106"/>
      <c r="QC104" s="106"/>
      <c r="QD104" s="106"/>
      <c r="QE104" s="106"/>
      <c r="QF104" s="106"/>
      <c r="QG104" s="106"/>
      <c r="QH104" s="106"/>
      <c r="QI104" s="106"/>
      <c r="QJ104" s="106"/>
      <c r="QK104" s="106"/>
      <c r="QL104" s="106"/>
      <c r="QM104" s="106"/>
      <c r="QN104" s="106"/>
      <c r="QO104" s="106"/>
      <c r="QP104" s="106"/>
      <c r="QQ104" s="106"/>
      <c r="QR104" s="106"/>
      <c r="QS104" s="106"/>
      <c r="QT104" s="106"/>
      <c r="QU104" s="106"/>
      <c r="QV104" s="106"/>
      <c r="QW104" s="106"/>
      <c r="QX104" s="106"/>
      <c r="QY104" s="106"/>
      <c r="QZ104" s="106"/>
      <c r="RA104" s="106"/>
      <c r="RB104" s="106"/>
      <c r="RC104" s="106"/>
      <c r="RD104" s="106"/>
      <c r="RE104" s="106"/>
      <c r="RF104" s="106"/>
      <c r="RG104" s="106"/>
      <c r="RH104" s="106"/>
      <c r="RI104" s="106"/>
      <c r="RJ104" s="106"/>
      <c r="RK104" s="106"/>
      <c r="RL104" s="106"/>
      <c r="RM104" s="106"/>
      <c r="RN104" s="106"/>
      <c r="RO104" s="106"/>
      <c r="RP104" s="106"/>
      <c r="RQ104" s="106"/>
      <c r="RR104" s="106"/>
      <c r="RS104" s="106"/>
      <c r="RT104" s="106"/>
      <c r="RU104" s="106"/>
      <c r="RV104" s="106"/>
      <c r="RW104" s="106"/>
      <c r="RX104" s="106"/>
      <c r="RY104" s="106"/>
      <c r="RZ104" s="106"/>
      <c r="SA104" s="106"/>
      <c r="SB104" s="106"/>
      <c r="SC104" s="106"/>
      <c r="SD104" s="106"/>
      <c r="SE104" s="106"/>
      <c r="SF104" s="106"/>
      <c r="SG104" s="106"/>
      <c r="SH104" s="106"/>
      <c r="SI104" s="106"/>
      <c r="SJ104" s="106"/>
      <c r="SK104" s="106"/>
      <c r="SL104" s="106"/>
      <c r="SM104" s="106"/>
      <c r="SN104" s="106"/>
      <c r="SO104" s="106"/>
      <c r="SP104" s="106"/>
      <c r="SQ104" s="106"/>
      <c r="SR104" s="106"/>
      <c r="SS104" s="106"/>
      <c r="ST104" s="106"/>
      <c r="SU104" s="106"/>
      <c r="SV104" s="106"/>
      <c r="SW104" s="106"/>
      <c r="SX104" s="106"/>
      <c r="SY104" s="106"/>
      <c r="SZ104" s="106"/>
      <c r="TA104" s="106"/>
      <c r="TB104" s="106"/>
      <c r="TC104" s="106"/>
      <c r="TD104" s="106"/>
      <c r="TE104" s="106"/>
      <c r="TF104" s="106"/>
      <c r="TG104" s="106"/>
      <c r="TH104" s="106"/>
      <c r="TI104" s="106"/>
      <c r="TJ104" s="106"/>
      <c r="TK104" s="106"/>
      <c r="TL104" s="106"/>
      <c r="TM104" s="106"/>
      <c r="TN104" s="106"/>
      <c r="TO104" s="106"/>
      <c r="TP104" s="106"/>
      <c r="TQ104" s="106"/>
      <c r="TR104" s="106"/>
      <c r="TS104" s="106"/>
      <c r="TT104" s="106"/>
      <c r="TU104" s="106"/>
      <c r="TV104" s="106"/>
      <c r="TW104" s="106"/>
      <c r="TX104" s="106"/>
      <c r="TY104" s="106"/>
      <c r="TZ104" s="106"/>
      <c r="UA104" s="106"/>
      <c r="UB104" s="106"/>
      <c r="UC104" s="106"/>
      <c r="UD104" s="106"/>
      <c r="UE104" s="106"/>
      <c r="UF104" s="106"/>
      <c r="UG104" s="106"/>
      <c r="UH104" s="106"/>
      <c r="UI104" s="106"/>
      <c r="UJ104" s="106"/>
      <c r="UK104" s="106"/>
      <c r="UL104" s="106"/>
      <c r="UM104" s="106"/>
      <c r="UN104" s="106"/>
      <c r="UO104" s="106"/>
      <c r="UP104" s="106"/>
      <c r="UQ104" s="106"/>
      <c r="UR104" s="106"/>
      <c r="US104" s="106"/>
      <c r="UT104" s="106"/>
      <c r="UU104" s="106"/>
      <c r="UV104" s="106"/>
      <c r="UW104" s="106"/>
      <c r="UX104" s="106"/>
      <c r="UY104" s="106"/>
      <c r="UZ104" s="106"/>
      <c r="VA104" s="106"/>
      <c r="VB104" s="106"/>
      <c r="VC104" s="106"/>
      <c r="VD104" s="106"/>
      <c r="VE104" s="106"/>
      <c r="VF104" s="106"/>
      <c r="VG104" s="106"/>
      <c r="VH104" s="106"/>
      <c r="VI104" s="106"/>
      <c r="VJ104" s="106"/>
      <c r="VK104" s="106"/>
      <c r="VL104" s="106"/>
      <c r="VM104" s="106"/>
      <c r="VN104" s="106"/>
      <c r="VO104" s="106"/>
      <c r="VP104" s="106"/>
      <c r="VQ104" s="106"/>
      <c r="VR104" s="106"/>
      <c r="VS104" s="106"/>
      <c r="VT104" s="106"/>
      <c r="VU104" s="106"/>
      <c r="VV104" s="106"/>
      <c r="VW104" s="106"/>
      <c r="VX104" s="106"/>
      <c r="VY104" s="106"/>
      <c r="VZ104" s="106"/>
      <c r="WA104" s="106"/>
      <c r="WB104" s="106"/>
      <c r="WC104" s="106"/>
      <c r="WD104" s="106"/>
      <c r="WE104" s="106"/>
      <c r="WF104" s="106"/>
      <c r="WG104" s="106"/>
      <c r="WH104" s="106"/>
      <c r="WI104" s="106"/>
      <c r="WJ104" s="106"/>
      <c r="WK104" s="106"/>
      <c r="WL104" s="106"/>
      <c r="WM104" s="106"/>
      <c r="WN104" s="106"/>
      <c r="WO104" s="106"/>
      <c r="WP104" s="106"/>
      <c r="WQ104" s="106"/>
      <c r="WR104" s="106"/>
      <c r="WS104" s="106"/>
      <c r="WT104" s="106"/>
      <c r="WU104" s="106"/>
      <c r="WV104" s="106"/>
      <c r="WW104" s="106"/>
      <c r="WX104" s="106"/>
      <c r="WY104" s="106"/>
      <c r="WZ104" s="106"/>
      <c r="XA104" s="106"/>
      <c r="XB104" s="106"/>
      <c r="XC104" s="106"/>
      <c r="XD104" s="106"/>
      <c r="XE104" s="106"/>
      <c r="XF104" s="106"/>
      <c r="XG104" s="106"/>
      <c r="XH104" s="106"/>
      <c r="XI104" s="106"/>
      <c r="XJ104" s="106"/>
      <c r="XK104" s="106"/>
      <c r="XL104" s="106"/>
      <c r="XM104" s="106"/>
      <c r="XN104" s="106"/>
      <c r="XO104" s="106"/>
      <c r="XP104" s="106"/>
      <c r="XQ104" s="106"/>
      <c r="XR104" s="106"/>
      <c r="XS104" s="106"/>
      <c r="XT104" s="106"/>
      <c r="XU104" s="106"/>
      <c r="XV104" s="106"/>
      <c r="XW104" s="106"/>
      <c r="XX104" s="106"/>
      <c r="XY104" s="106"/>
      <c r="XZ104" s="106"/>
      <c r="YA104" s="106"/>
      <c r="YB104" s="106"/>
      <c r="YC104" s="106"/>
      <c r="YD104" s="106"/>
      <c r="YE104" s="106"/>
      <c r="YF104" s="106"/>
      <c r="YG104" s="106"/>
      <c r="YH104" s="106"/>
      <c r="YI104" s="106"/>
      <c r="YJ104" s="106"/>
      <c r="YK104" s="106"/>
      <c r="YL104" s="106"/>
      <c r="YM104" s="106"/>
      <c r="YN104" s="106"/>
      <c r="YO104" s="106"/>
      <c r="YP104" s="106"/>
      <c r="YQ104" s="106"/>
      <c r="YR104" s="106"/>
      <c r="YS104" s="106"/>
      <c r="YT104" s="106"/>
      <c r="YU104" s="106"/>
      <c r="YV104" s="106"/>
      <c r="YW104" s="106"/>
      <c r="YX104" s="106"/>
      <c r="YY104" s="106"/>
      <c r="YZ104" s="106"/>
      <c r="ZA104" s="106"/>
      <c r="ZB104" s="106"/>
      <c r="ZC104" s="106"/>
      <c r="ZD104" s="106"/>
      <c r="ZE104" s="106"/>
      <c r="ZF104" s="106"/>
      <c r="ZG104" s="106"/>
      <c r="ZH104" s="106"/>
      <c r="ZI104" s="106"/>
      <c r="ZJ104" s="106"/>
      <c r="ZK104" s="106"/>
      <c r="ZL104" s="106"/>
      <c r="ZM104" s="106"/>
      <c r="ZN104" s="106"/>
      <c r="ZO104" s="106"/>
      <c r="ZP104" s="106"/>
      <c r="ZQ104" s="106"/>
      <c r="ZR104" s="106"/>
      <c r="ZS104" s="106"/>
      <c r="ZT104" s="106"/>
      <c r="ZU104" s="106"/>
      <c r="ZV104" s="106"/>
      <c r="ZW104" s="106"/>
      <c r="ZX104" s="106"/>
      <c r="ZY104" s="106"/>
      <c r="ZZ104" s="106"/>
      <c r="AAA104" s="106"/>
      <c r="AAB104" s="106"/>
      <c r="AAC104" s="106"/>
      <c r="AAD104" s="106"/>
      <c r="AAE104" s="106"/>
      <c r="AAF104" s="106"/>
      <c r="AAG104" s="106"/>
      <c r="AAH104" s="106"/>
      <c r="AAI104" s="106"/>
      <c r="AAJ104" s="106"/>
      <c r="AAK104" s="106"/>
      <c r="AAL104" s="106"/>
      <c r="AAM104" s="106"/>
      <c r="AAN104" s="106"/>
      <c r="AAO104" s="106"/>
      <c r="AAP104" s="106"/>
      <c r="AAQ104" s="106"/>
      <c r="AAR104" s="106"/>
      <c r="AAS104" s="106"/>
      <c r="AAT104" s="106"/>
      <c r="AAU104" s="106"/>
      <c r="AAV104" s="106"/>
      <c r="AAW104" s="106"/>
      <c r="AAX104" s="106"/>
      <c r="AAY104" s="106"/>
      <c r="AAZ104" s="106"/>
      <c r="ABA104" s="106"/>
      <c r="ABB104" s="106"/>
      <c r="ABC104" s="106"/>
      <c r="ABD104" s="106"/>
      <c r="ABE104" s="106"/>
      <c r="ABF104" s="106"/>
      <c r="ABG104" s="106"/>
      <c r="ABH104" s="106"/>
      <c r="ABI104" s="106"/>
      <c r="ABJ104" s="106"/>
      <c r="ABK104" s="106"/>
      <c r="ABL104" s="106"/>
      <c r="ABM104" s="106"/>
      <c r="ABN104" s="106"/>
      <c r="ABO104" s="106"/>
      <c r="ABP104" s="106"/>
      <c r="ABQ104" s="106"/>
      <c r="ABR104" s="106"/>
      <c r="ABS104" s="106"/>
      <c r="ABT104" s="106"/>
      <c r="ABU104" s="106"/>
      <c r="ABV104" s="106"/>
      <c r="ABW104" s="106"/>
      <c r="ABX104" s="106"/>
      <c r="ABY104" s="106"/>
      <c r="ABZ104" s="106"/>
      <c r="ACA104" s="106"/>
      <c r="ACB104" s="106"/>
      <c r="ACC104" s="106"/>
      <c r="ACD104" s="106"/>
      <c r="ACE104" s="106"/>
      <c r="ACF104" s="106"/>
      <c r="ACG104" s="106"/>
      <c r="ACH104" s="106"/>
      <c r="ACI104" s="106"/>
      <c r="ACJ104" s="106"/>
      <c r="ACK104" s="106"/>
      <c r="ACL104" s="106"/>
      <c r="ACM104" s="106"/>
      <c r="ACN104" s="106"/>
      <c r="ACO104" s="106"/>
      <c r="ACP104" s="106"/>
      <c r="ACQ104" s="106"/>
      <c r="ACR104" s="106"/>
      <c r="ACS104" s="106"/>
      <c r="ACT104" s="106"/>
      <c r="ACU104" s="106"/>
      <c r="ACV104" s="106"/>
      <c r="ACW104" s="106"/>
      <c r="ACX104" s="106"/>
      <c r="ACY104" s="106"/>
      <c r="ACZ104" s="106"/>
      <c r="ADA104" s="106"/>
      <c r="ADB104" s="106"/>
      <c r="ADC104" s="106"/>
      <c r="ADD104" s="106"/>
      <c r="ADE104" s="106"/>
      <c r="ADF104" s="106"/>
      <c r="ADG104" s="106"/>
      <c r="ADH104" s="106"/>
      <c r="ADI104" s="106"/>
      <c r="ADJ104" s="106"/>
      <c r="ADK104" s="106"/>
      <c r="ADL104" s="106"/>
      <c r="ADM104" s="106"/>
      <c r="ADN104" s="106"/>
      <c r="ADO104" s="106"/>
      <c r="ADP104" s="106"/>
      <c r="ADQ104" s="106"/>
      <c r="ADR104" s="106"/>
      <c r="ADS104" s="106"/>
      <c r="ADT104" s="106"/>
      <c r="ADU104" s="106"/>
      <c r="ADV104" s="106"/>
      <c r="ADW104" s="106"/>
      <c r="ADX104" s="106"/>
      <c r="ADY104" s="106"/>
      <c r="ADZ104" s="106"/>
      <c r="AEA104" s="106"/>
      <c r="AEB104" s="106"/>
      <c r="AEC104" s="106"/>
      <c r="AED104" s="106"/>
      <c r="AEE104" s="106"/>
      <c r="AEF104" s="106"/>
      <c r="AEG104" s="106"/>
      <c r="AEH104" s="106"/>
      <c r="AEI104" s="106"/>
      <c r="AEJ104" s="106"/>
      <c r="AEK104" s="106"/>
      <c r="AEL104" s="106"/>
      <c r="AEM104" s="106"/>
      <c r="AEN104" s="106"/>
      <c r="AEO104" s="106"/>
      <c r="AEP104" s="106"/>
      <c r="AEQ104" s="106"/>
      <c r="AER104" s="106"/>
      <c r="AES104" s="106"/>
      <c r="AET104" s="106"/>
      <c r="AEU104" s="106"/>
      <c r="AEV104" s="106"/>
      <c r="AEW104" s="106"/>
      <c r="AEX104" s="106"/>
      <c r="AEY104" s="106"/>
      <c r="AEZ104" s="106"/>
      <c r="AFA104" s="106"/>
      <c r="AFB104" s="106"/>
      <c r="AFC104" s="106"/>
      <c r="AFD104" s="106"/>
      <c r="AFE104" s="106"/>
      <c r="AFF104" s="106"/>
      <c r="AFG104" s="106"/>
      <c r="AFH104" s="106"/>
      <c r="AFI104" s="106"/>
      <c r="AFJ104" s="106"/>
      <c r="AFK104" s="106"/>
      <c r="AFL104" s="106"/>
      <c r="AFM104" s="106"/>
      <c r="AFN104" s="106"/>
      <c r="AFO104" s="106"/>
      <c r="AFP104" s="106"/>
      <c r="AFQ104" s="106"/>
      <c r="AFR104" s="106"/>
      <c r="AFS104" s="106"/>
      <c r="AFT104" s="106"/>
      <c r="AFU104" s="106"/>
      <c r="AFV104" s="106"/>
      <c r="AFW104" s="106"/>
      <c r="AFX104" s="106"/>
      <c r="AFY104" s="106"/>
      <c r="AFZ104" s="106"/>
      <c r="AGA104" s="106"/>
      <c r="AGB104" s="106"/>
      <c r="AGC104" s="106"/>
      <c r="AGD104" s="106"/>
      <c r="AGE104" s="106"/>
      <c r="AGF104" s="106"/>
      <c r="AGG104" s="106"/>
      <c r="AGH104" s="106"/>
      <c r="AGI104" s="106"/>
      <c r="AGJ104" s="106"/>
      <c r="AGK104" s="106"/>
      <c r="AGL104" s="106"/>
      <c r="AGM104" s="106"/>
      <c r="AGN104" s="106"/>
      <c r="AGO104" s="106"/>
      <c r="AGP104" s="106"/>
      <c r="AGQ104" s="106"/>
      <c r="AGR104" s="106"/>
      <c r="AGS104" s="106"/>
      <c r="AGT104" s="106"/>
      <c r="AGU104" s="106"/>
      <c r="AGV104" s="106"/>
      <c r="AGW104" s="106"/>
      <c r="AGX104" s="106"/>
      <c r="AGY104" s="106"/>
      <c r="AGZ104" s="106"/>
      <c r="AHA104" s="106"/>
      <c r="AHB104" s="106"/>
      <c r="AHC104" s="106"/>
      <c r="AHD104" s="106"/>
      <c r="AHE104" s="106"/>
      <c r="AHF104" s="106"/>
      <c r="AHG104" s="106"/>
      <c r="AHH104" s="106"/>
      <c r="AHI104" s="106"/>
      <c r="AHJ104" s="106"/>
      <c r="AHK104" s="106"/>
      <c r="AHL104" s="106"/>
      <c r="AHM104" s="106"/>
      <c r="AHN104" s="106"/>
      <c r="AHO104" s="106"/>
      <c r="AHP104" s="106"/>
      <c r="AHQ104" s="106"/>
      <c r="AHR104" s="106"/>
      <c r="AHS104" s="106"/>
      <c r="AHT104" s="106"/>
      <c r="AHU104" s="106"/>
      <c r="AHV104" s="106"/>
      <c r="AHW104" s="106"/>
      <c r="AHX104" s="106"/>
      <c r="AHY104" s="106"/>
      <c r="AHZ104" s="106"/>
      <c r="AIA104" s="106"/>
      <c r="AIB104" s="106"/>
      <c r="AIC104" s="106"/>
      <c r="AID104" s="106"/>
      <c r="AIE104" s="106"/>
      <c r="AIF104" s="106"/>
      <c r="AIG104" s="106"/>
      <c r="AIH104" s="106"/>
      <c r="AII104" s="106"/>
      <c r="AIJ104" s="106"/>
      <c r="AIK104" s="106"/>
      <c r="AIL104" s="106"/>
      <c r="AIM104" s="106"/>
      <c r="AIN104" s="106"/>
      <c r="AIO104" s="106"/>
      <c r="AIP104" s="106"/>
      <c r="AIQ104" s="106"/>
      <c r="AIR104" s="106"/>
      <c r="AIS104" s="106"/>
      <c r="AIT104" s="106"/>
      <c r="AIU104" s="106"/>
      <c r="AIV104" s="106"/>
      <c r="AIW104" s="106"/>
      <c r="AIX104" s="106"/>
      <c r="AIY104" s="106"/>
      <c r="AIZ104" s="106"/>
      <c r="AJA104" s="106"/>
      <c r="AJB104" s="106"/>
      <c r="AJC104" s="106"/>
      <c r="AJD104" s="106"/>
      <c r="AJE104" s="106"/>
      <c r="AJF104" s="106"/>
      <c r="AJG104" s="106"/>
      <c r="AJH104" s="106"/>
      <c r="AJI104" s="106"/>
      <c r="AJJ104" s="106"/>
      <c r="AJK104" s="106"/>
      <c r="AJL104" s="106"/>
      <c r="AJM104" s="106"/>
      <c r="AJN104" s="106"/>
      <c r="AJO104" s="106"/>
      <c r="AJP104" s="106"/>
      <c r="AJQ104" s="106"/>
      <c r="AJR104" s="106"/>
      <c r="AJS104" s="106"/>
      <c r="AJT104" s="106"/>
      <c r="AJU104" s="106"/>
      <c r="AJV104" s="106"/>
      <c r="AJW104" s="106"/>
      <c r="AJX104" s="106"/>
      <c r="AJY104" s="106"/>
      <c r="AJZ104" s="106"/>
      <c r="AKA104" s="106"/>
      <c r="AKB104" s="106"/>
      <c r="AKC104" s="106"/>
      <c r="AKD104" s="106"/>
      <c r="AKE104" s="106"/>
      <c r="AKF104" s="106"/>
      <c r="AKG104" s="106"/>
      <c r="AKH104" s="106"/>
      <c r="AKI104" s="106"/>
      <c r="AKJ104" s="106"/>
      <c r="AKK104" s="106"/>
      <c r="AKL104" s="106"/>
      <c r="AKM104" s="106"/>
      <c r="AKN104" s="106"/>
      <c r="AKO104" s="106"/>
      <c r="AKP104" s="106"/>
      <c r="AKQ104" s="106"/>
      <c r="AKR104" s="106"/>
      <c r="AKS104" s="106"/>
      <c r="AKT104" s="106"/>
      <c r="AKU104" s="106"/>
      <c r="AKV104" s="106"/>
      <c r="AKW104" s="106"/>
      <c r="AKX104" s="106"/>
      <c r="AKY104" s="106"/>
      <c r="AKZ104" s="106"/>
      <c r="ALA104" s="106"/>
      <c r="ALB104" s="106"/>
      <c r="ALC104" s="106"/>
      <c r="ALD104" s="106"/>
      <c r="ALE104" s="106"/>
      <c r="ALF104" s="106"/>
      <c r="ALG104" s="106"/>
      <c r="ALH104" s="106"/>
    </row>
    <row r="105" spans="1:996" s="75" customFormat="1" ht="15.75" customHeight="1">
      <c r="A105" s="104"/>
      <c r="B105" s="75" t="str">
        <f t="shared" si="5"/>
        <v>S112302</v>
      </c>
      <c r="C105" s="396" t="s">
        <v>607</v>
      </c>
      <c r="D105" s="27" t="s">
        <v>128</v>
      </c>
      <c r="E105" s="75">
        <v>112302</v>
      </c>
      <c r="F105" s="105" t="s">
        <v>84</v>
      </c>
      <c r="G105" s="74">
        <f>IFERROR(VLOOKUP(E105,'BD - E - Mvto Cx'!$E$15:$G$500,3,0),0)</f>
        <v>273098.03999999998</v>
      </c>
      <c r="H105" s="72">
        <f>IFERROR(VLOOKUP(E105,'BD - E - Mvto Cx'!$N$15:$P$500,3,0),0)</f>
        <v>220166.28</v>
      </c>
      <c r="I105" s="73">
        <f>IFERROR(VLOOKUP(E105,'BD - E - Mvto Cx'!$W$15:$Y$497,3,0),0)</f>
        <v>193644.45</v>
      </c>
      <c r="J105" s="73">
        <f>IFERROR(VLOOKUP(E105,'BD - E - Mvto Cx'!$AF$15:$AI$500,3,0),0)</f>
        <v>194053.92</v>
      </c>
      <c r="K105" s="73">
        <f>IFERROR(VLOOKUP(E105,'BD - E - Mvto Cx'!$AO$15:$AQ$500,3,0),0)</f>
        <v>0</v>
      </c>
      <c r="L105" s="73">
        <f>IFERROR(VLOOKUP(E105,'BD - E - Mvto Cx'!$AX$15:$AZ$500,3,0),0)</f>
        <v>0</v>
      </c>
      <c r="M105" s="73">
        <f>IFERROR(VLOOKUP(E105,'BD - E - Mvto Cx'!$BJ$15:$BL$500,3,0),0)</f>
        <v>0</v>
      </c>
      <c r="N105" s="73">
        <f>IFERROR(VLOOKUP(E105,'BD - E - Mvto Cx'!$BS$15:$BU$500,3,0),0)</f>
        <v>0</v>
      </c>
      <c r="O105" s="73">
        <f>IFERROR(VLOOKUP(E105,'BD - E - Mvto Cx'!$CB$15:$CD$500,3,0),0)</f>
        <v>0</v>
      </c>
      <c r="P105" s="73">
        <f>IFERROR(VLOOKUP(E105,'BD - E - Mvto Cx'!$CK$15:$CM$500,3,0),0)</f>
        <v>0</v>
      </c>
      <c r="Q105" s="73">
        <f>IFERROR(VLOOKUP(E105,'BD - E - Mvto Cx'!$CT$15:$CV$500,3,0),0)</f>
        <v>0</v>
      </c>
      <c r="R105" s="73">
        <f>IFERROR(VLOOKUP(E105,'BD - E - Mvto Cx'!$DC$15:$DE$500,3,0),0)</f>
        <v>0</v>
      </c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  <c r="CZ105" s="106"/>
      <c r="DA105" s="106"/>
      <c r="DB105" s="106"/>
      <c r="DC105" s="106"/>
      <c r="DD105" s="106"/>
      <c r="DE105" s="106"/>
      <c r="DF105" s="106"/>
      <c r="DG105" s="106"/>
      <c r="DH105" s="106"/>
      <c r="DI105" s="106"/>
      <c r="DJ105" s="106"/>
      <c r="DK105" s="106"/>
      <c r="DL105" s="106"/>
      <c r="DM105" s="106"/>
      <c r="DN105" s="106"/>
      <c r="DO105" s="106"/>
      <c r="DP105" s="106"/>
      <c r="DQ105" s="106"/>
      <c r="DR105" s="106"/>
      <c r="DS105" s="106"/>
      <c r="DT105" s="106"/>
      <c r="DU105" s="106"/>
      <c r="DV105" s="106"/>
      <c r="DW105" s="106"/>
      <c r="DX105" s="106"/>
      <c r="DY105" s="106"/>
      <c r="DZ105" s="106"/>
      <c r="EA105" s="106"/>
      <c r="EB105" s="106"/>
      <c r="EC105" s="106"/>
      <c r="ED105" s="106"/>
      <c r="EE105" s="106"/>
      <c r="EF105" s="106"/>
      <c r="EG105" s="106"/>
      <c r="EH105" s="106"/>
      <c r="EI105" s="106"/>
      <c r="EJ105" s="106"/>
      <c r="EK105" s="106"/>
      <c r="EL105" s="106"/>
      <c r="EM105" s="106"/>
      <c r="EN105" s="106"/>
      <c r="EO105" s="106"/>
      <c r="EP105" s="106"/>
      <c r="EQ105" s="106"/>
      <c r="ER105" s="106"/>
      <c r="ES105" s="106"/>
      <c r="ET105" s="106"/>
      <c r="EU105" s="106"/>
      <c r="EV105" s="106"/>
      <c r="EW105" s="106"/>
      <c r="EX105" s="106"/>
      <c r="EY105" s="106"/>
      <c r="EZ105" s="106"/>
      <c r="FA105" s="106"/>
      <c r="FB105" s="106"/>
      <c r="FC105" s="106"/>
      <c r="FD105" s="106"/>
      <c r="FE105" s="106"/>
      <c r="FF105" s="106"/>
      <c r="FG105" s="106"/>
      <c r="FH105" s="106"/>
      <c r="FI105" s="106"/>
      <c r="FJ105" s="106"/>
      <c r="FK105" s="106"/>
      <c r="FL105" s="106"/>
      <c r="FM105" s="106"/>
      <c r="FN105" s="106"/>
      <c r="FO105" s="106"/>
      <c r="FP105" s="106"/>
      <c r="FQ105" s="106"/>
      <c r="FR105" s="106"/>
      <c r="FS105" s="106"/>
      <c r="FT105" s="106"/>
      <c r="FU105" s="106"/>
      <c r="FV105" s="106"/>
      <c r="FW105" s="106"/>
      <c r="FX105" s="106"/>
      <c r="FY105" s="106"/>
      <c r="FZ105" s="106"/>
      <c r="GA105" s="106"/>
      <c r="GB105" s="106"/>
      <c r="GC105" s="106"/>
      <c r="GD105" s="106"/>
      <c r="GE105" s="106"/>
      <c r="GF105" s="106"/>
      <c r="GG105" s="106"/>
      <c r="GH105" s="106"/>
      <c r="GI105" s="106"/>
      <c r="GJ105" s="106"/>
      <c r="GK105" s="106"/>
      <c r="GL105" s="106"/>
      <c r="GM105" s="106"/>
      <c r="GN105" s="106"/>
      <c r="GO105" s="106"/>
      <c r="GP105" s="106"/>
      <c r="GQ105" s="106"/>
      <c r="GR105" s="106"/>
      <c r="GS105" s="106"/>
      <c r="GT105" s="106"/>
      <c r="GU105" s="106"/>
      <c r="GV105" s="106"/>
      <c r="GW105" s="106"/>
      <c r="GX105" s="106"/>
      <c r="GY105" s="106"/>
      <c r="GZ105" s="106"/>
      <c r="HA105" s="106"/>
      <c r="HB105" s="106"/>
      <c r="HC105" s="106"/>
      <c r="HD105" s="106"/>
      <c r="HE105" s="106"/>
      <c r="HF105" s="106"/>
      <c r="HG105" s="106"/>
      <c r="HH105" s="106"/>
      <c r="HI105" s="106"/>
      <c r="HJ105" s="106"/>
      <c r="HK105" s="106"/>
      <c r="HL105" s="106"/>
      <c r="HM105" s="106"/>
      <c r="HN105" s="106"/>
      <c r="HO105" s="106"/>
      <c r="HP105" s="106"/>
      <c r="HQ105" s="106"/>
      <c r="HR105" s="106"/>
      <c r="HS105" s="106"/>
      <c r="HT105" s="106"/>
      <c r="HU105" s="106"/>
      <c r="HV105" s="106"/>
      <c r="HW105" s="106"/>
      <c r="HX105" s="106"/>
      <c r="HY105" s="106"/>
      <c r="HZ105" s="106"/>
      <c r="IA105" s="106"/>
      <c r="IB105" s="106"/>
      <c r="IC105" s="106"/>
      <c r="ID105" s="106"/>
      <c r="IE105" s="106"/>
      <c r="IF105" s="106"/>
      <c r="IG105" s="106"/>
      <c r="IH105" s="106"/>
      <c r="II105" s="106"/>
      <c r="IJ105" s="106"/>
      <c r="IK105" s="106"/>
      <c r="IL105" s="106"/>
      <c r="IM105" s="106"/>
      <c r="IN105" s="106"/>
      <c r="IO105" s="106"/>
      <c r="IP105" s="106"/>
      <c r="IQ105" s="106"/>
      <c r="IR105" s="106"/>
      <c r="IS105" s="106"/>
      <c r="IT105" s="106"/>
      <c r="IU105" s="106"/>
      <c r="IV105" s="106"/>
      <c r="IW105" s="106"/>
      <c r="IX105" s="106"/>
      <c r="IY105" s="106"/>
      <c r="IZ105" s="106"/>
      <c r="JA105" s="106"/>
      <c r="JB105" s="106"/>
      <c r="JC105" s="106"/>
      <c r="JD105" s="106"/>
      <c r="JE105" s="106"/>
      <c r="JF105" s="106"/>
      <c r="JG105" s="106"/>
      <c r="JH105" s="106"/>
      <c r="JI105" s="106"/>
      <c r="JJ105" s="106"/>
      <c r="JK105" s="106"/>
      <c r="JL105" s="106"/>
      <c r="JM105" s="106"/>
      <c r="JN105" s="106"/>
      <c r="JO105" s="106"/>
      <c r="JP105" s="106"/>
      <c r="JQ105" s="106"/>
      <c r="JR105" s="106"/>
      <c r="JS105" s="106"/>
      <c r="JT105" s="106"/>
      <c r="JU105" s="106"/>
      <c r="JV105" s="106"/>
      <c r="JW105" s="106"/>
      <c r="JX105" s="106"/>
      <c r="JY105" s="106"/>
      <c r="JZ105" s="106"/>
      <c r="KA105" s="106"/>
      <c r="KB105" s="106"/>
      <c r="KC105" s="106"/>
      <c r="KD105" s="106"/>
      <c r="KE105" s="106"/>
      <c r="KF105" s="106"/>
      <c r="KG105" s="106"/>
      <c r="KH105" s="106"/>
      <c r="KI105" s="106"/>
      <c r="KJ105" s="106"/>
      <c r="KK105" s="106"/>
      <c r="KL105" s="106"/>
      <c r="KM105" s="106"/>
      <c r="KN105" s="106"/>
      <c r="KO105" s="106"/>
      <c r="KP105" s="106"/>
      <c r="KQ105" s="106"/>
      <c r="KR105" s="106"/>
      <c r="KS105" s="106"/>
      <c r="KT105" s="106"/>
      <c r="KU105" s="106"/>
      <c r="KV105" s="106"/>
      <c r="KW105" s="106"/>
      <c r="KX105" s="106"/>
      <c r="KY105" s="106"/>
      <c r="KZ105" s="106"/>
      <c r="LA105" s="106"/>
      <c r="LB105" s="106"/>
      <c r="LC105" s="106"/>
      <c r="LD105" s="106"/>
      <c r="LE105" s="106"/>
      <c r="LF105" s="106"/>
      <c r="LG105" s="106"/>
      <c r="LH105" s="106"/>
      <c r="LI105" s="106"/>
      <c r="LJ105" s="106"/>
      <c r="LK105" s="106"/>
      <c r="LL105" s="106"/>
      <c r="LM105" s="106"/>
      <c r="LN105" s="106"/>
      <c r="LO105" s="106"/>
      <c r="LP105" s="106"/>
      <c r="LQ105" s="106"/>
      <c r="LR105" s="106"/>
      <c r="LS105" s="106"/>
      <c r="LT105" s="106"/>
      <c r="LU105" s="106"/>
      <c r="LV105" s="106"/>
      <c r="LW105" s="106"/>
      <c r="LX105" s="106"/>
      <c r="LY105" s="106"/>
      <c r="LZ105" s="106"/>
      <c r="MA105" s="106"/>
      <c r="MB105" s="106"/>
      <c r="MC105" s="106"/>
      <c r="MD105" s="106"/>
      <c r="ME105" s="106"/>
      <c r="MF105" s="106"/>
      <c r="MG105" s="106"/>
      <c r="MH105" s="106"/>
      <c r="MI105" s="106"/>
      <c r="MJ105" s="106"/>
      <c r="MK105" s="106"/>
      <c r="ML105" s="106"/>
      <c r="MM105" s="106"/>
      <c r="MN105" s="106"/>
      <c r="MO105" s="106"/>
      <c r="MP105" s="106"/>
      <c r="MQ105" s="106"/>
      <c r="MR105" s="106"/>
      <c r="MS105" s="106"/>
      <c r="MT105" s="106"/>
      <c r="MU105" s="106"/>
      <c r="MV105" s="106"/>
      <c r="MW105" s="106"/>
      <c r="MX105" s="106"/>
      <c r="MY105" s="106"/>
      <c r="MZ105" s="106"/>
      <c r="NA105" s="106"/>
      <c r="NB105" s="106"/>
      <c r="NC105" s="106"/>
      <c r="ND105" s="106"/>
      <c r="NE105" s="106"/>
      <c r="NF105" s="106"/>
      <c r="NG105" s="106"/>
      <c r="NH105" s="106"/>
      <c r="NI105" s="106"/>
      <c r="NJ105" s="106"/>
      <c r="NK105" s="106"/>
      <c r="NL105" s="106"/>
      <c r="NM105" s="106"/>
      <c r="NN105" s="106"/>
      <c r="NO105" s="106"/>
      <c r="NP105" s="106"/>
      <c r="NQ105" s="106"/>
      <c r="NR105" s="106"/>
      <c r="NS105" s="106"/>
      <c r="NT105" s="106"/>
      <c r="NU105" s="106"/>
      <c r="NV105" s="106"/>
      <c r="NW105" s="106"/>
      <c r="NX105" s="106"/>
      <c r="NY105" s="106"/>
      <c r="NZ105" s="106"/>
      <c r="OA105" s="106"/>
      <c r="OB105" s="106"/>
      <c r="OC105" s="106"/>
      <c r="OD105" s="106"/>
      <c r="OE105" s="106"/>
      <c r="OF105" s="106"/>
      <c r="OG105" s="106"/>
      <c r="OH105" s="106"/>
      <c r="OI105" s="106"/>
      <c r="OJ105" s="106"/>
      <c r="OK105" s="106"/>
      <c r="OL105" s="106"/>
      <c r="OM105" s="106"/>
      <c r="ON105" s="106"/>
      <c r="OO105" s="106"/>
      <c r="OP105" s="106"/>
      <c r="OQ105" s="106"/>
      <c r="OR105" s="106"/>
      <c r="OS105" s="106"/>
      <c r="OT105" s="106"/>
      <c r="OU105" s="106"/>
      <c r="OV105" s="106"/>
      <c r="OW105" s="106"/>
      <c r="OX105" s="106"/>
      <c r="OY105" s="106"/>
      <c r="OZ105" s="106"/>
      <c r="PA105" s="106"/>
      <c r="PB105" s="106"/>
      <c r="PC105" s="106"/>
      <c r="PD105" s="106"/>
      <c r="PE105" s="106"/>
      <c r="PF105" s="106"/>
      <c r="PG105" s="106"/>
      <c r="PH105" s="106"/>
      <c r="PI105" s="106"/>
      <c r="PJ105" s="106"/>
      <c r="PK105" s="106"/>
      <c r="PL105" s="106"/>
      <c r="PM105" s="106"/>
      <c r="PN105" s="106"/>
      <c r="PO105" s="106"/>
      <c r="PP105" s="106"/>
      <c r="PQ105" s="106"/>
      <c r="PR105" s="106"/>
      <c r="PS105" s="106"/>
      <c r="PT105" s="106"/>
      <c r="PU105" s="106"/>
      <c r="PV105" s="106"/>
      <c r="PW105" s="106"/>
      <c r="PX105" s="106"/>
      <c r="PY105" s="106"/>
      <c r="PZ105" s="106"/>
      <c r="QA105" s="106"/>
      <c r="QB105" s="106"/>
      <c r="QC105" s="106"/>
      <c r="QD105" s="106"/>
      <c r="QE105" s="106"/>
      <c r="QF105" s="106"/>
      <c r="QG105" s="106"/>
      <c r="QH105" s="106"/>
      <c r="QI105" s="106"/>
      <c r="QJ105" s="106"/>
      <c r="QK105" s="106"/>
      <c r="QL105" s="106"/>
      <c r="QM105" s="106"/>
      <c r="QN105" s="106"/>
      <c r="QO105" s="106"/>
      <c r="QP105" s="106"/>
      <c r="QQ105" s="106"/>
      <c r="QR105" s="106"/>
      <c r="QS105" s="106"/>
      <c r="QT105" s="106"/>
      <c r="QU105" s="106"/>
      <c r="QV105" s="106"/>
      <c r="QW105" s="106"/>
      <c r="QX105" s="106"/>
      <c r="QY105" s="106"/>
      <c r="QZ105" s="106"/>
      <c r="RA105" s="106"/>
      <c r="RB105" s="106"/>
      <c r="RC105" s="106"/>
      <c r="RD105" s="106"/>
      <c r="RE105" s="106"/>
      <c r="RF105" s="106"/>
      <c r="RG105" s="106"/>
      <c r="RH105" s="106"/>
      <c r="RI105" s="106"/>
      <c r="RJ105" s="106"/>
      <c r="RK105" s="106"/>
      <c r="RL105" s="106"/>
      <c r="RM105" s="106"/>
      <c r="RN105" s="106"/>
      <c r="RO105" s="106"/>
      <c r="RP105" s="106"/>
      <c r="RQ105" s="106"/>
      <c r="RR105" s="106"/>
      <c r="RS105" s="106"/>
      <c r="RT105" s="106"/>
      <c r="RU105" s="106"/>
      <c r="RV105" s="106"/>
      <c r="RW105" s="106"/>
      <c r="RX105" s="106"/>
      <c r="RY105" s="106"/>
      <c r="RZ105" s="106"/>
      <c r="SA105" s="106"/>
      <c r="SB105" s="106"/>
      <c r="SC105" s="106"/>
      <c r="SD105" s="106"/>
      <c r="SE105" s="106"/>
      <c r="SF105" s="106"/>
      <c r="SG105" s="106"/>
      <c r="SH105" s="106"/>
      <c r="SI105" s="106"/>
      <c r="SJ105" s="106"/>
      <c r="SK105" s="106"/>
      <c r="SL105" s="106"/>
      <c r="SM105" s="106"/>
      <c r="SN105" s="106"/>
      <c r="SO105" s="106"/>
      <c r="SP105" s="106"/>
      <c r="SQ105" s="106"/>
      <c r="SR105" s="106"/>
      <c r="SS105" s="106"/>
      <c r="ST105" s="106"/>
      <c r="SU105" s="106"/>
      <c r="SV105" s="106"/>
      <c r="SW105" s="106"/>
      <c r="SX105" s="106"/>
      <c r="SY105" s="106"/>
      <c r="SZ105" s="106"/>
      <c r="TA105" s="106"/>
      <c r="TB105" s="106"/>
      <c r="TC105" s="106"/>
      <c r="TD105" s="106"/>
      <c r="TE105" s="106"/>
      <c r="TF105" s="106"/>
      <c r="TG105" s="106"/>
      <c r="TH105" s="106"/>
      <c r="TI105" s="106"/>
      <c r="TJ105" s="106"/>
      <c r="TK105" s="106"/>
      <c r="TL105" s="106"/>
      <c r="TM105" s="106"/>
      <c r="TN105" s="106"/>
      <c r="TO105" s="106"/>
      <c r="TP105" s="106"/>
      <c r="TQ105" s="106"/>
      <c r="TR105" s="106"/>
      <c r="TS105" s="106"/>
      <c r="TT105" s="106"/>
      <c r="TU105" s="106"/>
      <c r="TV105" s="106"/>
      <c r="TW105" s="106"/>
      <c r="TX105" s="106"/>
      <c r="TY105" s="106"/>
      <c r="TZ105" s="106"/>
      <c r="UA105" s="106"/>
      <c r="UB105" s="106"/>
      <c r="UC105" s="106"/>
      <c r="UD105" s="106"/>
      <c r="UE105" s="106"/>
      <c r="UF105" s="106"/>
      <c r="UG105" s="106"/>
      <c r="UH105" s="106"/>
      <c r="UI105" s="106"/>
      <c r="UJ105" s="106"/>
      <c r="UK105" s="106"/>
      <c r="UL105" s="106"/>
      <c r="UM105" s="106"/>
      <c r="UN105" s="106"/>
      <c r="UO105" s="106"/>
      <c r="UP105" s="106"/>
      <c r="UQ105" s="106"/>
      <c r="UR105" s="106"/>
      <c r="US105" s="106"/>
      <c r="UT105" s="106"/>
      <c r="UU105" s="106"/>
      <c r="UV105" s="106"/>
      <c r="UW105" s="106"/>
      <c r="UX105" s="106"/>
      <c r="UY105" s="106"/>
      <c r="UZ105" s="106"/>
      <c r="VA105" s="106"/>
      <c r="VB105" s="106"/>
      <c r="VC105" s="106"/>
      <c r="VD105" s="106"/>
      <c r="VE105" s="106"/>
      <c r="VF105" s="106"/>
      <c r="VG105" s="106"/>
      <c r="VH105" s="106"/>
      <c r="VI105" s="106"/>
      <c r="VJ105" s="106"/>
      <c r="VK105" s="106"/>
      <c r="VL105" s="106"/>
      <c r="VM105" s="106"/>
      <c r="VN105" s="106"/>
      <c r="VO105" s="106"/>
      <c r="VP105" s="106"/>
      <c r="VQ105" s="106"/>
      <c r="VR105" s="106"/>
      <c r="VS105" s="106"/>
      <c r="VT105" s="106"/>
      <c r="VU105" s="106"/>
      <c r="VV105" s="106"/>
      <c r="VW105" s="106"/>
      <c r="VX105" s="106"/>
      <c r="VY105" s="106"/>
      <c r="VZ105" s="106"/>
      <c r="WA105" s="106"/>
      <c r="WB105" s="106"/>
      <c r="WC105" s="106"/>
      <c r="WD105" s="106"/>
      <c r="WE105" s="106"/>
      <c r="WF105" s="106"/>
      <c r="WG105" s="106"/>
      <c r="WH105" s="106"/>
      <c r="WI105" s="106"/>
      <c r="WJ105" s="106"/>
      <c r="WK105" s="106"/>
      <c r="WL105" s="106"/>
      <c r="WM105" s="106"/>
      <c r="WN105" s="106"/>
      <c r="WO105" s="106"/>
      <c r="WP105" s="106"/>
      <c r="WQ105" s="106"/>
      <c r="WR105" s="106"/>
      <c r="WS105" s="106"/>
      <c r="WT105" s="106"/>
      <c r="WU105" s="106"/>
      <c r="WV105" s="106"/>
      <c r="WW105" s="106"/>
      <c r="WX105" s="106"/>
      <c r="WY105" s="106"/>
      <c r="WZ105" s="106"/>
      <c r="XA105" s="106"/>
      <c r="XB105" s="106"/>
      <c r="XC105" s="106"/>
      <c r="XD105" s="106"/>
      <c r="XE105" s="106"/>
      <c r="XF105" s="106"/>
      <c r="XG105" s="106"/>
      <c r="XH105" s="106"/>
      <c r="XI105" s="106"/>
      <c r="XJ105" s="106"/>
      <c r="XK105" s="106"/>
      <c r="XL105" s="106"/>
      <c r="XM105" s="106"/>
      <c r="XN105" s="106"/>
      <c r="XO105" s="106"/>
      <c r="XP105" s="106"/>
      <c r="XQ105" s="106"/>
      <c r="XR105" s="106"/>
      <c r="XS105" s="106"/>
      <c r="XT105" s="106"/>
      <c r="XU105" s="106"/>
      <c r="XV105" s="106"/>
      <c r="XW105" s="106"/>
      <c r="XX105" s="106"/>
      <c r="XY105" s="106"/>
      <c r="XZ105" s="106"/>
      <c r="YA105" s="106"/>
      <c r="YB105" s="106"/>
      <c r="YC105" s="106"/>
      <c r="YD105" s="106"/>
      <c r="YE105" s="106"/>
      <c r="YF105" s="106"/>
      <c r="YG105" s="106"/>
      <c r="YH105" s="106"/>
      <c r="YI105" s="106"/>
      <c r="YJ105" s="106"/>
      <c r="YK105" s="106"/>
      <c r="YL105" s="106"/>
      <c r="YM105" s="106"/>
      <c r="YN105" s="106"/>
      <c r="YO105" s="106"/>
      <c r="YP105" s="106"/>
      <c r="YQ105" s="106"/>
      <c r="YR105" s="106"/>
      <c r="YS105" s="106"/>
      <c r="YT105" s="106"/>
      <c r="YU105" s="106"/>
      <c r="YV105" s="106"/>
      <c r="YW105" s="106"/>
      <c r="YX105" s="106"/>
      <c r="YY105" s="106"/>
      <c r="YZ105" s="106"/>
      <c r="ZA105" s="106"/>
      <c r="ZB105" s="106"/>
      <c r="ZC105" s="106"/>
      <c r="ZD105" s="106"/>
      <c r="ZE105" s="106"/>
      <c r="ZF105" s="106"/>
      <c r="ZG105" s="106"/>
      <c r="ZH105" s="106"/>
      <c r="ZI105" s="106"/>
      <c r="ZJ105" s="106"/>
      <c r="ZK105" s="106"/>
      <c r="ZL105" s="106"/>
      <c r="ZM105" s="106"/>
      <c r="ZN105" s="106"/>
      <c r="ZO105" s="106"/>
      <c r="ZP105" s="106"/>
      <c r="ZQ105" s="106"/>
      <c r="ZR105" s="106"/>
      <c r="ZS105" s="106"/>
      <c r="ZT105" s="106"/>
      <c r="ZU105" s="106"/>
      <c r="ZV105" s="106"/>
      <c r="ZW105" s="106"/>
      <c r="ZX105" s="106"/>
      <c r="ZY105" s="106"/>
      <c r="ZZ105" s="106"/>
      <c r="AAA105" s="106"/>
      <c r="AAB105" s="106"/>
      <c r="AAC105" s="106"/>
      <c r="AAD105" s="106"/>
      <c r="AAE105" s="106"/>
      <c r="AAF105" s="106"/>
      <c r="AAG105" s="106"/>
      <c r="AAH105" s="106"/>
      <c r="AAI105" s="106"/>
      <c r="AAJ105" s="106"/>
      <c r="AAK105" s="106"/>
      <c r="AAL105" s="106"/>
      <c r="AAM105" s="106"/>
      <c r="AAN105" s="106"/>
      <c r="AAO105" s="106"/>
      <c r="AAP105" s="106"/>
      <c r="AAQ105" s="106"/>
      <c r="AAR105" s="106"/>
      <c r="AAS105" s="106"/>
      <c r="AAT105" s="106"/>
      <c r="AAU105" s="106"/>
      <c r="AAV105" s="106"/>
      <c r="AAW105" s="106"/>
      <c r="AAX105" s="106"/>
      <c r="AAY105" s="106"/>
      <c r="AAZ105" s="106"/>
      <c r="ABA105" s="106"/>
      <c r="ABB105" s="106"/>
      <c r="ABC105" s="106"/>
      <c r="ABD105" s="106"/>
      <c r="ABE105" s="106"/>
      <c r="ABF105" s="106"/>
      <c r="ABG105" s="106"/>
      <c r="ABH105" s="106"/>
      <c r="ABI105" s="106"/>
      <c r="ABJ105" s="106"/>
      <c r="ABK105" s="106"/>
      <c r="ABL105" s="106"/>
      <c r="ABM105" s="106"/>
      <c r="ABN105" s="106"/>
      <c r="ABO105" s="106"/>
      <c r="ABP105" s="106"/>
      <c r="ABQ105" s="106"/>
      <c r="ABR105" s="106"/>
      <c r="ABS105" s="106"/>
      <c r="ABT105" s="106"/>
      <c r="ABU105" s="106"/>
      <c r="ABV105" s="106"/>
      <c r="ABW105" s="106"/>
      <c r="ABX105" s="106"/>
      <c r="ABY105" s="106"/>
      <c r="ABZ105" s="106"/>
      <c r="ACA105" s="106"/>
      <c r="ACB105" s="106"/>
      <c r="ACC105" s="106"/>
      <c r="ACD105" s="106"/>
      <c r="ACE105" s="106"/>
      <c r="ACF105" s="106"/>
      <c r="ACG105" s="106"/>
      <c r="ACH105" s="106"/>
      <c r="ACI105" s="106"/>
      <c r="ACJ105" s="106"/>
      <c r="ACK105" s="106"/>
      <c r="ACL105" s="106"/>
      <c r="ACM105" s="106"/>
      <c r="ACN105" s="106"/>
      <c r="ACO105" s="106"/>
      <c r="ACP105" s="106"/>
      <c r="ACQ105" s="106"/>
      <c r="ACR105" s="106"/>
      <c r="ACS105" s="106"/>
      <c r="ACT105" s="106"/>
      <c r="ACU105" s="106"/>
      <c r="ACV105" s="106"/>
      <c r="ACW105" s="106"/>
      <c r="ACX105" s="106"/>
      <c r="ACY105" s="106"/>
      <c r="ACZ105" s="106"/>
      <c r="ADA105" s="106"/>
      <c r="ADB105" s="106"/>
      <c r="ADC105" s="106"/>
      <c r="ADD105" s="106"/>
      <c r="ADE105" s="106"/>
      <c r="ADF105" s="106"/>
      <c r="ADG105" s="106"/>
      <c r="ADH105" s="106"/>
      <c r="ADI105" s="106"/>
      <c r="ADJ105" s="106"/>
      <c r="ADK105" s="106"/>
      <c r="ADL105" s="106"/>
      <c r="ADM105" s="106"/>
      <c r="ADN105" s="106"/>
      <c r="ADO105" s="106"/>
      <c r="ADP105" s="106"/>
      <c r="ADQ105" s="106"/>
      <c r="ADR105" s="106"/>
      <c r="ADS105" s="106"/>
      <c r="ADT105" s="106"/>
      <c r="ADU105" s="106"/>
      <c r="ADV105" s="106"/>
      <c r="ADW105" s="106"/>
      <c r="ADX105" s="106"/>
      <c r="ADY105" s="106"/>
      <c r="ADZ105" s="106"/>
      <c r="AEA105" s="106"/>
      <c r="AEB105" s="106"/>
      <c r="AEC105" s="106"/>
      <c r="AED105" s="106"/>
      <c r="AEE105" s="106"/>
      <c r="AEF105" s="106"/>
      <c r="AEG105" s="106"/>
      <c r="AEH105" s="106"/>
      <c r="AEI105" s="106"/>
      <c r="AEJ105" s="106"/>
      <c r="AEK105" s="106"/>
      <c r="AEL105" s="106"/>
      <c r="AEM105" s="106"/>
      <c r="AEN105" s="106"/>
      <c r="AEO105" s="106"/>
      <c r="AEP105" s="106"/>
      <c r="AEQ105" s="106"/>
      <c r="AER105" s="106"/>
      <c r="AES105" s="106"/>
      <c r="AET105" s="106"/>
      <c r="AEU105" s="106"/>
      <c r="AEV105" s="106"/>
      <c r="AEW105" s="106"/>
      <c r="AEX105" s="106"/>
      <c r="AEY105" s="106"/>
      <c r="AEZ105" s="106"/>
      <c r="AFA105" s="106"/>
      <c r="AFB105" s="106"/>
      <c r="AFC105" s="106"/>
      <c r="AFD105" s="106"/>
      <c r="AFE105" s="106"/>
      <c r="AFF105" s="106"/>
      <c r="AFG105" s="106"/>
      <c r="AFH105" s="106"/>
      <c r="AFI105" s="106"/>
      <c r="AFJ105" s="106"/>
      <c r="AFK105" s="106"/>
      <c r="AFL105" s="106"/>
      <c r="AFM105" s="106"/>
      <c r="AFN105" s="106"/>
      <c r="AFO105" s="106"/>
      <c r="AFP105" s="106"/>
      <c r="AFQ105" s="106"/>
      <c r="AFR105" s="106"/>
      <c r="AFS105" s="106"/>
      <c r="AFT105" s="106"/>
      <c r="AFU105" s="106"/>
      <c r="AFV105" s="106"/>
      <c r="AFW105" s="106"/>
      <c r="AFX105" s="106"/>
      <c r="AFY105" s="106"/>
      <c r="AFZ105" s="106"/>
      <c r="AGA105" s="106"/>
      <c r="AGB105" s="106"/>
      <c r="AGC105" s="106"/>
      <c r="AGD105" s="106"/>
      <c r="AGE105" s="106"/>
      <c r="AGF105" s="106"/>
      <c r="AGG105" s="106"/>
      <c r="AGH105" s="106"/>
      <c r="AGI105" s="106"/>
      <c r="AGJ105" s="106"/>
      <c r="AGK105" s="106"/>
      <c r="AGL105" s="106"/>
      <c r="AGM105" s="106"/>
      <c r="AGN105" s="106"/>
      <c r="AGO105" s="106"/>
      <c r="AGP105" s="106"/>
      <c r="AGQ105" s="106"/>
      <c r="AGR105" s="106"/>
      <c r="AGS105" s="106"/>
      <c r="AGT105" s="106"/>
      <c r="AGU105" s="106"/>
      <c r="AGV105" s="106"/>
      <c r="AGW105" s="106"/>
      <c r="AGX105" s="106"/>
      <c r="AGY105" s="106"/>
      <c r="AGZ105" s="106"/>
      <c r="AHA105" s="106"/>
      <c r="AHB105" s="106"/>
      <c r="AHC105" s="106"/>
      <c r="AHD105" s="106"/>
      <c r="AHE105" s="106"/>
      <c r="AHF105" s="106"/>
      <c r="AHG105" s="106"/>
      <c r="AHH105" s="106"/>
      <c r="AHI105" s="106"/>
      <c r="AHJ105" s="106"/>
      <c r="AHK105" s="106"/>
      <c r="AHL105" s="106"/>
      <c r="AHM105" s="106"/>
      <c r="AHN105" s="106"/>
      <c r="AHO105" s="106"/>
      <c r="AHP105" s="106"/>
      <c r="AHQ105" s="106"/>
      <c r="AHR105" s="106"/>
      <c r="AHS105" s="106"/>
      <c r="AHT105" s="106"/>
      <c r="AHU105" s="106"/>
      <c r="AHV105" s="106"/>
      <c r="AHW105" s="106"/>
      <c r="AHX105" s="106"/>
      <c r="AHY105" s="106"/>
      <c r="AHZ105" s="106"/>
      <c r="AIA105" s="106"/>
      <c r="AIB105" s="106"/>
      <c r="AIC105" s="106"/>
      <c r="AID105" s="106"/>
      <c r="AIE105" s="106"/>
      <c r="AIF105" s="106"/>
      <c r="AIG105" s="106"/>
      <c r="AIH105" s="106"/>
      <c r="AII105" s="106"/>
      <c r="AIJ105" s="106"/>
      <c r="AIK105" s="106"/>
      <c r="AIL105" s="106"/>
      <c r="AIM105" s="106"/>
      <c r="AIN105" s="106"/>
      <c r="AIO105" s="106"/>
      <c r="AIP105" s="106"/>
      <c r="AIQ105" s="106"/>
      <c r="AIR105" s="106"/>
      <c r="AIS105" s="106"/>
      <c r="AIT105" s="106"/>
      <c r="AIU105" s="106"/>
      <c r="AIV105" s="106"/>
      <c r="AIW105" s="106"/>
      <c r="AIX105" s="106"/>
      <c r="AIY105" s="106"/>
      <c r="AIZ105" s="106"/>
      <c r="AJA105" s="106"/>
      <c r="AJB105" s="106"/>
      <c r="AJC105" s="106"/>
      <c r="AJD105" s="106"/>
      <c r="AJE105" s="106"/>
      <c r="AJF105" s="106"/>
      <c r="AJG105" s="106"/>
      <c r="AJH105" s="106"/>
      <c r="AJI105" s="106"/>
      <c r="AJJ105" s="106"/>
      <c r="AJK105" s="106"/>
      <c r="AJL105" s="106"/>
      <c r="AJM105" s="106"/>
      <c r="AJN105" s="106"/>
      <c r="AJO105" s="106"/>
      <c r="AJP105" s="106"/>
      <c r="AJQ105" s="106"/>
      <c r="AJR105" s="106"/>
      <c r="AJS105" s="106"/>
      <c r="AJT105" s="106"/>
      <c r="AJU105" s="106"/>
      <c r="AJV105" s="106"/>
      <c r="AJW105" s="106"/>
      <c r="AJX105" s="106"/>
      <c r="AJY105" s="106"/>
      <c r="AJZ105" s="106"/>
      <c r="AKA105" s="106"/>
      <c r="AKB105" s="106"/>
      <c r="AKC105" s="106"/>
      <c r="AKD105" s="106"/>
      <c r="AKE105" s="106"/>
      <c r="AKF105" s="106"/>
      <c r="AKG105" s="106"/>
      <c r="AKH105" s="106"/>
      <c r="AKI105" s="106"/>
      <c r="AKJ105" s="106"/>
      <c r="AKK105" s="106"/>
      <c r="AKL105" s="106"/>
      <c r="AKM105" s="106"/>
      <c r="AKN105" s="106"/>
      <c r="AKO105" s="106"/>
      <c r="AKP105" s="106"/>
      <c r="AKQ105" s="106"/>
      <c r="AKR105" s="106"/>
      <c r="AKS105" s="106"/>
      <c r="AKT105" s="106"/>
      <c r="AKU105" s="106"/>
      <c r="AKV105" s="106"/>
      <c r="AKW105" s="106"/>
      <c r="AKX105" s="106"/>
      <c r="AKY105" s="106"/>
      <c r="AKZ105" s="106"/>
      <c r="ALA105" s="106"/>
      <c r="ALB105" s="106"/>
      <c r="ALC105" s="106"/>
      <c r="ALD105" s="106"/>
      <c r="ALE105" s="106"/>
      <c r="ALF105" s="106"/>
      <c r="ALG105" s="106"/>
      <c r="ALH105" s="106"/>
    </row>
    <row r="106" spans="1:996" s="75" customFormat="1" ht="15.75" customHeight="1">
      <c r="A106" s="104"/>
      <c r="B106" s="75" t="str">
        <f t="shared" si="5"/>
        <v>S112303</v>
      </c>
      <c r="C106" s="396" t="s">
        <v>607</v>
      </c>
      <c r="D106" s="27" t="s">
        <v>128</v>
      </c>
      <c r="E106" s="75">
        <v>112303</v>
      </c>
      <c r="F106" s="105" t="s">
        <v>85</v>
      </c>
      <c r="G106" s="74">
        <f>IFERROR(VLOOKUP(E106,'BD - E - Mvto Cx'!$E$15:$G$500,3,0),0)</f>
        <v>168.58</v>
      </c>
      <c r="H106" s="72">
        <f>IFERROR(VLOOKUP(E106,'BD - E - Mvto Cx'!$N$15:$P$500,3,0),0)</f>
        <v>0</v>
      </c>
      <c r="I106" s="73">
        <f>IFERROR(VLOOKUP(E106,'BD - E - Mvto Cx'!$W$15:$Y$497,3,0),0)</f>
        <v>0</v>
      </c>
      <c r="J106" s="73">
        <f>IFERROR(VLOOKUP(E106,'BD - E - Mvto Cx'!$AF$15:$AI$500,3,0),0)</f>
        <v>0</v>
      </c>
      <c r="K106" s="73">
        <f>IFERROR(VLOOKUP(E106,'BD - E - Mvto Cx'!$AO$15:$AQ$500,3,0),0)</f>
        <v>0</v>
      </c>
      <c r="L106" s="73">
        <f>IFERROR(VLOOKUP(E106,'BD - E - Mvto Cx'!$AX$15:$AZ$500,3,0),0)</f>
        <v>0</v>
      </c>
      <c r="M106" s="73">
        <f>IFERROR(VLOOKUP(E106,'BD - E - Mvto Cx'!$BJ$15:$BL$500,3,0),0)</f>
        <v>0</v>
      </c>
      <c r="N106" s="73">
        <f>IFERROR(VLOOKUP(E106,'BD - E - Mvto Cx'!$BS$15:$BU$500,3,0),0)</f>
        <v>0</v>
      </c>
      <c r="O106" s="73">
        <f>IFERROR(VLOOKUP(E106,'BD - E - Mvto Cx'!$CB$15:$CD$500,3,0),0)</f>
        <v>0</v>
      </c>
      <c r="P106" s="73">
        <f>IFERROR(VLOOKUP(E106,'BD - E - Mvto Cx'!$CK$15:$CM$500,3,0),0)</f>
        <v>0</v>
      </c>
      <c r="Q106" s="73">
        <f>IFERROR(VLOOKUP(E106,'BD - E - Mvto Cx'!$CT$15:$CV$500,3,0),0)</f>
        <v>0</v>
      </c>
      <c r="R106" s="73">
        <f>IFERROR(VLOOKUP(E106,'BD - E - Mvto Cx'!$DC$15:$DE$500,3,0),0)</f>
        <v>0</v>
      </c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  <c r="CZ106" s="106"/>
      <c r="DA106" s="106"/>
      <c r="DB106" s="106"/>
      <c r="DC106" s="106"/>
      <c r="DD106" s="106"/>
      <c r="DE106" s="106"/>
      <c r="DF106" s="106"/>
      <c r="DG106" s="106"/>
      <c r="DH106" s="106"/>
      <c r="DI106" s="106"/>
      <c r="DJ106" s="106"/>
      <c r="DK106" s="106"/>
      <c r="DL106" s="106"/>
      <c r="DM106" s="106"/>
      <c r="DN106" s="106"/>
      <c r="DO106" s="106"/>
      <c r="DP106" s="106"/>
      <c r="DQ106" s="106"/>
      <c r="DR106" s="106"/>
      <c r="DS106" s="106"/>
      <c r="DT106" s="106"/>
      <c r="DU106" s="106"/>
      <c r="DV106" s="106"/>
      <c r="DW106" s="106"/>
      <c r="DX106" s="106"/>
      <c r="DY106" s="106"/>
      <c r="DZ106" s="106"/>
      <c r="EA106" s="106"/>
      <c r="EB106" s="106"/>
      <c r="EC106" s="106"/>
      <c r="ED106" s="106"/>
      <c r="EE106" s="106"/>
      <c r="EF106" s="106"/>
      <c r="EG106" s="106"/>
      <c r="EH106" s="106"/>
      <c r="EI106" s="106"/>
      <c r="EJ106" s="106"/>
      <c r="EK106" s="106"/>
      <c r="EL106" s="106"/>
      <c r="EM106" s="106"/>
      <c r="EN106" s="106"/>
      <c r="EO106" s="106"/>
      <c r="EP106" s="106"/>
      <c r="EQ106" s="106"/>
      <c r="ER106" s="106"/>
      <c r="ES106" s="106"/>
      <c r="ET106" s="106"/>
      <c r="EU106" s="106"/>
      <c r="EV106" s="106"/>
      <c r="EW106" s="106"/>
      <c r="EX106" s="106"/>
      <c r="EY106" s="106"/>
      <c r="EZ106" s="106"/>
      <c r="FA106" s="106"/>
      <c r="FB106" s="106"/>
      <c r="FC106" s="106"/>
      <c r="FD106" s="106"/>
      <c r="FE106" s="106"/>
      <c r="FF106" s="106"/>
      <c r="FG106" s="106"/>
      <c r="FH106" s="106"/>
      <c r="FI106" s="106"/>
      <c r="FJ106" s="106"/>
      <c r="FK106" s="106"/>
      <c r="FL106" s="106"/>
      <c r="FM106" s="106"/>
      <c r="FN106" s="106"/>
      <c r="FO106" s="106"/>
      <c r="FP106" s="106"/>
      <c r="FQ106" s="106"/>
      <c r="FR106" s="106"/>
      <c r="FS106" s="106"/>
      <c r="FT106" s="106"/>
      <c r="FU106" s="106"/>
      <c r="FV106" s="106"/>
      <c r="FW106" s="106"/>
      <c r="FX106" s="106"/>
      <c r="FY106" s="106"/>
      <c r="FZ106" s="106"/>
      <c r="GA106" s="106"/>
      <c r="GB106" s="106"/>
      <c r="GC106" s="106"/>
      <c r="GD106" s="106"/>
      <c r="GE106" s="106"/>
      <c r="GF106" s="106"/>
      <c r="GG106" s="106"/>
      <c r="GH106" s="106"/>
      <c r="GI106" s="106"/>
      <c r="GJ106" s="106"/>
      <c r="GK106" s="106"/>
      <c r="GL106" s="106"/>
      <c r="GM106" s="106"/>
      <c r="GN106" s="106"/>
      <c r="GO106" s="106"/>
      <c r="GP106" s="106"/>
      <c r="GQ106" s="106"/>
      <c r="GR106" s="106"/>
      <c r="GS106" s="106"/>
      <c r="GT106" s="106"/>
      <c r="GU106" s="106"/>
      <c r="GV106" s="106"/>
      <c r="GW106" s="106"/>
      <c r="GX106" s="106"/>
      <c r="GY106" s="106"/>
      <c r="GZ106" s="106"/>
      <c r="HA106" s="106"/>
      <c r="HB106" s="106"/>
      <c r="HC106" s="106"/>
      <c r="HD106" s="106"/>
      <c r="HE106" s="106"/>
      <c r="HF106" s="106"/>
      <c r="HG106" s="106"/>
      <c r="HH106" s="106"/>
      <c r="HI106" s="106"/>
      <c r="HJ106" s="106"/>
      <c r="HK106" s="106"/>
      <c r="HL106" s="106"/>
      <c r="HM106" s="106"/>
      <c r="HN106" s="106"/>
      <c r="HO106" s="106"/>
      <c r="HP106" s="106"/>
      <c r="HQ106" s="106"/>
      <c r="HR106" s="106"/>
      <c r="HS106" s="106"/>
      <c r="HT106" s="106"/>
      <c r="HU106" s="106"/>
      <c r="HV106" s="106"/>
      <c r="HW106" s="106"/>
      <c r="HX106" s="106"/>
      <c r="HY106" s="106"/>
      <c r="HZ106" s="106"/>
      <c r="IA106" s="106"/>
      <c r="IB106" s="106"/>
      <c r="IC106" s="106"/>
      <c r="ID106" s="106"/>
      <c r="IE106" s="106"/>
      <c r="IF106" s="106"/>
      <c r="IG106" s="106"/>
      <c r="IH106" s="106"/>
      <c r="II106" s="106"/>
      <c r="IJ106" s="106"/>
      <c r="IK106" s="106"/>
      <c r="IL106" s="106"/>
      <c r="IM106" s="106"/>
      <c r="IN106" s="106"/>
      <c r="IO106" s="106"/>
      <c r="IP106" s="106"/>
      <c r="IQ106" s="106"/>
      <c r="IR106" s="106"/>
      <c r="IS106" s="106"/>
      <c r="IT106" s="106"/>
      <c r="IU106" s="106"/>
      <c r="IV106" s="106"/>
      <c r="IW106" s="106"/>
      <c r="IX106" s="106"/>
      <c r="IY106" s="106"/>
      <c r="IZ106" s="106"/>
      <c r="JA106" s="106"/>
      <c r="JB106" s="106"/>
      <c r="JC106" s="106"/>
      <c r="JD106" s="106"/>
      <c r="JE106" s="106"/>
      <c r="JF106" s="106"/>
      <c r="JG106" s="106"/>
      <c r="JH106" s="106"/>
      <c r="JI106" s="106"/>
      <c r="JJ106" s="106"/>
      <c r="JK106" s="106"/>
      <c r="JL106" s="106"/>
      <c r="JM106" s="106"/>
      <c r="JN106" s="106"/>
      <c r="JO106" s="106"/>
      <c r="JP106" s="106"/>
      <c r="JQ106" s="106"/>
      <c r="JR106" s="106"/>
      <c r="JS106" s="106"/>
      <c r="JT106" s="106"/>
      <c r="JU106" s="106"/>
      <c r="JV106" s="106"/>
      <c r="JW106" s="106"/>
      <c r="JX106" s="106"/>
      <c r="JY106" s="106"/>
      <c r="JZ106" s="106"/>
      <c r="KA106" s="106"/>
      <c r="KB106" s="106"/>
      <c r="KC106" s="106"/>
      <c r="KD106" s="106"/>
      <c r="KE106" s="106"/>
      <c r="KF106" s="106"/>
      <c r="KG106" s="106"/>
      <c r="KH106" s="106"/>
      <c r="KI106" s="106"/>
      <c r="KJ106" s="106"/>
      <c r="KK106" s="106"/>
      <c r="KL106" s="106"/>
      <c r="KM106" s="106"/>
      <c r="KN106" s="106"/>
      <c r="KO106" s="106"/>
      <c r="KP106" s="106"/>
      <c r="KQ106" s="106"/>
      <c r="KR106" s="106"/>
      <c r="KS106" s="106"/>
      <c r="KT106" s="106"/>
      <c r="KU106" s="106"/>
      <c r="KV106" s="106"/>
      <c r="KW106" s="106"/>
      <c r="KX106" s="106"/>
      <c r="KY106" s="106"/>
      <c r="KZ106" s="106"/>
      <c r="LA106" s="106"/>
      <c r="LB106" s="106"/>
      <c r="LC106" s="106"/>
      <c r="LD106" s="106"/>
      <c r="LE106" s="106"/>
      <c r="LF106" s="106"/>
      <c r="LG106" s="106"/>
      <c r="LH106" s="106"/>
      <c r="LI106" s="106"/>
      <c r="LJ106" s="106"/>
      <c r="LK106" s="106"/>
      <c r="LL106" s="106"/>
      <c r="LM106" s="106"/>
      <c r="LN106" s="106"/>
      <c r="LO106" s="106"/>
      <c r="LP106" s="106"/>
      <c r="LQ106" s="106"/>
      <c r="LR106" s="106"/>
      <c r="LS106" s="106"/>
      <c r="LT106" s="106"/>
      <c r="LU106" s="106"/>
      <c r="LV106" s="106"/>
      <c r="LW106" s="106"/>
      <c r="LX106" s="106"/>
      <c r="LY106" s="106"/>
      <c r="LZ106" s="106"/>
      <c r="MA106" s="106"/>
      <c r="MB106" s="106"/>
      <c r="MC106" s="106"/>
      <c r="MD106" s="106"/>
      <c r="ME106" s="106"/>
      <c r="MF106" s="106"/>
      <c r="MG106" s="106"/>
      <c r="MH106" s="106"/>
      <c r="MI106" s="106"/>
      <c r="MJ106" s="106"/>
      <c r="MK106" s="106"/>
      <c r="ML106" s="106"/>
      <c r="MM106" s="106"/>
      <c r="MN106" s="106"/>
      <c r="MO106" s="106"/>
      <c r="MP106" s="106"/>
      <c r="MQ106" s="106"/>
      <c r="MR106" s="106"/>
      <c r="MS106" s="106"/>
      <c r="MT106" s="106"/>
      <c r="MU106" s="106"/>
      <c r="MV106" s="106"/>
      <c r="MW106" s="106"/>
      <c r="MX106" s="106"/>
      <c r="MY106" s="106"/>
      <c r="MZ106" s="106"/>
      <c r="NA106" s="106"/>
      <c r="NB106" s="106"/>
      <c r="NC106" s="106"/>
      <c r="ND106" s="106"/>
      <c r="NE106" s="106"/>
      <c r="NF106" s="106"/>
      <c r="NG106" s="106"/>
      <c r="NH106" s="106"/>
      <c r="NI106" s="106"/>
      <c r="NJ106" s="106"/>
      <c r="NK106" s="106"/>
      <c r="NL106" s="106"/>
      <c r="NM106" s="106"/>
      <c r="NN106" s="106"/>
      <c r="NO106" s="106"/>
      <c r="NP106" s="106"/>
      <c r="NQ106" s="106"/>
      <c r="NR106" s="106"/>
      <c r="NS106" s="106"/>
      <c r="NT106" s="106"/>
      <c r="NU106" s="106"/>
      <c r="NV106" s="106"/>
      <c r="NW106" s="106"/>
      <c r="NX106" s="106"/>
      <c r="NY106" s="106"/>
      <c r="NZ106" s="106"/>
      <c r="OA106" s="106"/>
      <c r="OB106" s="106"/>
      <c r="OC106" s="106"/>
      <c r="OD106" s="106"/>
      <c r="OE106" s="106"/>
      <c r="OF106" s="106"/>
      <c r="OG106" s="106"/>
      <c r="OH106" s="106"/>
      <c r="OI106" s="106"/>
      <c r="OJ106" s="106"/>
      <c r="OK106" s="106"/>
      <c r="OL106" s="106"/>
      <c r="OM106" s="106"/>
      <c r="ON106" s="106"/>
      <c r="OO106" s="106"/>
      <c r="OP106" s="106"/>
      <c r="OQ106" s="106"/>
      <c r="OR106" s="106"/>
      <c r="OS106" s="106"/>
      <c r="OT106" s="106"/>
      <c r="OU106" s="106"/>
      <c r="OV106" s="106"/>
      <c r="OW106" s="106"/>
      <c r="OX106" s="106"/>
      <c r="OY106" s="106"/>
      <c r="OZ106" s="106"/>
      <c r="PA106" s="106"/>
      <c r="PB106" s="106"/>
      <c r="PC106" s="106"/>
      <c r="PD106" s="106"/>
      <c r="PE106" s="106"/>
      <c r="PF106" s="106"/>
      <c r="PG106" s="106"/>
      <c r="PH106" s="106"/>
      <c r="PI106" s="106"/>
      <c r="PJ106" s="106"/>
      <c r="PK106" s="106"/>
      <c r="PL106" s="106"/>
      <c r="PM106" s="106"/>
      <c r="PN106" s="106"/>
      <c r="PO106" s="106"/>
      <c r="PP106" s="106"/>
      <c r="PQ106" s="106"/>
      <c r="PR106" s="106"/>
      <c r="PS106" s="106"/>
      <c r="PT106" s="106"/>
      <c r="PU106" s="106"/>
      <c r="PV106" s="106"/>
      <c r="PW106" s="106"/>
      <c r="PX106" s="106"/>
      <c r="PY106" s="106"/>
      <c r="PZ106" s="106"/>
      <c r="QA106" s="106"/>
      <c r="QB106" s="106"/>
      <c r="QC106" s="106"/>
      <c r="QD106" s="106"/>
      <c r="QE106" s="106"/>
      <c r="QF106" s="106"/>
      <c r="QG106" s="106"/>
      <c r="QH106" s="106"/>
      <c r="QI106" s="106"/>
      <c r="QJ106" s="106"/>
      <c r="QK106" s="106"/>
      <c r="QL106" s="106"/>
      <c r="QM106" s="106"/>
      <c r="QN106" s="106"/>
      <c r="QO106" s="106"/>
      <c r="QP106" s="106"/>
      <c r="QQ106" s="106"/>
      <c r="QR106" s="106"/>
      <c r="QS106" s="106"/>
      <c r="QT106" s="106"/>
      <c r="QU106" s="106"/>
      <c r="QV106" s="106"/>
      <c r="QW106" s="106"/>
      <c r="QX106" s="106"/>
      <c r="QY106" s="106"/>
      <c r="QZ106" s="106"/>
      <c r="RA106" s="106"/>
      <c r="RB106" s="106"/>
      <c r="RC106" s="106"/>
      <c r="RD106" s="106"/>
      <c r="RE106" s="106"/>
      <c r="RF106" s="106"/>
      <c r="RG106" s="106"/>
      <c r="RH106" s="106"/>
      <c r="RI106" s="106"/>
      <c r="RJ106" s="106"/>
      <c r="RK106" s="106"/>
      <c r="RL106" s="106"/>
      <c r="RM106" s="106"/>
      <c r="RN106" s="106"/>
      <c r="RO106" s="106"/>
      <c r="RP106" s="106"/>
      <c r="RQ106" s="106"/>
      <c r="RR106" s="106"/>
      <c r="RS106" s="106"/>
      <c r="RT106" s="106"/>
      <c r="RU106" s="106"/>
      <c r="RV106" s="106"/>
      <c r="RW106" s="106"/>
      <c r="RX106" s="106"/>
      <c r="RY106" s="106"/>
      <c r="RZ106" s="106"/>
      <c r="SA106" s="106"/>
      <c r="SB106" s="106"/>
      <c r="SC106" s="106"/>
      <c r="SD106" s="106"/>
      <c r="SE106" s="106"/>
      <c r="SF106" s="106"/>
      <c r="SG106" s="106"/>
      <c r="SH106" s="106"/>
      <c r="SI106" s="106"/>
      <c r="SJ106" s="106"/>
      <c r="SK106" s="106"/>
      <c r="SL106" s="106"/>
      <c r="SM106" s="106"/>
      <c r="SN106" s="106"/>
      <c r="SO106" s="106"/>
      <c r="SP106" s="106"/>
      <c r="SQ106" s="106"/>
      <c r="SR106" s="106"/>
      <c r="SS106" s="106"/>
      <c r="ST106" s="106"/>
      <c r="SU106" s="106"/>
      <c r="SV106" s="106"/>
      <c r="SW106" s="106"/>
      <c r="SX106" s="106"/>
      <c r="SY106" s="106"/>
      <c r="SZ106" s="106"/>
      <c r="TA106" s="106"/>
      <c r="TB106" s="106"/>
      <c r="TC106" s="106"/>
      <c r="TD106" s="106"/>
      <c r="TE106" s="106"/>
      <c r="TF106" s="106"/>
      <c r="TG106" s="106"/>
      <c r="TH106" s="106"/>
      <c r="TI106" s="106"/>
      <c r="TJ106" s="106"/>
      <c r="TK106" s="106"/>
      <c r="TL106" s="106"/>
      <c r="TM106" s="106"/>
      <c r="TN106" s="106"/>
      <c r="TO106" s="106"/>
      <c r="TP106" s="106"/>
      <c r="TQ106" s="106"/>
      <c r="TR106" s="106"/>
      <c r="TS106" s="106"/>
      <c r="TT106" s="106"/>
      <c r="TU106" s="106"/>
      <c r="TV106" s="106"/>
      <c r="TW106" s="106"/>
      <c r="TX106" s="106"/>
      <c r="TY106" s="106"/>
      <c r="TZ106" s="106"/>
      <c r="UA106" s="106"/>
      <c r="UB106" s="106"/>
      <c r="UC106" s="106"/>
      <c r="UD106" s="106"/>
      <c r="UE106" s="106"/>
      <c r="UF106" s="106"/>
      <c r="UG106" s="106"/>
      <c r="UH106" s="106"/>
      <c r="UI106" s="106"/>
      <c r="UJ106" s="106"/>
      <c r="UK106" s="106"/>
      <c r="UL106" s="106"/>
      <c r="UM106" s="106"/>
      <c r="UN106" s="106"/>
      <c r="UO106" s="106"/>
      <c r="UP106" s="106"/>
      <c r="UQ106" s="106"/>
      <c r="UR106" s="106"/>
      <c r="US106" s="106"/>
      <c r="UT106" s="106"/>
      <c r="UU106" s="106"/>
      <c r="UV106" s="106"/>
      <c r="UW106" s="106"/>
      <c r="UX106" s="106"/>
      <c r="UY106" s="106"/>
      <c r="UZ106" s="106"/>
      <c r="VA106" s="106"/>
      <c r="VB106" s="106"/>
      <c r="VC106" s="106"/>
      <c r="VD106" s="106"/>
      <c r="VE106" s="106"/>
      <c r="VF106" s="106"/>
      <c r="VG106" s="106"/>
      <c r="VH106" s="106"/>
      <c r="VI106" s="106"/>
      <c r="VJ106" s="106"/>
      <c r="VK106" s="106"/>
      <c r="VL106" s="106"/>
      <c r="VM106" s="106"/>
      <c r="VN106" s="106"/>
      <c r="VO106" s="106"/>
      <c r="VP106" s="106"/>
      <c r="VQ106" s="106"/>
      <c r="VR106" s="106"/>
      <c r="VS106" s="106"/>
      <c r="VT106" s="106"/>
      <c r="VU106" s="106"/>
      <c r="VV106" s="106"/>
      <c r="VW106" s="106"/>
      <c r="VX106" s="106"/>
      <c r="VY106" s="106"/>
      <c r="VZ106" s="106"/>
      <c r="WA106" s="106"/>
      <c r="WB106" s="106"/>
      <c r="WC106" s="106"/>
      <c r="WD106" s="106"/>
      <c r="WE106" s="106"/>
      <c r="WF106" s="106"/>
      <c r="WG106" s="106"/>
      <c r="WH106" s="106"/>
      <c r="WI106" s="106"/>
      <c r="WJ106" s="106"/>
      <c r="WK106" s="106"/>
      <c r="WL106" s="106"/>
      <c r="WM106" s="106"/>
      <c r="WN106" s="106"/>
      <c r="WO106" s="106"/>
      <c r="WP106" s="106"/>
      <c r="WQ106" s="106"/>
      <c r="WR106" s="106"/>
      <c r="WS106" s="106"/>
      <c r="WT106" s="106"/>
      <c r="WU106" s="106"/>
      <c r="WV106" s="106"/>
      <c r="WW106" s="106"/>
      <c r="WX106" s="106"/>
      <c r="WY106" s="106"/>
      <c r="WZ106" s="106"/>
      <c r="XA106" s="106"/>
      <c r="XB106" s="106"/>
      <c r="XC106" s="106"/>
      <c r="XD106" s="106"/>
      <c r="XE106" s="106"/>
      <c r="XF106" s="106"/>
      <c r="XG106" s="106"/>
      <c r="XH106" s="106"/>
      <c r="XI106" s="106"/>
      <c r="XJ106" s="106"/>
      <c r="XK106" s="106"/>
      <c r="XL106" s="106"/>
      <c r="XM106" s="106"/>
      <c r="XN106" s="106"/>
      <c r="XO106" s="106"/>
      <c r="XP106" s="106"/>
      <c r="XQ106" s="106"/>
      <c r="XR106" s="106"/>
      <c r="XS106" s="106"/>
      <c r="XT106" s="106"/>
      <c r="XU106" s="106"/>
      <c r="XV106" s="106"/>
      <c r="XW106" s="106"/>
      <c r="XX106" s="106"/>
      <c r="XY106" s="106"/>
      <c r="XZ106" s="106"/>
      <c r="YA106" s="106"/>
      <c r="YB106" s="106"/>
      <c r="YC106" s="106"/>
      <c r="YD106" s="106"/>
      <c r="YE106" s="106"/>
      <c r="YF106" s="106"/>
      <c r="YG106" s="106"/>
      <c r="YH106" s="106"/>
      <c r="YI106" s="106"/>
      <c r="YJ106" s="106"/>
      <c r="YK106" s="106"/>
      <c r="YL106" s="106"/>
      <c r="YM106" s="106"/>
      <c r="YN106" s="106"/>
      <c r="YO106" s="106"/>
      <c r="YP106" s="106"/>
      <c r="YQ106" s="106"/>
      <c r="YR106" s="106"/>
      <c r="YS106" s="106"/>
      <c r="YT106" s="106"/>
      <c r="YU106" s="106"/>
      <c r="YV106" s="106"/>
      <c r="YW106" s="106"/>
      <c r="YX106" s="106"/>
      <c r="YY106" s="106"/>
      <c r="YZ106" s="106"/>
      <c r="ZA106" s="106"/>
      <c r="ZB106" s="106"/>
      <c r="ZC106" s="106"/>
      <c r="ZD106" s="106"/>
      <c r="ZE106" s="106"/>
      <c r="ZF106" s="106"/>
      <c r="ZG106" s="106"/>
      <c r="ZH106" s="106"/>
      <c r="ZI106" s="106"/>
      <c r="ZJ106" s="106"/>
      <c r="ZK106" s="106"/>
      <c r="ZL106" s="106"/>
      <c r="ZM106" s="106"/>
      <c r="ZN106" s="106"/>
      <c r="ZO106" s="106"/>
      <c r="ZP106" s="106"/>
      <c r="ZQ106" s="106"/>
      <c r="ZR106" s="106"/>
      <c r="ZS106" s="106"/>
      <c r="ZT106" s="106"/>
      <c r="ZU106" s="106"/>
      <c r="ZV106" s="106"/>
      <c r="ZW106" s="106"/>
      <c r="ZX106" s="106"/>
      <c r="ZY106" s="106"/>
      <c r="ZZ106" s="106"/>
      <c r="AAA106" s="106"/>
      <c r="AAB106" s="106"/>
      <c r="AAC106" s="106"/>
      <c r="AAD106" s="106"/>
      <c r="AAE106" s="106"/>
      <c r="AAF106" s="106"/>
      <c r="AAG106" s="106"/>
      <c r="AAH106" s="106"/>
      <c r="AAI106" s="106"/>
      <c r="AAJ106" s="106"/>
      <c r="AAK106" s="106"/>
      <c r="AAL106" s="106"/>
      <c r="AAM106" s="106"/>
      <c r="AAN106" s="106"/>
      <c r="AAO106" s="106"/>
      <c r="AAP106" s="106"/>
      <c r="AAQ106" s="106"/>
      <c r="AAR106" s="106"/>
      <c r="AAS106" s="106"/>
      <c r="AAT106" s="106"/>
      <c r="AAU106" s="106"/>
      <c r="AAV106" s="106"/>
      <c r="AAW106" s="106"/>
      <c r="AAX106" s="106"/>
      <c r="AAY106" s="106"/>
      <c r="AAZ106" s="106"/>
      <c r="ABA106" s="106"/>
      <c r="ABB106" s="106"/>
      <c r="ABC106" s="106"/>
      <c r="ABD106" s="106"/>
      <c r="ABE106" s="106"/>
      <c r="ABF106" s="106"/>
      <c r="ABG106" s="106"/>
      <c r="ABH106" s="106"/>
      <c r="ABI106" s="106"/>
      <c r="ABJ106" s="106"/>
      <c r="ABK106" s="106"/>
      <c r="ABL106" s="106"/>
      <c r="ABM106" s="106"/>
      <c r="ABN106" s="106"/>
      <c r="ABO106" s="106"/>
      <c r="ABP106" s="106"/>
      <c r="ABQ106" s="106"/>
      <c r="ABR106" s="106"/>
      <c r="ABS106" s="106"/>
      <c r="ABT106" s="106"/>
      <c r="ABU106" s="106"/>
      <c r="ABV106" s="106"/>
      <c r="ABW106" s="106"/>
      <c r="ABX106" s="106"/>
      <c r="ABY106" s="106"/>
      <c r="ABZ106" s="106"/>
      <c r="ACA106" s="106"/>
      <c r="ACB106" s="106"/>
      <c r="ACC106" s="106"/>
      <c r="ACD106" s="106"/>
      <c r="ACE106" s="106"/>
      <c r="ACF106" s="106"/>
      <c r="ACG106" s="106"/>
      <c r="ACH106" s="106"/>
      <c r="ACI106" s="106"/>
      <c r="ACJ106" s="106"/>
      <c r="ACK106" s="106"/>
      <c r="ACL106" s="106"/>
      <c r="ACM106" s="106"/>
      <c r="ACN106" s="106"/>
      <c r="ACO106" s="106"/>
      <c r="ACP106" s="106"/>
      <c r="ACQ106" s="106"/>
      <c r="ACR106" s="106"/>
      <c r="ACS106" s="106"/>
      <c r="ACT106" s="106"/>
      <c r="ACU106" s="106"/>
      <c r="ACV106" s="106"/>
      <c r="ACW106" s="106"/>
      <c r="ACX106" s="106"/>
      <c r="ACY106" s="106"/>
      <c r="ACZ106" s="106"/>
      <c r="ADA106" s="106"/>
      <c r="ADB106" s="106"/>
      <c r="ADC106" s="106"/>
      <c r="ADD106" s="106"/>
      <c r="ADE106" s="106"/>
      <c r="ADF106" s="106"/>
      <c r="ADG106" s="106"/>
      <c r="ADH106" s="106"/>
      <c r="ADI106" s="106"/>
      <c r="ADJ106" s="106"/>
      <c r="ADK106" s="106"/>
      <c r="ADL106" s="106"/>
      <c r="ADM106" s="106"/>
      <c r="ADN106" s="106"/>
      <c r="ADO106" s="106"/>
      <c r="ADP106" s="106"/>
      <c r="ADQ106" s="106"/>
      <c r="ADR106" s="106"/>
      <c r="ADS106" s="106"/>
      <c r="ADT106" s="106"/>
      <c r="ADU106" s="106"/>
      <c r="ADV106" s="106"/>
      <c r="ADW106" s="106"/>
      <c r="ADX106" s="106"/>
      <c r="ADY106" s="106"/>
      <c r="ADZ106" s="106"/>
      <c r="AEA106" s="106"/>
      <c r="AEB106" s="106"/>
      <c r="AEC106" s="106"/>
      <c r="AED106" s="106"/>
      <c r="AEE106" s="106"/>
      <c r="AEF106" s="106"/>
      <c r="AEG106" s="106"/>
      <c r="AEH106" s="106"/>
      <c r="AEI106" s="106"/>
      <c r="AEJ106" s="106"/>
      <c r="AEK106" s="106"/>
      <c r="AEL106" s="106"/>
      <c r="AEM106" s="106"/>
      <c r="AEN106" s="106"/>
      <c r="AEO106" s="106"/>
      <c r="AEP106" s="106"/>
      <c r="AEQ106" s="106"/>
      <c r="AER106" s="106"/>
      <c r="AES106" s="106"/>
      <c r="AET106" s="106"/>
      <c r="AEU106" s="106"/>
      <c r="AEV106" s="106"/>
      <c r="AEW106" s="106"/>
      <c r="AEX106" s="106"/>
      <c r="AEY106" s="106"/>
      <c r="AEZ106" s="106"/>
      <c r="AFA106" s="106"/>
      <c r="AFB106" s="106"/>
      <c r="AFC106" s="106"/>
      <c r="AFD106" s="106"/>
      <c r="AFE106" s="106"/>
      <c r="AFF106" s="106"/>
      <c r="AFG106" s="106"/>
      <c r="AFH106" s="106"/>
      <c r="AFI106" s="106"/>
      <c r="AFJ106" s="106"/>
      <c r="AFK106" s="106"/>
      <c r="AFL106" s="106"/>
      <c r="AFM106" s="106"/>
      <c r="AFN106" s="106"/>
      <c r="AFO106" s="106"/>
      <c r="AFP106" s="106"/>
      <c r="AFQ106" s="106"/>
      <c r="AFR106" s="106"/>
      <c r="AFS106" s="106"/>
      <c r="AFT106" s="106"/>
      <c r="AFU106" s="106"/>
      <c r="AFV106" s="106"/>
      <c r="AFW106" s="106"/>
      <c r="AFX106" s="106"/>
      <c r="AFY106" s="106"/>
      <c r="AFZ106" s="106"/>
      <c r="AGA106" s="106"/>
      <c r="AGB106" s="106"/>
      <c r="AGC106" s="106"/>
      <c r="AGD106" s="106"/>
      <c r="AGE106" s="106"/>
      <c r="AGF106" s="106"/>
      <c r="AGG106" s="106"/>
      <c r="AGH106" s="106"/>
      <c r="AGI106" s="106"/>
      <c r="AGJ106" s="106"/>
      <c r="AGK106" s="106"/>
      <c r="AGL106" s="106"/>
      <c r="AGM106" s="106"/>
      <c r="AGN106" s="106"/>
      <c r="AGO106" s="106"/>
      <c r="AGP106" s="106"/>
      <c r="AGQ106" s="106"/>
      <c r="AGR106" s="106"/>
      <c r="AGS106" s="106"/>
      <c r="AGT106" s="106"/>
      <c r="AGU106" s="106"/>
      <c r="AGV106" s="106"/>
      <c r="AGW106" s="106"/>
      <c r="AGX106" s="106"/>
      <c r="AGY106" s="106"/>
      <c r="AGZ106" s="106"/>
      <c r="AHA106" s="106"/>
      <c r="AHB106" s="106"/>
      <c r="AHC106" s="106"/>
      <c r="AHD106" s="106"/>
      <c r="AHE106" s="106"/>
      <c r="AHF106" s="106"/>
      <c r="AHG106" s="106"/>
      <c r="AHH106" s="106"/>
      <c r="AHI106" s="106"/>
      <c r="AHJ106" s="106"/>
      <c r="AHK106" s="106"/>
      <c r="AHL106" s="106"/>
      <c r="AHM106" s="106"/>
      <c r="AHN106" s="106"/>
      <c r="AHO106" s="106"/>
      <c r="AHP106" s="106"/>
      <c r="AHQ106" s="106"/>
      <c r="AHR106" s="106"/>
      <c r="AHS106" s="106"/>
      <c r="AHT106" s="106"/>
      <c r="AHU106" s="106"/>
      <c r="AHV106" s="106"/>
      <c r="AHW106" s="106"/>
      <c r="AHX106" s="106"/>
      <c r="AHY106" s="106"/>
      <c r="AHZ106" s="106"/>
      <c r="AIA106" s="106"/>
      <c r="AIB106" s="106"/>
      <c r="AIC106" s="106"/>
      <c r="AID106" s="106"/>
      <c r="AIE106" s="106"/>
      <c r="AIF106" s="106"/>
      <c r="AIG106" s="106"/>
      <c r="AIH106" s="106"/>
      <c r="AII106" s="106"/>
      <c r="AIJ106" s="106"/>
      <c r="AIK106" s="106"/>
      <c r="AIL106" s="106"/>
      <c r="AIM106" s="106"/>
      <c r="AIN106" s="106"/>
      <c r="AIO106" s="106"/>
      <c r="AIP106" s="106"/>
      <c r="AIQ106" s="106"/>
      <c r="AIR106" s="106"/>
      <c r="AIS106" s="106"/>
      <c r="AIT106" s="106"/>
      <c r="AIU106" s="106"/>
      <c r="AIV106" s="106"/>
      <c r="AIW106" s="106"/>
      <c r="AIX106" s="106"/>
      <c r="AIY106" s="106"/>
      <c r="AIZ106" s="106"/>
      <c r="AJA106" s="106"/>
      <c r="AJB106" s="106"/>
      <c r="AJC106" s="106"/>
      <c r="AJD106" s="106"/>
      <c r="AJE106" s="106"/>
      <c r="AJF106" s="106"/>
      <c r="AJG106" s="106"/>
      <c r="AJH106" s="106"/>
      <c r="AJI106" s="106"/>
      <c r="AJJ106" s="106"/>
      <c r="AJK106" s="106"/>
      <c r="AJL106" s="106"/>
      <c r="AJM106" s="106"/>
      <c r="AJN106" s="106"/>
      <c r="AJO106" s="106"/>
      <c r="AJP106" s="106"/>
      <c r="AJQ106" s="106"/>
      <c r="AJR106" s="106"/>
      <c r="AJS106" s="106"/>
      <c r="AJT106" s="106"/>
      <c r="AJU106" s="106"/>
      <c r="AJV106" s="106"/>
      <c r="AJW106" s="106"/>
      <c r="AJX106" s="106"/>
      <c r="AJY106" s="106"/>
      <c r="AJZ106" s="106"/>
      <c r="AKA106" s="106"/>
      <c r="AKB106" s="106"/>
      <c r="AKC106" s="106"/>
      <c r="AKD106" s="106"/>
      <c r="AKE106" s="106"/>
      <c r="AKF106" s="106"/>
      <c r="AKG106" s="106"/>
      <c r="AKH106" s="106"/>
      <c r="AKI106" s="106"/>
      <c r="AKJ106" s="106"/>
      <c r="AKK106" s="106"/>
      <c r="AKL106" s="106"/>
      <c r="AKM106" s="106"/>
      <c r="AKN106" s="106"/>
      <c r="AKO106" s="106"/>
      <c r="AKP106" s="106"/>
      <c r="AKQ106" s="106"/>
      <c r="AKR106" s="106"/>
      <c r="AKS106" s="106"/>
      <c r="AKT106" s="106"/>
      <c r="AKU106" s="106"/>
      <c r="AKV106" s="106"/>
      <c r="AKW106" s="106"/>
      <c r="AKX106" s="106"/>
      <c r="AKY106" s="106"/>
      <c r="AKZ106" s="106"/>
      <c r="ALA106" s="106"/>
      <c r="ALB106" s="106"/>
      <c r="ALC106" s="106"/>
      <c r="ALD106" s="106"/>
      <c r="ALE106" s="106"/>
      <c r="ALF106" s="106"/>
      <c r="ALG106" s="106"/>
      <c r="ALH106" s="106"/>
    </row>
    <row r="107" spans="1:996" s="75" customFormat="1" ht="15.75" customHeight="1">
      <c r="A107" s="104"/>
      <c r="B107" s="75" t="str">
        <f t="shared" si="5"/>
        <v>S112304</v>
      </c>
      <c r="C107" s="396" t="s">
        <v>607</v>
      </c>
      <c r="D107" s="27" t="s">
        <v>128</v>
      </c>
      <c r="E107" s="75">
        <v>112304</v>
      </c>
      <c r="F107" s="105" t="s">
        <v>86</v>
      </c>
      <c r="G107" s="74">
        <f>IFERROR(VLOOKUP(E107,'BD - E - Mvto Cx'!$E$15:$G$500,3,0),0)</f>
        <v>18345.5</v>
      </c>
      <c r="H107" s="72">
        <f>IFERROR(VLOOKUP(E107,'BD - E - Mvto Cx'!$N$15:$P$500,3,0),0)</f>
        <v>18697.75</v>
      </c>
      <c r="I107" s="73">
        <f>IFERROR(VLOOKUP(E107,'BD - E - Mvto Cx'!$W$15:$Y$497,3,0),0)</f>
        <v>6785.47</v>
      </c>
      <c r="J107" s="73">
        <f>IFERROR(VLOOKUP(E107,'BD - E - Mvto Cx'!$AF$15:$AI$500,3,0),0)</f>
        <v>11167.03</v>
      </c>
      <c r="K107" s="73">
        <f>IFERROR(VLOOKUP(E107,'BD - E - Mvto Cx'!$AO$15:$AQ$500,3,0),0)</f>
        <v>0</v>
      </c>
      <c r="L107" s="73">
        <f>IFERROR(VLOOKUP(E107,'BD - E - Mvto Cx'!$AX$15:$AZ$500,3,0),0)</f>
        <v>0</v>
      </c>
      <c r="M107" s="73">
        <f>IFERROR(VLOOKUP(E107,'BD - E - Mvto Cx'!$BJ$15:$BL$500,3,0),0)</f>
        <v>0</v>
      </c>
      <c r="N107" s="73">
        <f>IFERROR(VLOOKUP(E107,'BD - E - Mvto Cx'!$BS$15:$BU$500,3,0),0)</f>
        <v>0</v>
      </c>
      <c r="O107" s="73">
        <f>IFERROR(VLOOKUP(E107,'BD - E - Mvto Cx'!$CB$15:$CD$500,3,0),0)</f>
        <v>0</v>
      </c>
      <c r="P107" s="73">
        <f>IFERROR(VLOOKUP(E107,'BD - E - Mvto Cx'!$CK$15:$CM$500,3,0),0)</f>
        <v>0</v>
      </c>
      <c r="Q107" s="73">
        <f>IFERROR(VLOOKUP(E107,'BD - E - Mvto Cx'!$CT$15:$CV$500,3,0),0)</f>
        <v>0</v>
      </c>
      <c r="R107" s="73">
        <f>IFERROR(VLOOKUP(E107,'BD - E - Mvto Cx'!$DC$15:$DE$500,3,0),0)</f>
        <v>0</v>
      </c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06"/>
      <c r="DC107" s="106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06"/>
      <c r="DP107" s="106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06"/>
      <c r="EC107" s="106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06"/>
      <c r="EP107" s="106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06"/>
      <c r="FC107" s="106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06"/>
      <c r="FP107" s="106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06"/>
      <c r="GC107" s="106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06"/>
      <c r="GP107" s="106"/>
      <c r="GQ107" s="106"/>
      <c r="GR107" s="106"/>
      <c r="GS107" s="106"/>
      <c r="GT107" s="106"/>
      <c r="GU107" s="106"/>
      <c r="GV107" s="106"/>
      <c r="GW107" s="106"/>
      <c r="GX107" s="106"/>
      <c r="GY107" s="106"/>
      <c r="GZ107" s="106"/>
      <c r="HA107" s="106"/>
      <c r="HB107" s="106"/>
      <c r="HC107" s="106"/>
      <c r="HD107" s="106"/>
      <c r="HE107" s="106"/>
      <c r="HF107" s="106"/>
      <c r="HG107" s="106"/>
      <c r="HH107" s="106"/>
      <c r="HI107" s="106"/>
      <c r="HJ107" s="106"/>
      <c r="HK107" s="106"/>
      <c r="HL107" s="106"/>
      <c r="HM107" s="106"/>
      <c r="HN107" s="106"/>
      <c r="HO107" s="106"/>
      <c r="HP107" s="106"/>
      <c r="HQ107" s="106"/>
      <c r="HR107" s="106"/>
      <c r="HS107" s="106"/>
      <c r="HT107" s="106"/>
      <c r="HU107" s="106"/>
      <c r="HV107" s="106"/>
      <c r="HW107" s="106"/>
      <c r="HX107" s="106"/>
      <c r="HY107" s="106"/>
      <c r="HZ107" s="106"/>
      <c r="IA107" s="106"/>
      <c r="IB107" s="106"/>
      <c r="IC107" s="106"/>
      <c r="ID107" s="106"/>
      <c r="IE107" s="106"/>
      <c r="IF107" s="106"/>
      <c r="IG107" s="106"/>
      <c r="IH107" s="106"/>
      <c r="II107" s="106"/>
      <c r="IJ107" s="106"/>
      <c r="IK107" s="106"/>
      <c r="IL107" s="106"/>
      <c r="IM107" s="106"/>
      <c r="IN107" s="106"/>
      <c r="IO107" s="106"/>
      <c r="IP107" s="106"/>
      <c r="IQ107" s="106"/>
      <c r="IR107" s="106"/>
      <c r="IS107" s="106"/>
      <c r="IT107" s="106"/>
      <c r="IU107" s="106"/>
      <c r="IV107" s="106"/>
      <c r="IW107" s="106"/>
      <c r="IX107" s="106"/>
      <c r="IY107" s="106"/>
      <c r="IZ107" s="106"/>
      <c r="JA107" s="106"/>
      <c r="JB107" s="106"/>
      <c r="JC107" s="106"/>
      <c r="JD107" s="106"/>
      <c r="JE107" s="106"/>
      <c r="JF107" s="106"/>
      <c r="JG107" s="106"/>
      <c r="JH107" s="106"/>
      <c r="JI107" s="106"/>
      <c r="JJ107" s="106"/>
      <c r="JK107" s="106"/>
      <c r="JL107" s="106"/>
      <c r="JM107" s="106"/>
      <c r="JN107" s="106"/>
      <c r="JO107" s="106"/>
      <c r="JP107" s="106"/>
      <c r="JQ107" s="106"/>
      <c r="JR107" s="106"/>
      <c r="JS107" s="106"/>
      <c r="JT107" s="106"/>
      <c r="JU107" s="106"/>
      <c r="JV107" s="106"/>
      <c r="JW107" s="106"/>
      <c r="JX107" s="106"/>
      <c r="JY107" s="106"/>
      <c r="JZ107" s="106"/>
      <c r="KA107" s="106"/>
      <c r="KB107" s="106"/>
      <c r="KC107" s="106"/>
      <c r="KD107" s="106"/>
      <c r="KE107" s="106"/>
      <c r="KF107" s="106"/>
      <c r="KG107" s="106"/>
      <c r="KH107" s="106"/>
      <c r="KI107" s="106"/>
      <c r="KJ107" s="106"/>
      <c r="KK107" s="106"/>
      <c r="KL107" s="106"/>
      <c r="KM107" s="106"/>
      <c r="KN107" s="106"/>
      <c r="KO107" s="106"/>
      <c r="KP107" s="106"/>
      <c r="KQ107" s="106"/>
      <c r="KR107" s="106"/>
      <c r="KS107" s="106"/>
      <c r="KT107" s="106"/>
      <c r="KU107" s="106"/>
      <c r="KV107" s="106"/>
      <c r="KW107" s="106"/>
      <c r="KX107" s="106"/>
      <c r="KY107" s="106"/>
      <c r="KZ107" s="106"/>
      <c r="LA107" s="106"/>
      <c r="LB107" s="106"/>
      <c r="LC107" s="106"/>
      <c r="LD107" s="106"/>
      <c r="LE107" s="106"/>
      <c r="LF107" s="106"/>
      <c r="LG107" s="106"/>
      <c r="LH107" s="106"/>
      <c r="LI107" s="106"/>
      <c r="LJ107" s="106"/>
      <c r="LK107" s="106"/>
      <c r="LL107" s="106"/>
      <c r="LM107" s="106"/>
      <c r="LN107" s="106"/>
      <c r="LO107" s="106"/>
      <c r="LP107" s="106"/>
      <c r="LQ107" s="106"/>
      <c r="LR107" s="106"/>
      <c r="LS107" s="106"/>
      <c r="LT107" s="106"/>
      <c r="LU107" s="106"/>
      <c r="LV107" s="106"/>
      <c r="LW107" s="106"/>
      <c r="LX107" s="106"/>
      <c r="LY107" s="106"/>
      <c r="LZ107" s="106"/>
      <c r="MA107" s="106"/>
      <c r="MB107" s="106"/>
      <c r="MC107" s="106"/>
      <c r="MD107" s="106"/>
      <c r="ME107" s="106"/>
      <c r="MF107" s="106"/>
      <c r="MG107" s="106"/>
      <c r="MH107" s="106"/>
      <c r="MI107" s="106"/>
      <c r="MJ107" s="106"/>
      <c r="MK107" s="106"/>
      <c r="ML107" s="106"/>
      <c r="MM107" s="106"/>
      <c r="MN107" s="106"/>
      <c r="MO107" s="106"/>
      <c r="MP107" s="106"/>
      <c r="MQ107" s="106"/>
      <c r="MR107" s="106"/>
      <c r="MS107" s="106"/>
      <c r="MT107" s="106"/>
      <c r="MU107" s="106"/>
      <c r="MV107" s="106"/>
      <c r="MW107" s="106"/>
      <c r="MX107" s="106"/>
      <c r="MY107" s="106"/>
      <c r="MZ107" s="106"/>
      <c r="NA107" s="106"/>
      <c r="NB107" s="106"/>
      <c r="NC107" s="106"/>
      <c r="ND107" s="106"/>
      <c r="NE107" s="106"/>
      <c r="NF107" s="106"/>
      <c r="NG107" s="106"/>
      <c r="NH107" s="106"/>
      <c r="NI107" s="106"/>
      <c r="NJ107" s="106"/>
      <c r="NK107" s="106"/>
      <c r="NL107" s="106"/>
      <c r="NM107" s="106"/>
      <c r="NN107" s="106"/>
      <c r="NO107" s="106"/>
      <c r="NP107" s="106"/>
      <c r="NQ107" s="106"/>
      <c r="NR107" s="106"/>
      <c r="NS107" s="106"/>
      <c r="NT107" s="106"/>
      <c r="NU107" s="106"/>
      <c r="NV107" s="106"/>
      <c r="NW107" s="106"/>
      <c r="NX107" s="106"/>
      <c r="NY107" s="106"/>
      <c r="NZ107" s="106"/>
      <c r="OA107" s="106"/>
      <c r="OB107" s="106"/>
      <c r="OC107" s="106"/>
      <c r="OD107" s="106"/>
      <c r="OE107" s="106"/>
      <c r="OF107" s="106"/>
      <c r="OG107" s="106"/>
      <c r="OH107" s="106"/>
      <c r="OI107" s="106"/>
      <c r="OJ107" s="106"/>
      <c r="OK107" s="106"/>
      <c r="OL107" s="106"/>
      <c r="OM107" s="106"/>
      <c r="ON107" s="106"/>
      <c r="OO107" s="106"/>
      <c r="OP107" s="106"/>
      <c r="OQ107" s="106"/>
      <c r="OR107" s="106"/>
      <c r="OS107" s="106"/>
      <c r="OT107" s="106"/>
      <c r="OU107" s="106"/>
      <c r="OV107" s="106"/>
      <c r="OW107" s="106"/>
      <c r="OX107" s="106"/>
      <c r="OY107" s="106"/>
      <c r="OZ107" s="106"/>
      <c r="PA107" s="106"/>
      <c r="PB107" s="106"/>
      <c r="PC107" s="106"/>
      <c r="PD107" s="106"/>
      <c r="PE107" s="106"/>
      <c r="PF107" s="106"/>
      <c r="PG107" s="106"/>
      <c r="PH107" s="106"/>
      <c r="PI107" s="106"/>
      <c r="PJ107" s="106"/>
      <c r="PK107" s="106"/>
      <c r="PL107" s="106"/>
      <c r="PM107" s="106"/>
      <c r="PN107" s="106"/>
      <c r="PO107" s="106"/>
      <c r="PP107" s="106"/>
      <c r="PQ107" s="106"/>
      <c r="PR107" s="106"/>
      <c r="PS107" s="106"/>
      <c r="PT107" s="106"/>
      <c r="PU107" s="106"/>
      <c r="PV107" s="106"/>
      <c r="PW107" s="106"/>
      <c r="PX107" s="106"/>
      <c r="PY107" s="106"/>
      <c r="PZ107" s="106"/>
      <c r="QA107" s="106"/>
      <c r="QB107" s="106"/>
      <c r="QC107" s="106"/>
      <c r="QD107" s="106"/>
      <c r="QE107" s="106"/>
      <c r="QF107" s="106"/>
      <c r="QG107" s="106"/>
      <c r="QH107" s="106"/>
      <c r="QI107" s="106"/>
      <c r="QJ107" s="106"/>
      <c r="QK107" s="106"/>
      <c r="QL107" s="106"/>
      <c r="QM107" s="106"/>
      <c r="QN107" s="106"/>
      <c r="QO107" s="106"/>
      <c r="QP107" s="106"/>
      <c r="QQ107" s="106"/>
      <c r="QR107" s="106"/>
      <c r="QS107" s="106"/>
      <c r="QT107" s="106"/>
      <c r="QU107" s="106"/>
      <c r="QV107" s="106"/>
      <c r="QW107" s="106"/>
      <c r="QX107" s="106"/>
      <c r="QY107" s="106"/>
      <c r="QZ107" s="106"/>
      <c r="RA107" s="106"/>
      <c r="RB107" s="106"/>
      <c r="RC107" s="106"/>
      <c r="RD107" s="106"/>
      <c r="RE107" s="106"/>
      <c r="RF107" s="106"/>
      <c r="RG107" s="106"/>
      <c r="RH107" s="106"/>
      <c r="RI107" s="106"/>
      <c r="RJ107" s="106"/>
      <c r="RK107" s="106"/>
      <c r="RL107" s="106"/>
      <c r="RM107" s="106"/>
      <c r="RN107" s="106"/>
      <c r="RO107" s="106"/>
      <c r="RP107" s="106"/>
      <c r="RQ107" s="106"/>
      <c r="RR107" s="106"/>
      <c r="RS107" s="106"/>
      <c r="RT107" s="106"/>
      <c r="RU107" s="106"/>
      <c r="RV107" s="106"/>
      <c r="RW107" s="106"/>
      <c r="RX107" s="106"/>
      <c r="RY107" s="106"/>
      <c r="RZ107" s="106"/>
      <c r="SA107" s="106"/>
      <c r="SB107" s="106"/>
      <c r="SC107" s="106"/>
      <c r="SD107" s="106"/>
      <c r="SE107" s="106"/>
      <c r="SF107" s="106"/>
      <c r="SG107" s="106"/>
      <c r="SH107" s="106"/>
      <c r="SI107" s="106"/>
      <c r="SJ107" s="106"/>
      <c r="SK107" s="106"/>
      <c r="SL107" s="106"/>
      <c r="SM107" s="106"/>
      <c r="SN107" s="106"/>
      <c r="SO107" s="106"/>
      <c r="SP107" s="106"/>
      <c r="SQ107" s="106"/>
      <c r="SR107" s="106"/>
      <c r="SS107" s="106"/>
      <c r="ST107" s="106"/>
      <c r="SU107" s="106"/>
      <c r="SV107" s="106"/>
      <c r="SW107" s="106"/>
      <c r="SX107" s="106"/>
      <c r="SY107" s="106"/>
      <c r="SZ107" s="106"/>
      <c r="TA107" s="106"/>
      <c r="TB107" s="106"/>
      <c r="TC107" s="106"/>
      <c r="TD107" s="106"/>
      <c r="TE107" s="106"/>
      <c r="TF107" s="106"/>
      <c r="TG107" s="106"/>
      <c r="TH107" s="106"/>
      <c r="TI107" s="106"/>
      <c r="TJ107" s="106"/>
      <c r="TK107" s="106"/>
      <c r="TL107" s="106"/>
      <c r="TM107" s="106"/>
      <c r="TN107" s="106"/>
      <c r="TO107" s="106"/>
      <c r="TP107" s="106"/>
      <c r="TQ107" s="106"/>
      <c r="TR107" s="106"/>
      <c r="TS107" s="106"/>
      <c r="TT107" s="106"/>
      <c r="TU107" s="106"/>
      <c r="TV107" s="106"/>
      <c r="TW107" s="106"/>
      <c r="TX107" s="106"/>
      <c r="TY107" s="106"/>
      <c r="TZ107" s="106"/>
      <c r="UA107" s="106"/>
      <c r="UB107" s="106"/>
      <c r="UC107" s="106"/>
      <c r="UD107" s="106"/>
      <c r="UE107" s="106"/>
      <c r="UF107" s="106"/>
      <c r="UG107" s="106"/>
      <c r="UH107" s="106"/>
      <c r="UI107" s="106"/>
      <c r="UJ107" s="106"/>
      <c r="UK107" s="106"/>
      <c r="UL107" s="106"/>
      <c r="UM107" s="106"/>
      <c r="UN107" s="106"/>
      <c r="UO107" s="106"/>
      <c r="UP107" s="106"/>
      <c r="UQ107" s="106"/>
      <c r="UR107" s="106"/>
      <c r="US107" s="106"/>
      <c r="UT107" s="106"/>
      <c r="UU107" s="106"/>
      <c r="UV107" s="106"/>
      <c r="UW107" s="106"/>
      <c r="UX107" s="106"/>
      <c r="UY107" s="106"/>
      <c r="UZ107" s="106"/>
      <c r="VA107" s="106"/>
      <c r="VB107" s="106"/>
      <c r="VC107" s="106"/>
      <c r="VD107" s="106"/>
      <c r="VE107" s="106"/>
      <c r="VF107" s="106"/>
      <c r="VG107" s="106"/>
      <c r="VH107" s="106"/>
      <c r="VI107" s="106"/>
      <c r="VJ107" s="106"/>
      <c r="VK107" s="106"/>
      <c r="VL107" s="106"/>
      <c r="VM107" s="106"/>
      <c r="VN107" s="106"/>
      <c r="VO107" s="106"/>
      <c r="VP107" s="106"/>
      <c r="VQ107" s="106"/>
      <c r="VR107" s="106"/>
      <c r="VS107" s="106"/>
      <c r="VT107" s="106"/>
      <c r="VU107" s="106"/>
      <c r="VV107" s="106"/>
      <c r="VW107" s="106"/>
      <c r="VX107" s="106"/>
      <c r="VY107" s="106"/>
      <c r="VZ107" s="106"/>
      <c r="WA107" s="106"/>
      <c r="WB107" s="106"/>
      <c r="WC107" s="106"/>
      <c r="WD107" s="106"/>
      <c r="WE107" s="106"/>
      <c r="WF107" s="106"/>
      <c r="WG107" s="106"/>
      <c r="WH107" s="106"/>
      <c r="WI107" s="106"/>
      <c r="WJ107" s="106"/>
      <c r="WK107" s="106"/>
      <c r="WL107" s="106"/>
      <c r="WM107" s="106"/>
      <c r="WN107" s="106"/>
      <c r="WO107" s="106"/>
      <c r="WP107" s="106"/>
      <c r="WQ107" s="106"/>
      <c r="WR107" s="106"/>
      <c r="WS107" s="106"/>
      <c r="WT107" s="106"/>
      <c r="WU107" s="106"/>
      <c r="WV107" s="106"/>
      <c r="WW107" s="106"/>
      <c r="WX107" s="106"/>
      <c r="WY107" s="106"/>
      <c r="WZ107" s="106"/>
      <c r="XA107" s="106"/>
      <c r="XB107" s="106"/>
      <c r="XC107" s="106"/>
      <c r="XD107" s="106"/>
      <c r="XE107" s="106"/>
      <c r="XF107" s="106"/>
      <c r="XG107" s="106"/>
      <c r="XH107" s="106"/>
      <c r="XI107" s="106"/>
      <c r="XJ107" s="106"/>
      <c r="XK107" s="106"/>
      <c r="XL107" s="106"/>
      <c r="XM107" s="106"/>
      <c r="XN107" s="106"/>
      <c r="XO107" s="106"/>
      <c r="XP107" s="106"/>
      <c r="XQ107" s="106"/>
      <c r="XR107" s="106"/>
      <c r="XS107" s="106"/>
      <c r="XT107" s="106"/>
      <c r="XU107" s="106"/>
      <c r="XV107" s="106"/>
      <c r="XW107" s="106"/>
      <c r="XX107" s="106"/>
      <c r="XY107" s="106"/>
      <c r="XZ107" s="106"/>
      <c r="YA107" s="106"/>
      <c r="YB107" s="106"/>
      <c r="YC107" s="106"/>
      <c r="YD107" s="106"/>
      <c r="YE107" s="106"/>
      <c r="YF107" s="106"/>
      <c r="YG107" s="106"/>
      <c r="YH107" s="106"/>
      <c r="YI107" s="106"/>
      <c r="YJ107" s="106"/>
      <c r="YK107" s="106"/>
      <c r="YL107" s="106"/>
      <c r="YM107" s="106"/>
      <c r="YN107" s="106"/>
      <c r="YO107" s="106"/>
      <c r="YP107" s="106"/>
      <c r="YQ107" s="106"/>
      <c r="YR107" s="106"/>
      <c r="YS107" s="106"/>
      <c r="YT107" s="106"/>
      <c r="YU107" s="106"/>
      <c r="YV107" s="106"/>
      <c r="YW107" s="106"/>
      <c r="YX107" s="106"/>
      <c r="YY107" s="106"/>
      <c r="YZ107" s="106"/>
      <c r="ZA107" s="106"/>
      <c r="ZB107" s="106"/>
      <c r="ZC107" s="106"/>
      <c r="ZD107" s="106"/>
      <c r="ZE107" s="106"/>
      <c r="ZF107" s="106"/>
      <c r="ZG107" s="106"/>
      <c r="ZH107" s="106"/>
      <c r="ZI107" s="106"/>
      <c r="ZJ107" s="106"/>
      <c r="ZK107" s="106"/>
      <c r="ZL107" s="106"/>
      <c r="ZM107" s="106"/>
      <c r="ZN107" s="106"/>
      <c r="ZO107" s="106"/>
      <c r="ZP107" s="106"/>
      <c r="ZQ107" s="106"/>
      <c r="ZR107" s="106"/>
      <c r="ZS107" s="106"/>
      <c r="ZT107" s="106"/>
      <c r="ZU107" s="106"/>
      <c r="ZV107" s="106"/>
      <c r="ZW107" s="106"/>
      <c r="ZX107" s="106"/>
      <c r="ZY107" s="106"/>
      <c r="ZZ107" s="106"/>
      <c r="AAA107" s="106"/>
      <c r="AAB107" s="106"/>
      <c r="AAC107" s="106"/>
      <c r="AAD107" s="106"/>
      <c r="AAE107" s="106"/>
      <c r="AAF107" s="106"/>
      <c r="AAG107" s="106"/>
      <c r="AAH107" s="106"/>
      <c r="AAI107" s="106"/>
      <c r="AAJ107" s="106"/>
      <c r="AAK107" s="106"/>
      <c r="AAL107" s="106"/>
      <c r="AAM107" s="106"/>
      <c r="AAN107" s="106"/>
      <c r="AAO107" s="106"/>
      <c r="AAP107" s="106"/>
      <c r="AAQ107" s="106"/>
      <c r="AAR107" s="106"/>
      <c r="AAS107" s="106"/>
      <c r="AAT107" s="106"/>
      <c r="AAU107" s="106"/>
      <c r="AAV107" s="106"/>
      <c r="AAW107" s="106"/>
      <c r="AAX107" s="106"/>
      <c r="AAY107" s="106"/>
      <c r="AAZ107" s="106"/>
      <c r="ABA107" s="106"/>
      <c r="ABB107" s="106"/>
      <c r="ABC107" s="106"/>
      <c r="ABD107" s="106"/>
      <c r="ABE107" s="106"/>
      <c r="ABF107" s="106"/>
      <c r="ABG107" s="106"/>
      <c r="ABH107" s="106"/>
      <c r="ABI107" s="106"/>
      <c r="ABJ107" s="106"/>
      <c r="ABK107" s="106"/>
      <c r="ABL107" s="106"/>
      <c r="ABM107" s="106"/>
      <c r="ABN107" s="106"/>
      <c r="ABO107" s="106"/>
      <c r="ABP107" s="106"/>
      <c r="ABQ107" s="106"/>
      <c r="ABR107" s="106"/>
      <c r="ABS107" s="106"/>
      <c r="ABT107" s="106"/>
      <c r="ABU107" s="106"/>
      <c r="ABV107" s="106"/>
      <c r="ABW107" s="106"/>
      <c r="ABX107" s="106"/>
      <c r="ABY107" s="106"/>
      <c r="ABZ107" s="106"/>
      <c r="ACA107" s="106"/>
      <c r="ACB107" s="106"/>
      <c r="ACC107" s="106"/>
      <c r="ACD107" s="106"/>
      <c r="ACE107" s="106"/>
      <c r="ACF107" s="106"/>
      <c r="ACG107" s="106"/>
      <c r="ACH107" s="106"/>
      <c r="ACI107" s="106"/>
      <c r="ACJ107" s="106"/>
      <c r="ACK107" s="106"/>
      <c r="ACL107" s="106"/>
      <c r="ACM107" s="106"/>
      <c r="ACN107" s="106"/>
      <c r="ACO107" s="106"/>
      <c r="ACP107" s="106"/>
      <c r="ACQ107" s="106"/>
      <c r="ACR107" s="106"/>
      <c r="ACS107" s="106"/>
      <c r="ACT107" s="106"/>
      <c r="ACU107" s="106"/>
      <c r="ACV107" s="106"/>
      <c r="ACW107" s="106"/>
      <c r="ACX107" s="106"/>
      <c r="ACY107" s="106"/>
      <c r="ACZ107" s="106"/>
      <c r="ADA107" s="106"/>
      <c r="ADB107" s="106"/>
      <c r="ADC107" s="106"/>
      <c r="ADD107" s="106"/>
      <c r="ADE107" s="106"/>
      <c r="ADF107" s="106"/>
      <c r="ADG107" s="106"/>
      <c r="ADH107" s="106"/>
      <c r="ADI107" s="106"/>
      <c r="ADJ107" s="106"/>
      <c r="ADK107" s="106"/>
      <c r="ADL107" s="106"/>
      <c r="ADM107" s="106"/>
      <c r="ADN107" s="106"/>
      <c r="ADO107" s="106"/>
      <c r="ADP107" s="106"/>
      <c r="ADQ107" s="106"/>
      <c r="ADR107" s="106"/>
      <c r="ADS107" s="106"/>
      <c r="ADT107" s="106"/>
      <c r="ADU107" s="106"/>
      <c r="ADV107" s="106"/>
      <c r="ADW107" s="106"/>
      <c r="ADX107" s="106"/>
      <c r="ADY107" s="106"/>
      <c r="ADZ107" s="106"/>
      <c r="AEA107" s="106"/>
      <c r="AEB107" s="106"/>
      <c r="AEC107" s="106"/>
      <c r="AED107" s="106"/>
      <c r="AEE107" s="106"/>
      <c r="AEF107" s="106"/>
      <c r="AEG107" s="106"/>
      <c r="AEH107" s="106"/>
      <c r="AEI107" s="106"/>
      <c r="AEJ107" s="106"/>
      <c r="AEK107" s="106"/>
      <c r="AEL107" s="106"/>
      <c r="AEM107" s="106"/>
      <c r="AEN107" s="106"/>
      <c r="AEO107" s="106"/>
      <c r="AEP107" s="106"/>
      <c r="AEQ107" s="106"/>
      <c r="AER107" s="106"/>
      <c r="AES107" s="106"/>
      <c r="AET107" s="106"/>
      <c r="AEU107" s="106"/>
      <c r="AEV107" s="106"/>
      <c r="AEW107" s="106"/>
      <c r="AEX107" s="106"/>
      <c r="AEY107" s="106"/>
      <c r="AEZ107" s="106"/>
      <c r="AFA107" s="106"/>
      <c r="AFB107" s="106"/>
      <c r="AFC107" s="106"/>
      <c r="AFD107" s="106"/>
      <c r="AFE107" s="106"/>
      <c r="AFF107" s="106"/>
      <c r="AFG107" s="106"/>
      <c r="AFH107" s="106"/>
      <c r="AFI107" s="106"/>
      <c r="AFJ107" s="106"/>
      <c r="AFK107" s="106"/>
      <c r="AFL107" s="106"/>
      <c r="AFM107" s="106"/>
      <c r="AFN107" s="106"/>
      <c r="AFO107" s="106"/>
      <c r="AFP107" s="106"/>
      <c r="AFQ107" s="106"/>
      <c r="AFR107" s="106"/>
      <c r="AFS107" s="106"/>
      <c r="AFT107" s="106"/>
      <c r="AFU107" s="106"/>
      <c r="AFV107" s="106"/>
      <c r="AFW107" s="106"/>
      <c r="AFX107" s="106"/>
      <c r="AFY107" s="106"/>
      <c r="AFZ107" s="106"/>
      <c r="AGA107" s="106"/>
      <c r="AGB107" s="106"/>
      <c r="AGC107" s="106"/>
      <c r="AGD107" s="106"/>
      <c r="AGE107" s="106"/>
      <c r="AGF107" s="106"/>
      <c r="AGG107" s="106"/>
      <c r="AGH107" s="106"/>
      <c r="AGI107" s="106"/>
      <c r="AGJ107" s="106"/>
      <c r="AGK107" s="106"/>
      <c r="AGL107" s="106"/>
      <c r="AGM107" s="106"/>
      <c r="AGN107" s="106"/>
      <c r="AGO107" s="106"/>
      <c r="AGP107" s="106"/>
      <c r="AGQ107" s="106"/>
      <c r="AGR107" s="106"/>
      <c r="AGS107" s="106"/>
      <c r="AGT107" s="106"/>
      <c r="AGU107" s="106"/>
      <c r="AGV107" s="106"/>
      <c r="AGW107" s="106"/>
      <c r="AGX107" s="106"/>
      <c r="AGY107" s="106"/>
      <c r="AGZ107" s="106"/>
      <c r="AHA107" s="106"/>
      <c r="AHB107" s="106"/>
      <c r="AHC107" s="106"/>
      <c r="AHD107" s="106"/>
      <c r="AHE107" s="106"/>
      <c r="AHF107" s="106"/>
      <c r="AHG107" s="106"/>
      <c r="AHH107" s="106"/>
      <c r="AHI107" s="106"/>
      <c r="AHJ107" s="106"/>
      <c r="AHK107" s="106"/>
      <c r="AHL107" s="106"/>
      <c r="AHM107" s="106"/>
      <c r="AHN107" s="106"/>
      <c r="AHO107" s="106"/>
      <c r="AHP107" s="106"/>
      <c r="AHQ107" s="106"/>
      <c r="AHR107" s="106"/>
      <c r="AHS107" s="106"/>
      <c r="AHT107" s="106"/>
      <c r="AHU107" s="106"/>
      <c r="AHV107" s="106"/>
      <c r="AHW107" s="106"/>
      <c r="AHX107" s="106"/>
      <c r="AHY107" s="106"/>
      <c r="AHZ107" s="106"/>
      <c r="AIA107" s="106"/>
      <c r="AIB107" s="106"/>
      <c r="AIC107" s="106"/>
      <c r="AID107" s="106"/>
      <c r="AIE107" s="106"/>
      <c r="AIF107" s="106"/>
      <c r="AIG107" s="106"/>
      <c r="AIH107" s="106"/>
      <c r="AII107" s="106"/>
      <c r="AIJ107" s="106"/>
      <c r="AIK107" s="106"/>
      <c r="AIL107" s="106"/>
      <c r="AIM107" s="106"/>
      <c r="AIN107" s="106"/>
      <c r="AIO107" s="106"/>
      <c r="AIP107" s="106"/>
      <c r="AIQ107" s="106"/>
      <c r="AIR107" s="106"/>
      <c r="AIS107" s="106"/>
      <c r="AIT107" s="106"/>
      <c r="AIU107" s="106"/>
      <c r="AIV107" s="106"/>
      <c r="AIW107" s="106"/>
      <c r="AIX107" s="106"/>
      <c r="AIY107" s="106"/>
      <c r="AIZ107" s="106"/>
      <c r="AJA107" s="106"/>
      <c r="AJB107" s="106"/>
      <c r="AJC107" s="106"/>
      <c r="AJD107" s="106"/>
      <c r="AJE107" s="106"/>
      <c r="AJF107" s="106"/>
      <c r="AJG107" s="106"/>
      <c r="AJH107" s="106"/>
      <c r="AJI107" s="106"/>
      <c r="AJJ107" s="106"/>
      <c r="AJK107" s="106"/>
      <c r="AJL107" s="106"/>
      <c r="AJM107" s="106"/>
      <c r="AJN107" s="106"/>
      <c r="AJO107" s="106"/>
      <c r="AJP107" s="106"/>
      <c r="AJQ107" s="106"/>
      <c r="AJR107" s="106"/>
      <c r="AJS107" s="106"/>
      <c r="AJT107" s="106"/>
      <c r="AJU107" s="106"/>
      <c r="AJV107" s="106"/>
      <c r="AJW107" s="106"/>
      <c r="AJX107" s="106"/>
      <c r="AJY107" s="106"/>
      <c r="AJZ107" s="106"/>
      <c r="AKA107" s="106"/>
      <c r="AKB107" s="106"/>
      <c r="AKC107" s="106"/>
      <c r="AKD107" s="106"/>
      <c r="AKE107" s="106"/>
      <c r="AKF107" s="106"/>
      <c r="AKG107" s="106"/>
      <c r="AKH107" s="106"/>
      <c r="AKI107" s="106"/>
      <c r="AKJ107" s="106"/>
      <c r="AKK107" s="106"/>
      <c r="AKL107" s="106"/>
      <c r="AKM107" s="106"/>
      <c r="AKN107" s="106"/>
      <c r="AKO107" s="106"/>
      <c r="AKP107" s="106"/>
      <c r="AKQ107" s="106"/>
      <c r="AKR107" s="106"/>
      <c r="AKS107" s="106"/>
      <c r="AKT107" s="106"/>
      <c r="AKU107" s="106"/>
      <c r="AKV107" s="106"/>
      <c r="AKW107" s="106"/>
      <c r="AKX107" s="106"/>
      <c r="AKY107" s="106"/>
      <c r="AKZ107" s="106"/>
      <c r="ALA107" s="106"/>
      <c r="ALB107" s="106"/>
      <c r="ALC107" s="106"/>
      <c r="ALD107" s="106"/>
      <c r="ALE107" s="106"/>
      <c r="ALF107" s="106"/>
      <c r="ALG107" s="106"/>
      <c r="ALH107" s="106"/>
    </row>
    <row r="108" spans="1:996" s="75" customFormat="1" ht="15.75" customHeight="1">
      <c r="A108" s="104"/>
      <c r="B108" s="75" t="str">
        <f t="shared" si="5"/>
        <v>S112306</v>
      </c>
      <c r="C108" s="396" t="s">
        <v>607</v>
      </c>
      <c r="D108" s="27" t="s">
        <v>128</v>
      </c>
      <c r="E108" s="75">
        <v>112306</v>
      </c>
      <c r="F108" s="105" t="s">
        <v>87</v>
      </c>
      <c r="G108" s="74">
        <f>IFERROR(VLOOKUP(E108,'BD - E - Mvto Cx'!$E$15:$G$500,3,0),0)</f>
        <v>32036.98</v>
      </c>
      <c r="H108" s="72">
        <f>IFERROR(VLOOKUP(E108,'BD - E - Mvto Cx'!$N$15:$P$500,3,0),0)</f>
        <v>20556.349999999999</v>
      </c>
      <c r="I108" s="73">
        <f>IFERROR(VLOOKUP(E108,'BD - E - Mvto Cx'!$W$15:$Y$497,3,0),0)</f>
        <v>21778.79</v>
      </c>
      <c r="J108" s="73">
        <f>IFERROR(VLOOKUP(E108,'BD - E - Mvto Cx'!$AF$15:$AI$500,3,0),0)</f>
        <v>23185.64</v>
      </c>
      <c r="K108" s="73">
        <f>IFERROR(VLOOKUP(E108,'BD - E - Mvto Cx'!$AO$15:$AQ$500,3,0),0)</f>
        <v>0</v>
      </c>
      <c r="L108" s="73">
        <f>IFERROR(VLOOKUP(E108,'BD - E - Mvto Cx'!$AX$15:$AZ$500,3,0),0)</f>
        <v>0</v>
      </c>
      <c r="M108" s="73">
        <f>IFERROR(VLOOKUP(E108,'BD - E - Mvto Cx'!$BJ$15:$BL$500,3,0),0)</f>
        <v>0</v>
      </c>
      <c r="N108" s="73">
        <f>IFERROR(VLOOKUP(E108,'BD - E - Mvto Cx'!$BS$15:$BU$500,3,0),0)</f>
        <v>0</v>
      </c>
      <c r="O108" s="73">
        <f>IFERROR(VLOOKUP(E108,'BD - E - Mvto Cx'!$CB$15:$CD$500,3,0),0)</f>
        <v>0</v>
      </c>
      <c r="P108" s="73">
        <f>IFERROR(VLOOKUP(E108,'BD - E - Mvto Cx'!$CK$15:$CM$500,3,0),0)</f>
        <v>0</v>
      </c>
      <c r="Q108" s="73">
        <f>IFERROR(VLOOKUP(E108,'BD - E - Mvto Cx'!$CT$15:$CV$500,3,0),0)</f>
        <v>0</v>
      </c>
      <c r="R108" s="73">
        <f>IFERROR(VLOOKUP(E108,'BD - E - Mvto Cx'!$DC$15:$DE$500,3,0),0)</f>
        <v>0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  <c r="CZ108" s="106"/>
      <c r="DA108" s="106"/>
      <c r="DB108" s="106"/>
      <c r="DC108" s="106"/>
      <c r="DD108" s="106"/>
      <c r="DE108" s="106"/>
      <c r="DF108" s="106"/>
      <c r="DG108" s="106"/>
      <c r="DH108" s="106"/>
      <c r="DI108" s="106"/>
      <c r="DJ108" s="106"/>
      <c r="DK108" s="106"/>
      <c r="DL108" s="106"/>
      <c r="DM108" s="106"/>
      <c r="DN108" s="106"/>
      <c r="DO108" s="106"/>
      <c r="DP108" s="106"/>
      <c r="DQ108" s="106"/>
      <c r="DR108" s="106"/>
      <c r="DS108" s="106"/>
      <c r="DT108" s="106"/>
      <c r="DU108" s="106"/>
      <c r="DV108" s="106"/>
      <c r="DW108" s="106"/>
      <c r="DX108" s="106"/>
      <c r="DY108" s="106"/>
      <c r="DZ108" s="106"/>
      <c r="EA108" s="106"/>
      <c r="EB108" s="106"/>
      <c r="EC108" s="106"/>
      <c r="ED108" s="106"/>
      <c r="EE108" s="106"/>
      <c r="EF108" s="106"/>
      <c r="EG108" s="106"/>
      <c r="EH108" s="106"/>
      <c r="EI108" s="106"/>
      <c r="EJ108" s="106"/>
      <c r="EK108" s="106"/>
      <c r="EL108" s="106"/>
      <c r="EM108" s="106"/>
      <c r="EN108" s="106"/>
      <c r="EO108" s="106"/>
      <c r="EP108" s="106"/>
      <c r="EQ108" s="106"/>
      <c r="ER108" s="106"/>
      <c r="ES108" s="106"/>
      <c r="ET108" s="106"/>
      <c r="EU108" s="106"/>
      <c r="EV108" s="106"/>
      <c r="EW108" s="106"/>
      <c r="EX108" s="106"/>
      <c r="EY108" s="106"/>
      <c r="EZ108" s="106"/>
      <c r="FA108" s="106"/>
      <c r="FB108" s="106"/>
      <c r="FC108" s="106"/>
      <c r="FD108" s="106"/>
      <c r="FE108" s="106"/>
      <c r="FF108" s="106"/>
      <c r="FG108" s="106"/>
      <c r="FH108" s="106"/>
      <c r="FI108" s="106"/>
      <c r="FJ108" s="106"/>
      <c r="FK108" s="106"/>
      <c r="FL108" s="106"/>
      <c r="FM108" s="106"/>
      <c r="FN108" s="106"/>
      <c r="FO108" s="106"/>
      <c r="FP108" s="106"/>
      <c r="FQ108" s="106"/>
      <c r="FR108" s="106"/>
      <c r="FS108" s="106"/>
      <c r="FT108" s="106"/>
      <c r="FU108" s="106"/>
      <c r="FV108" s="106"/>
      <c r="FW108" s="106"/>
      <c r="FX108" s="106"/>
      <c r="FY108" s="106"/>
      <c r="FZ108" s="106"/>
      <c r="GA108" s="106"/>
      <c r="GB108" s="106"/>
      <c r="GC108" s="106"/>
      <c r="GD108" s="106"/>
      <c r="GE108" s="106"/>
      <c r="GF108" s="106"/>
      <c r="GG108" s="106"/>
      <c r="GH108" s="106"/>
      <c r="GI108" s="106"/>
      <c r="GJ108" s="106"/>
      <c r="GK108" s="106"/>
      <c r="GL108" s="106"/>
      <c r="GM108" s="106"/>
      <c r="GN108" s="106"/>
      <c r="GO108" s="106"/>
      <c r="GP108" s="106"/>
      <c r="GQ108" s="106"/>
      <c r="GR108" s="106"/>
      <c r="GS108" s="106"/>
      <c r="GT108" s="106"/>
      <c r="GU108" s="106"/>
      <c r="GV108" s="106"/>
      <c r="GW108" s="106"/>
      <c r="GX108" s="106"/>
      <c r="GY108" s="106"/>
      <c r="GZ108" s="106"/>
      <c r="HA108" s="106"/>
      <c r="HB108" s="106"/>
      <c r="HC108" s="106"/>
      <c r="HD108" s="106"/>
      <c r="HE108" s="106"/>
      <c r="HF108" s="106"/>
      <c r="HG108" s="106"/>
      <c r="HH108" s="106"/>
      <c r="HI108" s="106"/>
      <c r="HJ108" s="106"/>
      <c r="HK108" s="106"/>
      <c r="HL108" s="106"/>
      <c r="HM108" s="106"/>
      <c r="HN108" s="106"/>
      <c r="HO108" s="106"/>
      <c r="HP108" s="106"/>
      <c r="HQ108" s="106"/>
      <c r="HR108" s="106"/>
      <c r="HS108" s="106"/>
      <c r="HT108" s="106"/>
      <c r="HU108" s="106"/>
      <c r="HV108" s="106"/>
      <c r="HW108" s="106"/>
      <c r="HX108" s="106"/>
      <c r="HY108" s="106"/>
      <c r="HZ108" s="106"/>
      <c r="IA108" s="106"/>
      <c r="IB108" s="106"/>
      <c r="IC108" s="106"/>
      <c r="ID108" s="106"/>
      <c r="IE108" s="106"/>
      <c r="IF108" s="106"/>
      <c r="IG108" s="106"/>
      <c r="IH108" s="106"/>
      <c r="II108" s="106"/>
      <c r="IJ108" s="106"/>
      <c r="IK108" s="106"/>
      <c r="IL108" s="106"/>
      <c r="IM108" s="106"/>
      <c r="IN108" s="106"/>
      <c r="IO108" s="106"/>
      <c r="IP108" s="106"/>
      <c r="IQ108" s="106"/>
      <c r="IR108" s="106"/>
      <c r="IS108" s="106"/>
      <c r="IT108" s="106"/>
      <c r="IU108" s="106"/>
      <c r="IV108" s="106"/>
      <c r="IW108" s="106"/>
      <c r="IX108" s="106"/>
      <c r="IY108" s="106"/>
      <c r="IZ108" s="106"/>
      <c r="JA108" s="106"/>
      <c r="JB108" s="106"/>
      <c r="JC108" s="106"/>
      <c r="JD108" s="106"/>
      <c r="JE108" s="106"/>
      <c r="JF108" s="106"/>
      <c r="JG108" s="106"/>
      <c r="JH108" s="106"/>
      <c r="JI108" s="106"/>
      <c r="JJ108" s="106"/>
      <c r="JK108" s="106"/>
      <c r="JL108" s="106"/>
      <c r="JM108" s="106"/>
      <c r="JN108" s="106"/>
      <c r="JO108" s="106"/>
      <c r="JP108" s="106"/>
      <c r="JQ108" s="106"/>
      <c r="JR108" s="106"/>
      <c r="JS108" s="106"/>
      <c r="JT108" s="106"/>
      <c r="JU108" s="106"/>
      <c r="JV108" s="106"/>
      <c r="JW108" s="106"/>
      <c r="JX108" s="106"/>
      <c r="JY108" s="106"/>
      <c r="JZ108" s="106"/>
      <c r="KA108" s="106"/>
      <c r="KB108" s="106"/>
      <c r="KC108" s="106"/>
      <c r="KD108" s="106"/>
      <c r="KE108" s="106"/>
      <c r="KF108" s="106"/>
      <c r="KG108" s="106"/>
      <c r="KH108" s="106"/>
      <c r="KI108" s="106"/>
      <c r="KJ108" s="106"/>
      <c r="KK108" s="106"/>
      <c r="KL108" s="106"/>
      <c r="KM108" s="106"/>
      <c r="KN108" s="106"/>
      <c r="KO108" s="106"/>
      <c r="KP108" s="106"/>
      <c r="KQ108" s="106"/>
      <c r="KR108" s="106"/>
      <c r="KS108" s="106"/>
      <c r="KT108" s="106"/>
      <c r="KU108" s="106"/>
      <c r="KV108" s="106"/>
      <c r="KW108" s="106"/>
      <c r="KX108" s="106"/>
      <c r="KY108" s="106"/>
      <c r="KZ108" s="106"/>
      <c r="LA108" s="106"/>
      <c r="LB108" s="106"/>
      <c r="LC108" s="106"/>
      <c r="LD108" s="106"/>
      <c r="LE108" s="106"/>
      <c r="LF108" s="106"/>
      <c r="LG108" s="106"/>
      <c r="LH108" s="106"/>
      <c r="LI108" s="106"/>
      <c r="LJ108" s="106"/>
      <c r="LK108" s="106"/>
      <c r="LL108" s="106"/>
      <c r="LM108" s="106"/>
      <c r="LN108" s="106"/>
      <c r="LO108" s="106"/>
      <c r="LP108" s="106"/>
      <c r="LQ108" s="106"/>
      <c r="LR108" s="106"/>
      <c r="LS108" s="106"/>
      <c r="LT108" s="106"/>
      <c r="LU108" s="106"/>
      <c r="LV108" s="106"/>
      <c r="LW108" s="106"/>
      <c r="LX108" s="106"/>
      <c r="LY108" s="106"/>
      <c r="LZ108" s="106"/>
      <c r="MA108" s="106"/>
      <c r="MB108" s="106"/>
      <c r="MC108" s="106"/>
      <c r="MD108" s="106"/>
      <c r="ME108" s="106"/>
      <c r="MF108" s="106"/>
      <c r="MG108" s="106"/>
      <c r="MH108" s="106"/>
      <c r="MI108" s="106"/>
      <c r="MJ108" s="106"/>
      <c r="MK108" s="106"/>
      <c r="ML108" s="106"/>
      <c r="MM108" s="106"/>
      <c r="MN108" s="106"/>
      <c r="MO108" s="106"/>
      <c r="MP108" s="106"/>
      <c r="MQ108" s="106"/>
      <c r="MR108" s="106"/>
      <c r="MS108" s="106"/>
      <c r="MT108" s="106"/>
      <c r="MU108" s="106"/>
      <c r="MV108" s="106"/>
      <c r="MW108" s="106"/>
      <c r="MX108" s="106"/>
      <c r="MY108" s="106"/>
      <c r="MZ108" s="106"/>
      <c r="NA108" s="106"/>
      <c r="NB108" s="106"/>
      <c r="NC108" s="106"/>
      <c r="ND108" s="106"/>
      <c r="NE108" s="106"/>
      <c r="NF108" s="106"/>
      <c r="NG108" s="106"/>
      <c r="NH108" s="106"/>
      <c r="NI108" s="106"/>
      <c r="NJ108" s="106"/>
      <c r="NK108" s="106"/>
      <c r="NL108" s="106"/>
      <c r="NM108" s="106"/>
      <c r="NN108" s="106"/>
      <c r="NO108" s="106"/>
      <c r="NP108" s="106"/>
      <c r="NQ108" s="106"/>
      <c r="NR108" s="106"/>
      <c r="NS108" s="106"/>
      <c r="NT108" s="106"/>
      <c r="NU108" s="106"/>
      <c r="NV108" s="106"/>
      <c r="NW108" s="106"/>
      <c r="NX108" s="106"/>
      <c r="NY108" s="106"/>
      <c r="NZ108" s="106"/>
      <c r="OA108" s="106"/>
      <c r="OB108" s="106"/>
      <c r="OC108" s="106"/>
      <c r="OD108" s="106"/>
      <c r="OE108" s="106"/>
      <c r="OF108" s="106"/>
      <c r="OG108" s="106"/>
      <c r="OH108" s="106"/>
      <c r="OI108" s="106"/>
      <c r="OJ108" s="106"/>
      <c r="OK108" s="106"/>
      <c r="OL108" s="106"/>
      <c r="OM108" s="106"/>
      <c r="ON108" s="106"/>
      <c r="OO108" s="106"/>
      <c r="OP108" s="106"/>
      <c r="OQ108" s="106"/>
      <c r="OR108" s="106"/>
      <c r="OS108" s="106"/>
      <c r="OT108" s="106"/>
      <c r="OU108" s="106"/>
      <c r="OV108" s="106"/>
      <c r="OW108" s="106"/>
      <c r="OX108" s="106"/>
      <c r="OY108" s="106"/>
      <c r="OZ108" s="106"/>
      <c r="PA108" s="106"/>
      <c r="PB108" s="106"/>
      <c r="PC108" s="106"/>
      <c r="PD108" s="106"/>
      <c r="PE108" s="106"/>
      <c r="PF108" s="106"/>
      <c r="PG108" s="106"/>
      <c r="PH108" s="106"/>
      <c r="PI108" s="106"/>
      <c r="PJ108" s="106"/>
      <c r="PK108" s="106"/>
      <c r="PL108" s="106"/>
      <c r="PM108" s="106"/>
      <c r="PN108" s="106"/>
      <c r="PO108" s="106"/>
      <c r="PP108" s="106"/>
      <c r="PQ108" s="106"/>
      <c r="PR108" s="106"/>
      <c r="PS108" s="106"/>
      <c r="PT108" s="106"/>
      <c r="PU108" s="106"/>
      <c r="PV108" s="106"/>
      <c r="PW108" s="106"/>
      <c r="PX108" s="106"/>
      <c r="PY108" s="106"/>
      <c r="PZ108" s="106"/>
      <c r="QA108" s="106"/>
      <c r="QB108" s="106"/>
      <c r="QC108" s="106"/>
      <c r="QD108" s="106"/>
      <c r="QE108" s="106"/>
      <c r="QF108" s="106"/>
      <c r="QG108" s="106"/>
      <c r="QH108" s="106"/>
      <c r="QI108" s="106"/>
      <c r="QJ108" s="106"/>
      <c r="QK108" s="106"/>
      <c r="QL108" s="106"/>
      <c r="QM108" s="106"/>
      <c r="QN108" s="106"/>
      <c r="QO108" s="106"/>
      <c r="QP108" s="106"/>
      <c r="QQ108" s="106"/>
      <c r="QR108" s="106"/>
      <c r="QS108" s="106"/>
      <c r="QT108" s="106"/>
      <c r="QU108" s="106"/>
      <c r="QV108" s="106"/>
      <c r="QW108" s="106"/>
      <c r="QX108" s="106"/>
      <c r="QY108" s="106"/>
      <c r="QZ108" s="106"/>
      <c r="RA108" s="106"/>
      <c r="RB108" s="106"/>
      <c r="RC108" s="106"/>
      <c r="RD108" s="106"/>
      <c r="RE108" s="106"/>
      <c r="RF108" s="106"/>
      <c r="RG108" s="106"/>
      <c r="RH108" s="106"/>
      <c r="RI108" s="106"/>
      <c r="RJ108" s="106"/>
      <c r="RK108" s="106"/>
      <c r="RL108" s="106"/>
      <c r="RM108" s="106"/>
      <c r="RN108" s="106"/>
      <c r="RO108" s="106"/>
      <c r="RP108" s="106"/>
      <c r="RQ108" s="106"/>
      <c r="RR108" s="106"/>
      <c r="RS108" s="106"/>
      <c r="RT108" s="106"/>
      <c r="RU108" s="106"/>
      <c r="RV108" s="106"/>
      <c r="RW108" s="106"/>
      <c r="RX108" s="106"/>
      <c r="RY108" s="106"/>
      <c r="RZ108" s="106"/>
      <c r="SA108" s="106"/>
      <c r="SB108" s="106"/>
      <c r="SC108" s="106"/>
      <c r="SD108" s="106"/>
      <c r="SE108" s="106"/>
      <c r="SF108" s="106"/>
      <c r="SG108" s="106"/>
      <c r="SH108" s="106"/>
      <c r="SI108" s="106"/>
      <c r="SJ108" s="106"/>
      <c r="SK108" s="106"/>
      <c r="SL108" s="106"/>
      <c r="SM108" s="106"/>
      <c r="SN108" s="106"/>
      <c r="SO108" s="106"/>
      <c r="SP108" s="106"/>
      <c r="SQ108" s="106"/>
      <c r="SR108" s="106"/>
      <c r="SS108" s="106"/>
      <c r="ST108" s="106"/>
      <c r="SU108" s="106"/>
      <c r="SV108" s="106"/>
      <c r="SW108" s="106"/>
      <c r="SX108" s="106"/>
      <c r="SY108" s="106"/>
      <c r="SZ108" s="106"/>
      <c r="TA108" s="106"/>
      <c r="TB108" s="106"/>
      <c r="TC108" s="106"/>
      <c r="TD108" s="106"/>
      <c r="TE108" s="106"/>
      <c r="TF108" s="106"/>
      <c r="TG108" s="106"/>
      <c r="TH108" s="106"/>
      <c r="TI108" s="106"/>
      <c r="TJ108" s="106"/>
      <c r="TK108" s="106"/>
      <c r="TL108" s="106"/>
      <c r="TM108" s="106"/>
      <c r="TN108" s="106"/>
      <c r="TO108" s="106"/>
      <c r="TP108" s="106"/>
      <c r="TQ108" s="106"/>
      <c r="TR108" s="106"/>
      <c r="TS108" s="106"/>
      <c r="TT108" s="106"/>
      <c r="TU108" s="106"/>
      <c r="TV108" s="106"/>
      <c r="TW108" s="106"/>
      <c r="TX108" s="106"/>
      <c r="TY108" s="106"/>
      <c r="TZ108" s="106"/>
      <c r="UA108" s="106"/>
      <c r="UB108" s="106"/>
      <c r="UC108" s="106"/>
      <c r="UD108" s="106"/>
      <c r="UE108" s="106"/>
      <c r="UF108" s="106"/>
      <c r="UG108" s="106"/>
      <c r="UH108" s="106"/>
      <c r="UI108" s="106"/>
      <c r="UJ108" s="106"/>
      <c r="UK108" s="106"/>
      <c r="UL108" s="106"/>
      <c r="UM108" s="106"/>
      <c r="UN108" s="106"/>
      <c r="UO108" s="106"/>
      <c r="UP108" s="106"/>
      <c r="UQ108" s="106"/>
      <c r="UR108" s="106"/>
      <c r="US108" s="106"/>
      <c r="UT108" s="106"/>
      <c r="UU108" s="106"/>
      <c r="UV108" s="106"/>
      <c r="UW108" s="106"/>
      <c r="UX108" s="106"/>
      <c r="UY108" s="106"/>
      <c r="UZ108" s="106"/>
      <c r="VA108" s="106"/>
      <c r="VB108" s="106"/>
      <c r="VC108" s="106"/>
      <c r="VD108" s="106"/>
      <c r="VE108" s="106"/>
      <c r="VF108" s="106"/>
      <c r="VG108" s="106"/>
      <c r="VH108" s="106"/>
      <c r="VI108" s="106"/>
      <c r="VJ108" s="106"/>
      <c r="VK108" s="106"/>
      <c r="VL108" s="106"/>
      <c r="VM108" s="106"/>
      <c r="VN108" s="106"/>
      <c r="VO108" s="106"/>
      <c r="VP108" s="106"/>
      <c r="VQ108" s="106"/>
      <c r="VR108" s="106"/>
      <c r="VS108" s="106"/>
      <c r="VT108" s="106"/>
      <c r="VU108" s="106"/>
      <c r="VV108" s="106"/>
      <c r="VW108" s="106"/>
      <c r="VX108" s="106"/>
      <c r="VY108" s="106"/>
      <c r="VZ108" s="106"/>
      <c r="WA108" s="106"/>
      <c r="WB108" s="106"/>
      <c r="WC108" s="106"/>
      <c r="WD108" s="106"/>
      <c r="WE108" s="106"/>
      <c r="WF108" s="106"/>
      <c r="WG108" s="106"/>
      <c r="WH108" s="106"/>
      <c r="WI108" s="106"/>
      <c r="WJ108" s="106"/>
      <c r="WK108" s="106"/>
      <c r="WL108" s="106"/>
      <c r="WM108" s="106"/>
      <c r="WN108" s="106"/>
      <c r="WO108" s="106"/>
      <c r="WP108" s="106"/>
      <c r="WQ108" s="106"/>
      <c r="WR108" s="106"/>
      <c r="WS108" s="106"/>
      <c r="WT108" s="106"/>
      <c r="WU108" s="106"/>
      <c r="WV108" s="106"/>
      <c r="WW108" s="106"/>
      <c r="WX108" s="106"/>
      <c r="WY108" s="106"/>
      <c r="WZ108" s="106"/>
      <c r="XA108" s="106"/>
      <c r="XB108" s="106"/>
      <c r="XC108" s="106"/>
      <c r="XD108" s="106"/>
      <c r="XE108" s="106"/>
      <c r="XF108" s="106"/>
      <c r="XG108" s="106"/>
      <c r="XH108" s="106"/>
      <c r="XI108" s="106"/>
      <c r="XJ108" s="106"/>
      <c r="XK108" s="106"/>
      <c r="XL108" s="106"/>
      <c r="XM108" s="106"/>
      <c r="XN108" s="106"/>
      <c r="XO108" s="106"/>
      <c r="XP108" s="106"/>
      <c r="XQ108" s="106"/>
      <c r="XR108" s="106"/>
      <c r="XS108" s="106"/>
      <c r="XT108" s="106"/>
      <c r="XU108" s="106"/>
      <c r="XV108" s="106"/>
      <c r="XW108" s="106"/>
      <c r="XX108" s="106"/>
      <c r="XY108" s="106"/>
      <c r="XZ108" s="106"/>
      <c r="YA108" s="106"/>
      <c r="YB108" s="106"/>
      <c r="YC108" s="106"/>
      <c r="YD108" s="106"/>
      <c r="YE108" s="106"/>
      <c r="YF108" s="106"/>
      <c r="YG108" s="106"/>
      <c r="YH108" s="106"/>
      <c r="YI108" s="106"/>
      <c r="YJ108" s="106"/>
      <c r="YK108" s="106"/>
      <c r="YL108" s="106"/>
      <c r="YM108" s="106"/>
      <c r="YN108" s="106"/>
      <c r="YO108" s="106"/>
      <c r="YP108" s="106"/>
      <c r="YQ108" s="106"/>
      <c r="YR108" s="106"/>
      <c r="YS108" s="106"/>
      <c r="YT108" s="106"/>
      <c r="YU108" s="106"/>
      <c r="YV108" s="106"/>
      <c r="YW108" s="106"/>
      <c r="YX108" s="106"/>
      <c r="YY108" s="106"/>
      <c r="YZ108" s="106"/>
      <c r="ZA108" s="106"/>
      <c r="ZB108" s="106"/>
      <c r="ZC108" s="106"/>
      <c r="ZD108" s="106"/>
      <c r="ZE108" s="106"/>
      <c r="ZF108" s="106"/>
      <c r="ZG108" s="106"/>
      <c r="ZH108" s="106"/>
      <c r="ZI108" s="106"/>
      <c r="ZJ108" s="106"/>
      <c r="ZK108" s="106"/>
      <c r="ZL108" s="106"/>
      <c r="ZM108" s="106"/>
      <c r="ZN108" s="106"/>
      <c r="ZO108" s="106"/>
      <c r="ZP108" s="106"/>
      <c r="ZQ108" s="106"/>
      <c r="ZR108" s="106"/>
      <c r="ZS108" s="106"/>
      <c r="ZT108" s="106"/>
      <c r="ZU108" s="106"/>
      <c r="ZV108" s="106"/>
      <c r="ZW108" s="106"/>
      <c r="ZX108" s="106"/>
      <c r="ZY108" s="106"/>
      <c r="ZZ108" s="106"/>
      <c r="AAA108" s="106"/>
      <c r="AAB108" s="106"/>
      <c r="AAC108" s="106"/>
      <c r="AAD108" s="106"/>
      <c r="AAE108" s="106"/>
      <c r="AAF108" s="106"/>
      <c r="AAG108" s="106"/>
      <c r="AAH108" s="106"/>
      <c r="AAI108" s="106"/>
      <c r="AAJ108" s="106"/>
      <c r="AAK108" s="106"/>
      <c r="AAL108" s="106"/>
      <c r="AAM108" s="106"/>
      <c r="AAN108" s="106"/>
      <c r="AAO108" s="106"/>
      <c r="AAP108" s="106"/>
      <c r="AAQ108" s="106"/>
      <c r="AAR108" s="106"/>
      <c r="AAS108" s="106"/>
      <c r="AAT108" s="106"/>
      <c r="AAU108" s="106"/>
      <c r="AAV108" s="106"/>
      <c r="AAW108" s="106"/>
      <c r="AAX108" s="106"/>
      <c r="AAY108" s="106"/>
      <c r="AAZ108" s="106"/>
      <c r="ABA108" s="106"/>
      <c r="ABB108" s="106"/>
      <c r="ABC108" s="106"/>
      <c r="ABD108" s="106"/>
      <c r="ABE108" s="106"/>
      <c r="ABF108" s="106"/>
      <c r="ABG108" s="106"/>
      <c r="ABH108" s="106"/>
      <c r="ABI108" s="106"/>
      <c r="ABJ108" s="106"/>
      <c r="ABK108" s="106"/>
      <c r="ABL108" s="106"/>
      <c r="ABM108" s="106"/>
      <c r="ABN108" s="106"/>
      <c r="ABO108" s="106"/>
      <c r="ABP108" s="106"/>
      <c r="ABQ108" s="106"/>
      <c r="ABR108" s="106"/>
      <c r="ABS108" s="106"/>
      <c r="ABT108" s="106"/>
      <c r="ABU108" s="106"/>
      <c r="ABV108" s="106"/>
      <c r="ABW108" s="106"/>
      <c r="ABX108" s="106"/>
      <c r="ABY108" s="106"/>
      <c r="ABZ108" s="106"/>
      <c r="ACA108" s="106"/>
      <c r="ACB108" s="106"/>
      <c r="ACC108" s="106"/>
      <c r="ACD108" s="106"/>
      <c r="ACE108" s="106"/>
      <c r="ACF108" s="106"/>
      <c r="ACG108" s="106"/>
      <c r="ACH108" s="106"/>
      <c r="ACI108" s="106"/>
      <c r="ACJ108" s="106"/>
      <c r="ACK108" s="106"/>
      <c r="ACL108" s="106"/>
      <c r="ACM108" s="106"/>
      <c r="ACN108" s="106"/>
      <c r="ACO108" s="106"/>
      <c r="ACP108" s="106"/>
      <c r="ACQ108" s="106"/>
      <c r="ACR108" s="106"/>
      <c r="ACS108" s="106"/>
      <c r="ACT108" s="106"/>
      <c r="ACU108" s="106"/>
      <c r="ACV108" s="106"/>
      <c r="ACW108" s="106"/>
      <c r="ACX108" s="106"/>
      <c r="ACY108" s="106"/>
      <c r="ACZ108" s="106"/>
      <c r="ADA108" s="106"/>
      <c r="ADB108" s="106"/>
      <c r="ADC108" s="106"/>
      <c r="ADD108" s="106"/>
      <c r="ADE108" s="106"/>
      <c r="ADF108" s="106"/>
      <c r="ADG108" s="106"/>
      <c r="ADH108" s="106"/>
      <c r="ADI108" s="106"/>
      <c r="ADJ108" s="106"/>
      <c r="ADK108" s="106"/>
      <c r="ADL108" s="106"/>
      <c r="ADM108" s="106"/>
      <c r="ADN108" s="106"/>
      <c r="ADO108" s="106"/>
      <c r="ADP108" s="106"/>
      <c r="ADQ108" s="106"/>
      <c r="ADR108" s="106"/>
      <c r="ADS108" s="106"/>
      <c r="ADT108" s="106"/>
      <c r="ADU108" s="106"/>
      <c r="ADV108" s="106"/>
      <c r="ADW108" s="106"/>
      <c r="ADX108" s="106"/>
      <c r="ADY108" s="106"/>
      <c r="ADZ108" s="106"/>
      <c r="AEA108" s="106"/>
      <c r="AEB108" s="106"/>
      <c r="AEC108" s="106"/>
      <c r="AED108" s="106"/>
      <c r="AEE108" s="106"/>
      <c r="AEF108" s="106"/>
      <c r="AEG108" s="106"/>
      <c r="AEH108" s="106"/>
      <c r="AEI108" s="106"/>
      <c r="AEJ108" s="106"/>
      <c r="AEK108" s="106"/>
      <c r="AEL108" s="106"/>
      <c r="AEM108" s="106"/>
      <c r="AEN108" s="106"/>
      <c r="AEO108" s="106"/>
      <c r="AEP108" s="106"/>
      <c r="AEQ108" s="106"/>
      <c r="AER108" s="106"/>
      <c r="AES108" s="106"/>
      <c r="AET108" s="106"/>
      <c r="AEU108" s="106"/>
      <c r="AEV108" s="106"/>
      <c r="AEW108" s="106"/>
      <c r="AEX108" s="106"/>
      <c r="AEY108" s="106"/>
      <c r="AEZ108" s="106"/>
      <c r="AFA108" s="106"/>
      <c r="AFB108" s="106"/>
      <c r="AFC108" s="106"/>
      <c r="AFD108" s="106"/>
      <c r="AFE108" s="106"/>
      <c r="AFF108" s="106"/>
      <c r="AFG108" s="106"/>
      <c r="AFH108" s="106"/>
      <c r="AFI108" s="106"/>
      <c r="AFJ108" s="106"/>
      <c r="AFK108" s="106"/>
      <c r="AFL108" s="106"/>
      <c r="AFM108" s="106"/>
      <c r="AFN108" s="106"/>
      <c r="AFO108" s="106"/>
      <c r="AFP108" s="106"/>
      <c r="AFQ108" s="106"/>
      <c r="AFR108" s="106"/>
      <c r="AFS108" s="106"/>
      <c r="AFT108" s="106"/>
      <c r="AFU108" s="106"/>
      <c r="AFV108" s="106"/>
      <c r="AFW108" s="106"/>
      <c r="AFX108" s="106"/>
      <c r="AFY108" s="106"/>
      <c r="AFZ108" s="106"/>
      <c r="AGA108" s="106"/>
      <c r="AGB108" s="106"/>
      <c r="AGC108" s="106"/>
      <c r="AGD108" s="106"/>
      <c r="AGE108" s="106"/>
      <c r="AGF108" s="106"/>
      <c r="AGG108" s="106"/>
      <c r="AGH108" s="106"/>
      <c r="AGI108" s="106"/>
      <c r="AGJ108" s="106"/>
      <c r="AGK108" s="106"/>
      <c r="AGL108" s="106"/>
      <c r="AGM108" s="106"/>
      <c r="AGN108" s="106"/>
      <c r="AGO108" s="106"/>
      <c r="AGP108" s="106"/>
      <c r="AGQ108" s="106"/>
      <c r="AGR108" s="106"/>
      <c r="AGS108" s="106"/>
      <c r="AGT108" s="106"/>
      <c r="AGU108" s="106"/>
      <c r="AGV108" s="106"/>
      <c r="AGW108" s="106"/>
      <c r="AGX108" s="106"/>
      <c r="AGY108" s="106"/>
      <c r="AGZ108" s="106"/>
      <c r="AHA108" s="106"/>
      <c r="AHB108" s="106"/>
      <c r="AHC108" s="106"/>
      <c r="AHD108" s="106"/>
      <c r="AHE108" s="106"/>
      <c r="AHF108" s="106"/>
      <c r="AHG108" s="106"/>
      <c r="AHH108" s="106"/>
      <c r="AHI108" s="106"/>
      <c r="AHJ108" s="106"/>
      <c r="AHK108" s="106"/>
      <c r="AHL108" s="106"/>
      <c r="AHM108" s="106"/>
      <c r="AHN108" s="106"/>
      <c r="AHO108" s="106"/>
      <c r="AHP108" s="106"/>
      <c r="AHQ108" s="106"/>
      <c r="AHR108" s="106"/>
      <c r="AHS108" s="106"/>
      <c r="AHT108" s="106"/>
      <c r="AHU108" s="106"/>
      <c r="AHV108" s="106"/>
      <c r="AHW108" s="106"/>
      <c r="AHX108" s="106"/>
      <c r="AHY108" s="106"/>
      <c r="AHZ108" s="106"/>
      <c r="AIA108" s="106"/>
      <c r="AIB108" s="106"/>
      <c r="AIC108" s="106"/>
      <c r="AID108" s="106"/>
      <c r="AIE108" s="106"/>
      <c r="AIF108" s="106"/>
      <c r="AIG108" s="106"/>
      <c r="AIH108" s="106"/>
      <c r="AII108" s="106"/>
      <c r="AIJ108" s="106"/>
      <c r="AIK108" s="106"/>
      <c r="AIL108" s="106"/>
      <c r="AIM108" s="106"/>
      <c r="AIN108" s="106"/>
      <c r="AIO108" s="106"/>
      <c r="AIP108" s="106"/>
      <c r="AIQ108" s="106"/>
      <c r="AIR108" s="106"/>
      <c r="AIS108" s="106"/>
      <c r="AIT108" s="106"/>
      <c r="AIU108" s="106"/>
      <c r="AIV108" s="106"/>
      <c r="AIW108" s="106"/>
      <c r="AIX108" s="106"/>
      <c r="AIY108" s="106"/>
      <c r="AIZ108" s="106"/>
      <c r="AJA108" s="106"/>
      <c r="AJB108" s="106"/>
      <c r="AJC108" s="106"/>
      <c r="AJD108" s="106"/>
      <c r="AJE108" s="106"/>
      <c r="AJF108" s="106"/>
      <c r="AJG108" s="106"/>
      <c r="AJH108" s="106"/>
      <c r="AJI108" s="106"/>
      <c r="AJJ108" s="106"/>
      <c r="AJK108" s="106"/>
      <c r="AJL108" s="106"/>
      <c r="AJM108" s="106"/>
      <c r="AJN108" s="106"/>
      <c r="AJO108" s="106"/>
      <c r="AJP108" s="106"/>
      <c r="AJQ108" s="106"/>
      <c r="AJR108" s="106"/>
      <c r="AJS108" s="106"/>
      <c r="AJT108" s="106"/>
      <c r="AJU108" s="106"/>
      <c r="AJV108" s="106"/>
      <c r="AJW108" s="106"/>
      <c r="AJX108" s="106"/>
      <c r="AJY108" s="106"/>
      <c r="AJZ108" s="106"/>
      <c r="AKA108" s="106"/>
      <c r="AKB108" s="106"/>
      <c r="AKC108" s="106"/>
      <c r="AKD108" s="106"/>
      <c r="AKE108" s="106"/>
      <c r="AKF108" s="106"/>
      <c r="AKG108" s="106"/>
      <c r="AKH108" s="106"/>
      <c r="AKI108" s="106"/>
      <c r="AKJ108" s="106"/>
      <c r="AKK108" s="106"/>
      <c r="AKL108" s="106"/>
      <c r="AKM108" s="106"/>
      <c r="AKN108" s="106"/>
      <c r="AKO108" s="106"/>
      <c r="AKP108" s="106"/>
      <c r="AKQ108" s="106"/>
      <c r="AKR108" s="106"/>
      <c r="AKS108" s="106"/>
      <c r="AKT108" s="106"/>
      <c r="AKU108" s="106"/>
      <c r="AKV108" s="106"/>
      <c r="AKW108" s="106"/>
      <c r="AKX108" s="106"/>
      <c r="AKY108" s="106"/>
      <c r="AKZ108" s="106"/>
      <c r="ALA108" s="106"/>
      <c r="ALB108" s="106"/>
      <c r="ALC108" s="106"/>
      <c r="ALD108" s="106"/>
      <c r="ALE108" s="106"/>
      <c r="ALF108" s="106"/>
      <c r="ALG108" s="106"/>
      <c r="ALH108" s="106"/>
    </row>
    <row r="109" spans="1:996" s="75" customFormat="1" ht="15.75" customHeight="1">
      <c r="A109" s="104"/>
      <c r="B109" s="75" t="str">
        <f t="shared" si="5"/>
        <v>S112307</v>
      </c>
      <c r="C109" s="396" t="s">
        <v>607</v>
      </c>
      <c r="D109" s="27" t="s">
        <v>128</v>
      </c>
      <c r="E109" s="75">
        <v>112307</v>
      </c>
      <c r="F109" s="105" t="s">
        <v>88</v>
      </c>
      <c r="G109" s="74">
        <f>IFERROR(VLOOKUP(E109,'BD - E - Mvto Cx'!$E$15:$G$500,3,0),0)</f>
        <v>0</v>
      </c>
      <c r="H109" s="72">
        <f>IFERROR(VLOOKUP(E109,'BD - E - Mvto Cx'!$N$15:$P$500,3,0),0)</f>
        <v>0</v>
      </c>
      <c r="I109" s="73">
        <f>IFERROR(VLOOKUP(E109,'BD - E - Mvto Cx'!$W$15:$Y$497,3,0),0)</f>
        <v>0</v>
      </c>
      <c r="J109" s="73">
        <f>IFERROR(VLOOKUP(E109,'BD - E - Mvto Cx'!$AF$15:$AI$500,3,0),0)</f>
        <v>0</v>
      </c>
      <c r="K109" s="73">
        <f>IFERROR(VLOOKUP(E109,'BD - E - Mvto Cx'!$AO$15:$AQ$500,3,0),0)</f>
        <v>0</v>
      </c>
      <c r="L109" s="73">
        <f>IFERROR(VLOOKUP(E109,'BD - E - Mvto Cx'!$AX$15:$AZ$500,3,0),0)</f>
        <v>0</v>
      </c>
      <c r="M109" s="73">
        <f>IFERROR(VLOOKUP(E109,'BD - E - Mvto Cx'!$BJ$15:$BL$500,3,0),0)</f>
        <v>0</v>
      </c>
      <c r="N109" s="73">
        <f>IFERROR(VLOOKUP(E109,'BD - E - Mvto Cx'!$BS$15:$BU$500,3,0),0)</f>
        <v>0</v>
      </c>
      <c r="O109" s="73">
        <f>IFERROR(VLOOKUP(E109,'BD - E - Mvto Cx'!$CB$15:$CD$500,3,0),0)</f>
        <v>0</v>
      </c>
      <c r="P109" s="73">
        <f>IFERROR(VLOOKUP(E109,'BD - E - Mvto Cx'!$CK$15:$CM$500,3,0),0)</f>
        <v>0</v>
      </c>
      <c r="Q109" s="73">
        <f>IFERROR(VLOOKUP(E109,'BD - E - Mvto Cx'!$CT$15:$CV$500,3,0),0)</f>
        <v>0</v>
      </c>
      <c r="R109" s="73">
        <f>IFERROR(VLOOKUP(E109,'BD - E - Mvto Cx'!$DC$15:$DE$500,3,0),0)</f>
        <v>0</v>
      </c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  <c r="CU109" s="106"/>
      <c r="CV109" s="106"/>
      <c r="CW109" s="106"/>
      <c r="CX109" s="106"/>
      <c r="CY109" s="106"/>
      <c r="CZ109" s="106"/>
      <c r="DA109" s="106"/>
      <c r="DB109" s="106"/>
      <c r="DC109" s="106"/>
      <c r="DD109" s="106"/>
      <c r="DE109" s="106"/>
      <c r="DF109" s="106"/>
      <c r="DG109" s="106"/>
      <c r="DH109" s="106"/>
      <c r="DI109" s="106"/>
      <c r="DJ109" s="106"/>
      <c r="DK109" s="106"/>
      <c r="DL109" s="106"/>
      <c r="DM109" s="106"/>
      <c r="DN109" s="106"/>
      <c r="DO109" s="106"/>
      <c r="DP109" s="106"/>
      <c r="DQ109" s="106"/>
      <c r="DR109" s="106"/>
      <c r="DS109" s="106"/>
      <c r="DT109" s="106"/>
      <c r="DU109" s="106"/>
      <c r="DV109" s="106"/>
      <c r="DW109" s="106"/>
      <c r="DX109" s="106"/>
      <c r="DY109" s="106"/>
      <c r="DZ109" s="106"/>
      <c r="EA109" s="106"/>
      <c r="EB109" s="106"/>
      <c r="EC109" s="106"/>
      <c r="ED109" s="106"/>
      <c r="EE109" s="106"/>
      <c r="EF109" s="106"/>
      <c r="EG109" s="106"/>
      <c r="EH109" s="106"/>
      <c r="EI109" s="106"/>
      <c r="EJ109" s="106"/>
      <c r="EK109" s="106"/>
      <c r="EL109" s="106"/>
      <c r="EM109" s="106"/>
      <c r="EN109" s="106"/>
      <c r="EO109" s="106"/>
      <c r="EP109" s="106"/>
      <c r="EQ109" s="106"/>
      <c r="ER109" s="106"/>
      <c r="ES109" s="106"/>
      <c r="ET109" s="106"/>
      <c r="EU109" s="106"/>
      <c r="EV109" s="106"/>
      <c r="EW109" s="106"/>
      <c r="EX109" s="106"/>
      <c r="EY109" s="106"/>
      <c r="EZ109" s="106"/>
      <c r="FA109" s="106"/>
      <c r="FB109" s="106"/>
      <c r="FC109" s="106"/>
      <c r="FD109" s="106"/>
      <c r="FE109" s="106"/>
      <c r="FF109" s="106"/>
      <c r="FG109" s="106"/>
      <c r="FH109" s="106"/>
      <c r="FI109" s="106"/>
      <c r="FJ109" s="106"/>
      <c r="FK109" s="106"/>
      <c r="FL109" s="106"/>
      <c r="FM109" s="106"/>
      <c r="FN109" s="106"/>
      <c r="FO109" s="106"/>
      <c r="FP109" s="106"/>
      <c r="FQ109" s="106"/>
      <c r="FR109" s="106"/>
      <c r="FS109" s="106"/>
      <c r="FT109" s="106"/>
      <c r="FU109" s="106"/>
      <c r="FV109" s="106"/>
      <c r="FW109" s="106"/>
      <c r="FX109" s="106"/>
      <c r="FY109" s="106"/>
      <c r="FZ109" s="106"/>
      <c r="GA109" s="106"/>
      <c r="GB109" s="106"/>
      <c r="GC109" s="106"/>
      <c r="GD109" s="106"/>
      <c r="GE109" s="106"/>
      <c r="GF109" s="106"/>
      <c r="GG109" s="106"/>
      <c r="GH109" s="106"/>
      <c r="GI109" s="106"/>
      <c r="GJ109" s="106"/>
      <c r="GK109" s="106"/>
      <c r="GL109" s="106"/>
      <c r="GM109" s="106"/>
      <c r="GN109" s="106"/>
      <c r="GO109" s="106"/>
      <c r="GP109" s="106"/>
      <c r="GQ109" s="106"/>
      <c r="GR109" s="106"/>
      <c r="GS109" s="106"/>
      <c r="GT109" s="106"/>
      <c r="GU109" s="106"/>
      <c r="GV109" s="106"/>
      <c r="GW109" s="106"/>
      <c r="GX109" s="106"/>
      <c r="GY109" s="106"/>
      <c r="GZ109" s="106"/>
      <c r="HA109" s="106"/>
      <c r="HB109" s="106"/>
      <c r="HC109" s="106"/>
      <c r="HD109" s="106"/>
      <c r="HE109" s="106"/>
      <c r="HF109" s="106"/>
      <c r="HG109" s="106"/>
      <c r="HH109" s="106"/>
      <c r="HI109" s="106"/>
      <c r="HJ109" s="106"/>
      <c r="HK109" s="106"/>
      <c r="HL109" s="106"/>
      <c r="HM109" s="106"/>
      <c r="HN109" s="106"/>
      <c r="HO109" s="106"/>
      <c r="HP109" s="106"/>
      <c r="HQ109" s="106"/>
      <c r="HR109" s="106"/>
      <c r="HS109" s="106"/>
      <c r="HT109" s="106"/>
      <c r="HU109" s="106"/>
      <c r="HV109" s="106"/>
      <c r="HW109" s="106"/>
      <c r="HX109" s="106"/>
      <c r="HY109" s="106"/>
      <c r="HZ109" s="106"/>
      <c r="IA109" s="106"/>
      <c r="IB109" s="106"/>
      <c r="IC109" s="106"/>
      <c r="ID109" s="106"/>
      <c r="IE109" s="106"/>
      <c r="IF109" s="106"/>
      <c r="IG109" s="106"/>
      <c r="IH109" s="106"/>
      <c r="II109" s="106"/>
      <c r="IJ109" s="106"/>
      <c r="IK109" s="106"/>
      <c r="IL109" s="106"/>
      <c r="IM109" s="106"/>
      <c r="IN109" s="106"/>
      <c r="IO109" s="106"/>
      <c r="IP109" s="106"/>
      <c r="IQ109" s="106"/>
      <c r="IR109" s="106"/>
      <c r="IS109" s="106"/>
      <c r="IT109" s="106"/>
      <c r="IU109" s="106"/>
      <c r="IV109" s="106"/>
      <c r="IW109" s="106"/>
      <c r="IX109" s="106"/>
      <c r="IY109" s="106"/>
      <c r="IZ109" s="106"/>
      <c r="JA109" s="106"/>
      <c r="JB109" s="106"/>
      <c r="JC109" s="106"/>
      <c r="JD109" s="106"/>
      <c r="JE109" s="106"/>
      <c r="JF109" s="106"/>
      <c r="JG109" s="106"/>
      <c r="JH109" s="106"/>
      <c r="JI109" s="106"/>
      <c r="JJ109" s="106"/>
      <c r="JK109" s="106"/>
      <c r="JL109" s="106"/>
      <c r="JM109" s="106"/>
      <c r="JN109" s="106"/>
      <c r="JO109" s="106"/>
      <c r="JP109" s="106"/>
      <c r="JQ109" s="106"/>
      <c r="JR109" s="106"/>
      <c r="JS109" s="106"/>
      <c r="JT109" s="106"/>
      <c r="JU109" s="106"/>
      <c r="JV109" s="106"/>
      <c r="JW109" s="106"/>
      <c r="JX109" s="106"/>
      <c r="JY109" s="106"/>
      <c r="JZ109" s="106"/>
      <c r="KA109" s="106"/>
      <c r="KB109" s="106"/>
      <c r="KC109" s="106"/>
      <c r="KD109" s="106"/>
      <c r="KE109" s="106"/>
      <c r="KF109" s="106"/>
      <c r="KG109" s="106"/>
      <c r="KH109" s="106"/>
      <c r="KI109" s="106"/>
      <c r="KJ109" s="106"/>
      <c r="KK109" s="106"/>
      <c r="KL109" s="106"/>
      <c r="KM109" s="106"/>
      <c r="KN109" s="106"/>
      <c r="KO109" s="106"/>
      <c r="KP109" s="106"/>
      <c r="KQ109" s="106"/>
      <c r="KR109" s="106"/>
      <c r="KS109" s="106"/>
      <c r="KT109" s="106"/>
      <c r="KU109" s="106"/>
      <c r="KV109" s="106"/>
      <c r="KW109" s="106"/>
      <c r="KX109" s="106"/>
      <c r="KY109" s="106"/>
      <c r="KZ109" s="106"/>
      <c r="LA109" s="106"/>
      <c r="LB109" s="106"/>
      <c r="LC109" s="106"/>
      <c r="LD109" s="106"/>
      <c r="LE109" s="106"/>
      <c r="LF109" s="106"/>
      <c r="LG109" s="106"/>
      <c r="LH109" s="106"/>
      <c r="LI109" s="106"/>
      <c r="LJ109" s="106"/>
      <c r="LK109" s="106"/>
      <c r="LL109" s="106"/>
      <c r="LM109" s="106"/>
      <c r="LN109" s="106"/>
      <c r="LO109" s="106"/>
      <c r="LP109" s="106"/>
      <c r="LQ109" s="106"/>
      <c r="LR109" s="106"/>
      <c r="LS109" s="106"/>
      <c r="LT109" s="106"/>
      <c r="LU109" s="106"/>
      <c r="LV109" s="106"/>
      <c r="LW109" s="106"/>
      <c r="LX109" s="106"/>
      <c r="LY109" s="106"/>
      <c r="LZ109" s="106"/>
      <c r="MA109" s="106"/>
      <c r="MB109" s="106"/>
      <c r="MC109" s="106"/>
      <c r="MD109" s="106"/>
      <c r="ME109" s="106"/>
      <c r="MF109" s="106"/>
      <c r="MG109" s="106"/>
      <c r="MH109" s="106"/>
      <c r="MI109" s="106"/>
      <c r="MJ109" s="106"/>
      <c r="MK109" s="106"/>
      <c r="ML109" s="106"/>
      <c r="MM109" s="106"/>
      <c r="MN109" s="106"/>
      <c r="MO109" s="106"/>
      <c r="MP109" s="106"/>
      <c r="MQ109" s="106"/>
      <c r="MR109" s="106"/>
      <c r="MS109" s="106"/>
      <c r="MT109" s="106"/>
      <c r="MU109" s="106"/>
      <c r="MV109" s="106"/>
      <c r="MW109" s="106"/>
      <c r="MX109" s="106"/>
      <c r="MY109" s="106"/>
      <c r="MZ109" s="106"/>
      <c r="NA109" s="106"/>
      <c r="NB109" s="106"/>
      <c r="NC109" s="106"/>
      <c r="ND109" s="106"/>
      <c r="NE109" s="106"/>
      <c r="NF109" s="106"/>
      <c r="NG109" s="106"/>
      <c r="NH109" s="106"/>
      <c r="NI109" s="106"/>
      <c r="NJ109" s="106"/>
      <c r="NK109" s="106"/>
      <c r="NL109" s="106"/>
      <c r="NM109" s="106"/>
      <c r="NN109" s="106"/>
      <c r="NO109" s="106"/>
      <c r="NP109" s="106"/>
      <c r="NQ109" s="106"/>
      <c r="NR109" s="106"/>
      <c r="NS109" s="106"/>
      <c r="NT109" s="106"/>
      <c r="NU109" s="106"/>
      <c r="NV109" s="106"/>
      <c r="NW109" s="106"/>
      <c r="NX109" s="106"/>
      <c r="NY109" s="106"/>
      <c r="NZ109" s="106"/>
      <c r="OA109" s="106"/>
      <c r="OB109" s="106"/>
      <c r="OC109" s="106"/>
      <c r="OD109" s="106"/>
      <c r="OE109" s="106"/>
      <c r="OF109" s="106"/>
      <c r="OG109" s="106"/>
      <c r="OH109" s="106"/>
      <c r="OI109" s="106"/>
      <c r="OJ109" s="106"/>
      <c r="OK109" s="106"/>
      <c r="OL109" s="106"/>
      <c r="OM109" s="106"/>
      <c r="ON109" s="106"/>
      <c r="OO109" s="106"/>
      <c r="OP109" s="106"/>
      <c r="OQ109" s="106"/>
      <c r="OR109" s="106"/>
      <c r="OS109" s="106"/>
      <c r="OT109" s="106"/>
      <c r="OU109" s="106"/>
      <c r="OV109" s="106"/>
      <c r="OW109" s="106"/>
      <c r="OX109" s="106"/>
      <c r="OY109" s="106"/>
      <c r="OZ109" s="106"/>
      <c r="PA109" s="106"/>
      <c r="PB109" s="106"/>
      <c r="PC109" s="106"/>
      <c r="PD109" s="106"/>
      <c r="PE109" s="106"/>
      <c r="PF109" s="106"/>
      <c r="PG109" s="106"/>
      <c r="PH109" s="106"/>
      <c r="PI109" s="106"/>
      <c r="PJ109" s="106"/>
      <c r="PK109" s="106"/>
      <c r="PL109" s="106"/>
      <c r="PM109" s="106"/>
      <c r="PN109" s="106"/>
      <c r="PO109" s="106"/>
      <c r="PP109" s="106"/>
      <c r="PQ109" s="106"/>
      <c r="PR109" s="106"/>
      <c r="PS109" s="106"/>
      <c r="PT109" s="106"/>
      <c r="PU109" s="106"/>
      <c r="PV109" s="106"/>
      <c r="PW109" s="106"/>
      <c r="PX109" s="106"/>
      <c r="PY109" s="106"/>
      <c r="PZ109" s="106"/>
      <c r="QA109" s="106"/>
      <c r="QB109" s="106"/>
      <c r="QC109" s="106"/>
      <c r="QD109" s="106"/>
      <c r="QE109" s="106"/>
      <c r="QF109" s="106"/>
      <c r="QG109" s="106"/>
      <c r="QH109" s="106"/>
      <c r="QI109" s="106"/>
      <c r="QJ109" s="106"/>
      <c r="QK109" s="106"/>
      <c r="QL109" s="106"/>
      <c r="QM109" s="106"/>
      <c r="QN109" s="106"/>
      <c r="QO109" s="106"/>
      <c r="QP109" s="106"/>
      <c r="QQ109" s="106"/>
      <c r="QR109" s="106"/>
      <c r="QS109" s="106"/>
      <c r="QT109" s="106"/>
      <c r="QU109" s="106"/>
      <c r="QV109" s="106"/>
      <c r="QW109" s="106"/>
      <c r="QX109" s="106"/>
      <c r="QY109" s="106"/>
      <c r="QZ109" s="106"/>
      <c r="RA109" s="106"/>
      <c r="RB109" s="106"/>
      <c r="RC109" s="106"/>
      <c r="RD109" s="106"/>
      <c r="RE109" s="106"/>
      <c r="RF109" s="106"/>
      <c r="RG109" s="106"/>
      <c r="RH109" s="106"/>
      <c r="RI109" s="106"/>
      <c r="RJ109" s="106"/>
      <c r="RK109" s="106"/>
      <c r="RL109" s="106"/>
      <c r="RM109" s="106"/>
      <c r="RN109" s="106"/>
      <c r="RO109" s="106"/>
      <c r="RP109" s="106"/>
      <c r="RQ109" s="106"/>
      <c r="RR109" s="106"/>
      <c r="RS109" s="106"/>
      <c r="RT109" s="106"/>
      <c r="RU109" s="106"/>
      <c r="RV109" s="106"/>
      <c r="RW109" s="106"/>
      <c r="RX109" s="106"/>
      <c r="RY109" s="106"/>
      <c r="RZ109" s="106"/>
      <c r="SA109" s="106"/>
      <c r="SB109" s="106"/>
      <c r="SC109" s="106"/>
      <c r="SD109" s="106"/>
      <c r="SE109" s="106"/>
      <c r="SF109" s="106"/>
      <c r="SG109" s="106"/>
      <c r="SH109" s="106"/>
      <c r="SI109" s="106"/>
      <c r="SJ109" s="106"/>
      <c r="SK109" s="106"/>
      <c r="SL109" s="106"/>
      <c r="SM109" s="106"/>
      <c r="SN109" s="106"/>
      <c r="SO109" s="106"/>
      <c r="SP109" s="106"/>
      <c r="SQ109" s="106"/>
      <c r="SR109" s="106"/>
      <c r="SS109" s="106"/>
      <c r="ST109" s="106"/>
      <c r="SU109" s="106"/>
      <c r="SV109" s="106"/>
      <c r="SW109" s="106"/>
      <c r="SX109" s="106"/>
      <c r="SY109" s="106"/>
      <c r="SZ109" s="106"/>
      <c r="TA109" s="106"/>
      <c r="TB109" s="106"/>
      <c r="TC109" s="106"/>
      <c r="TD109" s="106"/>
      <c r="TE109" s="106"/>
      <c r="TF109" s="106"/>
      <c r="TG109" s="106"/>
      <c r="TH109" s="106"/>
      <c r="TI109" s="106"/>
      <c r="TJ109" s="106"/>
      <c r="TK109" s="106"/>
      <c r="TL109" s="106"/>
      <c r="TM109" s="106"/>
      <c r="TN109" s="106"/>
      <c r="TO109" s="106"/>
      <c r="TP109" s="106"/>
      <c r="TQ109" s="106"/>
      <c r="TR109" s="106"/>
      <c r="TS109" s="106"/>
      <c r="TT109" s="106"/>
      <c r="TU109" s="106"/>
      <c r="TV109" s="106"/>
      <c r="TW109" s="106"/>
      <c r="TX109" s="106"/>
      <c r="TY109" s="106"/>
      <c r="TZ109" s="106"/>
      <c r="UA109" s="106"/>
      <c r="UB109" s="106"/>
      <c r="UC109" s="106"/>
      <c r="UD109" s="106"/>
      <c r="UE109" s="106"/>
      <c r="UF109" s="106"/>
      <c r="UG109" s="106"/>
      <c r="UH109" s="106"/>
      <c r="UI109" s="106"/>
      <c r="UJ109" s="106"/>
      <c r="UK109" s="106"/>
      <c r="UL109" s="106"/>
      <c r="UM109" s="106"/>
      <c r="UN109" s="106"/>
      <c r="UO109" s="106"/>
      <c r="UP109" s="106"/>
      <c r="UQ109" s="106"/>
      <c r="UR109" s="106"/>
      <c r="US109" s="106"/>
      <c r="UT109" s="106"/>
      <c r="UU109" s="106"/>
      <c r="UV109" s="106"/>
      <c r="UW109" s="106"/>
      <c r="UX109" s="106"/>
      <c r="UY109" s="106"/>
      <c r="UZ109" s="106"/>
      <c r="VA109" s="106"/>
      <c r="VB109" s="106"/>
      <c r="VC109" s="106"/>
      <c r="VD109" s="106"/>
      <c r="VE109" s="106"/>
      <c r="VF109" s="106"/>
      <c r="VG109" s="106"/>
      <c r="VH109" s="106"/>
      <c r="VI109" s="106"/>
      <c r="VJ109" s="106"/>
      <c r="VK109" s="106"/>
      <c r="VL109" s="106"/>
      <c r="VM109" s="106"/>
      <c r="VN109" s="106"/>
      <c r="VO109" s="106"/>
      <c r="VP109" s="106"/>
      <c r="VQ109" s="106"/>
      <c r="VR109" s="106"/>
      <c r="VS109" s="106"/>
      <c r="VT109" s="106"/>
      <c r="VU109" s="106"/>
      <c r="VV109" s="106"/>
      <c r="VW109" s="106"/>
      <c r="VX109" s="106"/>
      <c r="VY109" s="106"/>
      <c r="VZ109" s="106"/>
      <c r="WA109" s="106"/>
      <c r="WB109" s="106"/>
      <c r="WC109" s="106"/>
      <c r="WD109" s="106"/>
      <c r="WE109" s="106"/>
      <c r="WF109" s="106"/>
      <c r="WG109" s="106"/>
      <c r="WH109" s="106"/>
      <c r="WI109" s="106"/>
      <c r="WJ109" s="106"/>
      <c r="WK109" s="106"/>
      <c r="WL109" s="106"/>
      <c r="WM109" s="106"/>
      <c r="WN109" s="106"/>
      <c r="WO109" s="106"/>
      <c r="WP109" s="106"/>
      <c r="WQ109" s="106"/>
      <c r="WR109" s="106"/>
      <c r="WS109" s="106"/>
      <c r="WT109" s="106"/>
      <c r="WU109" s="106"/>
      <c r="WV109" s="106"/>
      <c r="WW109" s="106"/>
      <c r="WX109" s="106"/>
      <c r="WY109" s="106"/>
      <c r="WZ109" s="106"/>
      <c r="XA109" s="106"/>
      <c r="XB109" s="106"/>
      <c r="XC109" s="106"/>
      <c r="XD109" s="106"/>
      <c r="XE109" s="106"/>
      <c r="XF109" s="106"/>
      <c r="XG109" s="106"/>
      <c r="XH109" s="106"/>
      <c r="XI109" s="106"/>
      <c r="XJ109" s="106"/>
      <c r="XK109" s="106"/>
      <c r="XL109" s="106"/>
      <c r="XM109" s="106"/>
      <c r="XN109" s="106"/>
      <c r="XO109" s="106"/>
      <c r="XP109" s="106"/>
      <c r="XQ109" s="106"/>
      <c r="XR109" s="106"/>
      <c r="XS109" s="106"/>
      <c r="XT109" s="106"/>
      <c r="XU109" s="106"/>
      <c r="XV109" s="106"/>
      <c r="XW109" s="106"/>
      <c r="XX109" s="106"/>
      <c r="XY109" s="106"/>
      <c r="XZ109" s="106"/>
      <c r="YA109" s="106"/>
      <c r="YB109" s="106"/>
      <c r="YC109" s="106"/>
      <c r="YD109" s="106"/>
      <c r="YE109" s="106"/>
      <c r="YF109" s="106"/>
      <c r="YG109" s="106"/>
      <c r="YH109" s="106"/>
      <c r="YI109" s="106"/>
      <c r="YJ109" s="106"/>
      <c r="YK109" s="106"/>
      <c r="YL109" s="106"/>
      <c r="YM109" s="106"/>
      <c r="YN109" s="106"/>
      <c r="YO109" s="106"/>
      <c r="YP109" s="106"/>
      <c r="YQ109" s="106"/>
      <c r="YR109" s="106"/>
      <c r="YS109" s="106"/>
      <c r="YT109" s="106"/>
      <c r="YU109" s="106"/>
      <c r="YV109" s="106"/>
      <c r="YW109" s="106"/>
      <c r="YX109" s="106"/>
      <c r="YY109" s="106"/>
      <c r="YZ109" s="106"/>
      <c r="ZA109" s="106"/>
      <c r="ZB109" s="106"/>
      <c r="ZC109" s="106"/>
      <c r="ZD109" s="106"/>
      <c r="ZE109" s="106"/>
      <c r="ZF109" s="106"/>
      <c r="ZG109" s="106"/>
      <c r="ZH109" s="106"/>
      <c r="ZI109" s="106"/>
      <c r="ZJ109" s="106"/>
      <c r="ZK109" s="106"/>
      <c r="ZL109" s="106"/>
      <c r="ZM109" s="106"/>
      <c r="ZN109" s="106"/>
      <c r="ZO109" s="106"/>
      <c r="ZP109" s="106"/>
      <c r="ZQ109" s="106"/>
      <c r="ZR109" s="106"/>
      <c r="ZS109" s="106"/>
      <c r="ZT109" s="106"/>
      <c r="ZU109" s="106"/>
      <c r="ZV109" s="106"/>
      <c r="ZW109" s="106"/>
      <c r="ZX109" s="106"/>
      <c r="ZY109" s="106"/>
      <c r="ZZ109" s="106"/>
      <c r="AAA109" s="106"/>
      <c r="AAB109" s="106"/>
      <c r="AAC109" s="106"/>
      <c r="AAD109" s="106"/>
      <c r="AAE109" s="106"/>
      <c r="AAF109" s="106"/>
      <c r="AAG109" s="106"/>
      <c r="AAH109" s="106"/>
      <c r="AAI109" s="106"/>
      <c r="AAJ109" s="106"/>
      <c r="AAK109" s="106"/>
      <c r="AAL109" s="106"/>
      <c r="AAM109" s="106"/>
      <c r="AAN109" s="106"/>
      <c r="AAO109" s="106"/>
      <c r="AAP109" s="106"/>
      <c r="AAQ109" s="106"/>
      <c r="AAR109" s="106"/>
      <c r="AAS109" s="106"/>
      <c r="AAT109" s="106"/>
      <c r="AAU109" s="106"/>
      <c r="AAV109" s="106"/>
      <c r="AAW109" s="106"/>
      <c r="AAX109" s="106"/>
      <c r="AAY109" s="106"/>
      <c r="AAZ109" s="106"/>
      <c r="ABA109" s="106"/>
      <c r="ABB109" s="106"/>
      <c r="ABC109" s="106"/>
      <c r="ABD109" s="106"/>
      <c r="ABE109" s="106"/>
      <c r="ABF109" s="106"/>
      <c r="ABG109" s="106"/>
      <c r="ABH109" s="106"/>
      <c r="ABI109" s="106"/>
      <c r="ABJ109" s="106"/>
      <c r="ABK109" s="106"/>
      <c r="ABL109" s="106"/>
      <c r="ABM109" s="106"/>
      <c r="ABN109" s="106"/>
      <c r="ABO109" s="106"/>
      <c r="ABP109" s="106"/>
      <c r="ABQ109" s="106"/>
      <c r="ABR109" s="106"/>
      <c r="ABS109" s="106"/>
      <c r="ABT109" s="106"/>
      <c r="ABU109" s="106"/>
      <c r="ABV109" s="106"/>
      <c r="ABW109" s="106"/>
      <c r="ABX109" s="106"/>
      <c r="ABY109" s="106"/>
      <c r="ABZ109" s="106"/>
      <c r="ACA109" s="106"/>
      <c r="ACB109" s="106"/>
      <c r="ACC109" s="106"/>
      <c r="ACD109" s="106"/>
      <c r="ACE109" s="106"/>
      <c r="ACF109" s="106"/>
      <c r="ACG109" s="106"/>
      <c r="ACH109" s="106"/>
      <c r="ACI109" s="106"/>
      <c r="ACJ109" s="106"/>
      <c r="ACK109" s="106"/>
      <c r="ACL109" s="106"/>
      <c r="ACM109" s="106"/>
      <c r="ACN109" s="106"/>
      <c r="ACO109" s="106"/>
      <c r="ACP109" s="106"/>
      <c r="ACQ109" s="106"/>
      <c r="ACR109" s="106"/>
      <c r="ACS109" s="106"/>
      <c r="ACT109" s="106"/>
      <c r="ACU109" s="106"/>
      <c r="ACV109" s="106"/>
      <c r="ACW109" s="106"/>
      <c r="ACX109" s="106"/>
      <c r="ACY109" s="106"/>
      <c r="ACZ109" s="106"/>
      <c r="ADA109" s="106"/>
      <c r="ADB109" s="106"/>
      <c r="ADC109" s="106"/>
      <c r="ADD109" s="106"/>
      <c r="ADE109" s="106"/>
      <c r="ADF109" s="106"/>
      <c r="ADG109" s="106"/>
      <c r="ADH109" s="106"/>
      <c r="ADI109" s="106"/>
      <c r="ADJ109" s="106"/>
      <c r="ADK109" s="106"/>
      <c r="ADL109" s="106"/>
      <c r="ADM109" s="106"/>
      <c r="ADN109" s="106"/>
      <c r="ADO109" s="106"/>
      <c r="ADP109" s="106"/>
      <c r="ADQ109" s="106"/>
      <c r="ADR109" s="106"/>
      <c r="ADS109" s="106"/>
      <c r="ADT109" s="106"/>
      <c r="ADU109" s="106"/>
      <c r="ADV109" s="106"/>
      <c r="ADW109" s="106"/>
      <c r="ADX109" s="106"/>
      <c r="ADY109" s="106"/>
      <c r="ADZ109" s="106"/>
      <c r="AEA109" s="106"/>
      <c r="AEB109" s="106"/>
      <c r="AEC109" s="106"/>
      <c r="AED109" s="106"/>
      <c r="AEE109" s="106"/>
      <c r="AEF109" s="106"/>
      <c r="AEG109" s="106"/>
      <c r="AEH109" s="106"/>
      <c r="AEI109" s="106"/>
      <c r="AEJ109" s="106"/>
      <c r="AEK109" s="106"/>
      <c r="AEL109" s="106"/>
      <c r="AEM109" s="106"/>
      <c r="AEN109" s="106"/>
      <c r="AEO109" s="106"/>
      <c r="AEP109" s="106"/>
      <c r="AEQ109" s="106"/>
      <c r="AER109" s="106"/>
      <c r="AES109" s="106"/>
      <c r="AET109" s="106"/>
      <c r="AEU109" s="106"/>
      <c r="AEV109" s="106"/>
      <c r="AEW109" s="106"/>
      <c r="AEX109" s="106"/>
      <c r="AEY109" s="106"/>
      <c r="AEZ109" s="106"/>
      <c r="AFA109" s="106"/>
      <c r="AFB109" s="106"/>
      <c r="AFC109" s="106"/>
      <c r="AFD109" s="106"/>
      <c r="AFE109" s="106"/>
      <c r="AFF109" s="106"/>
      <c r="AFG109" s="106"/>
      <c r="AFH109" s="106"/>
      <c r="AFI109" s="106"/>
      <c r="AFJ109" s="106"/>
      <c r="AFK109" s="106"/>
      <c r="AFL109" s="106"/>
      <c r="AFM109" s="106"/>
      <c r="AFN109" s="106"/>
      <c r="AFO109" s="106"/>
      <c r="AFP109" s="106"/>
      <c r="AFQ109" s="106"/>
      <c r="AFR109" s="106"/>
      <c r="AFS109" s="106"/>
      <c r="AFT109" s="106"/>
      <c r="AFU109" s="106"/>
      <c r="AFV109" s="106"/>
      <c r="AFW109" s="106"/>
      <c r="AFX109" s="106"/>
      <c r="AFY109" s="106"/>
      <c r="AFZ109" s="106"/>
      <c r="AGA109" s="106"/>
      <c r="AGB109" s="106"/>
      <c r="AGC109" s="106"/>
      <c r="AGD109" s="106"/>
      <c r="AGE109" s="106"/>
      <c r="AGF109" s="106"/>
      <c r="AGG109" s="106"/>
      <c r="AGH109" s="106"/>
      <c r="AGI109" s="106"/>
      <c r="AGJ109" s="106"/>
      <c r="AGK109" s="106"/>
      <c r="AGL109" s="106"/>
      <c r="AGM109" s="106"/>
      <c r="AGN109" s="106"/>
      <c r="AGO109" s="106"/>
      <c r="AGP109" s="106"/>
      <c r="AGQ109" s="106"/>
      <c r="AGR109" s="106"/>
      <c r="AGS109" s="106"/>
      <c r="AGT109" s="106"/>
      <c r="AGU109" s="106"/>
      <c r="AGV109" s="106"/>
      <c r="AGW109" s="106"/>
      <c r="AGX109" s="106"/>
      <c r="AGY109" s="106"/>
      <c r="AGZ109" s="106"/>
      <c r="AHA109" s="106"/>
      <c r="AHB109" s="106"/>
      <c r="AHC109" s="106"/>
      <c r="AHD109" s="106"/>
      <c r="AHE109" s="106"/>
      <c r="AHF109" s="106"/>
      <c r="AHG109" s="106"/>
      <c r="AHH109" s="106"/>
      <c r="AHI109" s="106"/>
      <c r="AHJ109" s="106"/>
      <c r="AHK109" s="106"/>
      <c r="AHL109" s="106"/>
      <c r="AHM109" s="106"/>
      <c r="AHN109" s="106"/>
      <c r="AHO109" s="106"/>
      <c r="AHP109" s="106"/>
      <c r="AHQ109" s="106"/>
      <c r="AHR109" s="106"/>
      <c r="AHS109" s="106"/>
      <c r="AHT109" s="106"/>
      <c r="AHU109" s="106"/>
      <c r="AHV109" s="106"/>
      <c r="AHW109" s="106"/>
      <c r="AHX109" s="106"/>
      <c r="AHY109" s="106"/>
      <c r="AHZ109" s="106"/>
      <c r="AIA109" s="106"/>
      <c r="AIB109" s="106"/>
      <c r="AIC109" s="106"/>
      <c r="AID109" s="106"/>
      <c r="AIE109" s="106"/>
      <c r="AIF109" s="106"/>
      <c r="AIG109" s="106"/>
      <c r="AIH109" s="106"/>
      <c r="AII109" s="106"/>
      <c r="AIJ109" s="106"/>
      <c r="AIK109" s="106"/>
      <c r="AIL109" s="106"/>
      <c r="AIM109" s="106"/>
      <c r="AIN109" s="106"/>
      <c r="AIO109" s="106"/>
      <c r="AIP109" s="106"/>
      <c r="AIQ109" s="106"/>
      <c r="AIR109" s="106"/>
      <c r="AIS109" s="106"/>
      <c r="AIT109" s="106"/>
      <c r="AIU109" s="106"/>
      <c r="AIV109" s="106"/>
      <c r="AIW109" s="106"/>
      <c r="AIX109" s="106"/>
      <c r="AIY109" s="106"/>
      <c r="AIZ109" s="106"/>
      <c r="AJA109" s="106"/>
      <c r="AJB109" s="106"/>
      <c r="AJC109" s="106"/>
      <c r="AJD109" s="106"/>
      <c r="AJE109" s="106"/>
      <c r="AJF109" s="106"/>
      <c r="AJG109" s="106"/>
      <c r="AJH109" s="106"/>
      <c r="AJI109" s="106"/>
      <c r="AJJ109" s="106"/>
      <c r="AJK109" s="106"/>
      <c r="AJL109" s="106"/>
      <c r="AJM109" s="106"/>
      <c r="AJN109" s="106"/>
      <c r="AJO109" s="106"/>
      <c r="AJP109" s="106"/>
      <c r="AJQ109" s="106"/>
      <c r="AJR109" s="106"/>
      <c r="AJS109" s="106"/>
      <c r="AJT109" s="106"/>
      <c r="AJU109" s="106"/>
      <c r="AJV109" s="106"/>
      <c r="AJW109" s="106"/>
      <c r="AJX109" s="106"/>
      <c r="AJY109" s="106"/>
      <c r="AJZ109" s="106"/>
      <c r="AKA109" s="106"/>
      <c r="AKB109" s="106"/>
      <c r="AKC109" s="106"/>
      <c r="AKD109" s="106"/>
      <c r="AKE109" s="106"/>
      <c r="AKF109" s="106"/>
      <c r="AKG109" s="106"/>
      <c r="AKH109" s="106"/>
      <c r="AKI109" s="106"/>
      <c r="AKJ109" s="106"/>
      <c r="AKK109" s="106"/>
      <c r="AKL109" s="106"/>
      <c r="AKM109" s="106"/>
      <c r="AKN109" s="106"/>
      <c r="AKO109" s="106"/>
      <c r="AKP109" s="106"/>
      <c r="AKQ109" s="106"/>
      <c r="AKR109" s="106"/>
      <c r="AKS109" s="106"/>
      <c r="AKT109" s="106"/>
      <c r="AKU109" s="106"/>
      <c r="AKV109" s="106"/>
      <c r="AKW109" s="106"/>
      <c r="AKX109" s="106"/>
      <c r="AKY109" s="106"/>
      <c r="AKZ109" s="106"/>
      <c r="ALA109" s="106"/>
      <c r="ALB109" s="106"/>
      <c r="ALC109" s="106"/>
      <c r="ALD109" s="106"/>
      <c r="ALE109" s="106"/>
      <c r="ALF109" s="106"/>
      <c r="ALG109" s="106"/>
      <c r="ALH109" s="106"/>
    </row>
    <row r="110" spans="1:996" s="75" customFormat="1" ht="15.75" customHeight="1">
      <c r="A110" s="104"/>
      <c r="B110" s="75" t="str">
        <f t="shared" si="5"/>
        <v>S112401</v>
      </c>
      <c r="C110" s="396" t="s">
        <v>606</v>
      </c>
      <c r="D110" s="27" t="s">
        <v>128</v>
      </c>
      <c r="E110" s="75">
        <v>112401</v>
      </c>
      <c r="F110" s="105" t="s">
        <v>89</v>
      </c>
      <c r="G110" s="74">
        <f>IFERROR(VLOOKUP(E110,'BD - E - Mvto Cx'!$E$15:$G$500,3,0),0)</f>
        <v>106273.85</v>
      </c>
      <c r="H110" s="72">
        <f>IFERROR(VLOOKUP(E110,'BD - E - Mvto Cx'!$N$15:$P$500,3,0),0)</f>
        <v>66428.960000000006</v>
      </c>
      <c r="I110" s="73">
        <f>IFERROR(VLOOKUP(E110,'BD - E - Mvto Cx'!$W$15:$Y$497,3,0),0)</f>
        <v>68192.149999999994</v>
      </c>
      <c r="J110" s="73">
        <f>IFERROR(VLOOKUP(E110,'BD - E - Mvto Cx'!$AF$15:$AI$500,3,0),0)</f>
        <v>65767.05</v>
      </c>
      <c r="K110" s="73">
        <f>IFERROR(VLOOKUP(E110,'BD - E - Mvto Cx'!$AO$15:$AQ$500,3,0),0)</f>
        <v>0</v>
      </c>
      <c r="L110" s="73">
        <f>IFERROR(VLOOKUP(E110,'BD - E - Mvto Cx'!$AX$15:$AZ$500,3,0),0)</f>
        <v>0</v>
      </c>
      <c r="M110" s="73">
        <f>IFERROR(VLOOKUP(E110,'BD - E - Mvto Cx'!$BJ$15:$BL$500,3,0),0)</f>
        <v>0</v>
      </c>
      <c r="N110" s="73">
        <f>IFERROR(VLOOKUP(E110,'BD - E - Mvto Cx'!$BS$15:$BU$500,3,0),0)</f>
        <v>0</v>
      </c>
      <c r="O110" s="73">
        <f>IFERROR(VLOOKUP(E110,'BD - E - Mvto Cx'!$CB$15:$CD$500,3,0),0)</f>
        <v>0</v>
      </c>
      <c r="P110" s="73">
        <f>IFERROR(VLOOKUP(E110,'BD - E - Mvto Cx'!$CK$15:$CM$500,3,0),0)</f>
        <v>0</v>
      </c>
      <c r="Q110" s="73">
        <f>IFERROR(VLOOKUP(E110,'BD - E - Mvto Cx'!$CT$15:$CV$500,3,0),0)</f>
        <v>0</v>
      </c>
      <c r="R110" s="73">
        <f>IFERROR(VLOOKUP(E110,'BD - E - Mvto Cx'!$DC$15:$DE$500,3,0),0)</f>
        <v>0</v>
      </c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  <c r="CZ110" s="106"/>
      <c r="DA110" s="106"/>
      <c r="DB110" s="106"/>
      <c r="DC110" s="106"/>
      <c r="DD110" s="106"/>
      <c r="DE110" s="106"/>
      <c r="DF110" s="106"/>
      <c r="DG110" s="106"/>
      <c r="DH110" s="106"/>
      <c r="DI110" s="106"/>
      <c r="DJ110" s="106"/>
      <c r="DK110" s="106"/>
      <c r="DL110" s="106"/>
      <c r="DM110" s="106"/>
      <c r="DN110" s="106"/>
      <c r="DO110" s="106"/>
      <c r="DP110" s="106"/>
      <c r="DQ110" s="106"/>
      <c r="DR110" s="106"/>
      <c r="DS110" s="106"/>
      <c r="DT110" s="106"/>
      <c r="DU110" s="106"/>
      <c r="DV110" s="106"/>
      <c r="DW110" s="106"/>
      <c r="DX110" s="106"/>
      <c r="DY110" s="106"/>
      <c r="DZ110" s="106"/>
      <c r="EA110" s="106"/>
      <c r="EB110" s="106"/>
      <c r="EC110" s="106"/>
      <c r="ED110" s="106"/>
      <c r="EE110" s="106"/>
      <c r="EF110" s="106"/>
      <c r="EG110" s="106"/>
      <c r="EH110" s="106"/>
      <c r="EI110" s="106"/>
      <c r="EJ110" s="106"/>
      <c r="EK110" s="106"/>
      <c r="EL110" s="106"/>
      <c r="EM110" s="106"/>
      <c r="EN110" s="106"/>
      <c r="EO110" s="106"/>
      <c r="EP110" s="106"/>
      <c r="EQ110" s="106"/>
      <c r="ER110" s="106"/>
      <c r="ES110" s="106"/>
      <c r="ET110" s="106"/>
      <c r="EU110" s="106"/>
      <c r="EV110" s="106"/>
      <c r="EW110" s="106"/>
      <c r="EX110" s="106"/>
      <c r="EY110" s="106"/>
      <c r="EZ110" s="106"/>
      <c r="FA110" s="106"/>
      <c r="FB110" s="106"/>
      <c r="FC110" s="106"/>
      <c r="FD110" s="106"/>
      <c r="FE110" s="106"/>
      <c r="FF110" s="106"/>
      <c r="FG110" s="106"/>
      <c r="FH110" s="106"/>
      <c r="FI110" s="106"/>
      <c r="FJ110" s="106"/>
      <c r="FK110" s="106"/>
      <c r="FL110" s="106"/>
      <c r="FM110" s="106"/>
      <c r="FN110" s="106"/>
      <c r="FO110" s="106"/>
      <c r="FP110" s="106"/>
      <c r="FQ110" s="106"/>
      <c r="FR110" s="106"/>
      <c r="FS110" s="106"/>
      <c r="FT110" s="106"/>
      <c r="FU110" s="106"/>
      <c r="FV110" s="106"/>
      <c r="FW110" s="106"/>
      <c r="FX110" s="106"/>
      <c r="FY110" s="106"/>
      <c r="FZ110" s="106"/>
      <c r="GA110" s="106"/>
      <c r="GB110" s="106"/>
      <c r="GC110" s="106"/>
      <c r="GD110" s="106"/>
      <c r="GE110" s="106"/>
      <c r="GF110" s="106"/>
      <c r="GG110" s="106"/>
      <c r="GH110" s="106"/>
      <c r="GI110" s="106"/>
      <c r="GJ110" s="106"/>
      <c r="GK110" s="106"/>
      <c r="GL110" s="106"/>
      <c r="GM110" s="106"/>
      <c r="GN110" s="106"/>
      <c r="GO110" s="106"/>
      <c r="GP110" s="106"/>
      <c r="GQ110" s="106"/>
      <c r="GR110" s="106"/>
      <c r="GS110" s="106"/>
      <c r="GT110" s="106"/>
      <c r="GU110" s="106"/>
      <c r="GV110" s="106"/>
      <c r="GW110" s="106"/>
      <c r="GX110" s="106"/>
      <c r="GY110" s="106"/>
      <c r="GZ110" s="106"/>
      <c r="HA110" s="106"/>
      <c r="HB110" s="106"/>
      <c r="HC110" s="106"/>
      <c r="HD110" s="106"/>
      <c r="HE110" s="106"/>
      <c r="HF110" s="106"/>
      <c r="HG110" s="106"/>
      <c r="HH110" s="106"/>
      <c r="HI110" s="106"/>
      <c r="HJ110" s="106"/>
      <c r="HK110" s="106"/>
      <c r="HL110" s="106"/>
      <c r="HM110" s="106"/>
      <c r="HN110" s="106"/>
      <c r="HO110" s="106"/>
      <c r="HP110" s="106"/>
      <c r="HQ110" s="106"/>
      <c r="HR110" s="106"/>
      <c r="HS110" s="106"/>
      <c r="HT110" s="106"/>
      <c r="HU110" s="106"/>
      <c r="HV110" s="106"/>
      <c r="HW110" s="106"/>
      <c r="HX110" s="106"/>
      <c r="HY110" s="106"/>
      <c r="HZ110" s="106"/>
      <c r="IA110" s="106"/>
      <c r="IB110" s="106"/>
      <c r="IC110" s="106"/>
      <c r="ID110" s="106"/>
      <c r="IE110" s="106"/>
      <c r="IF110" s="106"/>
      <c r="IG110" s="106"/>
      <c r="IH110" s="106"/>
      <c r="II110" s="106"/>
      <c r="IJ110" s="106"/>
      <c r="IK110" s="106"/>
      <c r="IL110" s="106"/>
      <c r="IM110" s="106"/>
      <c r="IN110" s="106"/>
      <c r="IO110" s="106"/>
      <c r="IP110" s="106"/>
      <c r="IQ110" s="106"/>
      <c r="IR110" s="106"/>
      <c r="IS110" s="106"/>
      <c r="IT110" s="106"/>
      <c r="IU110" s="106"/>
      <c r="IV110" s="106"/>
      <c r="IW110" s="106"/>
      <c r="IX110" s="106"/>
      <c r="IY110" s="106"/>
      <c r="IZ110" s="106"/>
      <c r="JA110" s="106"/>
      <c r="JB110" s="106"/>
      <c r="JC110" s="106"/>
      <c r="JD110" s="106"/>
      <c r="JE110" s="106"/>
      <c r="JF110" s="106"/>
      <c r="JG110" s="106"/>
      <c r="JH110" s="106"/>
      <c r="JI110" s="106"/>
      <c r="JJ110" s="106"/>
      <c r="JK110" s="106"/>
      <c r="JL110" s="106"/>
      <c r="JM110" s="106"/>
      <c r="JN110" s="106"/>
      <c r="JO110" s="106"/>
      <c r="JP110" s="106"/>
      <c r="JQ110" s="106"/>
      <c r="JR110" s="106"/>
      <c r="JS110" s="106"/>
      <c r="JT110" s="106"/>
      <c r="JU110" s="106"/>
      <c r="JV110" s="106"/>
      <c r="JW110" s="106"/>
      <c r="JX110" s="106"/>
      <c r="JY110" s="106"/>
      <c r="JZ110" s="106"/>
      <c r="KA110" s="106"/>
      <c r="KB110" s="106"/>
      <c r="KC110" s="106"/>
      <c r="KD110" s="106"/>
      <c r="KE110" s="106"/>
      <c r="KF110" s="106"/>
      <c r="KG110" s="106"/>
      <c r="KH110" s="106"/>
      <c r="KI110" s="106"/>
      <c r="KJ110" s="106"/>
      <c r="KK110" s="106"/>
      <c r="KL110" s="106"/>
      <c r="KM110" s="106"/>
      <c r="KN110" s="106"/>
      <c r="KO110" s="106"/>
      <c r="KP110" s="106"/>
      <c r="KQ110" s="106"/>
      <c r="KR110" s="106"/>
      <c r="KS110" s="106"/>
      <c r="KT110" s="106"/>
      <c r="KU110" s="106"/>
      <c r="KV110" s="106"/>
      <c r="KW110" s="106"/>
      <c r="KX110" s="106"/>
      <c r="KY110" s="106"/>
      <c r="KZ110" s="106"/>
      <c r="LA110" s="106"/>
      <c r="LB110" s="106"/>
      <c r="LC110" s="106"/>
      <c r="LD110" s="106"/>
      <c r="LE110" s="106"/>
      <c r="LF110" s="106"/>
      <c r="LG110" s="106"/>
      <c r="LH110" s="106"/>
      <c r="LI110" s="106"/>
      <c r="LJ110" s="106"/>
      <c r="LK110" s="106"/>
      <c r="LL110" s="106"/>
      <c r="LM110" s="106"/>
      <c r="LN110" s="106"/>
      <c r="LO110" s="106"/>
      <c r="LP110" s="106"/>
      <c r="LQ110" s="106"/>
      <c r="LR110" s="106"/>
      <c r="LS110" s="106"/>
      <c r="LT110" s="106"/>
      <c r="LU110" s="106"/>
      <c r="LV110" s="106"/>
      <c r="LW110" s="106"/>
      <c r="LX110" s="106"/>
      <c r="LY110" s="106"/>
      <c r="LZ110" s="106"/>
      <c r="MA110" s="106"/>
      <c r="MB110" s="106"/>
      <c r="MC110" s="106"/>
      <c r="MD110" s="106"/>
      <c r="ME110" s="106"/>
      <c r="MF110" s="106"/>
      <c r="MG110" s="106"/>
      <c r="MH110" s="106"/>
      <c r="MI110" s="106"/>
      <c r="MJ110" s="106"/>
      <c r="MK110" s="106"/>
      <c r="ML110" s="106"/>
      <c r="MM110" s="106"/>
      <c r="MN110" s="106"/>
      <c r="MO110" s="106"/>
      <c r="MP110" s="106"/>
      <c r="MQ110" s="106"/>
      <c r="MR110" s="106"/>
      <c r="MS110" s="106"/>
      <c r="MT110" s="106"/>
      <c r="MU110" s="106"/>
      <c r="MV110" s="106"/>
      <c r="MW110" s="106"/>
      <c r="MX110" s="106"/>
      <c r="MY110" s="106"/>
      <c r="MZ110" s="106"/>
      <c r="NA110" s="106"/>
      <c r="NB110" s="106"/>
      <c r="NC110" s="106"/>
      <c r="ND110" s="106"/>
      <c r="NE110" s="106"/>
      <c r="NF110" s="106"/>
      <c r="NG110" s="106"/>
      <c r="NH110" s="106"/>
      <c r="NI110" s="106"/>
      <c r="NJ110" s="106"/>
      <c r="NK110" s="106"/>
      <c r="NL110" s="106"/>
      <c r="NM110" s="106"/>
      <c r="NN110" s="106"/>
      <c r="NO110" s="106"/>
      <c r="NP110" s="106"/>
      <c r="NQ110" s="106"/>
      <c r="NR110" s="106"/>
      <c r="NS110" s="106"/>
      <c r="NT110" s="106"/>
      <c r="NU110" s="106"/>
      <c r="NV110" s="106"/>
      <c r="NW110" s="106"/>
      <c r="NX110" s="106"/>
      <c r="NY110" s="106"/>
      <c r="NZ110" s="106"/>
      <c r="OA110" s="106"/>
      <c r="OB110" s="106"/>
      <c r="OC110" s="106"/>
      <c r="OD110" s="106"/>
      <c r="OE110" s="106"/>
      <c r="OF110" s="106"/>
      <c r="OG110" s="106"/>
      <c r="OH110" s="106"/>
      <c r="OI110" s="106"/>
      <c r="OJ110" s="106"/>
      <c r="OK110" s="106"/>
      <c r="OL110" s="106"/>
      <c r="OM110" s="106"/>
      <c r="ON110" s="106"/>
      <c r="OO110" s="106"/>
      <c r="OP110" s="106"/>
      <c r="OQ110" s="106"/>
      <c r="OR110" s="106"/>
      <c r="OS110" s="106"/>
      <c r="OT110" s="106"/>
      <c r="OU110" s="106"/>
      <c r="OV110" s="106"/>
      <c r="OW110" s="106"/>
      <c r="OX110" s="106"/>
      <c r="OY110" s="106"/>
      <c r="OZ110" s="106"/>
      <c r="PA110" s="106"/>
      <c r="PB110" s="106"/>
      <c r="PC110" s="106"/>
      <c r="PD110" s="106"/>
      <c r="PE110" s="106"/>
      <c r="PF110" s="106"/>
      <c r="PG110" s="106"/>
      <c r="PH110" s="106"/>
      <c r="PI110" s="106"/>
      <c r="PJ110" s="106"/>
      <c r="PK110" s="106"/>
      <c r="PL110" s="106"/>
      <c r="PM110" s="106"/>
      <c r="PN110" s="106"/>
      <c r="PO110" s="106"/>
      <c r="PP110" s="106"/>
      <c r="PQ110" s="106"/>
      <c r="PR110" s="106"/>
      <c r="PS110" s="106"/>
      <c r="PT110" s="106"/>
      <c r="PU110" s="106"/>
      <c r="PV110" s="106"/>
      <c r="PW110" s="106"/>
      <c r="PX110" s="106"/>
      <c r="PY110" s="106"/>
      <c r="PZ110" s="106"/>
      <c r="QA110" s="106"/>
      <c r="QB110" s="106"/>
      <c r="QC110" s="106"/>
      <c r="QD110" s="106"/>
      <c r="QE110" s="106"/>
      <c r="QF110" s="106"/>
      <c r="QG110" s="106"/>
      <c r="QH110" s="106"/>
      <c r="QI110" s="106"/>
      <c r="QJ110" s="106"/>
      <c r="QK110" s="106"/>
      <c r="QL110" s="106"/>
      <c r="QM110" s="106"/>
      <c r="QN110" s="106"/>
      <c r="QO110" s="106"/>
      <c r="QP110" s="106"/>
      <c r="QQ110" s="106"/>
      <c r="QR110" s="106"/>
      <c r="QS110" s="106"/>
      <c r="QT110" s="106"/>
      <c r="QU110" s="106"/>
      <c r="QV110" s="106"/>
      <c r="QW110" s="106"/>
      <c r="QX110" s="106"/>
      <c r="QY110" s="106"/>
      <c r="QZ110" s="106"/>
      <c r="RA110" s="106"/>
      <c r="RB110" s="106"/>
      <c r="RC110" s="106"/>
      <c r="RD110" s="106"/>
      <c r="RE110" s="106"/>
      <c r="RF110" s="106"/>
      <c r="RG110" s="106"/>
      <c r="RH110" s="106"/>
      <c r="RI110" s="106"/>
      <c r="RJ110" s="106"/>
      <c r="RK110" s="106"/>
      <c r="RL110" s="106"/>
      <c r="RM110" s="106"/>
      <c r="RN110" s="106"/>
      <c r="RO110" s="106"/>
      <c r="RP110" s="106"/>
      <c r="RQ110" s="106"/>
      <c r="RR110" s="106"/>
      <c r="RS110" s="106"/>
      <c r="RT110" s="106"/>
      <c r="RU110" s="106"/>
      <c r="RV110" s="106"/>
      <c r="RW110" s="106"/>
      <c r="RX110" s="106"/>
      <c r="RY110" s="106"/>
      <c r="RZ110" s="106"/>
      <c r="SA110" s="106"/>
      <c r="SB110" s="106"/>
      <c r="SC110" s="106"/>
      <c r="SD110" s="106"/>
      <c r="SE110" s="106"/>
      <c r="SF110" s="106"/>
      <c r="SG110" s="106"/>
      <c r="SH110" s="106"/>
      <c r="SI110" s="106"/>
      <c r="SJ110" s="106"/>
      <c r="SK110" s="106"/>
      <c r="SL110" s="106"/>
      <c r="SM110" s="106"/>
      <c r="SN110" s="106"/>
      <c r="SO110" s="106"/>
      <c r="SP110" s="106"/>
      <c r="SQ110" s="106"/>
      <c r="SR110" s="106"/>
      <c r="SS110" s="106"/>
      <c r="ST110" s="106"/>
      <c r="SU110" s="106"/>
      <c r="SV110" s="106"/>
      <c r="SW110" s="106"/>
      <c r="SX110" s="106"/>
      <c r="SY110" s="106"/>
      <c r="SZ110" s="106"/>
      <c r="TA110" s="106"/>
      <c r="TB110" s="106"/>
      <c r="TC110" s="106"/>
      <c r="TD110" s="106"/>
      <c r="TE110" s="106"/>
      <c r="TF110" s="106"/>
      <c r="TG110" s="106"/>
      <c r="TH110" s="106"/>
      <c r="TI110" s="106"/>
      <c r="TJ110" s="106"/>
      <c r="TK110" s="106"/>
      <c r="TL110" s="106"/>
      <c r="TM110" s="106"/>
      <c r="TN110" s="106"/>
      <c r="TO110" s="106"/>
      <c r="TP110" s="106"/>
      <c r="TQ110" s="106"/>
      <c r="TR110" s="106"/>
      <c r="TS110" s="106"/>
      <c r="TT110" s="106"/>
      <c r="TU110" s="106"/>
      <c r="TV110" s="106"/>
      <c r="TW110" s="106"/>
      <c r="TX110" s="106"/>
      <c r="TY110" s="106"/>
      <c r="TZ110" s="106"/>
      <c r="UA110" s="106"/>
      <c r="UB110" s="106"/>
      <c r="UC110" s="106"/>
      <c r="UD110" s="106"/>
      <c r="UE110" s="106"/>
      <c r="UF110" s="106"/>
      <c r="UG110" s="106"/>
      <c r="UH110" s="106"/>
      <c r="UI110" s="106"/>
      <c r="UJ110" s="106"/>
      <c r="UK110" s="106"/>
      <c r="UL110" s="106"/>
      <c r="UM110" s="106"/>
      <c r="UN110" s="106"/>
      <c r="UO110" s="106"/>
      <c r="UP110" s="106"/>
      <c r="UQ110" s="106"/>
      <c r="UR110" s="106"/>
      <c r="US110" s="106"/>
      <c r="UT110" s="106"/>
      <c r="UU110" s="106"/>
      <c r="UV110" s="106"/>
      <c r="UW110" s="106"/>
      <c r="UX110" s="106"/>
      <c r="UY110" s="106"/>
      <c r="UZ110" s="106"/>
      <c r="VA110" s="106"/>
      <c r="VB110" s="106"/>
      <c r="VC110" s="106"/>
      <c r="VD110" s="106"/>
      <c r="VE110" s="106"/>
      <c r="VF110" s="106"/>
      <c r="VG110" s="106"/>
      <c r="VH110" s="106"/>
      <c r="VI110" s="106"/>
      <c r="VJ110" s="106"/>
      <c r="VK110" s="106"/>
      <c r="VL110" s="106"/>
      <c r="VM110" s="106"/>
      <c r="VN110" s="106"/>
      <c r="VO110" s="106"/>
      <c r="VP110" s="106"/>
      <c r="VQ110" s="106"/>
      <c r="VR110" s="106"/>
      <c r="VS110" s="106"/>
      <c r="VT110" s="106"/>
      <c r="VU110" s="106"/>
      <c r="VV110" s="106"/>
      <c r="VW110" s="106"/>
      <c r="VX110" s="106"/>
      <c r="VY110" s="106"/>
      <c r="VZ110" s="106"/>
      <c r="WA110" s="106"/>
      <c r="WB110" s="106"/>
      <c r="WC110" s="106"/>
      <c r="WD110" s="106"/>
      <c r="WE110" s="106"/>
      <c r="WF110" s="106"/>
      <c r="WG110" s="106"/>
      <c r="WH110" s="106"/>
      <c r="WI110" s="106"/>
      <c r="WJ110" s="106"/>
      <c r="WK110" s="106"/>
      <c r="WL110" s="106"/>
      <c r="WM110" s="106"/>
      <c r="WN110" s="106"/>
      <c r="WO110" s="106"/>
      <c r="WP110" s="106"/>
      <c r="WQ110" s="106"/>
      <c r="WR110" s="106"/>
      <c r="WS110" s="106"/>
      <c r="WT110" s="106"/>
      <c r="WU110" s="106"/>
      <c r="WV110" s="106"/>
      <c r="WW110" s="106"/>
      <c r="WX110" s="106"/>
      <c r="WY110" s="106"/>
      <c r="WZ110" s="106"/>
      <c r="XA110" s="106"/>
      <c r="XB110" s="106"/>
      <c r="XC110" s="106"/>
      <c r="XD110" s="106"/>
      <c r="XE110" s="106"/>
      <c r="XF110" s="106"/>
      <c r="XG110" s="106"/>
      <c r="XH110" s="106"/>
      <c r="XI110" s="106"/>
      <c r="XJ110" s="106"/>
      <c r="XK110" s="106"/>
      <c r="XL110" s="106"/>
      <c r="XM110" s="106"/>
      <c r="XN110" s="106"/>
      <c r="XO110" s="106"/>
      <c r="XP110" s="106"/>
      <c r="XQ110" s="106"/>
      <c r="XR110" s="106"/>
      <c r="XS110" s="106"/>
      <c r="XT110" s="106"/>
      <c r="XU110" s="106"/>
      <c r="XV110" s="106"/>
      <c r="XW110" s="106"/>
      <c r="XX110" s="106"/>
      <c r="XY110" s="106"/>
      <c r="XZ110" s="106"/>
      <c r="YA110" s="106"/>
      <c r="YB110" s="106"/>
      <c r="YC110" s="106"/>
      <c r="YD110" s="106"/>
      <c r="YE110" s="106"/>
      <c r="YF110" s="106"/>
      <c r="YG110" s="106"/>
      <c r="YH110" s="106"/>
      <c r="YI110" s="106"/>
      <c r="YJ110" s="106"/>
      <c r="YK110" s="106"/>
      <c r="YL110" s="106"/>
      <c r="YM110" s="106"/>
      <c r="YN110" s="106"/>
      <c r="YO110" s="106"/>
      <c r="YP110" s="106"/>
      <c r="YQ110" s="106"/>
      <c r="YR110" s="106"/>
      <c r="YS110" s="106"/>
      <c r="YT110" s="106"/>
      <c r="YU110" s="106"/>
      <c r="YV110" s="106"/>
      <c r="YW110" s="106"/>
      <c r="YX110" s="106"/>
      <c r="YY110" s="106"/>
      <c r="YZ110" s="106"/>
      <c r="ZA110" s="106"/>
      <c r="ZB110" s="106"/>
      <c r="ZC110" s="106"/>
      <c r="ZD110" s="106"/>
      <c r="ZE110" s="106"/>
      <c r="ZF110" s="106"/>
      <c r="ZG110" s="106"/>
      <c r="ZH110" s="106"/>
      <c r="ZI110" s="106"/>
      <c r="ZJ110" s="106"/>
      <c r="ZK110" s="106"/>
      <c r="ZL110" s="106"/>
      <c r="ZM110" s="106"/>
      <c r="ZN110" s="106"/>
      <c r="ZO110" s="106"/>
      <c r="ZP110" s="106"/>
      <c r="ZQ110" s="106"/>
      <c r="ZR110" s="106"/>
      <c r="ZS110" s="106"/>
      <c r="ZT110" s="106"/>
      <c r="ZU110" s="106"/>
      <c r="ZV110" s="106"/>
      <c r="ZW110" s="106"/>
      <c r="ZX110" s="106"/>
      <c r="ZY110" s="106"/>
      <c r="ZZ110" s="106"/>
      <c r="AAA110" s="106"/>
      <c r="AAB110" s="106"/>
      <c r="AAC110" s="106"/>
      <c r="AAD110" s="106"/>
      <c r="AAE110" s="106"/>
      <c r="AAF110" s="106"/>
      <c r="AAG110" s="106"/>
      <c r="AAH110" s="106"/>
      <c r="AAI110" s="106"/>
      <c r="AAJ110" s="106"/>
      <c r="AAK110" s="106"/>
      <c r="AAL110" s="106"/>
      <c r="AAM110" s="106"/>
      <c r="AAN110" s="106"/>
      <c r="AAO110" s="106"/>
      <c r="AAP110" s="106"/>
      <c r="AAQ110" s="106"/>
      <c r="AAR110" s="106"/>
      <c r="AAS110" s="106"/>
      <c r="AAT110" s="106"/>
      <c r="AAU110" s="106"/>
      <c r="AAV110" s="106"/>
      <c r="AAW110" s="106"/>
      <c r="AAX110" s="106"/>
      <c r="AAY110" s="106"/>
      <c r="AAZ110" s="106"/>
      <c r="ABA110" s="106"/>
      <c r="ABB110" s="106"/>
      <c r="ABC110" s="106"/>
      <c r="ABD110" s="106"/>
      <c r="ABE110" s="106"/>
      <c r="ABF110" s="106"/>
      <c r="ABG110" s="106"/>
      <c r="ABH110" s="106"/>
      <c r="ABI110" s="106"/>
      <c r="ABJ110" s="106"/>
      <c r="ABK110" s="106"/>
      <c r="ABL110" s="106"/>
      <c r="ABM110" s="106"/>
      <c r="ABN110" s="106"/>
      <c r="ABO110" s="106"/>
      <c r="ABP110" s="106"/>
      <c r="ABQ110" s="106"/>
      <c r="ABR110" s="106"/>
      <c r="ABS110" s="106"/>
      <c r="ABT110" s="106"/>
      <c r="ABU110" s="106"/>
      <c r="ABV110" s="106"/>
      <c r="ABW110" s="106"/>
      <c r="ABX110" s="106"/>
      <c r="ABY110" s="106"/>
      <c r="ABZ110" s="106"/>
      <c r="ACA110" s="106"/>
      <c r="ACB110" s="106"/>
      <c r="ACC110" s="106"/>
      <c r="ACD110" s="106"/>
      <c r="ACE110" s="106"/>
      <c r="ACF110" s="106"/>
      <c r="ACG110" s="106"/>
      <c r="ACH110" s="106"/>
      <c r="ACI110" s="106"/>
      <c r="ACJ110" s="106"/>
      <c r="ACK110" s="106"/>
      <c r="ACL110" s="106"/>
      <c r="ACM110" s="106"/>
      <c r="ACN110" s="106"/>
      <c r="ACO110" s="106"/>
      <c r="ACP110" s="106"/>
      <c r="ACQ110" s="106"/>
      <c r="ACR110" s="106"/>
      <c r="ACS110" s="106"/>
      <c r="ACT110" s="106"/>
      <c r="ACU110" s="106"/>
      <c r="ACV110" s="106"/>
      <c r="ACW110" s="106"/>
      <c r="ACX110" s="106"/>
      <c r="ACY110" s="106"/>
      <c r="ACZ110" s="106"/>
      <c r="ADA110" s="106"/>
      <c r="ADB110" s="106"/>
      <c r="ADC110" s="106"/>
      <c r="ADD110" s="106"/>
      <c r="ADE110" s="106"/>
      <c r="ADF110" s="106"/>
      <c r="ADG110" s="106"/>
      <c r="ADH110" s="106"/>
      <c r="ADI110" s="106"/>
      <c r="ADJ110" s="106"/>
      <c r="ADK110" s="106"/>
      <c r="ADL110" s="106"/>
      <c r="ADM110" s="106"/>
      <c r="ADN110" s="106"/>
      <c r="ADO110" s="106"/>
      <c r="ADP110" s="106"/>
      <c r="ADQ110" s="106"/>
      <c r="ADR110" s="106"/>
      <c r="ADS110" s="106"/>
      <c r="ADT110" s="106"/>
      <c r="ADU110" s="106"/>
      <c r="ADV110" s="106"/>
      <c r="ADW110" s="106"/>
      <c r="ADX110" s="106"/>
      <c r="ADY110" s="106"/>
      <c r="ADZ110" s="106"/>
      <c r="AEA110" s="106"/>
      <c r="AEB110" s="106"/>
      <c r="AEC110" s="106"/>
      <c r="AED110" s="106"/>
      <c r="AEE110" s="106"/>
      <c r="AEF110" s="106"/>
      <c r="AEG110" s="106"/>
      <c r="AEH110" s="106"/>
      <c r="AEI110" s="106"/>
      <c r="AEJ110" s="106"/>
      <c r="AEK110" s="106"/>
      <c r="AEL110" s="106"/>
      <c r="AEM110" s="106"/>
      <c r="AEN110" s="106"/>
      <c r="AEO110" s="106"/>
      <c r="AEP110" s="106"/>
      <c r="AEQ110" s="106"/>
      <c r="AER110" s="106"/>
      <c r="AES110" s="106"/>
      <c r="AET110" s="106"/>
      <c r="AEU110" s="106"/>
      <c r="AEV110" s="106"/>
      <c r="AEW110" s="106"/>
      <c r="AEX110" s="106"/>
      <c r="AEY110" s="106"/>
      <c r="AEZ110" s="106"/>
      <c r="AFA110" s="106"/>
      <c r="AFB110" s="106"/>
      <c r="AFC110" s="106"/>
      <c r="AFD110" s="106"/>
      <c r="AFE110" s="106"/>
      <c r="AFF110" s="106"/>
      <c r="AFG110" s="106"/>
      <c r="AFH110" s="106"/>
      <c r="AFI110" s="106"/>
      <c r="AFJ110" s="106"/>
      <c r="AFK110" s="106"/>
      <c r="AFL110" s="106"/>
      <c r="AFM110" s="106"/>
      <c r="AFN110" s="106"/>
      <c r="AFO110" s="106"/>
      <c r="AFP110" s="106"/>
      <c r="AFQ110" s="106"/>
      <c r="AFR110" s="106"/>
      <c r="AFS110" s="106"/>
      <c r="AFT110" s="106"/>
      <c r="AFU110" s="106"/>
      <c r="AFV110" s="106"/>
      <c r="AFW110" s="106"/>
      <c r="AFX110" s="106"/>
      <c r="AFY110" s="106"/>
      <c r="AFZ110" s="106"/>
      <c r="AGA110" s="106"/>
      <c r="AGB110" s="106"/>
      <c r="AGC110" s="106"/>
      <c r="AGD110" s="106"/>
      <c r="AGE110" s="106"/>
      <c r="AGF110" s="106"/>
      <c r="AGG110" s="106"/>
      <c r="AGH110" s="106"/>
      <c r="AGI110" s="106"/>
      <c r="AGJ110" s="106"/>
      <c r="AGK110" s="106"/>
      <c r="AGL110" s="106"/>
      <c r="AGM110" s="106"/>
      <c r="AGN110" s="106"/>
      <c r="AGO110" s="106"/>
      <c r="AGP110" s="106"/>
      <c r="AGQ110" s="106"/>
      <c r="AGR110" s="106"/>
      <c r="AGS110" s="106"/>
      <c r="AGT110" s="106"/>
      <c r="AGU110" s="106"/>
      <c r="AGV110" s="106"/>
      <c r="AGW110" s="106"/>
      <c r="AGX110" s="106"/>
      <c r="AGY110" s="106"/>
      <c r="AGZ110" s="106"/>
      <c r="AHA110" s="106"/>
      <c r="AHB110" s="106"/>
      <c r="AHC110" s="106"/>
      <c r="AHD110" s="106"/>
      <c r="AHE110" s="106"/>
      <c r="AHF110" s="106"/>
      <c r="AHG110" s="106"/>
      <c r="AHH110" s="106"/>
      <c r="AHI110" s="106"/>
      <c r="AHJ110" s="106"/>
      <c r="AHK110" s="106"/>
      <c r="AHL110" s="106"/>
      <c r="AHM110" s="106"/>
      <c r="AHN110" s="106"/>
      <c r="AHO110" s="106"/>
      <c r="AHP110" s="106"/>
      <c r="AHQ110" s="106"/>
      <c r="AHR110" s="106"/>
      <c r="AHS110" s="106"/>
      <c r="AHT110" s="106"/>
      <c r="AHU110" s="106"/>
      <c r="AHV110" s="106"/>
      <c r="AHW110" s="106"/>
      <c r="AHX110" s="106"/>
      <c r="AHY110" s="106"/>
      <c r="AHZ110" s="106"/>
      <c r="AIA110" s="106"/>
      <c r="AIB110" s="106"/>
      <c r="AIC110" s="106"/>
      <c r="AID110" s="106"/>
      <c r="AIE110" s="106"/>
      <c r="AIF110" s="106"/>
      <c r="AIG110" s="106"/>
      <c r="AIH110" s="106"/>
      <c r="AII110" s="106"/>
      <c r="AIJ110" s="106"/>
      <c r="AIK110" s="106"/>
      <c r="AIL110" s="106"/>
      <c r="AIM110" s="106"/>
      <c r="AIN110" s="106"/>
      <c r="AIO110" s="106"/>
      <c r="AIP110" s="106"/>
      <c r="AIQ110" s="106"/>
      <c r="AIR110" s="106"/>
      <c r="AIS110" s="106"/>
      <c r="AIT110" s="106"/>
      <c r="AIU110" s="106"/>
      <c r="AIV110" s="106"/>
      <c r="AIW110" s="106"/>
      <c r="AIX110" s="106"/>
      <c r="AIY110" s="106"/>
      <c r="AIZ110" s="106"/>
      <c r="AJA110" s="106"/>
      <c r="AJB110" s="106"/>
      <c r="AJC110" s="106"/>
      <c r="AJD110" s="106"/>
      <c r="AJE110" s="106"/>
      <c r="AJF110" s="106"/>
      <c r="AJG110" s="106"/>
      <c r="AJH110" s="106"/>
      <c r="AJI110" s="106"/>
      <c r="AJJ110" s="106"/>
      <c r="AJK110" s="106"/>
      <c r="AJL110" s="106"/>
      <c r="AJM110" s="106"/>
      <c r="AJN110" s="106"/>
      <c r="AJO110" s="106"/>
      <c r="AJP110" s="106"/>
      <c r="AJQ110" s="106"/>
      <c r="AJR110" s="106"/>
      <c r="AJS110" s="106"/>
      <c r="AJT110" s="106"/>
      <c r="AJU110" s="106"/>
      <c r="AJV110" s="106"/>
      <c r="AJW110" s="106"/>
      <c r="AJX110" s="106"/>
      <c r="AJY110" s="106"/>
      <c r="AJZ110" s="106"/>
      <c r="AKA110" s="106"/>
      <c r="AKB110" s="106"/>
      <c r="AKC110" s="106"/>
      <c r="AKD110" s="106"/>
      <c r="AKE110" s="106"/>
      <c r="AKF110" s="106"/>
      <c r="AKG110" s="106"/>
      <c r="AKH110" s="106"/>
      <c r="AKI110" s="106"/>
      <c r="AKJ110" s="106"/>
      <c r="AKK110" s="106"/>
      <c r="AKL110" s="106"/>
      <c r="AKM110" s="106"/>
      <c r="AKN110" s="106"/>
      <c r="AKO110" s="106"/>
      <c r="AKP110" s="106"/>
      <c r="AKQ110" s="106"/>
      <c r="AKR110" s="106"/>
      <c r="AKS110" s="106"/>
      <c r="AKT110" s="106"/>
      <c r="AKU110" s="106"/>
      <c r="AKV110" s="106"/>
      <c r="AKW110" s="106"/>
      <c r="AKX110" s="106"/>
      <c r="AKY110" s="106"/>
      <c r="AKZ110" s="106"/>
      <c r="ALA110" s="106"/>
      <c r="ALB110" s="106"/>
      <c r="ALC110" s="106"/>
      <c r="ALD110" s="106"/>
      <c r="ALE110" s="106"/>
      <c r="ALF110" s="106"/>
      <c r="ALG110" s="106"/>
      <c r="ALH110" s="106"/>
    </row>
    <row r="111" spans="1:996" s="75" customFormat="1" ht="15.75" customHeight="1">
      <c r="A111" s="104"/>
      <c r="B111" s="75" t="str">
        <f t="shared" si="5"/>
        <v>S112402</v>
      </c>
      <c r="C111" s="396" t="s">
        <v>606</v>
      </c>
      <c r="D111" s="27" t="s">
        <v>128</v>
      </c>
      <c r="E111" s="75">
        <v>112402</v>
      </c>
      <c r="F111" s="105" t="s">
        <v>90</v>
      </c>
      <c r="G111" s="74">
        <f>IFERROR(VLOOKUP(E111,'BD - E - Mvto Cx'!$E$15:$G$500,3,0),0)</f>
        <v>136662.14000000001</v>
      </c>
      <c r="H111" s="72">
        <f>IFERROR(VLOOKUP(E111,'BD - E - Mvto Cx'!$N$15:$P$500,3,0),0)</f>
        <v>102592.19</v>
      </c>
      <c r="I111" s="73">
        <f>IFERROR(VLOOKUP(E111,'BD - E - Mvto Cx'!$W$15:$Y$497,3,0),0)</f>
        <v>108251.07</v>
      </c>
      <c r="J111" s="73">
        <f>IFERROR(VLOOKUP(E111,'BD - E - Mvto Cx'!$AF$15:$AI$500,3,0),0)</f>
        <v>105356.18</v>
      </c>
      <c r="K111" s="73">
        <f>IFERROR(VLOOKUP(E111,'BD - E - Mvto Cx'!$AO$15:$AQ$500,3,0),0)</f>
        <v>0</v>
      </c>
      <c r="L111" s="73">
        <f>IFERROR(VLOOKUP(E111,'BD - E - Mvto Cx'!$AX$15:$AZ$500,3,0),0)</f>
        <v>0</v>
      </c>
      <c r="M111" s="73">
        <f>IFERROR(VLOOKUP(E111,'BD - E - Mvto Cx'!$BJ$15:$BL$500,3,0),0)</f>
        <v>0</v>
      </c>
      <c r="N111" s="73">
        <f>IFERROR(VLOOKUP(E111,'BD - E - Mvto Cx'!$BS$15:$BU$500,3,0),0)</f>
        <v>0</v>
      </c>
      <c r="O111" s="73">
        <f>IFERROR(VLOOKUP(E111,'BD - E - Mvto Cx'!$CB$15:$CD$500,3,0),0)</f>
        <v>0</v>
      </c>
      <c r="P111" s="73">
        <f>IFERROR(VLOOKUP(E111,'BD - E - Mvto Cx'!$CK$15:$CM$500,3,0),0)</f>
        <v>0</v>
      </c>
      <c r="Q111" s="73">
        <f>IFERROR(VLOOKUP(E111,'BD - E - Mvto Cx'!$CT$15:$CV$500,3,0),0)</f>
        <v>0</v>
      </c>
      <c r="R111" s="73">
        <f>IFERROR(VLOOKUP(E111,'BD - E - Mvto Cx'!$DC$15:$DE$500,3,0),0)</f>
        <v>0</v>
      </c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  <c r="CZ111" s="106"/>
      <c r="DA111" s="106"/>
      <c r="DB111" s="106"/>
      <c r="DC111" s="106"/>
      <c r="DD111" s="106"/>
      <c r="DE111" s="106"/>
      <c r="DF111" s="106"/>
      <c r="DG111" s="106"/>
      <c r="DH111" s="106"/>
      <c r="DI111" s="106"/>
      <c r="DJ111" s="106"/>
      <c r="DK111" s="106"/>
      <c r="DL111" s="106"/>
      <c r="DM111" s="106"/>
      <c r="DN111" s="106"/>
      <c r="DO111" s="106"/>
      <c r="DP111" s="106"/>
      <c r="DQ111" s="106"/>
      <c r="DR111" s="106"/>
      <c r="DS111" s="106"/>
      <c r="DT111" s="106"/>
      <c r="DU111" s="106"/>
      <c r="DV111" s="106"/>
      <c r="DW111" s="106"/>
      <c r="DX111" s="106"/>
      <c r="DY111" s="106"/>
      <c r="DZ111" s="106"/>
      <c r="EA111" s="106"/>
      <c r="EB111" s="106"/>
      <c r="EC111" s="106"/>
      <c r="ED111" s="106"/>
      <c r="EE111" s="106"/>
      <c r="EF111" s="106"/>
      <c r="EG111" s="106"/>
      <c r="EH111" s="106"/>
      <c r="EI111" s="106"/>
      <c r="EJ111" s="106"/>
      <c r="EK111" s="106"/>
      <c r="EL111" s="106"/>
      <c r="EM111" s="106"/>
      <c r="EN111" s="106"/>
      <c r="EO111" s="106"/>
      <c r="EP111" s="106"/>
      <c r="EQ111" s="106"/>
      <c r="ER111" s="106"/>
      <c r="ES111" s="106"/>
      <c r="ET111" s="106"/>
      <c r="EU111" s="106"/>
      <c r="EV111" s="106"/>
      <c r="EW111" s="106"/>
      <c r="EX111" s="106"/>
      <c r="EY111" s="106"/>
      <c r="EZ111" s="106"/>
      <c r="FA111" s="106"/>
      <c r="FB111" s="106"/>
      <c r="FC111" s="106"/>
      <c r="FD111" s="106"/>
      <c r="FE111" s="106"/>
      <c r="FF111" s="106"/>
      <c r="FG111" s="106"/>
      <c r="FH111" s="106"/>
      <c r="FI111" s="106"/>
      <c r="FJ111" s="106"/>
      <c r="FK111" s="106"/>
      <c r="FL111" s="106"/>
      <c r="FM111" s="106"/>
      <c r="FN111" s="106"/>
      <c r="FO111" s="106"/>
      <c r="FP111" s="106"/>
      <c r="FQ111" s="106"/>
      <c r="FR111" s="106"/>
      <c r="FS111" s="106"/>
      <c r="FT111" s="106"/>
      <c r="FU111" s="106"/>
      <c r="FV111" s="106"/>
      <c r="FW111" s="106"/>
      <c r="FX111" s="106"/>
      <c r="FY111" s="106"/>
      <c r="FZ111" s="106"/>
      <c r="GA111" s="106"/>
      <c r="GB111" s="106"/>
      <c r="GC111" s="106"/>
      <c r="GD111" s="106"/>
      <c r="GE111" s="106"/>
      <c r="GF111" s="106"/>
      <c r="GG111" s="106"/>
      <c r="GH111" s="106"/>
      <c r="GI111" s="106"/>
      <c r="GJ111" s="106"/>
      <c r="GK111" s="106"/>
      <c r="GL111" s="106"/>
      <c r="GM111" s="106"/>
      <c r="GN111" s="106"/>
      <c r="GO111" s="106"/>
      <c r="GP111" s="106"/>
      <c r="GQ111" s="106"/>
      <c r="GR111" s="106"/>
      <c r="GS111" s="106"/>
      <c r="GT111" s="106"/>
      <c r="GU111" s="106"/>
      <c r="GV111" s="106"/>
      <c r="GW111" s="106"/>
      <c r="GX111" s="106"/>
      <c r="GY111" s="106"/>
      <c r="GZ111" s="106"/>
      <c r="HA111" s="106"/>
      <c r="HB111" s="106"/>
      <c r="HC111" s="106"/>
      <c r="HD111" s="106"/>
      <c r="HE111" s="106"/>
      <c r="HF111" s="106"/>
      <c r="HG111" s="106"/>
      <c r="HH111" s="106"/>
      <c r="HI111" s="106"/>
      <c r="HJ111" s="106"/>
      <c r="HK111" s="106"/>
      <c r="HL111" s="106"/>
      <c r="HM111" s="106"/>
      <c r="HN111" s="106"/>
      <c r="HO111" s="106"/>
      <c r="HP111" s="106"/>
      <c r="HQ111" s="106"/>
      <c r="HR111" s="106"/>
      <c r="HS111" s="106"/>
      <c r="HT111" s="106"/>
      <c r="HU111" s="106"/>
      <c r="HV111" s="106"/>
      <c r="HW111" s="106"/>
      <c r="HX111" s="106"/>
      <c r="HY111" s="106"/>
      <c r="HZ111" s="106"/>
      <c r="IA111" s="106"/>
      <c r="IB111" s="106"/>
      <c r="IC111" s="106"/>
      <c r="ID111" s="106"/>
      <c r="IE111" s="106"/>
      <c r="IF111" s="106"/>
      <c r="IG111" s="106"/>
      <c r="IH111" s="106"/>
      <c r="II111" s="106"/>
      <c r="IJ111" s="106"/>
      <c r="IK111" s="106"/>
      <c r="IL111" s="106"/>
      <c r="IM111" s="106"/>
      <c r="IN111" s="106"/>
      <c r="IO111" s="106"/>
      <c r="IP111" s="106"/>
      <c r="IQ111" s="106"/>
      <c r="IR111" s="106"/>
      <c r="IS111" s="106"/>
      <c r="IT111" s="106"/>
      <c r="IU111" s="106"/>
      <c r="IV111" s="106"/>
      <c r="IW111" s="106"/>
      <c r="IX111" s="106"/>
      <c r="IY111" s="106"/>
      <c r="IZ111" s="106"/>
      <c r="JA111" s="106"/>
      <c r="JB111" s="106"/>
      <c r="JC111" s="106"/>
      <c r="JD111" s="106"/>
      <c r="JE111" s="106"/>
      <c r="JF111" s="106"/>
      <c r="JG111" s="106"/>
      <c r="JH111" s="106"/>
      <c r="JI111" s="106"/>
      <c r="JJ111" s="106"/>
      <c r="JK111" s="106"/>
      <c r="JL111" s="106"/>
      <c r="JM111" s="106"/>
      <c r="JN111" s="106"/>
      <c r="JO111" s="106"/>
      <c r="JP111" s="106"/>
      <c r="JQ111" s="106"/>
      <c r="JR111" s="106"/>
      <c r="JS111" s="106"/>
      <c r="JT111" s="106"/>
      <c r="JU111" s="106"/>
      <c r="JV111" s="106"/>
      <c r="JW111" s="106"/>
      <c r="JX111" s="106"/>
      <c r="JY111" s="106"/>
      <c r="JZ111" s="106"/>
      <c r="KA111" s="106"/>
      <c r="KB111" s="106"/>
      <c r="KC111" s="106"/>
      <c r="KD111" s="106"/>
      <c r="KE111" s="106"/>
      <c r="KF111" s="106"/>
      <c r="KG111" s="106"/>
      <c r="KH111" s="106"/>
      <c r="KI111" s="106"/>
      <c r="KJ111" s="106"/>
      <c r="KK111" s="106"/>
      <c r="KL111" s="106"/>
      <c r="KM111" s="106"/>
      <c r="KN111" s="106"/>
      <c r="KO111" s="106"/>
      <c r="KP111" s="106"/>
      <c r="KQ111" s="106"/>
      <c r="KR111" s="106"/>
      <c r="KS111" s="106"/>
      <c r="KT111" s="106"/>
      <c r="KU111" s="106"/>
      <c r="KV111" s="106"/>
      <c r="KW111" s="106"/>
      <c r="KX111" s="106"/>
      <c r="KY111" s="106"/>
      <c r="KZ111" s="106"/>
      <c r="LA111" s="106"/>
      <c r="LB111" s="106"/>
      <c r="LC111" s="106"/>
      <c r="LD111" s="106"/>
      <c r="LE111" s="106"/>
      <c r="LF111" s="106"/>
      <c r="LG111" s="106"/>
      <c r="LH111" s="106"/>
      <c r="LI111" s="106"/>
      <c r="LJ111" s="106"/>
      <c r="LK111" s="106"/>
      <c r="LL111" s="106"/>
      <c r="LM111" s="106"/>
      <c r="LN111" s="106"/>
      <c r="LO111" s="106"/>
      <c r="LP111" s="106"/>
      <c r="LQ111" s="106"/>
      <c r="LR111" s="106"/>
      <c r="LS111" s="106"/>
      <c r="LT111" s="106"/>
      <c r="LU111" s="106"/>
      <c r="LV111" s="106"/>
      <c r="LW111" s="106"/>
      <c r="LX111" s="106"/>
      <c r="LY111" s="106"/>
      <c r="LZ111" s="106"/>
      <c r="MA111" s="106"/>
      <c r="MB111" s="106"/>
      <c r="MC111" s="106"/>
      <c r="MD111" s="106"/>
      <c r="ME111" s="106"/>
      <c r="MF111" s="106"/>
      <c r="MG111" s="106"/>
      <c r="MH111" s="106"/>
      <c r="MI111" s="106"/>
      <c r="MJ111" s="106"/>
      <c r="MK111" s="106"/>
      <c r="ML111" s="106"/>
      <c r="MM111" s="106"/>
      <c r="MN111" s="106"/>
      <c r="MO111" s="106"/>
      <c r="MP111" s="106"/>
      <c r="MQ111" s="106"/>
      <c r="MR111" s="106"/>
      <c r="MS111" s="106"/>
      <c r="MT111" s="106"/>
      <c r="MU111" s="106"/>
      <c r="MV111" s="106"/>
      <c r="MW111" s="106"/>
      <c r="MX111" s="106"/>
      <c r="MY111" s="106"/>
      <c r="MZ111" s="106"/>
      <c r="NA111" s="106"/>
      <c r="NB111" s="106"/>
      <c r="NC111" s="106"/>
      <c r="ND111" s="106"/>
      <c r="NE111" s="106"/>
      <c r="NF111" s="106"/>
      <c r="NG111" s="106"/>
      <c r="NH111" s="106"/>
      <c r="NI111" s="106"/>
      <c r="NJ111" s="106"/>
      <c r="NK111" s="106"/>
      <c r="NL111" s="106"/>
      <c r="NM111" s="106"/>
      <c r="NN111" s="106"/>
      <c r="NO111" s="106"/>
      <c r="NP111" s="106"/>
      <c r="NQ111" s="106"/>
      <c r="NR111" s="106"/>
      <c r="NS111" s="106"/>
      <c r="NT111" s="106"/>
      <c r="NU111" s="106"/>
      <c r="NV111" s="106"/>
      <c r="NW111" s="106"/>
      <c r="NX111" s="106"/>
      <c r="NY111" s="106"/>
      <c r="NZ111" s="106"/>
      <c r="OA111" s="106"/>
      <c r="OB111" s="106"/>
      <c r="OC111" s="106"/>
      <c r="OD111" s="106"/>
      <c r="OE111" s="106"/>
      <c r="OF111" s="106"/>
      <c r="OG111" s="106"/>
      <c r="OH111" s="106"/>
      <c r="OI111" s="106"/>
      <c r="OJ111" s="106"/>
      <c r="OK111" s="106"/>
      <c r="OL111" s="106"/>
      <c r="OM111" s="106"/>
      <c r="ON111" s="106"/>
      <c r="OO111" s="106"/>
      <c r="OP111" s="106"/>
      <c r="OQ111" s="106"/>
      <c r="OR111" s="106"/>
      <c r="OS111" s="106"/>
      <c r="OT111" s="106"/>
      <c r="OU111" s="106"/>
      <c r="OV111" s="106"/>
      <c r="OW111" s="106"/>
      <c r="OX111" s="106"/>
      <c r="OY111" s="106"/>
      <c r="OZ111" s="106"/>
      <c r="PA111" s="106"/>
      <c r="PB111" s="106"/>
      <c r="PC111" s="106"/>
      <c r="PD111" s="106"/>
      <c r="PE111" s="106"/>
      <c r="PF111" s="106"/>
      <c r="PG111" s="106"/>
      <c r="PH111" s="106"/>
      <c r="PI111" s="106"/>
      <c r="PJ111" s="106"/>
      <c r="PK111" s="106"/>
      <c r="PL111" s="106"/>
      <c r="PM111" s="106"/>
      <c r="PN111" s="106"/>
      <c r="PO111" s="106"/>
      <c r="PP111" s="106"/>
      <c r="PQ111" s="106"/>
      <c r="PR111" s="106"/>
      <c r="PS111" s="106"/>
      <c r="PT111" s="106"/>
      <c r="PU111" s="106"/>
      <c r="PV111" s="106"/>
      <c r="PW111" s="106"/>
      <c r="PX111" s="106"/>
      <c r="PY111" s="106"/>
      <c r="PZ111" s="106"/>
      <c r="QA111" s="106"/>
      <c r="QB111" s="106"/>
      <c r="QC111" s="106"/>
      <c r="QD111" s="106"/>
      <c r="QE111" s="106"/>
      <c r="QF111" s="106"/>
      <c r="QG111" s="106"/>
      <c r="QH111" s="106"/>
      <c r="QI111" s="106"/>
      <c r="QJ111" s="106"/>
      <c r="QK111" s="106"/>
      <c r="QL111" s="106"/>
      <c r="QM111" s="106"/>
      <c r="QN111" s="106"/>
      <c r="QO111" s="106"/>
      <c r="QP111" s="106"/>
      <c r="QQ111" s="106"/>
      <c r="QR111" s="106"/>
      <c r="QS111" s="106"/>
      <c r="QT111" s="106"/>
      <c r="QU111" s="106"/>
      <c r="QV111" s="106"/>
      <c r="QW111" s="106"/>
      <c r="QX111" s="106"/>
      <c r="QY111" s="106"/>
      <c r="QZ111" s="106"/>
      <c r="RA111" s="106"/>
      <c r="RB111" s="106"/>
      <c r="RC111" s="106"/>
      <c r="RD111" s="106"/>
      <c r="RE111" s="106"/>
      <c r="RF111" s="106"/>
      <c r="RG111" s="106"/>
      <c r="RH111" s="106"/>
      <c r="RI111" s="106"/>
      <c r="RJ111" s="106"/>
      <c r="RK111" s="106"/>
      <c r="RL111" s="106"/>
      <c r="RM111" s="106"/>
      <c r="RN111" s="106"/>
      <c r="RO111" s="106"/>
      <c r="RP111" s="106"/>
      <c r="RQ111" s="106"/>
      <c r="RR111" s="106"/>
      <c r="RS111" s="106"/>
      <c r="RT111" s="106"/>
      <c r="RU111" s="106"/>
      <c r="RV111" s="106"/>
      <c r="RW111" s="106"/>
      <c r="RX111" s="106"/>
      <c r="RY111" s="106"/>
      <c r="RZ111" s="106"/>
      <c r="SA111" s="106"/>
      <c r="SB111" s="106"/>
      <c r="SC111" s="106"/>
      <c r="SD111" s="106"/>
      <c r="SE111" s="106"/>
      <c r="SF111" s="106"/>
      <c r="SG111" s="106"/>
      <c r="SH111" s="106"/>
      <c r="SI111" s="106"/>
      <c r="SJ111" s="106"/>
      <c r="SK111" s="106"/>
      <c r="SL111" s="106"/>
      <c r="SM111" s="106"/>
      <c r="SN111" s="106"/>
      <c r="SO111" s="106"/>
      <c r="SP111" s="106"/>
      <c r="SQ111" s="106"/>
      <c r="SR111" s="106"/>
      <c r="SS111" s="106"/>
      <c r="ST111" s="106"/>
      <c r="SU111" s="106"/>
      <c r="SV111" s="106"/>
      <c r="SW111" s="106"/>
      <c r="SX111" s="106"/>
      <c r="SY111" s="106"/>
      <c r="SZ111" s="106"/>
      <c r="TA111" s="106"/>
      <c r="TB111" s="106"/>
      <c r="TC111" s="106"/>
      <c r="TD111" s="106"/>
      <c r="TE111" s="106"/>
      <c r="TF111" s="106"/>
      <c r="TG111" s="106"/>
      <c r="TH111" s="106"/>
      <c r="TI111" s="106"/>
      <c r="TJ111" s="106"/>
      <c r="TK111" s="106"/>
      <c r="TL111" s="106"/>
      <c r="TM111" s="106"/>
      <c r="TN111" s="106"/>
      <c r="TO111" s="106"/>
      <c r="TP111" s="106"/>
      <c r="TQ111" s="106"/>
      <c r="TR111" s="106"/>
      <c r="TS111" s="106"/>
      <c r="TT111" s="106"/>
      <c r="TU111" s="106"/>
      <c r="TV111" s="106"/>
      <c r="TW111" s="106"/>
      <c r="TX111" s="106"/>
      <c r="TY111" s="106"/>
      <c r="TZ111" s="106"/>
      <c r="UA111" s="106"/>
      <c r="UB111" s="106"/>
      <c r="UC111" s="106"/>
      <c r="UD111" s="106"/>
      <c r="UE111" s="106"/>
      <c r="UF111" s="106"/>
      <c r="UG111" s="106"/>
      <c r="UH111" s="106"/>
      <c r="UI111" s="106"/>
      <c r="UJ111" s="106"/>
      <c r="UK111" s="106"/>
      <c r="UL111" s="106"/>
      <c r="UM111" s="106"/>
      <c r="UN111" s="106"/>
      <c r="UO111" s="106"/>
      <c r="UP111" s="106"/>
      <c r="UQ111" s="106"/>
      <c r="UR111" s="106"/>
      <c r="US111" s="106"/>
      <c r="UT111" s="106"/>
      <c r="UU111" s="106"/>
      <c r="UV111" s="106"/>
      <c r="UW111" s="106"/>
      <c r="UX111" s="106"/>
      <c r="UY111" s="106"/>
      <c r="UZ111" s="106"/>
      <c r="VA111" s="106"/>
      <c r="VB111" s="106"/>
      <c r="VC111" s="106"/>
      <c r="VD111" s="106"/>
      <c r="VE111" s="106"/>
      <c r="VF111" s="106"/>
      <c r="VG111" s="106"/>
      <c r="VH111" s="106"/>
      <c r="VI111" s="106"/>
      <c r="VJ111" s="106"/>
      <c r="VK111" s="106"/>
      <c r="VL111" s="106"/>
      <c r="VM111" s="106"/>
      <c r="VN111" s="106"/>
      <c r="VO111" s="106"/>
      <c r="VP111" s="106"/>
      <c r="VQ111" s="106"/>
      <c r="VR111" s="106"/>
      <c r="VS111" s="106"/>
      <c r="VT111" s="106"/>
      <c r="VU111" s="106"/>
      <c r="VV111" s="106"/>
      <c r="VW111" s="106"/>
      <c r="VX111" s="106"/>
      <c r="VY111" s="106"/>
      <c r="VZ111" s="106"/>
      <c r="WA111" s="106"/>
      <c r="WB111" s="106"/>
      <c r="WC111" s="106"/>
      <c r="WD111" s="106"/>
      <c r="WE111" s="106"/>
      <c r="WF111" s="106"/>
      <c r="WG111" s="106"/>
      <c r="WH111" s="106"/>
      <c r="WI111" s="106"/>
      <c r="WJ111" s="106"/>
      <c r="WK111" s="106"/>
      <c r="WL111" s="106"/>
      <c r="WM111" s="106"/>
      <c r="WN111" s="106"/>
      <c r="WO111" s="106"/>
      <c r="WP111" s="106"/>
      <c r="WQ111" s="106"/>
      <c r="WR111" s="106"/>
      <c r="WS111" s="106"/>
      <c r="WT111" s="106"/>
      <c r="WU111" s="106"/>
      <c r="WV111" s="106"/>
      <c r="WW111" s="106"/>
      <c r="WX111" s="106"/>
      <c r="WY111" s="106"/>
      <c r="WZ111" s="106"/>
      <c r="XA111" s="106"/>
      <c r="XB111" s="106"/>
      <c r="XC111" s="106"/>
      <c r="XD111" s="106"/>
      <c r="XE111" s="106"/>
      <c r="XF111" s="106"/>
      <c r="XG111" s="106"/>
      <c r="XH111" s="106"/>
      <c r="XI111" s="106"/>
      <c r="XJ111" s="106"/>
      <c r="XK111" s="106"/>
      <c r="XL111" s="106"/>
      <c r="XM111" s="106"/>
      <c r="XN111" s="106"/>
      <c r="XO111" s="106"/>
      <c r="XP111" s="106"/>
      <c r="XQ111" s="106"/>
      <c r="XR111" s="106"/>
      <c r="XS111" s="106"/>
      <c r="XT111" s="106"/>
      <c r="XU111" s="106"/>
      <c r="XV111" s="106"/>
      <c r="XW111" s="106"/>
      <c r="XX111" s="106"/>
      <c r="XY111" s="106"/>
      <c r="XZ111" s="106"/>
      <c r="YA111" s="106"/>
      <c r="YB111" s="106"/>
      <c r="YC111" s="106"/>
      <c r="YD111" s="106"/>
      <c r="YE111" s="106"/>
      <c r="YF111" s="106"/>
      <c r="YG111" s="106"/>
      <c r="YH111" s="106"/>
      <c r="YI111" s="106"/>
      <c r="YJ111" s="106"/>
      <c r="YK111" s="106"/>
      <c r="YL111" s="106"/>
      <c r="YM111" s="106"/>
      <c r="YN111" s="106"/>
      <c r="YO111" s="106"/>
      <c r="YP111" s="106"/>
      <c r="YQ111" s="106"/>
      <c r="YR111" s="106"/>
      <c r="YS111" s="106"/>
      <c r="YT111" s="106"/>
      <c r="YU111" s="106"/>
      <c r="YV111" s="106"/>
      <c r="YW111" s="106"/>
      <c r="YX111" s="106"/>
      <c r="YY111" s="106"/>
      <c r="YZ111" s="106"/>
      <c r="ZA111" s="106"/>
      <c r="ZB111" s="106"/>
      <c r="ZC111" s="106"/>
      <c r="ZD111" s="106"/>
      <c r="ZE111" s="106"/>
      <c r="ZF111" s="106"/>
      <c r="ZG111" s="106"/>
      <c r="ZH111" s="106"/>
      <c r="ZI111" s="106"/>
      <c r="ZJ111" s="106"/>
      <c r="ZK111" s="106"/>
      <c r="ZL111" s="106"/>
      <c r="ZM111" s="106"/>
      <c r="ZN111" s="106"/>
      <c r="ZO111" s="106"/>
      <c r="ZP111" s="106"/>
      <c r="ZQ111" s="106"/>
      <c r="ZR111" s="106"/>
      <c r="ZS111" s="106"/>
      <c r="ZT111" s="106"/>
      <c r="ZU111" s="106"/>
      <c r="ZV111" s="106"/>
      <c r="ZW111" s="106"/>
      <c r="ZX111" s="106"/>
      <c r="ZY111" s="106"/>
      <c r="ZZ111" s="106"/>
      <c r="AAA111" s="106"/>
      <c r="AAB111" s="106"/>
      <c r="AAC111" s="106"/>
      <c r="AAD111" s="106"/>
      <c r="AAE111" s="106"/>
      <c r="AAF111" s="106"/>
      <c r="AAG111" s="106"/>
      <c r="AAH111" s="106"/>
      <c r="AAI111" s="106"/>
      <c r="AAJ111" s="106"/>
      <c r="AAK111" s="106"/>
      <c r="AAL111" s="106"/>
      <c r="AAM111" s="106"/>
      <c r="AAN111" s="106"/>
      <c r="AAO111" s="106"/>
      <c r="AAP111" s="106"/>
      <c r="AAQ111" s="106"/>
      <c r="AAR111" s="106"/>
      <c r="AAS111" s="106"/>
      <c r="AAT111" s="106"/>
      <c r="AAU111" s="106"/>
      <c r="AAV111" s="106"/>
      <c r="AAW111" s="106"/>
      <c r="AAX111" s="106"/>
      <c r="AAY111" s="106"/>
      <c r="AAZ111" s="106"/>
      <c r="ABA111" s="106"/>
      <c r="ABB111" s="106"/>
      <c r="ABC111" s="106"/>
      <c r="ABD111" s="106"/>
      <c r="ABE111" s="106"/>
      <c r="ABF111" s="106"/>
      <c r="ABG111" s="106"/>
      <c r="ABH111" s="106"/>
      <c r="ABI111" s="106"/>
      <c r="ABJ111" s="106"/>
      <c r="ABK111" s="106"/>
      <c r="ABL111" s="106"/>
      <c r="ABM111" s="106"/>
      <c r="ABN111" s="106"/>
      <c r="ABO111" s="106"/>
      <c r="ABP111" s="106"/>
      <c r="ABQ111" s="106"/>
      <c r="ABR111" s="106"/>
      <c r="ABS111" s="106"/>
      <c r="ABT111" s="106"/>
      <c r="ABU111" s="106"/>
      <c r="ABV111" s="106"/>
      <c r="ABW111" s="106"/>
      <c r="ABX111" s="106"/>
      <c r="ABY111" s="106"/>
      <c r="ABZ111" s="106"/>
      <c r="ACA111" s="106"/>
      <c r="ACB111" s="106"/>
      <c r="ACC111" s="106"/>
      <c r="ACD111" s="106"/>
      <c r="ACE111" s="106"/>
      <c r="ACF111" s="106"/>
      <c r="ACG111" s="106"/>
      <c r="ACH111" s="106"/>
      <c r="ACI111" s="106"/>
      <c r="ACJ111" s="106"/>
      <c r="ACK111" s="106"/>
      <c r="ACL111" s="106"/>
      <c r="ACM111" s="106"/>
      <c r="ACN111" s="106"/>
      <c r="ACO111" s="106"/>
      <c r="ACP111" s="106"/>
      <c r="ACQ111" s="106"/>
      <c r="ACR111" s="106"/>
      <c r="ACS111" s="106"/>
      <c r="ACT111" s="106"/>
      <c r="ACU111" s="106"/>
      <c r="ACV111" s="106"/>
      <c r="ACW111" s="106"/>
      <c r="ACX111" s="106"/>
      <c r="ACY111" s="106"/>
      <c r="ACZ111" s="106"/>
      <c r="ADA111" s="106"/>
      <c r="ADB111" s="106"/>
      <c r="ADC111" s="106"/>
      <c r="ADD111" s="106"/>
      <c r="ADE111" s="106"/>
      <c r="ADF111" s="106"/>
      <c r="ADG111" s="106"/>
      <c r="ADH111" s="106"/>
      <c r="ADI111" s="106"/>
      <c r="ADJ111" s="106"/>
      <c r="ADK111" s="106"/>
      <c r="ADL111" s="106"/>
      <c r="ADM111" s="106"/>
      <c r="ADN111" s="106"/>
      <c r="ADO111" s="106"/>
      <c r="ADP111" s="106"/>
      <c r="ADQ111" s="106"/>
      <c r="ADR111" s="106"/>
      <c r="ADS111" s="106"/>
      <c r="ADT111" s="106"/>
      <c r="ADU111" s="106"/>
      <c r="ADV111" s="106"/>
      <c r="ADW111" s="106"/>
      <c r="ADX111" s="106"/>
      <c r="ADY111" s="106"/>
      <c r="ADZ111" s="106"/>
      <c r="AEA111" s="106"/>
      <c r="AEB111" s="106"/>
      <c r="AEC111" s="106"/>
      <c r="AED111" s="106"/>
      <c r="AEE111" s="106"/>
      <c r="AEF111" s="106"/>
      <c r="AEG111" s="106"/>
      <c r="AEH111" s="106"/>
      <c r="AEI111" s="106"/>
      <c r="AEJ111" s="106"/>
      <c r="AEK111" s="106"/>
      <c r="AEL111" s="106"/>
      <c r="AEM111" s="106"/>
      <c r="AEN111" s="106"/>
      <c r="AEO111" s="106"/>
      <c r="AEP111" s="106"/>
      <c r="AEQ111" s="106"/>
      <c r="AER111" s="106"/>
      <c r="AES111" s="106"/>
      <c r="AET111" s="106"/>
      <c r="AEU111" s="106"/>
      <c r="AEV111" s="106"/>
      <c r="AEW111" s="106"/>
      <c r="AEX111" s="106"/>
      <c r="AEY111" s="106"/>
      <c r="AEZ111" s="106"/>
      <c r="AFA111" s="106"/>
      <c r="AFB111" s="106"/>
      <c r="AFC111" s="106"/>
      <c r="AFD111" s="106"/>
      <c r="AFE111" s="106"/>
      <c r="AFF111" s="106"/>
      <c r="AFG111" s="106"/>
      <c r="AFH111" s="106"/>
      <c r="AFI111" s="106"/>
      <c r="AFJ111" s="106"/>
      <c r="AFK111" s="106"/>
      <c r="AFL111" s="106"/>
      <c r="AFM111" s="106"/>
      <c r="AFN111" s="106"/>
      <c r="AFO111" s="106"/>
      <c r="AFP111" s="106"/>
      <c r="AFQ111" s="106"/>
      <c r="AFR111" s="106"/>
      <c r="AFS111" s="106"/>
      <c r="AFT111" s="106"/>
      <c r="AFU111" s="106"/>
      <c r="AFV111" s="106"/>
      <c r="AFW111" s="106"/>
      <c r="AFX111" s="106"/>
      <c r="AFY111" s="106"/>
      <c r="AFZ111" s="106"/>
      <c r="AGA111" s="106"/>
      <c r="AGB111" s="106"/>
      <c r="AGC111" s="106"/>
      <c r="AGD111" s="106"/>
      <c r="AGE111" s="106"/>
      <c r="AGF111" s="106"/>
      <c r="AGG111" s="106"/>
      <c r="AGH111" s="106"/>
      <c r="AGI111" s="106"/>
      <c r="AGJ111" s="106"/>
      <c r="AGK111" s="106"/>
      <c r="AGL111" s="106"/>
      <c r="AGM111" s="106"/>
      <c r="AGN111" s="106"/>
      <c r="AGO111" s="106"/>
      <c r="AGP111" s="106"/>
      <c r="AGQ111" s="106"/>
      <c r="AGR111" s="106"/>
      <c r="AGS111" s="106"/>
      <c r="AGT111" s="106"/>
      <c r="AGU111" s="106"/>
      <c r="AGV111" s="106"/>
      <c r="AGW111" s="106"/>
      <c r="AGX111" s="106"/>
      <c r="AGY111" s="106"/>
      <c r="AGZ111" s="106"/>
      <c r="AHA111" s="106"/>
      <c r="AHB111" s="106"/>
      <c r="AHC111" s="106"/>
      <c r="AHD111" s="106"/>
      <c r="AHE111" s="106"/>
      <c r="AHF111" s="106"/>
      <c r="AHG111" s="106"/>
      <c r="AHH111" s="106"/>
      <c r="AHI111" s="106"/>
      <c r="AHJ111" s="106"/>
      <c r="AHK111" s="106"/>
      <c r="AHL111" s="106"/>
      <c r="AHM111" s="106"/>
      <c r="AHN111" s="106"/>
      <c r="AHO111" s="106"/>
      <c r="AHP111" s="106"/>
      <c r="AHQ111" s="106"/>
      <c r="AHR111" s="106"/>
      <c r="AHS111" s="106"/>
      <c r="AHT111" s="106"/>
      <c r="AHU111" s="106"/>
      <c r="AHV111" s="106"/>
      <c r="AHW111" s="106"/>
      <c r="AHX111" s="106"/>
      <c r="AHY111" s="106"/>
      <c r="AHZ111" s="106"/>
      <c r="AIA111" s="106"/>
      <c r="AIB111" s="106"/>
      <c r="AIC111" s="106"/>
      <c r="AID111" s="106"/>
      <c r="AIE111" s="106"/>
      <c r="AIF111" s="106"/>
      <c r="AIG111" s="106"/>
      <c r="AIH111" s="106"/>
      <c r="AII111" s="106"/>
      <c r="AIJ111" s="106"/>
      <c r="AIK111" s="106"/>
      <c r="AIL111" s="106"/>
      <c r="AIM111" s="106"/>
      <c r="AIN111" s="106"/>
      <c r="AIO111" s="106"/>
      <c r="AIP111" s="106"/>
      <c r="AIQ111" s="106"/>
      <c r="AIR111" s="106"/>
      <c r="AIS111" s="106"/>
      <c r="AIT111" s="106"/>
      <c r="AIU111" s="106"/>
      <c r="AIV111" s="106"/>
      <c r="AIW111" s="106"/>
      <c r="AIX111" s="106"/>
      <c r="AIY111" s="106"/>
      <c r="AIZ111" s="106"/>
      <c r="AJA111" s="106"/>
      <c r="AJB111" s="106"/>
      <c r="AJC111" s="106"/>
      <c r="AJD111" s="106"/>
      <c r="AJE111" s="106"/>
      <c r="AJF111" s="106"/>
      <c r="AJG111" s="106"/>
      <c r="AJH111" s="106"/>
      <c r="AJI111" s="106"/>
      <c r="AJJ111" s="106"/>
      <c r="AJK111" s="106"/>
      <c r="AJL111" s="106"/>
      <c r="AJM111" s="106"/>
      <c r="AJN111" s="106"/>
      <c r="AJO111" s="106"/>
      <c r="AJP111" s="106"/>
      <c r="AJQ111" s="106"/>
      <c r="AJR111" s="106"/>
      <c r="AJS111" s="106"/>
      <c r="AJT111" s="106"/>
      <c r="AJU111" s="106"/>
      <c r="AJV111" s="106"/>
      <c r="AJW111" s="106"/>
      <c r="AJX111" s="106"/>
      <c r="AJY111" s="106"/>
      <c r="AJZ111" s="106"/>
      <c r="AKA111" s="106"/>
      <c r="AKB111" s="106"/>
      <c r="AKC111" s="106"/>
      <c r="AKD111" s="106"/>
      <c r="AKE111" s="106"/>
      <c r="AKF111" s="106"/>
      <c r="AKG111" s="106"/>
      <c r="AKH111" s="106"/>
      <c r="AKI111" s="106"/>
      <c r="AKJ111" s="106"/>
      <c r="AKK111" s="106"/>
      <c r="AKL111" s="106"/>
      <c r="AKM111" s="106"/>
      <c r="AKN111" s="106"/>
      <c r="AKO111" s="106"/>
      <c r="AKP111" s="106"/>
      <c r="AKQ111" s="106"/>
      <c r="AKR111" s="106"/>
      <c r="AKS111" s="106"/>
      <c r="AKT111" s="106"/>
      <c r="AKU111" s="106"/>
      <c r="AKV111" s="106"/>
      <c r="AKW111" s="106"/>
      <c r="AKX111" s="106"/>
      <c r="AKY111" s="106"/>
      <c r="AKZ111" s="106"/>
      <c r="ALA111" s="106"/>
      <c r="ALB111" s="106"/>
      <c r="ALC111" s="106"/>
      <c r="ALD111" s="106"/>
      <c r="ALE111" s="106"/>
      <c r="ALF111" s="106"/>
      <c r="ALG111" s="106"/>
      <c r="ALH111" s="106"/>
    </row>
    <row r="112" spans="1:996" s="75" customFormat="1" ht="15.75" customHeight="1">
      <c r="A112" s="104"/>
      <c r="B112" s="75" t="str">
        <f t="shared" si="5"/>
        <v>S112404</v>
      </c>
      <c r="C112" s="396" t="s">
        <v>606</v>
      </c>
      <c r="D112" s="27" t="s">
        <v>128</v>
      </c>
      <c r="E112" s="75">
        <v>112404</v>
      </c>
      <c r="F112" s="105" t="s">
        <v>857</v>
      </c>
      <c r="G112" s="74">
        <f>IFERROR(VLOOKUP(E112,'BD - E - Mvto Cx'!$E$15:$G$500,3,0),0)</f>
        <v>51.64</v>
      </c>
      <c r="H112" s="72">
        <f>IFERROR(VLOOKUP(E112,'BD - E - Mvto Cx'!$N$15:$P$500,3,0),0)</f>
        <v>0</v>
      </c>
      <c r="I112" s="73">
        <f>IFERROR(VLOOKUP(E112,'BD - E - Mvto Cx'!$W$15:$Y$497,3,0),0)</f>
        <v>0</v>
      </c>
      <c r="J112" s="73">
        <f>IFERROR(VLOOKUP(E112,'BD - E - Mvto Cx'!$AF$15:$AI$500,3,0),0)</f>
        <v>0</v>
      </c>
      <c r="K112" s="73">
        <f>IFERROR(VLOOKUP(E112,'BD - E - Mvto Cx'!$AO$15:$AQ$500,3,0),0)</f>
        <v>0</v>
      </c>
      <c r="L112" s="73">
        <f>IFERROR(VLOOKUP(E112,'BD - E - Mvto Cx'!$AX$15:$AZ$500,3,0),0)</f>
        <v>0</v>
      </c>
      <c r="M112" s="73">
        <f>IFERROR(VLOOKUP(E112,'BD - E - Mvto Cx'!$BJ$15:$BL$500,3,0),0)</f>
        <v>0</v>
      </c>
      <c r="N112" s="73">
        <f>IFERROR(VLOOKUP(E112,'BD - E - Mvto Cx'!$BS$15:$BU$500,3,0),0)</f>
        <v>0</v>
      </c>
      <c r="O112" s="73">
        <f>IFERROR(VLOOKUP(E112,'BD - E - Mvto Cx'!$CB$15:$CD$500,3,0),0)</f>
        <v>0</v>
      </c>
      <c r="P112" s="73">
        <f>IFERROR(VLOOKUP(E112,'BD - E - Mvto Cx'!$CK$15:$CM$500,3,0),0)</f>
        <v>0</v>
      </c>
      <c r="Q112" s="73">
        <f>IFERROR(VLOOKUP(E112,'BD - E - Mvto Cx'!$CT$15:$CV$500,3,0),0)</f>
        <v>0</v>
      </c>
      <c r="R112" s="73">
        <f>IFERROR(VLOOKUP(E112,'BD - E - Mvto Cx'!$DC$15:$DE$500,3,0),0)</f>
        <v>0</v>
      </c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6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6"/>
      <c r="DY112" s="106"/>
      <c r="DZ112" s="106"/>
      <c r="EA112" s="106"/>
      <c r="EB112" s="106"/>
      <c r="EC112" s="106"/>
      <c r="ED112" s="106"/>
      <c r="EE112" s="106"/>
      <c r="EF112" s="106"/>
      <c r="EG112" s="106"/>
      <c r="EH112" s="106"/>
      <c r="EI112" s="106"/>
      <c r="EJ112" s="106"/>
      <c r="EK112" s="106"/>
      <c r="EL112" s="106"/>
      <c r="EM112" s="106"/>
      <c r="EN112" s="106"/>
      <c r="EO112" s="106"/>
      <c r="EP112" s="106"/>
      <c r="EQ112" s="106"/>
      <c r="ER112" s="106"/>
      <c r="ES112" s="106"/>
      <c r="ET112" s="106"/>
      <c r="EU112" s="106"/>
      <c r="EV112" s="106"/>
      <c r="EW112" s="106"/>
      <c r="EX112" s="106"/>
      <c r="EY112" s="106"/>
      <c r="EZ112" s="106"/>
      <c r="FA112" s="106"/>
      <c r="FB112" s="106"/>
      <c r="FC112" s="106"/>
      <c r="FD112" s="106"/>
      <c r="FE112" s="106"/>
      <c r="FF112" s="106"/>
      <c r="FG112" s="106"/>
      <c r="FH112" s="106"/>
      <c r="FI112" s="106"/>
      <c r="FJ112" s="106"/>
      <c r="FK112" s="106"/>
      <c r="FL112" s="106"/>
      <c r="FM112" s="106"/>
      <c r="FN112" s="106"/>
      <c r="FO112" s="106"/>
      <c r="FP112" s="106"/>
      <c r="FQ112" s="106"/>
      <c r="FR112" s="106"/>
      <c r="FS112" s="106"/>
      <c r="FT112" s="106"/>
      <c r="FU112" s="106"/>
      <c r="FV112" s="106"/>
      <c r="FW112" s="106"/>
      <c r="FX112" s="106"/>
      <c r="FY112" s="106"/>
      <c r="FZ112" s="106"/>
      <c r="GA112" s="106"/>
      <c r="GB112" s="106"/>
      <c r="GC112" s="106"/>
      <c r="GD112" s="106"/>
      <c r="GE112" s="106"/>
      <c r="GF112" s="106"/>
      <c r="GG112" s="106"/>
      <c r="GH112" s="106"/>
      <c r="GI112" s="106"/>
      <c r="GJ112" s="106"/>
      <c r="GK112" s="106"/>
      <c r="GL112" s="106"/>
      <c r="GM112" s="106"/>
      <c r="GN112" s="106"/>
      <c r="GO112" s="106"/>
      <c r="GP112" s="106"/>
      <c r="GQ112" s="106"/>
      <c r="GR112" s="106"/>
      <c r="GS112" s="106"/>
      <c r="GT112" s="106"/>
      <c r="GU112" s="106"/>
      <c r="GV112" s="106"/>
      <c r="GW112" s="106"/>
      <c r="GX112" s="106"/>
      <c r="GY112" s="106"/>
      <c r="GZ112" s="106"/>
      <c r="HA112" s="106"/>
      <c r="HB112" s="106"/>
      <c r="HC112" s="106"/>
      <c r="HD112" s="106"/>
      <c r="HE112" s="106"/>
      <c r="HF112" s="106"/>
      <c r="HG112" s="106"/>
      <c r="HH112" s="106"/>
      <c r="HI112" s="106"/>
      <c r="HJ112" s="106"/>
      <c r="HK112" s="106"/>
      <c r="HL112" s="106"/>
      <c r="HM112" s="106"/>
      <c r="HN112" s="106"/>
      <c r="HO112" s="106"/>
      <c r="HP112" s="106"/>
      <c r="HQ112" s="106"/>
      <c r="HR112" s="106"/>
      <c r="HS112" s="106"/>
      <c r="HT112" s="106"/>
      <c r="HU112" s="106"/>
      <c r="HV112" s="106"/>
      <c r="HW112" s="106"/>
      <c r="HX112" s="106"/>
      <c r="HY112" s="106"/>
      <c r="HZ112" s="106"/>
      <c r="IA112" s="106"/>
      <c r="IB112" s="106"/>
      <c r="IC112" s="106"/>
      <c r="ID112" s="106"/>
      <c r="IE112" s="106"/>
      <c r="IF112" s="106"/>
      <c r="IG112" s="106"/>
      <c r="IH112" s="106"/>
      <c r="II112" s="106"/>
      <c r="IJ112" s="106"/>
      <c r="IK112" s="106"/>
      <c r="IL112" s="106"/>
      <c r="IM112" s="106"/>
      <c r="IN112" s="106"/>
      <c r="IO112" s="106"/>
      <c r="IP112" s="106"/>
      <c r="IQ112" s="106"/>
      <c r="IR112" s="106"/>
      <c r="IS112" s="106"/>
      <c r="IT112" s="106"/>
      <c r="IU112" s="106"/>
      <c r="IV112" s="106"/>
      <c r="IW112" s="106"/>
      <c r="IX112" s="106"/>
      <c r="IY112" s="106"/>
      <c r="IZ112" s="106"/>
      <c r="JA112" s="106"/>
      <c r="JB112" s="106"/>
      <c r="JC112" s="106"/>
      <c r="JD112" s="106"/>
      <c r="JE112" s="106"/>
      <c r="JF112" s="106"/>
      <c r="JG112" s="106"/>
      <c r="JH112" s="106"/>
      <c r="JI112" s="106"/>
      <c r="JJ112" s="106"/>
      <c r="JK112" s="106"/>
      <c r="JL112" s="106"/>
      <c r="JM112" s="106"/>
      <c r="JN112" s="106"/>
      <c r="JO112" s="106"/>
      <c r="JP112" s="106"/>
      <c r="JQ112" s="106"/>
      <c r="JR112" s="106"/>
      <c r="JS112" s="106"/>
      <c r="JT112" s="106"/>
      <c r="JU112" s="106"/>
      <c r="JV112" s="106"/>
      <c r="JW112" s="106"/>
      <c r="JX112" s="106"/>
      <c r="JY112" s="106"/>
      <c r="JZ112" s="106"/>
      <c r="KA112" s="106"/>
      <c r="KB112" s="106"/>
      <c r="KC112" s="106"/>
      <c r="KD112" s="106"/>
      <c r="KE112" s="106"/>
      <c r="KF112" s="106"/>
      <c r="KG112" s="106"/>
      <c r="KH112" s="106"/>
      <c r="KI112" s="106"/>
      <c r="KJ112" s="106"/>
      <c r="KK112" s="106"/>
      <c r="KL112" s="106"/>
      <c r="KM112" s="106"/>
      <c r="KN112" s="106"/>
      <c r="KO112" s="106"/>
      <c r="KP112" s="106"/>
      <c r="KQ112" s="106"/>
      <c r="KR112" s="106"/>
      <c r="KS112" s="106"/>
      <c r="KT112" s="106"/>
      <c r="KU112" s="106"/>
      <c r="KV112" s="106"/>
      <c r="KW112" s="106"/>
      <c r="KX112" s="106"/>
      <c r="KY112" s="106"/>
      <c r="KZ112" s="106"/>
      <c r="LA112" s="106"/>
      <c r="LB112" s="106"/>
      <c r="LC112" s="106"/>
      <c r="LD112" s="106"/>
      <c r="LE112" s="106"/>
      <c r="LF112" s="106"/>
      <c r="LG112" s="106"/>
      <c r="LH112" s="106"/>
      <c r="LI112" s="106"/>
      <c r="LJ112" s="106"/>
      <c r="LK112" s="106"/>
      <c r="LL112" s="106"/>
      <c r="LM112" s="106"/>
      <c r="LN112" s="106"/>
      <c r="LO112" s="106"/>
      <c r="LP112" s="106"/>
      <c r="LQ112" s="106"/>
      <c r="LR112" s="106"/>
      <c r="LS112" s="106"/>
      <c r="LT112" s="106"/>
      <c r="LU112" s="106"/>
      <c r="LV112" s="106"/>
      <c r="LW112" s="106"/>
      <c r="LX112" s="106"/>
      <c r="LY112" s="106"/>
      <c r="LZ112" s="106"/>
      <c r="MA112" s="106"/>
      <c r="MB112" s="106"/>
      <c r="MC112" s="106"/>
      <c r="MD112" s="106"/>
      <c r="ME112" s="106"/>
      <c r="MF112" s="106"/>
      <c r="MG112" s="106"/>
      <c r="MH112" s="106"/>
      <c r="MI112" s="106"/>
      <c r="MJ112" s="106"/>
      <c r="MK112" s="106"/>
      <c r="ML112" s="106"/>
      <c r="MM112" s="106"/>
      <c r="MN112" s="106"/>
      <c r="MO112" s="106"/>
      <c r="MP112" s="106"/>
      <c r="MQ112" s="106"/>
      <c r="MR112" s="106"/>
      <c r="MS112" s="106"/>
      <c r="MT112" s="106"/>
      <c r="MU112" s="106"/>
      <c r="MV112" s="106"/>
      <c r="MW112" s="106"/>
      <c r="MX112" s="106"/>
      <c r="MY112" s="106"/>
      <c r="MZ112" s="106"/>
      <c r="NA112" s="106"/>
      <c r="NB112" s="106"/>
      <c r="NC112" s="106"/>
      <c r="ND112" s="106"/>
      <c r="NE112" s="106"/>
      <c r="NF112" s="106"/>
      <c r="NG112" s="106"/>
      <c r="NH112" s="106"/>
      <c r="NI112" s="106"/>
      <c r="NJ112" s="106"/>
      <c r="NK112" s="106"/>
      <c r="NL112" s="106"/>
      <c r="NM112" s="106"/>
      <c r="NN112" s="106"/>
      <c r="NO112" s="106"/>
      <c r="NP112" s="106"/>
      <c r="NQ112" s="106"/>
      <c r="NR112" s="106"/>
      <c r="NS112" s="106"/>
      <c r="NT112" s="106"/>
      <c r="NU112" s="106"/>
      <c r="NV112" s="106"/>
      <c r="NW112" s="106"/>
      <c r="NX112" s="106"/>
      <c r="NY112" s="106"/>
      <c r="NZ112" s="106"/>
      <c r="OA112" s="106"/>
      <c r="OB112" s="106"/>
      <c r="OC112" s="106"/>
      <c r="OD112" s="106"/>
      <c r="OE112" s="106"/>
      <c r="OF112" s="106"/>
      <c r="OG112" s="106"/>
      <c r="OH112" s="106"/>
      <c r="OI112" s="106"/>
      <c r="OJ112" s="106"/>
      <c r="OK112" s="106"/>
      <c r="OL112" s="106"/>
      <c r="OM112" s="106"/>
      <c r="ON112" s="106"/>
      <c r="OO112" s="106"/>
      <c r="OP112" s="106"/>
      <c r="OQ112" s="106"/>
      <c r="OR112" s="106"/>
      <c r="OS112" s="106"/>
      <c r="OT112" s="106"/>
      <c r="OU112" s="106"/>
      <c r="OV112" s="106"/>
      <c r="OW112" s="106"/>
      <c r="OX112" s="106"/>
      <c r="OY112" s="106"/>
      <c r="OZ112" s="106"/>
      <c r="PA112" s="106"/>
      <c r="PB112" s="106"/>
      <c r="PC112" s="106"/>
      <c r="PD112" s="106"/>
      <c r="PE112" s="106"/>
      <c r="PF112" s="106"/>
      <c r="PG112" s="106"/>
      <c r="PH112" s="106"/>
      <c r="PI112" s="106"/>
      <c r="PJ112" s="106"/>
      <c r="PK112" s="106"/>
      <c r="PL112" s="106"/>
      <c r="PM112" s="106"/>
      <c r="PN112" s="106"/>
      <c r="PO112" s="106"/>
      <c r="PP112" s="106"/>
      <c r="PQ112" s="106"/>
      <c r="PR112" s="106"/>
      <c r="PS112" s="106"/>
      <c r="PT112" s="106"/>
      <c r="PU112" s="106"/>
      <c r="PV112" s="106"/>
      <c r="PW112" s="106"/>
      <c r="PX112" s="106"/>
      <c r="PY112" s="106"/>
      <c r="PZ112" s="106"/>
      <c r="QA112" s="106"/>
      <c r="QB112" s="106"/>
      <c r="QC112" s="106"/>
      <c r="QD112" s="106"/>
      <c r="QE112" s="106"/>
      <c r="QF112" s="106"/>
      <c r="QG112" s="106"/>
      <c r="QH112" s="106"/>
      <c r="QI112" s="106"/>
      <c r="QJ112" s="106"/>
      <c r="QK112" s="106"/>
      <c r="QL112" s="106"/>
      <c r="QM112" s="106"/>
      <c r="QN112" s="106"/>
      <c r="QO112" s="106"/>
      <c r="QP112" s="106"/>
      <c r="QQ112" s="106"/>
      <c r="QR112" s="106"/>
      <c r="QS112" s="106"/>
      <c r="QT112" s="106"/>
      <c r="QU112" s="106"/>
      <c r="QV112" s="106"/>
      <c r="QW112" s="106"/>
      <c r="QX112" s="106"/>
      <c r="QY112" s="106"/>
      <c r="QZ112" s="106"/>
      <c r="RA112" s="106"/>
      <c r="RB112" s="106"/>
      <c r="RC112" s="106"/>
      <c r="RD112" s="106"/>
      <c r="RE112" s="106"/>
      <c r="RF112" s="106"/>
      <c r="RG112" s="106"/>
      <c r="RH112" s="106"/>
      <c r="RI112" s="106"/>
      <c r="RJ112" s="106"/>
      <c r="RK112" s="106"/>
      <c r="RL112" s="106"/>
      <c r="RM112" s="106"/>
      <c r="RN112" s="106"/>
      <c r="RO112" s="106"/>
      <c r="RP112" s="106"/>
      <c r="RQ112" s="106"/>
      <c r="RR112" s="106"/>
      <c r="RS112" s="106"/>
      <c r="RT112" s="106"/>
      <c r="RU112" s="106"/>
      <c r="RV112" s="106"/>
      <c r="RW112" s="106"/>
      <c r="RX112" s="106"/>
      <c r="RY112" s="106"/>
      <c r="RZ112" s="106"/>
      <c r="SA112" s="106"/>
      <c r="SB112" s="106"/>
      <c r="SC112" s="106"/>
      <c r="SD112" s="106"/>
      <c r="SE112" s="106"/>
      <c r="SF112" s="106"/>
      <c r="SG112" s="106"/>
      <c r="SH112" s="106"/>
      <c r="SI112" s="106"/>
      <c r="SJ112" s="106"/>
      <c r="SK112" s="106"/>
      <c r="SL112" s="106"/>
      <c r="SM112" s="106"/>
      <c r="SN112" s="106"/>
      <c r="SO112" s="106"/>
      <c r="SP112" s="106"/>
      <c r="SQ112" s="106"/>
      <c r="SR112" s="106"/>
      <c r="SS112" s="106"/>
      <c r="ST112" s="106"/>
      <c r="SU112" s="106"/>
      <c r="SV112" s="106"/>
      <c r="SW112" s="106"/>
      <c r="SX112" s="106"/>
      <c r="SY112" s="106"/>
      <c r="SZ112" s="106"/>
      <c r="TA112" s="106"/>
      <c r="TB112" s="106"/>
      <c r="TC112" s="106"/>
      <c r="TD112" s="106"/>
      <c r="TE112" s="106"/>
      <c r="TF112" s="106"/>
      <c r="TG112" s="106"/>
      <c r="TH112" s="106"/>
      <c r="TI112" s="106"/>
      <c r="TJ112" s="106"/>
      <c r="TK112" s="106"/>
      <c r="TL112" s="106"/>
      <c r="TM112" s="106"/>
      <c r="TN112" s="106"/>
      <c r="TO112" s="106"/>
      <c r="TP112" s="106"/>
      <c r="TQ112" s="106"/>
      <c r="TR112" s="106"/>
      <c r="TS112" s="106"/>
      <c r="TT112" s="106"/>
      <c r="TU112" s="106"/>
      <c r="TV112" s="106"/>
      <c r="TW112" s="106"/>
      <c r="TX112" s="106"/>
      <c r="TY112" s="106"/>
      <c r="TZ112" s="106"/>
      <c r="UA112" s="106"/>
      <c r="UB112" s="106"/>
      <c r="UC112" s="106"/>
      <c r="UD112" s="106"/>
      <c r="UE112" s="106"/>
      <c r="UF112" s="106"/>
      <c r="UG112" s="106"/>
      <c r="UH112" s="106"/>
      <c r="UI112" s="106"/>
      <c r="UJ112" s="106"/>
      <c r="UK112" s="106"/>
      <c r="UL112" s="106"/>
      <c r="UM112" s="106"/>
      <c r="UN112" s="106"/>
      <c r="UO112" s="106"/>
      <c r="UP112" s="106"/>
      <c r="UQ112" s="106"/>
      <c r="UR112" s="106"/>
      <c r="US112" s="106"/>
      <c r="UT112" s="106"/>
      <c r="UU112" s="106"/>
      <c r="UV112" s="106"/>
      <c r="UW112" s="106"/>
      <c r="UX112" s="106"/>
      <c r="UY112" s="106"/>
      <c r="UZ112" s="106"/>
      <c r="VA112" s="106"/>
      <c r="VB112" s="106"/>
      <c r="VC112" s="106"/>
      <c r="VD112" s="106"/>
      <c r="VE112" s="106"/>
      <c r="VF112" s="106"/>
      <c r="VG112" s="106"/>
      <c r="VH112" s="106"/>
      <c r="VI112" s="106"/>
      <c r="VJ112" s="106"/>
      <c r="VK112" s="106"/>
      <c r="VL112" s="106"/>
      <c r="VM112" s="106"/>
      <c r="VN112" s="106"/>
      <c r="VO112" s="106"/>
      <c r="VP112" s="106"/>
      <c r="VQ112" s="106"/>
      <c r="VR112" s="106"/>
      <c r="VS112" s="106"/>
      <c r="VT112" s="106"/>
      <c r="VU112" s="106"/>
      <c r="VV112" s="106"/>
      <c r="VW112" s="106"/>
      <c r="VX112" s="106"/>
      <c r="VY112" s="106"/>
      <c r="VZ112" s="106"/>
      <c r="WA112" s="106"/>
      <c r="WB112" s="106"/>
      <c r="WC112" s="106"/>
      <c r="WD112" s="106"/>
      <c r="WE112" s="106"/>
      <c r="WF112" s="106"/>
      <c r="WG112" s="106"/>
      <c r="WH112" s="106"/>
      <c r="WI112" s="106"/>
      <c r="WJ112" s="106"/>
      <c r="WK112" s="106"/>
      <c r="WL112" s="106"/>
      <c r="WM112" s="106"/>
      <c r="WN112" s="106"/>
      <c r="WO112" s="106"/>
      <c r="WP112" s="106"/>
      <c r="WQ112" s="106"/>
      <c r="WR112" s="106"/>
      <c r="WS112" s="106"/>
      <c r="WT112" s="106"/>
      <c r="WU112" s="106"/>
      <c r="WV112" s="106"/>
      <c r="WW112" s="106"/>
      <c r="WX112" s="106"/>
      <c r="WY112" s="106"/>
      <c r="WZ112" s="106"/>
      <c r="XA112" s="106"/>
      <c r="XB112" s="106"/>
      <c r="XC112" s="106"/>
      <c r="XD112" s="106"/>
      <c r="XE112" s="106"/>
      <c r="XF112" s="106"/>
      <c r="XG112" s="106"/>
      <c r="XH112" s="106"/>
      <c r="XI112" s="106"/>
      <c r="XJ112" s="106"/>
      <c r="XK112" s="106"/>
      <c r="XL112" s="106"/>
      <c r="XM112" s="106"/>
      <c r="XN112" s="106"/>
      <c r="XO112" s="106"/>
      <c r="XP112" s="106"/>
      <c r="XQ112" s="106"/>
      <c r="XR112" s="106"/>
      <c r="XS112" s="106"/>
      <c r="XT112" s="106"/>
      <c r="XU112" s="106"/>
      <c r="XV112" s="106"/>
      <c r="XW112" s="106"/>
      <c r="XX112" s="106"/>
      <c r="XY112" s="106"/>
      <c r="XZ112" s="106"/>
      <c r="YA112" s="106"/>
      <c r="YB112" s="106"/>
      <c r="YC112" s="106"/>
      <c r="YD112" s="106"/>
      <c r="YE112" s="106"/>
      <c r="YF112" s="106"/>
      <c r="YG112" s="106"/>
      <c r="YH112" s="106"/>
      <c r="YI112" s="106"/>
      <c r="YJ112" s="106"/>
      <c r="YK112" s="106"/>
      <c r="YL112" s="106"/>
      <c r="YM112" s="106"/>
      <c r="YN112" s="106"/>
      <c r="YO112" s="106"/>
      <c r="YP112" s="106"/>
      <c r="YQ112" s="106"/>
      <c r="YR112" s="106"/>
      <c r="YS112" s="106"/>
      <c r="YT112" s="106"/>
      <c r="YU112" s="106"/>
      <c r="YV112" s="106"/>
      <c r="YW112" s="106"/>
      <c r="YX112" s="106"/>
      <c r="YY112" s="106"/>
      <c r="YZ112" s="106"/>
      <c r="ZA112" s="106"/>
      <c r="ZB112" s="106"/>
      <c r="ZC112" s="106"/>
      <c r="ZD112" s="106"/>
      <c r="ZE112" s="106"/>
      <c r="ZF112" s="106"/>
      <c r="ZG112" s="106"/>
      <c r="ZH112" s="106"/>
      <c r="ZI112" s="106"/>
      <c r="ZJ112" s="106"/>
      <c r="ZK112" s="106"/>
      <c r="ZL112" s="106"/>
      <c r="ZM112" s="106"/>
      <c r="ZN112" s="106"/>
      <c r="ZO112" s="106"/>
      <c r="ZP112" s="106"/>
      <c r="ZQ112" s="106"/>
      <c r="ZR112" s="106"/>
      <c r="ZS112" s="106"/>
      <c r="ZT112" s="106"/>
      <c r="ZU112" s="106"/>
      <c r="ZV112" s="106"/>
      <c r="ZW112" s="106"/>
      <c r="ZX112" s="106"/>
      <c r="ZY112" s="106"/>
      <c r="ZZ112" s="106"/>
      <c r="AAA112" s="106"/>
      <c r="AAB112" s="106"/>
      <c r="AAC112" s="106"/>
      <c r="AAD112" s="106"/>
      <c r="AAE112" s="106"/>
      <c r="AAF112" s="106"/>
      <c r="AAG112" s="106"/>
      <c r="AAH112" s="106"/>
      <c r="AAI112" s="106"/>
      <c r="AAJ112" s="106"/>
      <c r="AAK112" s="106"/>
      <c r="AAL112" s="106"/>
      <c r="AAM112" s="106"/>
      <c r="AAN112" s="106"/>
      <c r="AAO112" s="106"/>
      <c r="AAP112" s="106"/>
      <c r="AAQ112" s="106"/>
      <c r="AAR112" s="106"/>
      <c r="AAS112" s="106"/>
      <c r="AAT112" s="106"/>
      <c r="AAU112" s="106"/>
      <c r="AAV112" s="106"/>
      <c r="AAW112" s="106"/>
      <c r="AAX112" s="106"/>
      <c r="AAY112" s="106"/>
      <c r="AAZ112" s="106"/>
      <c r="ABA112" s="106"/>
      <c r="ABB112" s="106"/>
      <c r="ABC112" s="106"/>
      <c r="ABD112" s="106"/>
      <c r="ABE112" s="106"/>
      <c r="ABF112" s="106"/>
      <c r="ABG112" s="106"/>
      <c r="ABH112" s="106"/>
      <c r="ABI112" s="106"/>
      <c r="ABJ112" s="106"/>
      <c r="ABK112" s="106"/>
      <c r="ABL112" s="106"/>
      <c r="ABM112" s="106"/>
      <c r="ABN112" s="106"/>
      <c r="ABO112" s="106"/>
      <c r="ABP112" s="106"/>
      <c r="ABQ112" s="106"/>
      <c r="ABR112" s="106"/>
      <c r="ABS112" s="106"/>
      <c r="ABT112" s="106"/>
      <c r="ABU112" s="106"/>
      <c r="ABV112" s="106"/>
      <c r="ABW112" s="106"/>
      <c r="ABX112" s="106"/>
      <c r="ABY112" s="106"/>
      <c r="ABZ112" s="106"/>
      <c r="ACA112" s="106"/>
      <c r="ACB112" s="106"/>
      <c r="ACC112" s="106"/>
      <c r="ACD112" s="106"/>
      <c r="ACE112" s="106"/>
      <c r="ACF112" s="106"/>
      <c r="ACG112" s="106"/>
      <c r="ACH112" s="106"/>
      <c r="ACI112" s="106"/>
      <c r="ACJ112" s="106"/>
      <c r="ACK112" s="106"/>
      <c r="ACL112" s="106"/>
      <c r="ACM112" s="106"/>
      <c r="ACN112" s="106"/>
      <c r="ACO112" s="106"/>
      <c r="ACP112" s="106"/>
      <c r="ACQ112" s="106"/>
      <c r="ACR112" s="106"/>
      <c r="ACS112" s="106"/>
      <c r="ACT112" s="106"/>
      <c r="ACU112" s="106"/>
      <c r="ACV112" s="106"/>
      <c r="ACW112" s="106"/>
      <c r="ACX112" s="106"/>
      <c r="ACY112" s="106"/>
      <c r="ACZ112" s="106"/>
      <c r="ADA112" s="106"/>
      <c r="ADB112" s="106"/>
      <c r="ADC112" s="106"/>
      <c r="ADD112" s="106"/>
      <c r="ADE112" s="106"/>
      <c r="ADF112" s="106"/>
      <c r="ADG112" s="106"/>
      <c r="ADH112" s="106"/>
      <c r="ADI112" s="106"/>
      <c r="ADJ112" s="106"/>
      <c r="ADK112" s="106"/>
      <c r="ADL112" s="106"/>
      <c r="ADM112" s="106"/>
      <c r="ADN112" s="106"/>
      <c r="ADO112" s="106"/>
      <c r="ADP112" s="106"/>
      <c r="ADQ112" s="106"/>
      <c r="ADR112" s="106"/>
      <c r="ADS112" s="106"/>
      <c r="ADT112" s="106"/>
      <c r="ADU112" s="106"/>
      <c r="ADV112" s="106"/>
      <c r="ADW112" s="106"/>
      <c r="ADX112" s="106"/>
      <c r="ADY112" s="106"/>
      <c r="ADZ112" s="106"/>
      <c r="AEA112" s="106"/>
      <c r="AEB112" s="106"/>
      <c r="AEC112" s="106"/>
      <c r="AED112" s="106"/>
      <c r="AEE112" s="106"/>
      <c r="AEF112" s="106"/>
      <c r="AEG112" s="106"/>
      <c r="AEH112" s="106"/>
      <c r="AEI112" s="106"/>
      <c r="AEJ112" s="106"/>
      <c r="AEK112" s="106"/>
      <c r="AEL112" s="106"/>
      <c r="AEM112" s="106"/>
      <c r="AEN112" s="106"/>
      <c r="AEO112" s="106"/>
      <c r="AEP112" s="106"/>
      <c r="AEQ112" s="106"/>
      <c r="AER112" s="106"/>
      <c r="AES112" s="106"/>
      <c r="AET112" s="106"/>
      <c r="AEU112" s="106"/>
      <c r="AEV112" s="106"/>
      <c r="AEW112" s="106"/>
      <c r="AEX112" s="106"/>
      <c r="AEY112" s="106"/>
      <c r="AEZ112" s="106"/>
      <c r="AFA112" s="106"/>
      <c r="AFB112" s="106"/>
      <c r="AFC112" s="106"/>
      <c r="AFD112" s="106"/>
      <c r="AFE112" s="106"/>
      <c r="AFF112" s="106"/>
      <c r="AFG112" s="106"/>
      <c r="AFH112" s="106"/>
      <c r="AFI112" s="106"/>
      <c r="AFJ112" s="106"/>
      <c r="AFK112" s="106"/>
      <c r="AFL112" s="106"/>
      <c r="AFM112" s="106"/>
      <c r="AFN112" s="106"/>
      <c r="AFO112" s="106"/>
      <c r="AFP112" s="106"/>
      <c r="AFQ112" s="106"/>
      <c r="AFR112" s="106"/>
      <c r="AFS112" s="106"/>
      <c r="AFT112" s="106"/>
      <c r="AFU112" s="106"/>
      <c r="AFV112" s="106"/>
      <c r="AFW112" s="106"/>
      <c r="AFX112" s="106"/>
      <c r="AFY112" s="106"/>
      <c r="AFZ112" s="106"/>
      <c r="AGA112" s="106"/>
      <c r="AGB112" s="106"/>
      <c r="AGC112" s="106"/>
      <c r="AGD112" s="106"/>
      <c r="AGE112" s="106"/>
      <c r="AGF112" s="106"/>
      <c r="AGG112" s="106"/>
      <c r="AGH112" s="106"/>
      <c r="AGI112" s="106"/>
      <c r="AGJ112" s="106"/>
      <c r="AGK112" s="106"/>
      <c r="AGL112" s="106"/>
      <c r="AGM112" s="106"/>
      <c r="AGN112" s="106"/>
      <c r="AGO112" s="106"/>
      <c r="AGP112" s="106"/>
      <c r="AGQ112" s="106"/>
      <c r="AGR112" s="106"/>
      <c r="AGS112" s="106"/>
      <c r="AGT112" s="106"/>
      <c r="AGU112" s="106"/>
      <c r="AGV112" s="106"/>
      <c r="AGW112" s="106"/>
      <c r="AGX112" s="106"/>
      <c r="AGY112" s="106"/>
      <c r="AGZ112" s="106"/>
      <c r="AHA112" s="106"/>
      <c r="AHB112" s="106"/>
      <c r="AHC112" s="106"/>
      <c r="AHD112" s="106"/>
      <c r="AHE112" s="106"/>
      <c r="AHF112" s="106"/>
      <c r="AHG112" s="106"/>
      <c r="AHH112" s="106"/>
      <c r="AHI112" s="106"/>
      <c r="AHJ112" s="106"/>
      <c r="AHK112" s="106"/>
      <c r="AHL112" s="106"/>
      <c r="AHM112" s="106"/>
      <c r="AHN112" s="106"/>
      <c r="AHO112" s="106"/>
      <c r="AHP112" s="106"/>
      <c r="AHQ112" s="106"/>
      <c r="AHR112" s="106"/>
      <c r="AHS112" s="106"/>
      <c r="AHT112" s="106"/>
      <c r="AHU112" s="106"/>
      <c r="AHV112" s="106"/>
      <c r="AHW112" s="106"/>
      <c r="AHX112" s="106"/>
      <c r="AHY112" s="106"/>
      <c r="AHZ112" s="106"/>
      <c r="AIA112" s="106"/>
      <c r="AIB112" s="106"/>
      <c r="AIC112" s="106"/>
      <c r="AID112" s="106"/>
      <c r="AIE112" s="106"/>
      <c r="AIF112" s="106"/>
      <c r="AIG112" s="106"/>
      <c r="AIH112" s="106"/>
      <c r="AII112" s="106"/>
      <c r="AIJ112" s="106"/>
      <c r="AIK112" s="106"/>
      <c r="AIL112" s="106"/>
      <c r="AIM112" s="106"/>
      <c r="AIN112" s="106"/>
      <c r="AIO112" s="106"/>
      <c r="AIP112" s="106"/>
      <c r="AIQ112" s="106"/>
      <c r="AIR112" s="106"/>
      <c r="AIS112" s="106"/>
      <c r="AIT112" s="106"/>
      <c r="AIU112" s="106"/>
      <c r="AIV112" s="106"/>
      <c r="AIW112" s="106"/>
      <c r="AIX112" s="106"/>
      <c r="AIY112" s="106"/>
      <c r="AIZ112" s="106"/>
      <c r="AJA112" s="106"/>
      <c r="AJB112" s="106"/>
      <c r="AJC112" s="106"/>
      <c r="AJD112" s="106"/>
      <c r="AJE112" s="106"/>
      <c r="AJF112" s="106"/>
      <c r="AJG112" s="106"/>
      <c r="AJH112" s="106"/>
      <c r="AJI112" s="106"/>
      <c r="AJJ112" s="106"/>
      <c r="AJK112" s="106"/>
      <c r="AJL112" s="106"/>
      <c r="AJM112" s="106"/>
      <c r="AJN112" s="106"/>
      <c r="AJO112" s="106"/>
      <c r="AJP112" s="106"/>
      <c r="AJQ112" s="106"/>
      <c r="AJR112" s="106"/>
      <c r="AJS112" s="106"/>
      <c r="AJT112" s="106"/>
      <c r="AJU112" s="106"/>
      <c r="AJV112" s="106"/>
      <c r="AJW112" s="106"/>
      <c r="AJX112" s="106"/>
      <c r="AJY112" s="106"/>
      <c r="AJZ112" s="106"/>
      <c r="AKA112" s="106"/>
      <c r="AKB112" s="106"/>
      <c r="AKC112" s="106"/>
      <c r="AKD112" s="106"/>
      <c r="AKE112" s="106"/>
      <c r="AKF112" s="106"/>
      <c r="AKG112" s="106"/>
      <c r="AKH112" s="106"/>
      <c r="AKI112" s="106"/>
      <c r="AKJ112" s="106"/>
      <c r="AKK112" s="106"/>
      <c r="AKL112" s="106"/>
      <c r="AKM112" s="106"/>
      <c r="AKN112" s="106"/>
      <c r="AKO112" s="106"/>
      <c r="AKP112" s="106"/>
      <c r="AKQ112" s="106"/>
      <c r="AKR112" s="106"/>
      <c r="AKS112" s="106"/>
      <c r="AKT112" s="106"/>
      <c r="AKU112" s="106"/>
      <c r="AKV112" s="106"/>
      <c r="AKW112" s="106"/>
      <c r="AKX112" s="106"/>
      <c r="AKY112" s="106"/>
      <c r="AKZ112" s="106"/>
      <c r="ALA112" s="106"/>
      <c r="ALB112" s="106"/>
      <c r="ALC112" s="106"/>
      <c r="ALD112" s="106"/>
      <c r="ALE112" s="106"/>
      <c r="ALF112" s="106"/>
      <c r="ALG112" s="106"/>
      <c r="ALH112" s="106"/>
    </row>
    <row r="113" spans="1:996" s="75" customFormat="1" ht="15.75" customHeight="1">
      <c r="A113" s="104"/>
      <c r="B113" s="75" t="str">
        <f t="shared" si="5"/>
        <v>S112405</v>
      </c>
      <c r="C113" s="396" t="s">
        <v>606</v>
      </c>
      <c r="D113" s="27" t="s">
        <v>128</v>
      </c>
      <c r="E113" s="75">
        <v>112405</v>
      </c>
      <c r="F113" s="105" t="s">
        <v>91</v>
      </c>
      <c r="G113" s="74">
        <f>IFERROR(VLOOKUP(E113,'BD - E - Mvto Cx'!$E$15:$G$500,3,0),0)</f>
        <v>25474.39</v>
      </c>
      <c r="H113" s="72">
        <f>IFERROR(VLOOKUP(E113,'BD - E - Mvto Cx'!$N$15:$P$500,3,0),0)</f>
        <v>18193.7</v>
      </c>
      <c r="I113" s="73">
        <f>IFERROR(VLOOKUP(E113,'BD - E - Mvto Cx'!$W$15:$Y$497,3,0),0)</f>
        <v>14264.22</v>
      </c>
      <c r="J113" s="73">
        <f>IFERROR(VLOOKUP(E113,'BD - E - Mvto Cx'!$AF$15:$AI$500,3,0),0)</f>
        <v>14739.56</v>
      </c>
      <c r="K113" s="73">
        <f>IFERROR(VLOOKUP(E113,'BD - E - Mvto Cx'!$AO$15:$AQ$500,3,0),0)</f>
        <v>0</v>
      </c>
      <c r="L113" s="73">
        <f>IFERROR(VLOOKUP(E113,'BD - E - Mvto Cx'!$AX$15:$AZ$500,3,0),0)</f>
        <v>0</v>
      </c>
      <c r="M113" s="73">
        <f>IFERROR(VLOOKUP(E113,'BD - E - Mvto Cx'!$BJ$15:$BL$500,3,0),0)</f>
        <v>0</v>
      </c>
      <c r="N113" s="73">
        <f>IFERROR(VLOOKUP(E113,'BD - E - Mvto Cx'!$BS$15:$BU$500,3,0),0)</f>
        <v>0</v>
      </c>
      <c r="O113" s="73">
        <f>IFERROR(VLOOKUP(E113,'BD - E - Mvto Cx'!$CB$15:$CD$500,3,0),0)</f>
        <v>0</v>
      </c>
      <c r="P113" s="73">
        <f>IFERROR(VLOOKUP(E113,'BD - E - Mvto Cx'!$CK$15:$CM$500,3,0),0)</f>
        <v>0</v>
      </c>
      <c r="Q113" s="73">
        <f>IFERROR(VLOOKUP(E113,'BD - E - Mvto Cx'!$CT$15:$CV$500,3,0),0)</f>
        <v>0</v>
      </c>
      <c r="R113" s="73">
        <f>IFERROR(VLOOKUP(E113,'BD - E - Mvto Cx'!$DC$15:$DE$500,3,0),0)</f>
        <v>0</v>
      </c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  <c r="DG113" s="106"/>
      <c r="DH113" s="106"/>
      <c r="DI113" s="106"/>
      <c r="DJ113" s="106"/>
      <c r="DK113" s="106"/>
      <c r="DL113" s="106"/>
      <c r="DM113" s="106"/>
      <c r="DN113" s="106"/>
      <c r="DO113" s="106"/>
      <c r="DP113" s="106"/>
      <c r="DQ113" s="106"/>
      <c r="DR113" s="106"/>
      <c r="DS113" s="106"/>
      <c r="DT113" s="106"/>
      <c r="DU113" s="106"/>
      <c r="DV113" s="106"/>
      <c r="DW113" s="106"/>
      <c r="DX113" s="106"/>
      <c r="DY113" s="106"/>
      <c r="DZ113" s="106"/>
      <c r="EA113" s="106"/>
      <c r="EB113" s="106"/>
      <c r="EC113" s="106"/>
      <c r="ED113" s="106"/>
      <c r="EE113" s="106"/>
      <c r="EF113" s="106"/>
      <c r="EG113" s="106"/>
      <c r="EH113" s="106"/>
      <c r="EI113" s="106"/>
      <c r="EJ113" s="106"/>
      <c r="EK113" s="106"/>
      <c r="EL113" s="106"/>
      <c r="EM113" s="106"/>
      <c r="EN113" s="106"/>
      <c r="EO113" s="106"/>
      <c r="EP113" s="106"/>
      <c r="EQ113" s="106"/>
      <c r="ER113" s="106"/>
      <c r="ES113" s="106"/>
      <c r="ET113" s="106"/>
      <c r="EU113" s="106"/>
      <c r="EV113" s="106"/>
      <c r="EW113" s="106"/>
      <c r="EX113" s="106"/>
      <c r="EY113" s="106"/>
      <c r="EZ113" s="106"/>
      <c r="FA113" s="106"/>
      <c r="FB113" s="106"/>
      <c r="FC113" s="106"/>
      <c r="FD113" s="106"/>
      <c r="FE113" s="106"/>
      <c r="FF113" s="106"/>
      <c r="FG113" s="106"/>
      <c r="FH113" s="106"/>
      <c r="FI113" s="106"/>
      <c r="FJ113" s="106"/>
      <c r="FK113" s="106"/>
      <c r="FL113" s="106"/>
      <c r="FM113" s="106"/>
      <c r="FN113" s="106"/>
      <c r="FO113" s="106"/>
      <c r="FP113" s="106"/>
      <c r="FQ113" s="106"/>
      <c r="FR113" s="106"/>
      <c r="FS113" s="106"/>
      <c r="FT113" s="106"/>
      <c r="FU113" s="106"/>
      <c r="FV113" s="106"/>
      <c r="FW113" s="106"/>
      <c r="FX113" s="106"/>
      <c r="FY113" s="106"/>
      <c r="FZ113" s="106"/>
      <c r="GA113" s="106"/>
      <c r="GB113" s="106"/>
      <c r="GC113" s="106"/>
      <c r="GD113" s="106"/>
      <c r="GE113" s="106"/>
      <c r="GF113" s="106"/>
      <c r="GG113" s="106"/>
      <c r="GH113" s="106"/>
      <c r="GI113" s="106"/>
      <c r="GJ113" s="106"/>
      <c r="GK113" s="106"/>
      <c r="GL113" s="106"/>
      <c r="GM113" s="106"/>
      <c r="GN113" s="106"/>
      <c r="GO113" s="106"/>
      <c r="GP113" s="106"/>
      <c r="GQ113" s="106"/>
      <c r="GR113" s="106"/>
      <c r="GS113" s="106"/>
      <c r="GT113" s="106"/>
      <c r="GU113" s="106"/>
      <c r="GV113" s="106"/>
      <c r="GW113" s="106"/>
      <c r="GX113" s="106"/>
      <c r="GY113" s="106"/>
      <c r="GZ113" s="106"/>
      <c r="HA113" s="106"/>
      <c r="HB113" s="106"/>
      <c r="HC113" s="106"/>
      <c r="HD113" s="106"/>
      <c r="HE113" s="106"/>
      <c r="HF113" s="106"/>
      <c r="HG113" s="106"/>
      <c r="HH113" s="106"/>
      <c r="HI113" s="106"/>
      <c r="HJ113" s="106"/>
      <c r="HK113" s="106"/>
      <c r="HL113" s="106"/>
      <c r="HM113" s="106"/>
      <c r="HN113" s="106"/>
      <c r="HO113" s="106"/>
      <c r="HP113" s="106"/>
      <c r="HQ113" s="106"/>
      <c r="HR113" s="106"/>
      <c r="HS113" s="106"/>
      <c r="HT113" s="106"/>
      <c r="HU113" s="106"/>
      <c r="HV113" s="106"/>
      <c r="HW113" s="106"/>
      <c r="HX113" s="106"/>
      <c r="HY113" s="106"/>
      <c r="HZ113" s="106"/>
      <c r="IA113" s="106"/>
      <c r="IB113" s="106"/>
      <c r="IC113" s="106"/>
      <c r="ID113" s="106"/>
      <c r="IE113" s="106"/>
      <c r="IF113" s="106"/>
      <c r="IG113" s="106"/>
      <c r="IH113" s="106"/>
      <c r="II113" s="106"/>
      <c r="IJ113" s="106"/>
      <c r="IK113" s="106"/>
      <c r="IL113" s="106"/>
      <c r="IM113" s="106"/>
      <c r="IN113" s="106"/>
      <c r="IO113" s="106"/>
      <c r="IP113" s="106"/>
      <c r="IQ113" s="106"/>
      <c r="IR113" s="106"/>
      <c r="IS113" s="106"/>
      <c r="IT113" s="106"/>
      <c r="IU113" s="106"/>
      <c r="IV113" s="106"/>
      <c r="IW113" s="106"/>
      <c r="IX113" s="106"/>
      <c r="IY113" s="106"/>
      <c r="IZ113" s="106"/>
      <c r="JA113" s="106"/>
      <c r="JB113" s="106"/>
      <c r="JC113" s="106"/>
      <c r="JD113" s="106"/>
      <c r="JE113" s="106"/>
      <c r="JF113" s="106"/>
      <c r="JG113" s="106"/>
      <c r="JH113" s="106"/>
      <c r="JI113" s="106"/>
      <c r="JJ113" s="106"/>
      <c r="JK113" s="106"/>
      <c r="JL113" s="106"/>
      <c r="JM113" s="106"/>
      <c r="JN113" s="106"/>
      <c r="JO113" s="106"/>
      <c r="JP113" s="106"/>
      <c r="JQ113" s="106"/>
      <c r="JR113" s="106"/>
      <c r="JS113" s="106"/>
      <c r="JT113" s="106"/>
      <c r="JU113" s="106"/>
      <c r="JV113" s="106"/>
      <c r="JW113" s="106"/>
      <c r="JX113" s="106"/>
      <c r="JY113" s="106"/>
      <c r="JZ113" s="106"/>
      <c r="KA113" s="106"/>
      <c r="KB113" s="106"/>
      <c r="KC113" s="106"/>
      <c r="KD113" s="106"/>
      <c r="KE113" s="106"/>
      <c r="KF113" s="106"/>
      <c r="KG113" s="106"/>
      <c r="KH113" s="106"/>
      <c r="KI113" s="106"/>
      <c r="KJ113" s="106"/>
      <c r="KK113" s="106"/>
      <c r="KL113" s="106"/>
      <c r="KM113" s="106"/>
      <c r="KN113" s="106"/>
      <c r="KO113" s="106"/>
      <c r="KP113" s="106"/>
      <c r="KQ113" s="106"/>
      <c r="KR113" s="106"/>
      <c r="KS113" s="106"/>
      <c r="KT113" s="106"/>
      <c r="KU113" s="106"/>
      <c r="KV113" s="106"/>
      <c r="KW113" s="106"/>
      <c r="KX113" s="106"/>
      <c r="KY113" s="106"/>
      <c r="KZ113" s="106"/>
      <c r="LA113" s="106"/>
      <c r="LB113" s="106"/>
      <c r="LC113" s="106"/>
      <c r="LD113" s="106"/>
      <c r="LE113" s="106"/>
      <c r="LF113" s="106"/>
      <c r="LG113" s="106"/>
      <c r="LH113" s="106"/>
      <c r="LI113" s="106"/>
      <c r="LJ113" s="106"/>
      <c r="LK113" s="106"/>
      <c r="LL113" s="106"/>
      <c r="LM113" s="106"/>
      <c r="LN113" s="106"/>
      <c r="LO113" s="106"/>
      <c r="LP113" s="106"/>
      <c r="LQ113" s="106"/>
      <c r="LR113" s="106"/>
      <c r="LS113" s="106"/>
      <c r="LT113" s="106"/>
      <c r="LU113" s="106"/>
      <c r="LV113" s="106"/>
      <c r="LW113" s="106"/>
      <c r="LX113" s="106"/>
      <c r="LY113" s="106"/>
      <c r="LZ113" s="106"/>
      <c r="MA113" s="106"/>
      <c r="MB113" s="106"/>
      <c r="MC113" s="106"/>
      <c r="MD113" s="106"/>
      <c r="ME113" s="106"/>
      <c r="MF113" s="106"/>
      <c r="MG113" s="106"/>
      <c r="MH113" s="106"/>
      <c r="MI113" s="106"/>
      <c r="MJ113" s="106"/>
      <c r="MK113" s="106"/>
      <c r="ML113" s="106"/>
      <c r="MM113" s="106"/>
      <c r="MN113" s="106"/>
      <c r="MO113" s="106"/>
      <c r="MP113" s="106"/>
      <c r="MQ113" s="106"/>
      <c r="MR113" s="106"/>
      <c r="MS113" s="106"/>
      <c r="MT113" s="106"/>
      <c r="MU113" s="106"/>
      <c r="MV113" s="106"/>
      <c r="MW113" s="106"/>
      <c r="MX113" s="106"/>
      <c r="MY113" s="106"/>
      <c r="MZ113" s="106"/>
      <c r="NA113" s="106"/>
      <c r="NB113" s="106"/>
      <c r="NC113" s="106"/>
      <c r="ND113" s="106"/>
      <c r="NE113" s="106"/>
      <c r="NF113" s="106"/>
      <c r="NG113" s="106"/>
      <c r="NH113" s="106"/>
      <c r="NI113" s="106"/>
      <c r="NJ113" s="106"/>
      <c r="NK113" s="106"/>
      <c r="NL113" s="106"/>
      <c r="NM113" s="106"/>
      <c r="NN113" s="106"/>
      <c r="NO113" s="106"/>
      <c r="NP113" s="106"/>
      <c r="NQ113" s="106"/>
      <c r="NR113" s="106"/>
      <c r="NS113" s="106"/>
      <c r="NT113" s="106"/>
      <c r="NU113" s="106"/>
      <c r="NV113" s="106"/>
      <c r="NW113" s="106"/>
      <c r="NX113" s="106"/>
      <c r="NY113" s="106"/>
      <c r="NZ113" s="106"/>
      <c r="OA113" s="106"/>
      <c r="OB113" s="106"/>
      <c r="OC113" s="106"/>
      <c r="OD113" s="106"/>
      <c r="OE113" s="106"/>
      <c r="OF113" s="106"/>
      <c r="OG113" s="106"/>
      <c r="OH113" s="106"/>
      <c r="OI113" s="106"/>
      <c r="OJ113" s="106"/>
      <c r="OK113" s="106"/>
      <c r="OL113" s="106"/>
      <c r="OM113" s="106"/>
      <c r="ON113" s="106"/>
      <c r="OO113" s="106"/>
      <c r="OP113" s="106"/>
      <c r="OQ113" s="106"/>
      <c r="OR113" s="106"/>
      <c r="OS113" s="106"/>
      <c r="OT113" s="106"/>
      <c r="OU113" s="106"/>
      <c r="OV113" s="106"/>
      <c r="OW113" s="106"/>
      <c r="OX113" s="106"/>
      <c r="OY113" s="106"/>
      <c r="OZ113" s="106"/>
      <c r="PA113" s="106"/>
      <c r="PB113" s="106"/>
      <c r="PC113" s="106"/>
      <c r="PD113" s="106"/>
      <c r="PE113" s="106"/>
      <c r="PF113" s="106"/>
      <c r="PG113" s="106"/>
      <c r="PH113" s="106"/>
      <c r="PI113" s="106"/>
      <c r="PJ113" s="106"/>
      <c r="PK113" s="106"/>
      <c r="PL113" s="106"/>
      <c r="PM113" s="106"/>
      <c r="PN113" s="106"/>
      <c r="PO113" s="106"/>
      <c r="PP113" s="106"/>
      <c r="PQ113" s="106"/>
      <c r="PR113" s="106"/>
      <c r="PS113" s="106"/>
      <c r="PT113" s="106"/>
      <c r="PU113" s="106"/>
      <c r="PV113" s="106"/>
      <c r="PW113" s="106"/>
      <c r="PX113" s="106"/>
      <c r="PY113" s="106"/>
      <c r="PZ113" s="106"/>
      <c r="QA113" s="106"/>
      <c r="QB113" s="106"/>
      <c r="QC113" s="106"/>
      <c r="QD113" s="106"/>
      <c r="QE113" s="106"/>
      <c r="QF113" s="106"/>
      <c r="QG113" s="106"/>
      <c r="QH113" s="106"/>
      <c r="QI113" s="106"/>
      <c r="QJ113" s="106"/>
      <c r="QK113" s="106"/>
      <c r="QL113" s="106"/>
      <c r="QM113" s="106"/>
      <c r="QN113" s="106"/>
      <c r="QO113" s="106"/>
      <c r="QP113" s="106"/>
      <c r="QQ113" s="106"/>
      <c r="QR113" s="106"/>
      <c r="QS113" s="106"/>
      <c r="QT113" s="106"/>
      <c r="QU113" s="106"/>
      <c r="QV113" s="106"/>
      <c r="QW113" s="106"/>
      <c r="QX113" s="106"/>
      <c r="QY113" s="106"/>
      <c r="QZ113" s="106"/>
      <c r="RA113" s="106"/>
      <c r="RB113" s="106"/>
      <c r="RC113" s="106"/>
      <c r="RD113" s="106"/>
      <c r="RE113" s="106"/>
      <c r="RF113" s="106"/>
      <c r="RG113" s="106"/>
      <c r="RH113" s="106"/>
      <c r="RI113" s="106"/>
      <c r="RJ113" s="106"/>
      <c r="RK113" s="106"/>
      <c r="RL113" s="106"/>
      <c r="RM113" s="106"/>
      <c r="RN113" s="106"/>
      <c r="RO113" s="106"/>
      <c r="RP113" s="106"/>
      <c r="RQ113" s="106"/>
      <c r="RR113" s="106"/>
      <c r="RS113" s="106"/>
      <c r="RT113" s="106"/>
      <c r="RU113" s="106"/>
      <c r="RV113" s="106"/>
      <c r="RW113" s="106"/>
      <c r="RX113" s="106"/>
      <c r="RY113" s="106"/>
      <c r="RZ113" s="106"/>
      <c r="SA113" s="106"/>
      <c r="SB113" s="106"/>
      <c r="SC113" s="106"/>
      <c r="SD113" s="106"/>
      <c r="SE113" s="106"/>
      <c r="SF113" s="106"/>
      <c r="SG113" s="106"/>
      <c r="SH113" s="106"/>
      <c r="SI113" s="106"/>
      <c r="SJ113" s="106"/>
      <c r="SK113" s="106"/>
      <c r="SL113" s="106"/>
      <c r="SM113" s="106"/>
      <c r="SN113" s="106"/>
      <c r="SO113" s="106"/>
      <c r="SP113" s="106"/>
      <c r="SQ113" s="106"/>
      <c r="SR113" s="106"/>
      <c r="SS113" s="106"/>
      <c r="ST113" s="106"/>
      <c r="SU113" s="106"/>
      <c r="SV113" s="106"/>
      <c r="SW113" s="106"/>
      <c r="SX113" s="106"/>
      <c r="SY113" s="106"/>
      <c r="SZ113" s="106"/>
      <c r="TA113" s="106"/>
      <c r="TB113" s="106"/>
      <c r="TC113" s="106"/>
      <c r="TD113" s="106"/>
      <c r="TE113" s="106"/>
      <c r="TF113" s="106"/>
      <c r="TG113" s="106"/>
      <c r="TH113" s="106"/>
      <c r="TI113" s="106"/>
      <c r="TJ113" s="106"/>
      <c r="TK113" s="106"/>
      <c r="TL113" s="106"/>
      <c r="TM113" s="106"/>
      <c r="TN113" s="106"/>
      <c r="TO113" s="106"/>
      <c r="TP113" s="106"/>
      <c r="TQ113" s="106"/>
      <c r="TR113" s="106"/>
      <c r="TS113" s="106"/>
      <c r="TT113" s="106"/>
      <c r="TU113" s="106"/>
      <c r="TV113" s="106"/>
      <c r="TW113" s="106"/>
      <c r="TX113" s="106"/>
      <c r="TY113" s="106"/>
      <c r="TZ113" s="106"/>
      <c r="UA113" s="106"/>
      <c r="UB113" s="106"/>
      <c r="UC113" s="106"/>
      <c r="UD113" s="106"/>
      <c r="UE113" s="106"/>
      <c r="UF113" s="106"/>
      <c r="UG113" s="106"/>
      <c r="UH113" s="106"/>
      <c r="UI113" s="106"/>
      <c r="UJ113" s="106"/>
      <c r="UK113" s="106"/>
      <c r="UL113" s="106"/>
      <c r="UM113" s="106"/>
      <c r="UN113" s="106"/>
      <c r="UO113" s="106"/>
      <c r="UP113" s="106"/>
      <c r="UQ113" s="106"/>
      <c r="UR113" s="106"/>
      <c r="US113" s="106"/>
      <c r="UT113" s="106"/>
      <c r="UU113" s="106"/>
      <c r="UV113" s="106"/>
      <c r="UW113" s="106"/>
      <c r="UX113" s="106"/>
      <c r="UY113" s="106"/>
      <c r="UZ113" s="106"/>
      <c r="VA113" s="106"/>
      <c r="VB113" s="106"/>
      <c r="VC113" s="106"/>
      <c r="VD113" s="106"/>
      <c r="VE113" s="106"/>
      <c r="VF113" s="106"/>
      <c r="VG113" s="106"/>
      <c r="VH113" s="106"/>
      <c r="VI113" s="106"/>
      <c r="VJ113" s="106"/>
      <c r="VK113" s="106"/>
      <c r="VL113" s="106"/>
      <c r="VM113" s="106"/>
      <c r="VN113" s="106"/>
      <c r="VO113" s="106"/>
      <c r="VP113" s="106"/>
      <c r="VQ113" s="106"/>
      <c r="VR113" s="106"/>
      <c r="VS113" s="106"/>
      <c r="VT113" s="106"/>
      <c r="VU113" s="106"/>
      <c r="VV113" s="106"/>
      <c r="VW113" s="106"/>
      <c r="VX113" s="106"/>
      <c r="VY113" s="106"/>
      <c r="VZ113" s="106"/>
      <c r="WA113" s="106"/>
      <c r="WB113" s="106"/>
      <c r="WC113" s="106"/>
      <c r="WD113" s="106"/>
      <c r="WE113" s="106"/>
      <c r="WF113" s="106"/>
      <c r="WG113" s="106"/>
      <c r="WH113" s="106"/>
      <c r="WI113" s="106"/>
      <c r="WJ113" s="106"/>
      <c r="WK113" s="106"/>
      <c r="WL113" s="106"/>
      <c r="WM113" s="106"/>
      <c r="WN113" s="106"/>
      <c r="WO113" s="106"/>
      <c r="WP113" s="106"/>
      <c r="WQ113" s="106"/>
      <c r="WR113" s="106"/>
      <c r="WS113" s="106"/>
      <c r="WT113" s="106"/>
      <c r="WU113" s="106"/>
      <c r="WV113" s="106"/>
      <c r="WW113" s="106"/>
      <c r="WX113" s="106"/>
      <c r="WY113" s="106"/>
      <c r="WZ113" s="106"/>
      <c r="XA113" s="106"/>
      <c r="XB113" s="106"/>
      <c r="XC113" s="106"/>
      <c r="XD113" s="106"/>
      <c r="XE113" s="106"/>
      <c r="XF113" s="106"/>
      <c r="XG113" s="106"/>
      <c r="XH113" s="106"/>
      <c r="XI113" s="106"/>
      <c r="XJ113" s="106"/>
      <c r="XK113" s="106"/>
      <c r="XL113" s="106"/>
      <c r="XM113" s="106"/>
      <c r="XN113" s="106"/>
      <c r="XO113" s="106"/>
      <c r="XP113" s="106"/>
      <c r="XQ113" s="106"/>
      <c r="XR113" s="106"/>
      <c r="XS113" s="106"/>
      <c r="XT113" s="106"/>
      <c r="XU113" s="106"/>
      <c r="XV113" s="106"/>
      <c r="XW113" s="106"/>
      <c r="XX113" s="106"/>
      <c r="XY113" s="106"/>
      <c r="XZ113" s="106"/>
      <c r="YA113" s="106"/>
      <c r="YB113" s="106"/>
      <c r="YC113" s="106"/>
      <c r="YD113" s="106"/>
      <c r="YE113" s="106"/>
      <c r="YF113" s="106"/>
      <c r="YG113" s="106"/>
      <c r="YH113" s="106"/>
      <c r="YI113" s="106"/>
      <c r="YJ113" s="106"/>
      <c r="YK113" s="106"/>
      <c r="YL113" s="106"/>
      <c r="YM113" s="106"/>
      <c r="YN113" s="106"/>
      <c r="YO113" s="106"/>
      <c r="YP113" s="106"/>
      <c r="YQ113" s="106"/>
      <c r="YR113" s="106"/>
      <c r="YS113" s="106"/>
      <c r="YT113" s="106"/>
      <c r="YU113" s="106"/>
      <c r="YV113" s="106"/>
      <c r="YW113" s="106"/>
      <c r="YX113" s="106"/>
      <c r="YY113" s="106"/>
      <c r="YZ113" s="106"/>
      <c r="ZA113" s="106"/>
      <c r="ZB113" s="106"/>
      <c r="ZC113" s="106"/>
      <c r="ZD113" s="106"/>
      <c r="ZE113" s="106"/>
      <c r="ZF113" s="106"/>
      <c r="ZG113" s="106"/>
      <c r="ZH113" s="106"/>
      <c r="ZI113" s="106"/>
      <c r="ZJ113" s="106"/>
      <c r="ZK113" s="106"/>
      <c r="ZL113" s="106"/>
      <c r="ZM113" s="106"/>
      <c r="ZN113" s="106"/>
      <c r="ZO113" s="106"/>
      <c r="ZP113" s="106"/>
      <c r="ZQ113" s="106"/>
      <c r="ZR113" s="106"/>
      <c r="ZS113" s="106"/>
      <c r="ZT113" s="106"/>
      <c r="ZU113" s="106"/>
      <c r="ZV113" s="106"/>
      <c r="ZW113" s="106"/>
      <c r="ZX113" s="106"/>
      <c r="ZY113" s="106"/>
      <c r="ZZ113" s="106"/>
      <c r="AAA113" s="106"/>
      <c r="AAB113" s="106"/>
      <c r="AAC113" s="106"/>
      <c r="AAD113" s="106"/>
      <c r="AAE113" s="106"/>
      <c r="AAF113" s="106"/>
      <c r="AAG113" s="106"/>
      <c r="AAH113" s="106"/>
      <c r="AAI113" s="106"/>
      <c r="AAJ113" s="106"/>
      <c r="AAK113" s="106"/>
      <c r="AAL113" s="106"/>
      <c r="AAM113" s="106"/>
      <c r="AAN113" s="106"/>
      <c r="AAO113" s="106"/>
      <c r="AAP113" s="106"/>
      <c r="AAQ113" s="106"/>
      <c r="AAR113" s="106"/>
      <c r="AAS113" s="106"/>
      <c r="AAT113" s="106"/>
      <c r="AAU113" s="106"/>
      <c r="AAV113" s="106"/>
      <c r="AAW113" s="106"/>
      <c r="AAX113" s="106"/>
      <c r="AAY113" s="106"/>
      <c r="AAZ113" s="106"/>
      <c r="ABA113" s="106"/>
      <c r="ABB113" s="106"/>
      <c r="ABC113" s="106"/>
      <c r="ABD113" s="106"/>
      <c r="ABE113" s="106"/>
      <c r="ABF113" s="106"/>
      <c r="ABG113" s="106"/>
      <c r="ABH113" s="106"/>
      <c r="ABI113" s="106"/>
      <c r="ABJ113" s="106"/>
      <c r="ABK113" s="106"/>
      <c r="ABL113" s="106"/>
      <c r="ABM113" s="106"/>
      <c r="ABN113" s="106"/>
      <c r="ABO113" s="106"/>
      <c r="ABP113" s="106"/>
      <c r="ABQ113" s="106"/>
      <c r="ABR113" s="106"/>
      <c r="ABS113" s="106"/>
      <c r="ABT113" s="106"/>
      <c r="ABU113" s="106"/>
      <c r="ABV113" s="106"/>
      <c r="ABW113" s="106"/>
      <c r="ABX113" s="106"/>
      <c r="ABY113" s="106"/>
      <c r="ABZ113" s="106"/>
      <c r="ACA113" s="106"/>
      <c r="ACB113" s="106"/>
      <c r="ACC113" s="106"/>
      <c r="ACD113" s="106"/>
      <c r="ACE113" s="106"/>
      <c r="ACF113" s="106"/>
      <c r="ACG113" s="106"/>
      <c r="ACH113" s="106"/>
      <c r="ACI113" s="106"/>
      <c r="ACJ113" s="106"/>
      <c r="ACK113" s="106"/>
      <c r="ACL113" s="106"/>
      <c r="ACM113" s="106"/>
      <c r="ACN113" s="106"/>
      <c r="ACO113" s="106"/>
      <c r="ACP113" s="106"/>
      <c r="ACQ113" s="106"/>
      <c r="ACR113" s="106"/>
      <c r="ACS113" s="106"/>
      <c r="ACT113" s="106"/>
      <c r="ACU113" s="106"/>
      <c r="ACV113" s="106"/>
      <c r="ACW113" s="106"/>
      <c r="ACX113" s="106"/>
      <c r="ACY113" s="106"/>
      <c r="ACZ113" s="106"/>
      <c r="ADA113" s="106"/>
      <c r="ADB113" s="106"/>
      <c r="ADC113" s="106"/>
      <c r="ADD113" s="106"/>
      <c r="ADE113" s="106"/>
      <c r="ADF113" s="106"/>
      <c r="ADG113" s="106"/>
      <c r="ADH113" s="106"/>
      <c r="ADI113" s="106"/>
      <c r="ADJ113" s="106"/>
      <c r="ADK113" s="106"/>
      <c r="ADL113" s="106"/>
      <c r="ADM113" s="106"/>
      <c r="ADN113" s="106"/>
      <c r="ADO113" s="106"/>
      <c r="ADP113" s="106"/>
      <c r="ADQ113" s="106"/>
      <c r="ADR113" s="106"/>
      <c r="ADS113" s="106"/>
      <c r="ADT113" s="106"/>
      <c r="ADU113" s="106"/>
      <c r="ADV113" s="106"/>
      <c r="ADW113" s="106"/>
      <c r="ADX113" s="106"/>
      <c r="ADY113" s="106"/>
      <c r="ADZ113" s="106"/>
      <c r="AEA113" s="106"/>
      <c r="AEB113" s="106"/>
      <c r="AEC113" s="106"/>
      <c r="AED113" s="106"/>
      <c r="AEE113" s="106"/>
      <c r="AEF113" s="106"/>
      <c r="AEG113" s="106"/>
      <c r="AEH113" s="106"/>
      <c r="AEI113" s="106"/>
      <c r="AEJ113" s="106"/>
      <c r="AEK113" s="106"/>
      <c r="AEL113" s="106"/>
      <c r="AEM113" s="106"/>
      <c r="AEN113" s="106"/>
      <c r="AEO113" s="106"/>
      <c r="AEP113" s="106"/>
      <c r="AEQ113" s="106"/>
      <c r="AER113" s="106"/>
      <c r="AES113" s="106"/>
      <c r="AET113" s="106"/>
      <c r="AEU113" s="106"/>
      <c r="AEV113" s="106"/>
      <c r="AEW113" s="106"/>
      <c r="AEX113" s="106"/>
      <c r="AEY113" s="106"/>
      <c r="AEZ113" s="106"/>
      <c r="AFA113" s="106"/>
      <c r="AFB113" s="106"/>
      <c r="AFC113" s="106"/>
      <c r="AFD113" s="106"/>
      <c r="AFE113" s="106"/>
      <c r="AFF113" s="106"/>
      <c r="AFG113" s="106"/>
      <c r="AFH113" s="106"/>
      <c r="AFI113" s="106"/>
      <c r="AFJ113" s="106"/>
      <c r="AFK113" s="106"/>
      <c r="AFL113" s="106"/>
      <c r="AFM113" s="106"/>
      <c r="AFN113" s="106"/>
      <c r="AFO113" s="106"/>
      <c r="AFP113" s="106"/>
      <c r="AFQ113" s="106"/>
      <c r="AFR113" s="106"/>
      <c r="AFS113" s="106"/>
      <c r="AFT113" s="106"/>
      <c r="AFU113" s="106"/>
      <c r="AFV113" s="106"/>
      <c r="AFW113" s="106"/>
      <c r="AFX113" s="106"/>
      <c r="AFY113" s="106"/>
      <c r="AFZ113" s="106"/>
      <c r="AGA113" s="106"/>
      <c r="AGB113" s="106"/>
      <c r="AGC113" s="106"/>
      <c r="AGD113" s="106"/>
      <c r="AGE113" s="106"/>
      <c r="AGF113" s="106"/>
      <c r="AGG113" s="106"/>
      <c r="AGH113" s="106"/>
      <c r="AGI113" s="106"/>
      <c r="AGJ113" s="106"/>
      <c r="AGK113" s="106"/>
      <c r="AGL113" s="106"/>
      <c r="AGM113" s="106"/>
      <c r="AGN113" s="106"/>
      <c r="AGO113" s="106"/>
      <c r="AGP113" s="106"/>
      <c r="AGQ113" s="106"/>
      <c r="AGR113" s="106"/>
      <c r="AGS113" s="106"/>
      <c r="AGT113" s="106"/>
      <c r="AGU113" s="106"/>
      <c r="AGV113" s="106"/>
      <c r="AGW113" s="106"/>
      <c r="AGX113" s="106"/>
      <c r="AGY113" s="106"/>
      <c r="AGZ113" s="106"/>
      <c r="AHA113" s="106"/>
      <c r="AHB113" s="106"/>
      <c r="AHC113" s="106"/>
      <c r="AHD113" s="106"/>
      <c r="AHE113" s="106"/>
      <c r="AHF113" s="106"/>
      <c r="AHG113" s="106"/>
      <c r="AHH113" s="106"/>
      <c r="AHI113" s="106"/>
      <c r="AHJ113" s="106"/>
      <c r="AHK113" s="106"/>
      <c r="AHL113" s="106"/>
      <c r="AHM113" s="106"/>
      <c r="AHN113" s="106"/>
      <c r="AHO113" s="106"/>
      <c r="AHP113" s="106"/>
      <c r="AHQ113" s="106"/>
      <c r="AHR113" s="106"/>
      <c r="AHS113" s="106"/>
      <c r="AHT113" s="106"/>
      <c r="AHU113" s="106"/>
      <c r="AHV113" s="106"/>
      <c r="AHW113" s="106"/>
      <c r="AHX113" s="106"/>
      <c r="AHY113" s="106"/>
      <c r="AHZ113" s="106"/>
      <c r="AIA113" s="106"/>
      <c r="AIB113" s="106"/>
      <c r="AIC113" s="106"/>
      <c r="AID113" s="106"/>
      <c r="AIE113" s="106"/>
      <c r="AIF113" s="106"/>
      <c r="AIG113" s="106"/>
      <c r="AIH113" s="106"/>
      <c r="AII113" s="106"/>
      <c r="AIJ113" s="106"/>
      <c r="AIK113" s="106"/>
      <c r="AIL113" s="106"/>
      <c r="AIM113" s="106"/>
      <c r="AIN113" s="106"/>
      <c r="AIO113" s="106"/>
      <c r="AIP113" s="106"/>
      <c r="AIQ113" s="106"/>
      <c r="AIR113" s="106"/>
      <c r="AIS113" s="106"/>
      <c r="AIT113" s="106"/>
      <c r="AIU113" s="106"/>
      <c r="AIV113" s="106"/>
      <c r="AIW113" s="106"/>
      <c r="AIX113" s="106"/>
      <c r="AIY113" s="106"/>
      <c r="AIZ113" s="106"/>
      <c r="AJA113" s="106"/>
      <c r="AJB113" s="106"/>
      <c r="AJC113" s="106"/>
      <c r="AJD113" s="106"/>
      <c r="AJE113" s="106"/>
      <c r="AJF113" s="106"/>
      <c r="AJG113" s="106"/>
      <c r="AJH113" s="106"/>
      <c r="AJI113" s="106"/>
      <c r="AJJ113" s="106"/>
      <c r="AJK113" s="106"/>
      <c r="AJL113" s="106"/>
      <c r="AJM113" s="106"/>
      <c r="AJN113" s="106"/>
      <c r="AJO113" s="106"/>
      <c r="AJP113" s="106"/>
      <c r="AJQ113" s="106"/>
      <c r="AJR113" s="106"/>
      <c r="AJS113" s="106"/>
      <c r="AJT113" s="106"/>
      <c r="AJU113" s="106"/>
      <c r="AJV113" s="106"/>
      <c r="AJW113" s="106"/>
      <c r="AJX113" s="106"/>
      <c r="AJY113" s="106"/>
      <c r="AJZ113" s="106"/>
      <c r="AKA113" s="106"/>
      <c r="AKB113" s="106"/>
      <c r="AKC113" s="106"/>
      <c r="AKD113" s="106"/>
      <c r="AKE113" s="106"/>
      <c r="AKF113" s="106"/>
      <c r="AKG113" s="106"/>
      <c r="AKH113" s="106"/>
      <c r="AKI113" s="106"/>
      <c r="AKJ113" s="106"/>
      <c r="AKK113" s="106"/>
      <c r="AKL113" s="106"/>
      <c r="AKM113" s="106"/>
      <c r="AKN113" s="106"/>
      <c r="AKO113" s="106"/>
      <c r="AKP113" s="106"/>
      <c r="AKQ113" s="106"/>
      <c r="AKR113" s="106"/>
      <c r="AKS113" s="106"/>
      <c r="AKT113" s="106"/>
      <c r="AKU113" s="106"/>
      <c r="AKV113" s="106"/>
      <c r="AKW113" s="106"/>
      <c r="AKX113" s="106"/>
      <c r="AKY113" s="106"/>
      <c r="AKZ113" s="106"/>
      <c r="ALA113" s="106"/>
      <c r="ALB113" s="106"/>
      <c r="ALC113" s="106"/>
      <c r="ALD113" s="106"/>
      <c r="ALE113" s="106"/>
      <c r="ALF113" s="106"/>
      <c r="ALG113" s="106"/>
      <c r="ALH113" s="106"/>
    </row>
    <row r="114" spans="1:996" s="75" customFormat="1" ht="15.75" customHeight="1">
      <c r="A114" s="104"/>
      <c r="B114" s="75" t="str">
        <f t="shared" si="5"/>
        <v>S112501</v>
      </c>
      <c r="C114" s="396" t="s">
        <v>605</v>
      </c>
      <c r="D114" s="27" t="s">
        <v>128</v>
      </c>
      <c r="E114" s="75">
        <v>112501</v>
      </c>
      <c r="F114" s="105" t="s">
        <v>92</v>
      </c>
      <c r="G114" s="74">
        <f>IFERROR(VLOOKUP(E114,'BD - E - Mvto Cx'!$E$15:$G$500,3,0),0)</f>
        <v>3866.4</v>
      </c>
      <c r="H114" s="72">
        <f>IFERROR(VLOOKUP(E114,'BD - E - Mvto Cx'!$N$15:$P$500,3,0),0)</f>
        <v>4316.49</v>
      </c>
      <c r="I114" s="73">
        <f>IFERROR(VLOOKUP(E114,'BD - E - Mvto Cx'!$W$15:$Y$497,3,0),0)</f>
        <v>5468.47</v>
      </c>
      <c r="J114" s="73">
        <f>IFERROR(VLOOKUP(E114,'BD - E - Mvto Cx'!$AF$15:$AI$500,3,0),0)</f>
        <v>3331.21</v>
      </c>
      <c r="K114" s="73">
        <f>IFERROR(VLOOKUP(E114,'BD - E - Mvto Cx'!$AO$15:$AQ$500,3,0),0)</f>
        <v>0</v>
      </c>
      <c r="L114" s="73">
        <f>IFERROR(VLOOKUP(E114,'BD - E - Mvto Cx'!$AX$15:$AZ$500,3,0),0)</f>
        <v>0</v>
      </c>
      <c r="M114" s="73">
        <f>IFERROR(VLOOKUP(E114,'BD - E - Mvto Cx'!$BJ$15:$BL$500,3,0),0)</f>
        <v>0</v>
      </c>
      <c r="N114" s="73">
        <f>IFERROR(VLOOKUP(E114,'BD - E - Mvto Cx'!$BS$15:$BU$500,3,0),0)</f>
        <v>0</v>
      </c>
      <c r="O114" s="73">
        <f>IFERROR(VLOOKUP(E114,'BD - E - Mvto Cx'!$CB$15:$CD$500,3,0),0)</f>
        <v>0</v>
      </c>
      <c r="P114" s="73">
        <f>IFERROR(VLOOKUP(E114,'BD - E - Mvto Cx'!$CK$15:$CM$500,3,0),0)</f>
        <v>0</v>
      </c>
      <c r="Q114" s="73">
        <f>IFERROR(VLOOKUP(E114,'BD - E - Mvto Cx'!$CT$15:$CV$500,3,0),0)</f>
        <v>0</v>
      </c>
      <c r="R114" s="73">
        <f>IFERROR(VLOOKUP(E114,'BD - E - Mvto Cx'!$DC$15:$DE$500,3,0),0)</f>
        <v>0</v>
      </c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06"/>
      <c r="DI114" s="106"/>
      <c r="DJ114" s="106"/>
      <c r="DK114" s="106"/>
      <c r="DL114" s="106"/>
      <c r="DM114" s="106"/>
      <c r="DN114" s="106"/>
      <c r="DO114" s="106"/>
      <c r="DP114" s="106"/>
      <c r="DQ114" s="106"/>
      <c r="DR114" s="106"/>
      <c r="DS114" s="106"/>
      <c r="DT114" s="106"/>
      <c r="DU114" s="106"/>
      <c r="DV114" s="106"/>
      <c r="DW114" s="106"/>
      <c r="DX114" s="106"/>
      <c r="DY114" s="106"/>
      <c r="DZ114" s="106"/>
      <c r="EA114" s="106"/>
      <c r="EB114" s="106"/>
      <c r="EC114" s="106"/>
      <c r="ED114" s="106"/>
      <c r="EE114" s="106"/>
      <c r="EF114" s="106"/>
      <c r="EG114" s="106"/>
      <c r="EH114" s="106"/>
      <c r="EI114" s="106"/>
      <c r="EJ114" s="106"/>
      <c r="EK114" s="106"/>
      <c r="EL114" s="106"/>
      <c r="EM114" s="106"/>
      <c r="EN114" s="106"/>
      <c r="EO114" s="106"/>
      <c r="EP114" s="106"/>
      <c r="EQ114" s="106"/>
      <c r="ER114" s="106"/>
      <c r="ES114" s="106"/>
      <c r="ET114" s="106"/>
      <c r="EU114" s="106"/>
      <c r="EV114" s="106"/>
      <c r="EW114" s="106"/>
      <c r="EX114" s="106"/>
      <c r="EY114" s="106"/>
      <c r="EZ114" s="106"/>
      <c r="FA114" s="106"/>
      <c r="FB114" s="106"/>
      <c r="FC114" s="106"/>
      <c r="FD114" s="106"/>
      <c r="FE114" s="106"/>
      <c r="FF114" s="106"/>
      <c r="FG114" s="106"/>
      <c r="FH114" s="106"/>
      <c r="FI114" s="106"/>
      <c r="FJ114" s="106"/>
      <c r="FK114" s="106"/>
      <c r="FL114" s="106"/>
      <c r="FM114" s="106"/>
      <c r="FN114" s="106"/>
      <c r="FO114" s="106"/>
      <c r="FP114" s="106"/>
      <c r="FQ114" s="106"/>
      <c r="FR114" s="106"/>
      <c r="FS114" s="106"/>
      <c r="FT114" s="106"/>
      <c r="FU114" s="106"/>
      <c r="FV114" s="106"/>
      <c r="FW114" s="106"/>
      <c r="FX114" s="106"/>
      <c r="FY114" s="106"/>
      <c r="FZ114" s="106"/>
      <c r="GA114" s="106"/>
      <c r="GB114" s="106"/>
      <c r="GC114" s="106"/>
      <c r="GD114" s="106"/>
      <c r="GE114" s="106"/>
      <c r="GF114" s="106"/>
      <c r="GG114" s="106"/>
      <c r="GH114" s="106"/>
      <c r="GI114" s="106"/>
      <c r="GJ114" s="106"/>
      <c r="GK114" s="106"/>
      <c r="GL114" s="106"/>
      <c r="GM114" s="106"/>
      <c r="GN114" s="106"/>
      <c r="GO114" s="106"/>
      <c r="GP114" s="106"/>
      <c r="GQ114" s="106"/>
      <c r="GR114" s="106"/>
      <c r="GS114" s="106"/>
      <c r="GT114" s="106"/>
      <c r="GU114" s="106"/>
      <c r="GV114" s="106"/>
      <c r="GW114" s="106"/>
      <c r="GX114" s="106"/>
      <c r="GY114" s="106"/>
      <c r="GZ114" s="106"/>
      <c r="HA114" s="106"/>
      <c r="HB114" s="106"/>
      <c r="HC114" s="106"/>
      <c r="HD114" s="106"/>
      <c r="HE114" s="106"/>
      <c r="HF114" s="106"/>
      <c r="HG114" s="106"/>
      <c r="HH114" s="106"/>
      <c r="HI114" s="106"/>
      <c r="HJ114" s="106"/>
      <c r="HK114" s="106"/>
      <c r="HL114" s="106"/>
      <c r="HM114" s="106"/>
      <c r="HN114" s="106"/>
      <c r="HO114" s="106"/>
      <c r="HP114" s="106"/>
      <c r="HQ114" s="106"/>
      <c r="HR114" s="106"/>
      <c r="HS114" s="106"/>
      <c r="HT114" s="106"/>
      <c r="HU114" s="106"/>
      <c r="HV114" s="106"/>
      <c r="HW114" s="106"/>
      <c r="HX114" s="106"/>
      <c r="HY114" s="106"/>
      <c r="HZ114" s="106"/>
      <c r="IA114" s="106"/>
      <c r="IB114" s="106"/>
      <c r="IC114" s="106"/>
      <c r="ID114" s="106"/>
      <c r="IE114" s="106"/>
      <c r="IF114" s="106"/>
      <c r="IG114" s="106"/>
      <c r="IH114" s="106"/>
      <c r="II114" s="106"/>
      <c r="IJ114" s="106"/>
      <c r="IK114" s="106"/>
      <c r="IL114" s="106"/>
      <c r="IM114" s="106"/>
      <c r="IN114" s="106"/>
      <c r="IO114" s="106"/>
      <c r="IP114" s="106"/>
      <c r="IQ114" s="106"/>
      <c r="IR114" s="106"/>
      <c r="IS114" s="106"/>
      <c r="IT114" s="106"/>
      <c r="IU114" s="106"/>
      <c r="IV114" s="106"/>
      <c r="IW114" s="106"/>
      <c r="IX114" s="106"/>
      <c r="IY114" s="106"/>
      <c r="IZ114" s="106"/>
      <c r="JA114" s="106"/>
      <c r="JB114" s="106"/>
      <c r="JC114" s="106"/>
      <c r="JD114" s="106"/>
      <c r="JE114" s="106"/>
      <c r="JF114" s="106"/>
      <c r="JG114" s="106"/>
      <c r="JH114" s="106"/>
      <c r="JI114" s="106"/>
      <c r="JJ114" s="106"/>
      <c r="JK114" s="106"/>
      <c r="JL114" s="106"/>
      <c r="JM114" s="106"/>
      <c r="JN114" s="106"/>
      <c r="JO114" s="106"/>
      <c r="JP114" s="106"/>
      <c r="JQ114" s="106"/>
      <c r="JR114" s="106"/>
      <c r="JS114" s="106"/>
      <c r="JT114" s="106"/>
      <c r="JU114" s="106"/>
      <c r="JV114" s="106"/>
      <c r="JW114" s="106"/>
      <c r="JX114" s="106"/>
      <c r="JY114" s="106"/>
      <c r="JZ114" s="106"/>
      <c r="KA114" s="106"/>
      <c r="KB114" s="106"/>
      <c r="KC114" s="106"/>
      <c r="KD114" s="106"/>
      <c r="KE114" s="106"/>
      <c r="KF114" s="106"/>
      <c r="KG114" s="106"/>
      <c r="KH114" s="106"/>
      <c r="KI114" s="106"/>
      <c r="KJ114" s="106"/>
      <c r="KK114" s="106"/>
      <c r="KL114" s="106"/>
      <c r="KM114" s="106"/>
      <c r="KN114" s="106"/>
      <c r="KO114" s="106"/>
      <c r="KP114" s="106"/>
      <c r="KQ114" s="106"/>
      <c r="KR114" s="106"/>
      <c r="KS114" s="106"/>
      <c r="KT114" s="106"/>
      <c r="KU114" s="106"/>
      <c r="KV114" s="106"/>
      <c r="KW114" s="106"/>
      <c r="KX114" s="106"/>
      <c r="KY114" s="106"/>
      <c r="KZ114" s="106"/>
      <c r="LA114" s="106"/>
      <c r="LB114" s="106"/>
      <c r="LC114" s="106"/>
      <c r="LD114" s="106"/>
      <c r="LE114" s="106"/>
      <c r="LF114" s="106"/>
      <c r="LG114" s="106"/>
      <c r="LH114" s="106"/>
      <c r="LI114" s="106"/>
      <c r="LJ114" s="106"/>
      <c r="LK114" s="106"/>
      <c r="LL114" s="106"/>
      <c r="LM114" s="106"/>
      <c r="LN114" s="106"/>
      <c r="LO114" s="106"/>
      <c r="LP114" s="106"/>
      <c r="LQ114" s="106"/>
      <c r="LR114" s="106"/>
      <c r="LS114" s="106"/>
      <c r="LT114" s="106"/>
      <c r="LU114" s="106"/>
      <c r="LV114" s="106"/>
      <c r="LW114" s="106"/>
      <c r="LX114" s="106"/>
      <c r="LY114" s="106"/>
      <c r="LZ114" s="106"/>
      <c r="MA114" s="106"/>
      <c r="MB114" s="106"/>
      <c r="MC114" s="106"/>
      <c r="MD114" s="106"/>
      <c r="ME114" s="106"/>
      <c r="MF114" s="106"/>
      <c r="MG114" s="106"/>
      <c r="MH114" s="106"/>
      <c r="MI114" s="106"/>
      <c r="MJ114" s="106"/>
      <c r="MK114" s="106"/>
      <c r="ML114" s="106"/>
      <c r="MM114" s="106"/>
      <c r="MN114" s="106"/>
      <c r="MO114" s="106"/>
      <c r="MP114" s="106"/>
      <c r="MQ114" s="106"/>
      <c r="MR114" s="106"/>
      <c r="MS114" s="106"/>
      <c r="MT114" s="106"/>
      <c r="MU114" s="106"/>
      <c r="MV114" s="106"/>
      <c r="MW114" s="106"/>
      <c r="MX114" s="106"/>
      <c r="MY114" s="106"/>
      <c r="MZ114" s="106"/>
      <c r="NA114" s="106"/>
      <c r="NB114" s="106"/>
      <c r="NC114" s="106"/>
      <c r="ND114" s="106"/>
      <c r="NE114" s="106"/>
      <c r="NF114" s="106"/>
      <c r="NG114" s="106"/>
      <c r="NH114" s="106"/>
      <c r="NI114" s="106"/>
      <c r="NJ114" s="106"/>
      <c r="NK114" s="106"/>
      <c r="NL114" s="106"/>
      <c r="NM114" s="106"/>
      <c r="NN114" s="106"/>
      <c r="NO114" s="106"/>
      <c r="NP114" s="106"/>
      <c r="NQ114" s="106"/>
      <c r="NR114" s="106"/>
      <c r="NS114" s="106"/>
      <c r="NT114" s="106"/>
      <c r="NU114" s="106"/>
      <c r="NV114" s="106"/>
      <c r="NW114" s="106"/>
      <c r="NX114" s="106"/>
      <c r="NY114" s="106"/>
      <c r="NZ114" s="106"/>
      <c r="OA114" s="106"/>
      <c r="OB114" s="106"/>
      <c r="OC114" s="106"/>
      <c r="OD114" s="106"/>
      <c r="OE114" s="106"/>
      <c r="OF114" s="106"/>
      <c r="OG114" s="106"/>
      <c r="OH114" s="106"/>
      <c r="OI114" s="106"/>
      <c r="OJ114" s="106"/>
      <c r="OK114" s="106"/>
      <c r="OL114" s="106"/>
      <c r="OM114" s="106"/>
      <c r="ON114" s="106"/>
      <c r="OO114" s="106"/>
      <c r="OP114" s="106"/>
      <c r="OQ114" s="106"/>
      <c r="OR114" s="106"/>
      <c r="OS114" s="106"/>
      <c r="OT114" s="106"/>
      <c r="OU114" s="106"/>
      <c r="OV114" s="106"/>
      <c r="OW114" s="106"/>
      <c r="OX114" s="106"/>
      <c r="OY114" s="106"/>
      <c r="OZ114" s="106"/>
      <c r="PA114" s="106"/>
      <c r="PB114" s="106"/>
      <c r="PC114" s="106"/>
      <c r="PD114" s="106"/>
      <c r="PE114" s="106"/>
      <c r="PF114" s="106"/>
      <c r="PG114" s="106"/>
      <c r="PH114" s="106"/>
      <c r="PI114" s="106"/>
      <c r="PJ114" s="106"/>
      <c r="PK114" s="106"/>
      <c r="PL114" s="106"/>
      <c r="PM114" s="106"/>
      <c r="PN114" s="106"/>
      <c r="PO114" s="106"/>
      <c r="PP114" s="106"/>
      <c r="PQ114" s="106"/>
      <c r="PR114" s="106"/>
      <c r="PS114" s="106"/>
      <c r="PT114" s="106"/>
      <c r="PU114" s="106"/>
      <c r="PV114" s="106"/>
      <c r="PW114" s="106"/>
      <c r="PX114" s="106"/>
      <c r="PY114" s="106"/>
      <c r="PZ114" s="106"/>
      <c r="QA114" s="106"/>
      <c r="QB114" s="106"/>
      <c r="QC114" s="106"/>
      <c r="QD114" s="106"/>
      <c r="QE114" s="106"/>
      <c r="QF114" s="106"/>
      <c r="QG114" s="106"/>
      <c r="QH114" s="106"/>
      <c r="QI114" s="106"/>
      <c r="QJ114" s="106"/>
      <c r="QK114" s="106"/>
      <c r="QL114" s="106"/>
      <c r="QM114" s="106"/>
      <c r="QN114" s="106"/>
      <c r="QO114" s="106"/>
      <c r="QP114" s="106"/>
      <c r="QQ114" s="106"/>
      <c r="QR114" s="106"/>
      <c r="QS114" s="106"/>
      <c r="QT114" s="106"/>
      <c r="QU114" s="106"/>
      <c r="QV114" s="106"/>
      <c r="QW114" s="106"/>
      <c r="QX114" s="106"/>
      <c r="QY114" s="106"/>
      <c r="QZ114" s="106"/>
      <c r="RA114" s="106"/>
      <c r="RB114" s="106"/>
      <c r="RC114" s="106"/>
      <c r="RD114" s="106"/>
      <c r="RE114" s="106"/>
      <c r="RF114" s="106"/>
      <c r="RG114" s="106"/>
      <c r="RH114" s="106"/>
      <c r="RI114" s="106"/>
      <c r="RJ114" s="106"/>
      <c r="RK114" s="106"/>
      <c r="RL114" s="106"/>
      <c r="RM114" s="106"/>
      <c r="RN114" s="106"/>
      <c r="RO114" s="106"/>
      <c r="RP114" s="106"/>
      <c r="RQ114" s="106"/>
      <c r="RR114" s="106"/>
      <c r="RS114" s="106"/>
      <c r="RT114" s="106"/>
      <c r="RU114" s="106"/>
      <c r="RV114" s="106"/>
      <c r="RW114" s="106"/>
      <c r="RX114" s="106"/>
      <c r="RY114" s="106"/>
      <c r="RZ114" s="106"/>
      <c r="SA114" s="106"/>
      <c r="SB114" s="106"/>
      <c r="SC114" s="106"/>
      <c r="SD114" s="106"/>
      <c r="SE114" s="106"/>
      <c r="SF114" s="106"/>
      <c r="SG114" s="106"/>
      <c r="SH114" s="106"/>
      <c r="SI114" s="106"/>
      <c r="SJ114" s="106"/>
      <c r="SK114" s="106"/>
      <c r="SL114" s="106"/>
      <c r="SM114" s="106"/>
      <c r="SN114" s="106"/>
      <c r="SO114" s="106"/>
      <c r="SP114" s="106"/>
      <c r="SQ114" s="106"/>
      <c r="SR114" s="106"/>
      <c r="SS114" s="106"/>
      <c r="ST114" s="106"/>
      <c r="SU114" s="106"/>
      <c r="SV114" s="106"/>
      <c r="SW114" s="106"/>
      <c r="SX114" s="106"/>
      <c r="SY114" s="106"/>
      <c r="SZ114" s="106"/>
      <c r="TA114" s="106"/>
      <c r="TB114" s="106"/>
      <c r="TC114" s="106"/>
      <c r="TD114" s="106"/>
      <c r="TE114" s="106"/>
      <c r="TF114" s="106"/>
      <c r="TG114" s="106"/>
      <c r="TH114" s="106"/>
      <c r="TI114" s="106"/>
      <c r="TJ114" s="106"/>
      <c r="TK114" s="106"/>
      <c r="TL114" s="106"/>
      <c r="TM114" s="106"/>
      <c r="TN114" s="106"/>
      <c r="TO114" s="106"/>
      <c r="TP114" s="106"/>
      <c r="TQ114" s="106"/>
      <c r="TR114" s="106"/>
      <c r="TS114" s="106"/>
      <c r="TT114" s="106"/>
      <c r="TU114" s="106"/>
      <c r="TV114" s="106"/>
      <c r="TW114" s="106"/>
      <c r="TX114" s="106"/>
      <c r="TY114" s="106"/>
      <c r="TZ114" s="106"/>
      <c r="UA114" s="106"/>
      <c r="UB114" s="106"/>
      <c r="UC114" s="106"/>
      <c r="UD114" s="106"/>
      <c r="UE114" s="106"/>
      <c r="UF114" s="106"/>
      <c r="UG114" s="106"/>
      <c r="UH114" s="106"/>
      <c r="UI114" s="106"/>
      <c r="UJ114" s="106"/>
      <c r="UK114" s="106"/>
      <c r="UL114" s="106"/>
      <c r="UM114" s="106"/>
      <c r="UN114" s="106"/>
      <c r="UO114" s="106"/>
      <c r="UP114" s="106"/>
      <c r="UQ114" s="106"/>
      <c r="UR114" s="106"/>
      <c r="US114" s="106"/>
      <c r="UT114" s="106"/>
      <c r="UU114" s="106"/>
      <c r="UV114" s="106"/>
      <c r="UW114" s="106"/>
      <c r="UX114" s="106"/>
      <c r="UY114" s="106"/>
      <c r="UZ114" s="106"/>
      <c r="VA114" s="106"/>
      <c r="VB114" s="106"/>
      <c r="VC114" s="106"/>
      <c r="VD114" s="106"/>
      <c r="VE114" s="106"/>
      <c r="VF114" s="106"/>
      <c r="VG114" s="106"/>
      <c r="VH114" s="106"/>
      <c r="VI114" s="106"/>
      <c r="VJ114" s="106"/>
      <c r="VK114" s="106"/>
      <c r="VL114" s="106"/>
      <c r="VM114" s="106"/>
      <c r="VN114" s="106"/>
      <c r="VO114" s="106"/>
      <c r="VP114" s="106"/>
      <c r="VQ114" s="106"/>
      <c r="VR114" s="106"/>
      <c r="VS114" s="106"/>
      <c r="VT114" s="106"/>
      <c r="VU114" s="106"/>
      <c r="VV114" s="106"/>
      <c r="VW114" s="106"/>
      <c r="VX114" s="106"/>
      <c r="VY114" s="106"/>
      <c r="VZ114" s="106"/>
      <c r="WA114" s="106"/>
      <c r="WB114" s="106"/>
      <c r="WC114" s="106"/>
      <c r="WD114" s="106"/>
      <c r="WE114" s="106"/>
      <c r="WF114" s="106"/>
      <c r="WG114" s="106"/>
      <c r="WH114" s="106"/>
      <c r="WI114" s="106"/>
      <c r="WJ114" s="106"/>
      <c r="WK114" s="106"/>
      <c r="WL114" s="106"/>
      <c r="WM114" s="106"/>
      <c r="WN114" s="106"/>
      <c r="WO114" s="106"/>
      <c r="WP114" s="106"/>
      <c r="WQ114" s="106"/>
      <c r="WR114" s="106"/>
      <c r="WS114" s="106"/>
      <c r="WT114" s="106"/>
      <c r="WU114" s="106"/>
      <c r="WV114" s="106"/>
      <c r="WW114" s="106"/>
      <c r="WX114" s="106"/>
      <c r="WY114" s="106"/>
      <c r="WZ114" s="106"/>
      <c r="XA114" s="106"/>
      <c r="XB114" s="106"/>
      <c r="XC114" s="106"/>
      <c r="XD114" s="106"/>
      <c r="XE114" s="106"/>
      <c r="XF114" s="106"/>
      <c r="XG114" s="106"/>
      <c r="XH114" s="106"/>
      <c r="XI114" s="106"/>
      <c r="XJ114" s="106"/>
      <c r="XK114" s="106"/>
      <c r="XL114" s="106"/>
      <c r="XM114" s="106"/>
      <c r="XN114" s="106"/>
      <c r="XO114" s="106"/>
      <c r="XP114" s="106"/>
      <c r="XQ114" s="106"/>
      <c r="XR114" s="106"/>
      <c r="XS114" s="106"/>
      <c r="XT114" s="106"/>
      <c r="XU114" s="106"/>
      <c r="XV114" s="106"/>
      <c r="XW114" s="106"/>
      <c r="XX114" s="106"/>
      <c r="XY114" s="106"/>
      <c r="XZ114" s="106"/>
      <c r="YA114" s="106"/>
      <c r="YB114" s="106"/>
      <c r="YC114" s="106"/>
      <c r="YD114" s="106"/>
      <c r="YE114" s="106"/>
      <c r="YF114" s="106"/>
      <c r="YG114" s="106"/>
      <c r="YH114" s="106"/>
      <c r="YI114" s="106"/>
      <c r="YJ114" s="106"/>
      <c r="YK114" s="106"/>
      <c r="YL114" s="106"/>
      <c r="YM114" s="106"/>
      <c r="YN114" s="106"/>
      <c r="YO114" s="106"/>
      <c r="YP114" s="106"/>
      <c r="YQ114" s="106"/>
      <c r="YR114" s="106"/>
      <c r="YS114" s="106"/>
      <c r="YT114" s="106"/>
      <c r="YU114" s="106"/>
      <c r="YV114" s="106"/>
      <c r="YW114" s="106"/>
      <c r="YX114" s="106"/>
      <c r="YY114" s="106"/>
      <c r="YZ114" s="106"/>
      <c r="ZA114" s="106"/>
      <c r="ZB114" s="106"/>
      <c r="ZC114" s="106"/>
      <c r="ZD114" s="106"/>
      <c r="ZE114" s="106"/>
      <c r="ZF114" s="106"/>
      <c r="ZG114" s="106"/>
      <c r="ZH114" s="106"/>
      <c r="ZI114" s="106"/>
      <c r="ZJ114" s="106"/>
      <c r="ZK114" s="106"/>
      <c r="ZL114" s="106"/>
      <c r="ZM114" s="106"/>
      <c r="ZN114" s="106"/>
      <c r="ZO114" s="106"/>
      <c r="ZP114" s="106"/>
      <c r="ZQ114" s="106"/>
      <c r="ZR114" s="106"/>
      <c r="ZS114" s="106"/>
      <c r="ZT114" s="106"/>
      <c r="ZU114" s="106"/>
      <c r="ZV114" s="106"/>
      <c r="ZW114" s="106"/>
      <c r="ZX114" s="106"/>
      <c r="ZY114" s="106"/>
      <c r="ZZ114" s="106"/>
      <c r="AAA114" s="106"/>
      <c r="AAB114" s="106"/>
      <c r="AAC114" s="106"/>
      <c r="AAD114" s="106"/>
      <c r="AAE114" s="106"/>
      <c r="AAF114" s="106"/>
      <c r="AAG114" s="106"/>
      <c r="AAH114" s="106"/>
      <c r="AAI114" s="106"/>
      <c r="AAJ114" s="106"/>
      <c r="AAK114" s="106"/>
      <c r="AAL114" s="106"/>
      <c r="AAM114" s="106"/>
      <c r="AAN114" s="106"/>
      <c r="AAO114" s="106"/>
      <c r="AAP114" s="106"/>
      <c r="AAQ114" s="106"/>
      <c r="AAR114" s="106"/>
      <c r="AAS114" s="106"/>
      <c r="AAT114" s="106"/>
      <c r="AAU114" s="106"/>
      <c r="AAV114" s="106"/>
      <c r="AAW114" s="106"/>
      <c r="AAX114" s="106"/>
      <c r="AAY114" s="106"/>
      <c r="AAZ114" s="106"/>
      <c r="ABA114" s="106"/>
      <c r="ABB114" s="106"/>
      <c r="ABC114" s="106"/>
      <c r="ABD114" s="106"/>
      <c r="ABE114" s="106"/>
      <c r="ABF114" s="106"/>
      <c r="ABG114" s="106"/>
      <c r="ABH114" s="106"/>
      <c r="ABI114" s="106"/>
      <c r="ABJ114" s="106"/>
      <c r="ABK114" s="106"/>
      <c r="ABL114" s="106"/>
      <c r="ABM114" s="106"/>
      <c r="ABN114" s="106"/>
      <c r="ABO114" s="106"/>
      <c r="ABP114" s="106"/>
      <c r="ABQ114" s="106"/>
      <c r="ABR114" s="106"/>
      <c r="ABS114" s="106"/>
      <c r="ABT114" s="106"/>
      <c r="ABU114" s="106"/>
      <c r="ABV114" s="106"/>
      <c r="ABW114" s="106"/>
      <c r="ABX114" s="106"/>
      <c r="ABY114" s="106"/>
      <c r="ABZ114" s="106"/>
      <c r="ACA114" s="106"/>
      <c r="ACB114" s="106"/>
      <c r="ACC114" s="106"/>
      <c r="ACD114" s="106"/>
      <c r="ACE114" s="106"/>
      <c r="ACF114" s="106"/>
      <c r="ACG114" s="106"/>
      <c r="ACH114" s="106"/>
      <c r="ACI114" s="106"/>
      <c r="ACJ114" s="106"/>
      <c r="ACK114" s="106"/>
      <c r="ACL114" s="106"/>
      <c r="ACM114" s="106"/>
      <c r="ACN114" s="106"/>
      <c r="ACO114" s="106"/>
      <c r="ACP114" s="106"/>
      <c r="ACQ114" s="106"/>
      <c r="ACR114" s="106"/>
      <c r="ACS114" s="106"/>
      <c r="ACT114" s="106"/>
      <c r="ACU114" s="106"/>
      <c r="ACV114" s="106"/>
      <c r="ACW114" s="106"/>
      <c r="ACX114" s="106"/>
      <c r="ACY114" s="106"/>
      <c r="ACZ114" s="106"/>
      <c r="ADA114" s="106"/>
      <c r="ADB114" s="106"/>
      <c r="ADC114" s="106"/>
      <c r="ADD114" s="106"/>
      <c r="ADE114" s="106"/>
      <c r="ADF114" s="106"/>
      <c r="ADG114" s="106"/>
      <c r="ADH114" s="106"/>
      <c r="ADI114" s="106"/>
      <c r="ADJ114" s="106"/>
      <c r="ADK114" s="106"/>
      <c r="ADL114" s="106"/>
      <c r="ADM114" s="106"/>
      <c r="ADN114" s="106"/>
      <c r="ADO114" s="106"/>
      <c r="ADP114" s="106"/>
      <c r="ADQ114" s="106"/>
      <c r="ADR114" s="106"/>
      <c r="ADS114" s="106"/>
      <c r="ADT114" s="106"/>
      <c r="ADU114" s="106"/>
      <c r="ADV114" s="106"/>
      <c r="ADW114" s="106"/>
      <c r="ADX114" s="106"/>
      <c r="ADY114" s="106"/>
      <c r="ADZ114" s="106"/>
      <c r="AEA114" s="106"/>
      <c r="AEB114" s="106"/>
      <c r="AEC114" s="106"/>
      <c r="AED114" s="106"/>
      <c r="AEE114" s="106"/>
      <c r="AEF114" s="106"/>
      <c r="AEG114" s="106"/>
      <c r="AEH114" s="106"/>
      <c r="AEI114" s="106"/>
      <c r="AEJ114" s="106"/>
      <c r="AEK114" s="106"/>
      <c r="AEL114" s="106"/>
      <c r="AEM114" s="106"/>
      <c r="AEN114" s="106"/>
      <c r="AEO114" s="106"/>
      <c r="AEP114" s="106"/>
      <c r="AEQ114" s="106"/>
      <c r="AER114" s="106"/>
      <c r="AES114" s="106"/>
      <c r="AET114" s="106"/>
      <c r="AEU114" s="106"/>
      <c r="AEV114" s="106"/>
      <c r="AEW114" s="106"/>
      <c r="AEX114" s="106"/>
      <c r="AEY114" s="106"/>
      <c r="AEZ114" s="106"/>
      <c r="AFA114" s="106"/>
      <c r="AFB114" s="106"/>
      <c r="AFC114" s="106"/>
      <c r="AFD114" s="106"/>
      <c r="AFE114" s="106"/>
      <c r="AFF114" s="106"/>
      <c r="AFG114" s="106"/>
      <c r="AFH114" s="106"/>
      <c r="AFI114" s="106"/>
      <c r="AFJ114" s="106"/>
      <c r="AFK114" s="106"/>
      <c r="AFL114" s="106"/>
      <c r="AFM114" s="106"/>
      <c r="AFN114" s="106"/>
      <c r="AFO114" s="106"/>
      <c r="AFP114" s="106"/>
      <c r="AFQ114" s="106"/>
      <c r="AFR114" s="106"/>
      <c r="AFS114" s="106"/>
      <c r="AFT114" s="106"/>
      <c r="AFU114" s="106"/>
      <c r="AFV114" s="106"/>
      <c r="AFW114" s="106"/>
      <c r="AFX114" s="106"/>
      <c r="AFY114" s="106"/>
      <c r="AFZ114" s="106"/>
      <c r="AGA114" s="106"/>
      <c r="AGB114" s="106"/>
      <c r="AGC114" s="106"/>
      <c r="AGD114" s="106"/>
      <c r="AGE114" s="106"/>
      <c r="AGF114" s="106"/>
      <c r="AGG114" s="106"/>
      <c r="AGH114" s="106"/>
      <c r="AGI114" s="106"/>
      <c r="AGJ114" s="106"/>
      <c r="AGK114" s="106"/>
      <c r="AGL114" s="106"/>
      <c r="AGM114" s="106"/>
      <c r="AGN114" s="106"/>
      <c r="AGO114" s="106"/>
      <c r="AGP114" s="106"/>
      <c r="AGQ114" s="106"/>
      <c r="AGR114" s="106"/>
      <c r="AGS114" s="106"/>
      <c r="AGT114" s="106"/>
      <c r="AGU114" s="106"/>
      <c r="AGV114" s="106"/>
      <c r="AGW114" s="106"/>
      <c r="AGX114" s="106"/>
      <c r="AGY114" s="106"/>
      <c r="AGZ114" s="106"/>
      <c r="AHA114" s="106"/>
      <c r="AHB114" s="106"/>
      <c r="AHC114" s="106"/>
      <c r="AHD114" s="106"/>
      <c r="AHE114" s="106"/>
      <c r="AHF114" s="106"/>
      <c r="AHG114" s="106"/>
      <c r="AHH114" s="106"/>
      <c r="AHI114" s="106"/>
      <c r="AHJ114" s="106"/>
      <c r="AHK114" s="106"/>
      <c r="AHL114" s="106"/>
      <c r="AHM114" s="106"/>
      <c r="AHN114" s="106"/>
      <c r="AHO114" s="106"/>
      <c r="AHP114" s="106"/>
      <c r="AHQ114" s="106"/>
      <c r="AHR114" s="106"/>
      <c r="AHS114" s="106"/>
      <c r="AHT114" s="106"/>
      <c r="AHU114" s="106"/>
      <c r="AHV114" s="106"/>
      <c r="AHW114" s="106"/>
      <c r="AHX114" s="106"/>
      <c r="AHY114" s="106"/>
      <c r="AHZ114" s="106"/>
      <c r="AIA114" s="106"/>
      <c r="AIB114" s="106"/>
      <c r="AIC114" s="106"/>
      <c r="AID114" s="106"/>
      <c r="AIE114" s="106"/>
      <c r="AIF114" s="106"/>
      <c r="AIG114" s="106"/>
      <c r="AIH114" s="106"/>
      <c r="AII114" s="106"/>
      <c r="AIJ114" s="106"/>
      <c r="AIK114" s="106"/>
      <c r="AIL114" s="106"/>
      <c r="AIM114" s="106"/>
      <c r="AIN114" s="106"/>
      <c r="AIO114" s="106"/>
      <c r="AIP114" s="106"/>
      <c r="AIQ114" s="106"/>
      <c r="AIR114" s="106"/>
      <c r="AIS114" s="106"/>
      <c r="AIT114" s="106"/>
      <c r="AIU114" s="106"/>
      <c r="AIV114" s="106"/>
      <c r="AIW114" s="106"/>
      <c r="AIX114" s="106"/>
      <c r="AIY114" s="106"/>
      <c r="AIZ114" s="106"/>
      <c r="AJA114" s="106"/>
      <c r="AJB114" s="106"/>
      <c r="AJC114" s="106"/>
      <c r="AJD114" s="106"/>
      <c r="AJE114" s="106"/>
      <c r="AJF114" s="106"/>
      <c r="AJG114" s="106"/>
      <c r="AJH114" s="106"/>
      <c r="AJI114" s="106"/>
      <c r="AJJ114" s="106"/>
      <c r="AJK114" s="106"/>
      <c r="AJL114" s="106"/>
      <c r="AJM114" s="106"/>
      <c r="AJN114" s="106"/>
      <c r="AJO114" s="106"/>
      <c r="AJP114" s="106"/>
      <c r="AJQ114" s="106"/>
      <c r="AJR114" s="106"/>
      <c r="AJS114" s="106"/>
      <c r="AJT114" s="106"/>
      <c r="AJU114" s="106"/>
      <c r="AJV114" s="106"/>
      <c r="AJW114" s="106"/>
      <c r="AJX114" s="106"/>
      <c r="AJY114" s="106"/>
      <c r="AJZ114" s="106"/>
      <c r="AKA114" s="106"/>
      <c r="AKB114" s="106"/>
      <c r="AKC114" s="106"/>
      <c r="AKD114" s="106"/>
      <c r="AKE114" s="106"/>
      <c r="AKF114" s="106"/>
      <c r="AKG114" s="106"/>
      <c r="AKH114" s="106"/>
      <c r="AKI114" s="106"/>
      <c r="AKJ114" s="106"/>
      <c r="AKK114" s="106"/>
      <c r="AKL114" s="106"/>
      <c r="AKM114" s="106"/>
      <c r="AKN114" s="106"/>
      <c r="AKO114" s="106"/>
      <c r="AKP114" s="106"/>
      <c r="AKQ114" s="106"/>
      <c r="AKR114" s="106"/>
      <c r="AKS114" s="106"/>
      <c r="AKT114" s="106"/>
      <c r="AKU114" s="106"/>
      <c r="AKV114" s="106"/>
      <c r="AKW114" s="106"/>
      <c r="AKX114" s="106"/>
      <c r="AKY114" s="106"/>
      <c r="AKZ114" s="106"/>
      <c r="ALA114" s="106"/>
      <c r="ALB114" s="106"/>
      <c r="ALC114" s="106"/>
      <c r="ALD114" s="106"/>
      <c r="ALE114" s="106"/>
      <c r="ALF114" s="106"/>
      <c r="ALG114" s="106"/>
      <c r="ALH114" s="106"/>
    </row>
    <row r="115" spans="1:996" s="75" customFormat="1" ht="15.75" customHeight="1">
      <c r="A115" s="104"/>
      <c r="B115" s="75" t="str">
        <f t="shared" si="5"/>
        <v>S112502</v>
      </c>
      <c r="C115" s="396" t="s">
        <v>605</v>
      </c>
      <c r="D115" s="27" t="s">
        <v>128</v>
      </c>
      <c r="E115" s="75">
        <v>112502</v>
      </c>
      <c r="F115" s="105" t="s">
        <v>93</v>
      </c>
      <c r="G115" s="74">
        <f>IFERROR(VLOOKUP(E115,'BD - E - Mvto Cx'!$E$15:$G$500,3,0),0)</f>
        <v>103.04</v>
      </c>
      <c r="H115" s="72">
        <f>IFERROR(VLOOKUP(E115,'BD - E - Mvto Cx'!$N$15:$P$500,3,0),0)</f>
        <v>170.46</v>
      </c>
      <c r="I115" s="73">
        <f>IFERROR(VLOOKUP(E115,'BD - E - Mvto Cx'!$W$15:$Y$497,3,0),0)</f>
        <v>74.28</v>
      </c>
      <c r="J115" s="73">
        <f>IFERROR(VLOOKUP(E115,'BD - E - Mvto Cx'!$AF$15:$AI$500,3,0),0)</f>
        <v>505.84</v>
      </c>
      <c r="K115" s="73">
        <f>IFERROR(VLOOKUP(E115,'BD - E - Mvto Cx'!$AO$15:$AQ$500,3,0),0)</f>
        <v>0</v>
      </c>
      <c r="L115" s="73">
        <f>IFERROR(VLOOKUP(E115,'BD - E - Mvto Cx'!$AX$15:$AZ$500,3,0),0)</f>
        <v>0</v>
      </c>
      <c r="M115" s="73">
        <f>IFERROR(VLOOKUP(E115,'BD - E - Mvto Cx'!$BJ$15:$BL$500,3,0),0)</f>
        <v>0</v>
      </c>
      <c r="N115" s="73">
        <f>IFERROR(VLOOKUP(E115,'BD - E - Mvto Cx'!$BS$15:$BU$500,3,0),0)</f>
        <v>0</v>
      </c>
      <c r="O115" s="73">
        <f>IFERROR(VLOOKUP(E115,'BD - E - Mvto Cx'!$CB$15:$CD$500,3,0),0)</f>
        <v>0</v>
      </c>
      <c r="P115" s="73">
        <f>IFERROR(VLOOKUP(E115,'BD - E - Mvto Cx'!$CK$15:$CM$500,3,0),0)</f>
        <v>0</v>
      </c>
      <c r="Q115" s="73">
        <f>IFERROR(VLOOKUP(E115,'BD - E - Mvto Cx'!$CT$15:$CV$500,3,0),0)</f>
        <v>0</v>
      </c>
      <c r="R115" s="73">
        <f>IFERROR(VLOOKUP(E115,'BD - E - Mvto Cx'!$DC$15:$DE$500,3,0),0)</f>
        <v>0</v>
      </c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6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  <c r="CZ115" s="106"/>
      <c r="DA115" s="106"/>
      <c r="DB115" s="106"/>
      <c r="DC115" s="106"/>
      <c r="DD115" s="106"/>
      <c r="DE115" s="106"/>
      <c r="DF115" s="106"/>
      <c r="DG115" s="106"/>
      <c r="DH115" s="106"/>
      <c r="DI115" s="106"/>
      <c r="DJ115" s="106"/>
      <c r="DK115" s="106"/>
      <c r="DL115" s="106"/>
      <c r="DM115" s="106"/>
      <c r="DN115" s="106"/>
      <c r="DO115" s="106"/>
      <c r="DP115" s="106"/>
      <c r="DQ115" s="106"/>
      <c r="DR115" s="106"/>
      <c r="DS115" s="106"/>
      <c r="DT115" s="106"/>
      <c r="DU115" s="106"/>
      <c r="DV115" s="106"/>
      <c r="DW115" s="106"/>
      <c r="DX115" s="106"/>
      <c r="DY115" s="106"/>
      <c r="DZ115" s="106"/>
      <c r="EA115" s="106"/>
      <c r="EB115" s="106"/>
      <c r="EC115" s="106"/>
      <c r="ED115" s="106"/>
      <c r="EE115" s="106"/>
      <c r="EF115" s="106"/>
      <c r="EG115" s="106"/>
      <c r="EH115" s="106"/>
      <c r="EI115" s="106"/>
      <c r="EJ115" s="106"/>
      <c r="EK115" s="106"/>
      <c r="EL115" s="106"/>
      <c r="EM115" s="106"/>
      <c r="EN115" s="106"/>
      <c r="EO115" s="106"/>
      <c r="EP115" s="106"/>
      <c r="EQ115" s="106"/>
      <c r="ER115" s="106"/>
      <c r="ES115" s="106"/>
      <c r="ET115" s="106"/>
      <c r="EU115" s="106"/>
      <c r="EV115" s="106"/>
      <c r="EW115" s="106"/>
      <c r="EX115" s="106"/>
      <c r="EY115" s="106"/>
      <c r="EZ115" s="106"/>
      <c r="FA115" s="106"/>
      <c r="FB115" s="106"/>
      <c r="FC115" s="106"/>
      <c r="FD115" s="106"/>
      <c r="FE115" s="106"/>
      <c r="FF115" s="106"/>
      <c r="FG115" s="106"/>
      <c r="FH115" s="106"/>
      <c r="FI115" s="106"/>
      <c r="FJ115" s="106"/>
      <c r="FK115" s="106"/>
      <c r="FL115" s="106"/>
      <c r="FM115" s="106"/>
      <c r="FN115" s="106"/>
      <c r="FO115" s="106"/>
      <c r="FP115" s="106"/>
      <c r="FQ115" s="106"/>
      <c r="FR115" s="106"/>
      <c r="FS115" s="106"/>
      <c r="FT115" s="106"/>
      <c r="FU115" s="106"/>
      <c r="FV115" s="106"/>
      <c r="FW115" s="106"/>
      <c r="FX115" s="106"/>
      <c r="FY115" s="106"/>
      <c r="FZ115" s="106"/>
      <c r="GA115" s="106"/>
      <c r="GB115" s="106"/>
      <c r="GC115" s="106"/>
      <c r="GD115" s="106"/>
      <c r="GE115" s="106"/>
      <c r="GF115" s="106"/>
      <c r="GG115" s="106"/>
      <c r="GH115" s="106"/>
      <c r="GI115" s="106"/>
      <c r="GJ115" s="106"/>
      <c r="GK115" s="106"/>
      <c r="GL115" s="106"/>
      <c r="GM115" s="106"/>
      <c r="GN115" s="106"/>
      <c r="GO115" s="106"/>
      <c r="GP115" s="106"/>
      <c r="GQ115" s="106"/>
      <c r="GR115" s="106"/>
      <c r="GS115" s="106"/>
      <c r="GT115" s="106"/>
      <c r="GU115" s="106"/>
      <c r="GV115" s="106"/>
      <c r="GW115" s="106"/>
      <c r="GX115" s="106"/>
      <c r="GY115" s="106"/>
      <c r="GZ115" s="106"/>
      <c r="HA115" s="106"/>
      <c r="HB115" s="106"/>
      <c r="HC115" s="106"/>
      <c r="HD115" s="106"/>
      <c r="HE115" s="106"/>
      <c r="HF115" s="106"/>
      <c r="HG115" s="106"/>
      <c r="HH115" s="106"/>
      <c r="HI115" s="106"/>
      <c r="HJ115" s="106"/>
      <c r="HK115" s="106"/>
      <c r="HL115" s="106"/>
      <c r="HM115" s="106"/>
      <c r="HN115" s="106"/>
      <c r="HO115" s="106"/>
      <c r="HP115" s="106"/>
      <c r="HQ115" s="106"/>
      <c r="HR115" s="106"/>
      <c r="HS115" s="106"/>
      <c r="HT115" s="106"/>
      <c r="HU115" s="106"/>
      <c r="HV115" s="106"/>
      <c r="HW115" s="106"/>
      <c r="HX115" s="106"/>
      <c r="HY115" s="106"/>
      <c r="HZ115" s="106"/>
      <c r="IA115" s="106"/>
      <c r="IB115" s="106"/>
      <c r="IC115" s="106"/>
      <c r="ID115" s="106"/>
      <c r="IE115" s="106"/>
      <c r="IF115" s="106"/>
      <c r="IG115" s="106"/>
      <c r="IH115" s="106"/>
      <c r="II115" s="106"/>
      <c r="IJ115" s="106"/>
      <c r="IK115" s="106"/>
      <c r="IL115" s="106"/>
      <c r="IM115" s="106"/>
      <c r="IN115" s="106"/>
      <c r="IO115" s="106"/>
      <c r="IP115" s="106"/>
      <c r="IQ115" s="106"/>
      <c r="IR115" s="106"/>
      <c r="IS115" s="106"/>
      <c r="IT115" s="106"/>
      <c r="IU115" s="106"/>
      <c r="IV115" s="106"/>
      <c r="IW115" s="106"/>
      <c r="IX115" s="106"/>
      <c r="IY115" s="106"/>
      <c r="IZ115" s="106"/>
      <c r="JA115" s="106"/>
      <c r="JB115" s="106"/>
      <c r="JC115" s="106"/>
      <c r="JD115" s="106"/>
      <c r="JE115" s="106"/>
      <c r="JF115" s="106"/>
      <c r="JG115" s="106"/>
      <c r="JH115" s="106"/>
      <c r="JI115" s="106"/>
      <c r="JJ115" s="106"/>
      <c r="JK115" s="106"/>
      <c r="JL115" s="106"/>
      <c r="JM115" s="106"/>
      <c r="JN115" s="106"/>
      <c r="JO115" s="106"/>
      <c r="JP115" s="106"/>
      <c r="JQ115" s="106"/>
      <c r="JR115" s="106"/>
      <c r="JS115" s="106"/>
      <c r="JT115" s="106"/>
      <c r="JU115" s="106"/>
      <c r="JV115" s="106"/>
      <c r="JW115" s="106"/>
      <c r="JX115" s="106"/>
      <c r="JY115" s="106"/>
      <c r="JZ115" s="106"/>
      <c r="KA115" s="106"/>
      <c r="KB115" s="106"/>
      <c r="KC115" s="106"/>
      <c r="KD115" s="106"/>
      <c r="KE115" s="106"/>
      <c r="KF115" s="106"/>
      <c r="KG115" s="106"/>
      <c r="KH115" s="106"/>
      <c r="KI115" s="106"/>
      <c r="KJ115" s="106"/>
      <c r="KK115" s="106"/>
      <c r="KL115" s="106"/>
      <c r="KM115" s="106"/>
      <c r="KN115" s="106"/>
      <c r="KO115" s="106"/>
      <c r="KP115" s="106"/>
      <c r="KQ115" s="106"/>
      <c r="KR115" s="106"/>
      <c r="KS115" s="106"/>
      <c r="KT115" s="106"/>
      <c r="KU115" s="106"/>
      <c r="KV115" s="106"/>
      <c r="KW115" s="106"/>
      <c r="KX115" s="106"/>
      <c r="KY115" s="106"/>
      <c r="KZ115" s="106"/>
      <c r="LA115" s="106"/>
      <c r="LB115" s="106"/>
      <c r="LC115" s="106"/>
      <c r="LD115" s="106"/>
      <c r="LE115" s="106"/>
      <c r="LF115" s="106"/>
      <c r="LG115" s="106"/>
      <c r="LH115" s="106"/>
      <c r="LI115" s="106"/>
      <c r="LJ115" s="106"/>
      <c r="LK115" s="106"/>
      <c r="LL115" s="106"/>
      <c r="LM115" s="106"/>
      <c r="LN115" s="106"/>
      <c r="LO115" s="106"/>
      <c r="LP115" s="106"/>
      <c r="LQ115" s="106"/>
      <c r="LR115" s="106"/>
      <c r="LS115" s="106"/>
      <c r="LT115" s="106"/>
      <c r="LU115" s="106"/>
      <c r="LV115" s="106"/>
      <c r="LW115" s="106"/>
      <c r="LX115" s="106"/>
      <c r="LY115" s="106"/>
      <c r="LZ115" s="106"/>
      <c r="MA115" s="106"/>
      <c r="MB115" s="106"/>
      <c r="MC115" s="106"/>
      <c r="MD115" s="106"/>
      <c r="ME115" s="106"/>
      <c r="MF115" s="106"/>
      <c r="MG115" s="106"/>
      <c r="MH115" s="106"/>
      <c r="MI115" s="106"/>
      <c r="MJ115" s="106"/>
      <c r="MK115" s="106"/>
      <c r="ML115" s="106"/>
      <c r="MM115" s="106"/>
      <c r="MN115" s="106"/>
      <c r="MO115" s="106"/>
      <c r="MP115" s="106"/>
      <c r="MQ115" s="106"/>
      <c r="MR115" s="106"/>
      <c r="MS115" s="106"/>
      <c r="MT115" s="106"/>
      <c r="MU115" s="106"/>
      <c r="MV115" s="106"/>
      <c r="MW115" s="106"/>
      <c r="MX115" s="106"/>
      <c r="MY115" s="106"/>
      <c r="MZ115" s="106"/>
      <c r="NA115" s="106"/>
      <c r="NB115" s="106"/>
      <c r="NC115" s="106"/>
      <c r="ND115" s="106"/>
      <c r="NE115" s="106"/>
      <c r="NF115" s="106"/>
      <c r="NG115" s="106"/>
      <c r="NH115" s="106"/>
      <c r="NI115" s="106"/>
      <c r="NJ115" s="106"/>
      <c r="NK115" s="106"/>
      <c r="NL115" s="106"/>
      <c r="NM115" s="106"/>
      <c r="NN115" s="106"/>
      <c r="NO115" s="106"/>
      <c r="NP115" s="106"/>
      <c r="NQ115" s="106"/>
      <c r="NR115" s="106"/>
      <c r="NS115" s="106"/>
      <c r="NT115" s="106"/>
      <c r="NU115" s="106"/>
      <c r="NV115" s="106"/>
      <c r="NW115" s="106"/>
      <c r="NX115" s="106"/>
      <c r="NY115" s="106"/>
      <c r="NZ115" s="106"/>
      <c r="OA115" s="106"/>
      <c r="OB115" s="106"/>
      <c r="OC115" s="106"/>
      <c r="OD115" s="106"/>
      <c r="OE115" s="106"/>
      <c r="OF115" s="106"/>
      <c r="OG115" s="106"/>
      <c r="OH115" s="106"/>
      <c r="OI115" s="106"/>
      <c r="OJ115" s="106"/>
      <c r="OK115" s="106"/>
      <c r="OL115" s="106"/>
      <c r="OM115" s="106"/>
      <c r="ON115" s="106"/>
      <c r="OO115" s="106"/>
      <c r="OP115" s="106"/>
      <c r="OQ115" s="106"/>
      <c r="OR115" s="106"/>
      <c r="OS115" s="106"/>
      <c r="OT115" s="106"/>
      <c r="OU115" s="106"/>
      <c r="OV115" s="106"/>
      <c r="OW115" s="106"/>
      <c r="OX115" s="106"/>
      <c r="OY115" s="106"/>
      <c r="OZ115" s="106"/>
      <c r="PA115" s="106"/>
      <c r="PB115" s="106"/>
      <c r="PC115" s="106"/>
      <c r="PD115" s="106"/>
      <c r="PE115" s="106"/>
      <c r="PF115" s="106"/>
      <c r="PG115" s="106"/>
      <c r="PH115" s="106"/>
      <c r="PI115" s="106"/>
      <c r="PJ115" s="106"/>
      <c r="PK115" s="106"/>
      <c r="PL115" s="106"/>
      <c r="PM115" s="106"/>
      <c r="PN115" s="106"/>
      <c r="PO115" s="106"/>
      <c r="PP115" s="106"/>
      <c r="PQ115" s="106"/>
      <c r="PR115" s="106"/>
      <c r="PS115" s="106"/>
      <c r="PT115" s="106"/>
      <c r="PU115" s="106"/>
      <c r="PV115" s="106"/>
      <c r="PW115" s="106"/>
      <c r="PX115" s="106"/>
      <c r="PY115" s="106"/>
      <c r="PZ115" s="106"/>
      <c r="QA115" s="106"/>
      <c r="QB115" s="106"/>
      <c r="QC115" s="106"/>
      <c r="QD115" s="106"/>
      <c r="QE115" s="106"/>
      <c r="QF115" s="106"/>
      <c r="QG115" s="106"/>
      <c r="QH115" s="106"/>
      <c r="QI115" s="106"/>
      <c r="QJ115" s="106"/>
      <c r="QK115" s="106"/>
      <c r="QL115" s="106"/>
      <c r="QM115" s="106"/>
      <c r="QN115" s="106"/>
      <c r="QO115" s="106"/>
      <c r="QP115" s="106"/>
      <c r="QQ115" s="106"/>
      <c r="QR115" s="106"/>
      <c r="QS115" s="106"/>
      <c r="QT115" s="106"/>
      <c r="QU115" s="106"/>
      <c r="QV115" s="106"/>
      <c r="QW115" s="106"/>
      <c r="QX115" s="106"/>
      <c r="QY115" s="106"/>
      <c r="QZ115" s="106"/>
      <c r="RA115" s="106"/>
      <c r="RB115" s="106"/>
      <c r="RC115" s="106"/>
      <c r="RD115" s="106"/>
      <c r="RE115" s="106"/>
      <c r="RF115" s="106"/>
      <c r="RG115" s="106"/>
      <c r="RH115" s="106"/>
      <c r="RI115" s="106"/>
      <c r="RJ115" s="106"/>
      <c r="RK115" s="106"/>
      <c r="RL115" s="106"/>
      <c r="RM115" s="106"/>
      <c r="RN115" s="106"/>
      <c r="RO115" s="106"/>
      <c r="RP115" s="106"/>
      <c r="RQ115" s="106"/>
      <c r="RR115" s="106"/>
      <c r="RS115" s="106"/>
      <c r="RT115" s="106"/>
      <c r="RU115" s="106"/>
      <c r="RV115" s="106"/>
      <c r="RW115" s="106"/>
      <c r="RX115" s="106"/>
      <c r="RY115" s="106"/>
      <c r="RZ115" s="106"/>
      <c r="SA115" s="106"/>
      <c r="SB115" s="106"/>
      <c r="SC115" s="106"/>
      <c r="SD115" s="106"/>
      <c r="SE115" s="106"/>
      <c r="SF115" s="106"/>
      <c r="SG115" s="106"/>
      <c r="SH115" s="106"/>
      <c r="SI115" s="106"/>
      <c r="SJ115" s="106"/>
      <c r="SK115" s="106"/>
      <c r="SL115" s="106"/>
      <c r="SM115" s="106"/>
      <c r="SN115" s="106"/>
      <c r="SO115" s="106"/>
      <c r="SP115" s="106"/>
      <c r="SQ115" s="106"/>
      <c r="SR115" s="106"/>
      <c r="SS115" s="106"/>
      <c r="ST115" s="106"/>
      <c r="SU115" s="106"/>
      <c r="SV115" s="106"/>
      <c r="SW115" s="106"/>
      <c r="SX115" s="106"/>
      <c r="SY115" s="106"/>
      <c r="SZ115" s="106"/>
      <c r="TA115" s="106"/>
      <c r="TB115" s="106"/>
      <c r="TC115" s="106"/>
      <c r="TD115" s="106"/>
      <c r="TE115" s="106"/>
      <c r="TF115" s="106"/>
      <c r="TG115" s="106"/>
      <c r="TH115" s="106"/>
      <c r="TI115" s="106"/>
      <c r="TJ115" s="106"/>
      <c r="TK115" s="106"/>
      <c r="TL115" s="106"/>
      <c r="TM115" s="106"/>
      <c r="TN115" s="106"/>
      <c r="TO115" s="106"/>
      <c r="TP115" s="106"/>
      <c r="TQ115" s="106"/>
      <c r="TR115" s="106"/>
      <c r="TS115" s="106"/>
      <c r="TT115" s="106"/>
      <c r="TU115" s="106"/>
      <c r="TV115" s="106"/>
      <c r="TW115" s="106"/>
      <c r="TX115" s="106"/>
      <c r="TY115" s="106"/>
      <c r="TZ115" s="106"/>
      <c r="UA115" s="106"/>
      <c r="UB115" s="106"/>
      <c r="UC115" s="106"/>
      <c r="UD115" s="106"/>
      <c r="UE115" s="106"/>
      <c r="UF115" s="106"/>
      <c r="UG115" s="106"/>
      <c r="UH115" s="106"/>
      <c r="UI115" s="106"/>
      <c r="UJ115" s="106"/>
      <c r="UK115" s="106"/>
      <c r="UL115" s="106"/>
      <c r="UM115" s="106"/>
      <c r="UN115" s="106"/>
      <c r="UO115" s="106"/>
      <c r="UP115" s="106"/>
      <c r="UQ115" s="106"/>
      <c r="UR115" s="106"/>
      <c r="US115" s="106"/>
      <c r="UT115" s="106"/>
      <c r="UU115" s="106"/>
      <c r="UV115" s="106"/>
      <c r="UW115" s="106"/>
      <c r="UX115" s="106"/>
      <c r="UY115" s="106"/>
      <c r="UZ115" s="106"/>
      <c r="VA115" s="106"/>
      <c r="VB115" s="106"/>
      <c r="VC115" s="106"/>
      <c r="VD115" s="106"/>
      <c r="VE115" s="106"/>
      <c r="VF115" s="106"/>
      <c r="VG115" s="106"/>
      <c r="VH115" s="106"/>
      <c r="VI115" s="106"/>
      <c r="VJ115" s="106"/>
      <c r="VK115" s="106"/>
      <c r="VL115" s="106"/>
      <c r="VM115" s="106"/>
      <c r="VN115" s="106"/>
      <c r="VO115" s="106"/>
      <c r="VP115" s="106"/>
      <c r="VQ115" s="106"/>
      <c r="VR115" s="106"/>
      <c r="VS115" s="106"/>
      <c r="VT115" s="106"/>
      <c r="VU115" s="106"/>
      <c r="VV115" s="106"/>
      <c r="VW115" s="106"/>
      <c r="VX115" s="106"/>
      <c r="VY115" s="106"/>
      <c r="VZ115" s="106"/>
      <c r="WA115" s="106"/>
      <c r="WB115" s="106"/>
      <c r="WC115" s="106"/>
      <c r="WD115" s="106"/>
      <c r="WE115" s="106"/>
      <c r="WF115" s="106"/>
      <c r="WG115" s="106"/>
      <c r="WH115" s="106"/>
      <c r="WI115" s="106"/>
      <c r="WJ115" s="106"/>
      <c r="WK115" s="106"/>
      <c r="WL115" s="106"/>
      <c r="WM115" s="106"/>
      <c r="WN115" s="106"/>
      <c r="WO115" s="106"/>
      <c r="WP115" s="106"/>
      <c r="WQ115" s="106"/>
      <c r="WR115" s="106"/>
      <c r="WS115" s="106"/>
      <c r="WT115" s="106"/>
      <c r="WU115" s="106"/>
      <c r="WV115" s="106"/>
      <c r="WW115" s="106"/>
      <c r="WX115" s="106"/>
      <c r="WY115" s="106"/>
      <c r="WZ115" s="106"/>
      <c r="XA115" s="106"/>
      <c r="XB115" s="106"/>
      <c r="XC115" s="106"/>
      <c r="XD115" s="106"/>
      <c r="XE115" s="106"/>
      <c r="XF115" s="106"/>
      <c r="XG115" s="106"/>
      <c r="XH115" s="106"/>
      <c r="XI115" s="106"/>
      <c r="XJ115" s="106"/>
      <c r="XK115" s="106"/>
      <c r="XL115" s="106"/>
      <c r="XM115" s="106"/>
      <c r="XN115" s="106"/>
      <c r="XO115" s="106"/>
      <c r="XP115" s="106"/>
      <c r="XQ115" s="106"/>
      <c r="XR115" s="106"/>
      <c r="XS115" s="106"/>
      <c r="XT115" s="106"/>
      <c r="XU115" s="106"/>
      <c r="XV115" s="106"/>
      <c r="XW115" s="106"/>
      <c r="XX115" s="106"/>
      <c r="XY115" s="106"/>
      <c r="XZ115" s="106"/>
      <c r="YA115" s="106"/>
      <c r="YB115" s="106"/>
      <c r="YC115" s="106"/>
      <c r="YD115" s="106"/>
      <c r="YE115" s="106"/>
      <c r="YF115" s="106"/>
      <c r="YG115" s="106"/>
      <c r="YH115" s="106"/>
      <c r="YI115" s="106"/>
      <c r="YJ115" s="106"/>
      <c r="YK115" s="106"/>
      <c r="YL115" s="106"/>
      <c r="YM115" s="106"/>
      <c r="YN115" s="106"/>
      <c r="YO115" s="106"/>
      <c r="YP115" s="106"/>
      <c r="YQ115" s="106"/>
      <c r="YR115" s="106"/>
      <c r="YS115" s="106"/>
      <c r="YT115" s="106"/>
      <c r="YU115" s="106"/>
      <c r="YV115" s="106"/>
      <c r="YW115" s="106"/>
      <c r="YX115" s="106"/>
      <c r="YY115" s="106"/>
      <c r="YZ115" s="106"/>
      <c r="ZA115" s="106"/>
      <c r="ZB115" s="106"/>
      <c r="ZC115" s="106"/>
      <c r="ZD115" s="106"/>
      <c r="ZE115" s="106"/>
      <c r="ZF115" s="106"/>
      <c r="ZG115" s="106"/>
      <c r="ZH115" s="106"/>
      <c r="ZI115" s="106"/>
      <c r="ZJ115" s="106"/>
      <c r="ZK115" s="106"/>
      <c r="ZL115" s="106"/>
      <c r="ZM115" s="106"/>
      <c r="ZN115" s="106"/>
      <c r="ZO115" s="106"/>
      <c r="ZP115" s="106"/>
      <c r="ZQ115" s="106"/>
      <c r="ZR115" s="106"/>
      <c r="ZS115" s="106"/>
      <c r="ZT115" s="106"/>
      <c r="ZU115" s="106"/>
      <c r="ZV115" s="106"/>
      <c r="ZW115" s="106"/>
      <c r="ZX115" s="106"/>
      <c r="ZY115" s="106"/>
      <c r="ZZ115" s="106"/>
      <c r="AAA115" s="106"/>
      <c r="AAB115" s="106"/>
      <c r="AAC115" s="106"/>
      <c r="AAD115" s="106"/>
      <c r="AAE115" s="106"/>
      <c r="AAF115" s="106"/>
      <c r="AAG115" s="106"/>
      <c r="AAH115" s="106"/>
      <c r="AAI115" s="106"/>
      <c r="AAJ115" s="106"/>
      <c r="AAK115" s="106"/>
      <c r="AAL115" s="106"/>
      <c r="AAM115" s="106"/>
      <c r="AAN115" s="106"/>
      <c r="AAO115" s="106"/>
      <c r="AAP115" s="106"/>
      <c r="AAQ115" s="106"/>
      <c r="AAR115" s="106"/>
      <c r="AAS115" s="106"/>
      <c r="AAT115" s="106"/>
      <c r="AAU115" s="106"/>
      <c r="AAV115" s="106"/>
      <c r="AAW115" s="106"/>
      <c r="AAX115" s="106"/>
      <c r="AAY115" s="106"/>
      <c r="AAZ115" s="106"/>
      <c r="ABA115" s="106"/>
      <c r="ABB115" s="106"/>
      <c r="ABC115" s="106"/>
      <c r="ABD115" s="106"/>
      <c r="ABE115" s="106"/>
      <c r="ABF115" s="106"/>
      <c r="ABG115" s="106"/>
      <c r="ABH115" s="106"/>
      <c r="ABI115" s="106"/>
      <c r="ABJ115" s="106"/>
      <c r="ABK115" s="106"/>
      <c r="ABL115" s="106"/>
      <c r="ABM115" s="106"/>
      <c r="ABN115" s="106"/>
      <c r="ABO115" s="106"/>
      <c r="ABP115" s="106"/>
      <c r="ABQ115" s="106"/>
      <c r="ABR115" s="106"/>
      <c r="ABS115" s="106"/>
      <c r="ABT115" s="106"/>
      <c r="ABU115" s="106"/>
      <c r="ABV115" s="106"/>
      <c r="ABW115" s="106"/>
      <c r="ABX115" s="106"/>
      <c r="ABY115" s="106"/>
      <c r="ABZ115" s="106"/>
      <c r="ACA115" s="106"/>
      <c r="ACB115" s="106"/>
      <c r="ACC115" s="106"/>
      <c r="ACD115" s="106"/>
      <c r="ACE115" s="106"/>
      <c r="ACF115" s="106"/>
      <c r="ACG115" s="106"/>
      <c r="ACH115" s="106"/>
      <c r="ACI115" s="106"/>
      <c r="ACJ115" s="106"/>
      <c r="ACK115" s="106"/>
      <c r="ACL115" s="106"/>
      <c r="ACM115" s="106"/>
      <c r="ACN115" s="106"/>
      <c r="ACO115" s="106"/>
      <c r="ACP115" s="106"/>
      <c r="ACQ115" s="106"/>
      <c r="ACR115" s="106"/>
      <c r="ACS115" s="106"/>
      <c r="ACT115" s="106"/>
      <c r="ACU115" s="106"/>
      <c r="ACV115" s="106"/>
      <c r="ACW115" s="106"/>
      <c r="ACX115" s="106"/>
      <c r="ACY115" s="106"/>
      <c r="ACZ115" s="106"/>
      <c r="ADA115" s="106"/>
      <c r="ADB115" s="106"/>
      <c r="ADC115" s="106"/>
      <c r="ADD115" s="106"/>
      <c r="ADE115" s="106"/>
      <c r="ADF115" s="106"/>
      <c r="ADG115" s="106"/>
      <c r="ADH115" s="106"/>
      <c r="ADI115" s="106"/>
      <c r="ADJ115" s="106"/>
      <c r="ADK115" s="106"/>
      <c r="ADL115" s="106"/>
      <c r="ADM115" s="106"/>
      <c r="ADN115" s="106"/>
      <c r="ADO115" s="106"/>
      <c r="ADP115" s="106"/>
      <c r="ADQ115" s="106"/>
      <c r="ADR115" s="106"/>
      <c r="ADS115" s="106"/>
      <c r="ADT115" s="106"/>
      <c r="ADU115" s="106"/>
      <c r="ADV115" s="106"/>
      <c r="ADW115" s="106"/>
      <c r="ADX115" s="106"/>
      <c r="ADY115" s="106"/>
      <c r="ADZ115" s="106"/>
      <c r="AEA115" s="106"/>
      <c r="AEB115" s="106"/>
      <c r="AEC115" s="106"/>
      <c r="AED115" s="106"/>
      <c r="AEE115" s="106"/>
      <c r="AEF115" s="106"/>
      <c r="AEG115" s="106"/>
      <c r="AEH115" s="106"/>
      <c r="AEI115" s="106"/>
      <c r="AEJ115" s="106"/>
      <c r="AEK115" s="106"/>
      <c r="AEL115" s="106"/>
      <c r="AEM115" s="106"/>
      <c r="AEN115" s="106"/>
      <c r="AEO115" s="106"/>
      <c r="AEP115" s="106"/>
      <c r="AEQ115" s="106"/>
      <c r="AER115" s="106"/>
      <c r="AES115" s="106"/>
      <c r="AET115" s="106"/>
      <c r="AEU115" s="106"/>
      <c r="AEV115" s="106"/>
      <c r="AEW115" s="106"/>
      <c r="AEX115" s="106"/>
      <c r="AEY115" s="106"/>
      <c r="AEZ115" s="106"/>
      <c r="AFA115" s="106"/>
      <c r="AFB115" s="106"/>
      <c r="AFC115" s="106"/>
      <c r="AFD115" s="106"/>
      <c r="AFE115" s="106"/>
      <c r="AFF115" s="106"/>
      <c r="AFG115" s="106"/>
      <c r="AFH115" s="106"/>
      <c r="AFI115" s="106"/>
      <c r="AFJ115" s="106"/>
      <c r="AFK115" s="106"/>
      <c r="AFL115" s="106"/>
      <c r="AFM115" s="106"/>
      <c r="AFN115" s="106"/>
      <c r="AFO115" s="106"/>
      <c r="AFP115" s="106"/>
      <c r="AFQ115" s="106"/>
      <c r="AFR115" s="106"/>
      <c r="AFS115" s="106"/>
      <c r="AFT115" s="106"/>
      <c r="AFU115" s="106"/>
      <c r="AFV115" s="106"/>
      <c r="AFW115" s="106"/>
      <c r="AFX115" s="106"/>
      <c r="AFY115" s="106"/>
      <c r="AFZ115" s="106"/>
      <c r="AGA115" s="106"/>
      <c r="AGB115" s="106"/>
      <c r="AGC115" s="106"/>
      <c r="AGD115" s="106"/>
      <c r="AGE115" s="106"/>
      <c r="AGF115" s="106"/>
      <c r="AGG115" s="106"/>
      <c r="AGH115" s="106"/>
      <c r="AGI115" s="106"/>
      <c r="AGJ115" s="106"/>
      <c r="AGK115" s="106"/>
      <c r="AGL115" s="106"/>
      <c r="AGM115" s="106"/>
      <c r="AGN115" s="106"/>
      <c r="AGO115" s="106"/>
      <c r="AGP115" s="106"/>
      <c r="AGQ115" s="106"/>
      <c r="AGR115" s="106"/>
      <c r="AGS115" s="106"/>
      <c r="AGT115" s="106"/>
      <c r="AGU115" s="106"/>
      <c r="AGV115" s="106"/>
      <c r="AGW115" s="106"/>
      <c r="AGX115" s="106"/>
      <c r="AGY115" s="106"/>
      <c r="AGZ115" s="106"/>
      <c r="AHA115" s="106"/>
      <c r="AHB115" s="106"/>
      <c r="AHC115" s="106"/>
      <c r="AHD115" s="106"/>
      <c r="AHE115" s="106"/>
      <c r="AHF115" s="106"/>
      <c r="AHG115" s="106"/>
      <c r="AHH115" s="106"/>
      <c r="AHI115" s="106"/>
      <c r="AHJ115" s="106"/>
      <c r="AHK115" s="106"/>
      <c r="AHL115" s="106"/>
      <c r="AHM115" s="106"/>
      <c r="AHN115" s="106"/>
      <c r="AHO115" s="106"/>
      <c r="AHP115" s="106"/>
      <c r="AHQ115" s="106"/>
      <c r="AHR115" s="106"/>
      <c r="AHS115" s="106"/>
      <c r="AHT115" s="106"/>
      <c r="AHU115" s="106"/>
      <c r="AHV115" s="106"/>
      <c r="AHW115" s="106"/>
      <c r="AHX115" s="106"/>
      <c r="AHY115" s="106"/>
      <c r="AHZ115" s="106"/>
      <c r="AIA115" s="106"/>
      <c r="AIB115" s="106"/>
      <c r="AIC115" s="106"/>
      <c r="AID115" s="106"/>
      <c r="AIE115" s="106"/>
      <c r="AIF115" s="106"/>
      <c r="AIG115" s="106"/>
      <c r="AIH115" s="106"/>
      <c r="AII115" s="106"/>
      <c r="AIJ115" s="106"/>
      <c r="AIK115" s="106"/>
      <c r="AIL115" s="106"/>
      <c r="AIM115" s="106"/>
      <c r="AIN115" s="106"/>
      <c r="AIO115" s="106"/>
      <c r="AIP115" s="106"/>
      <c r="AIQ115" s="106"/>
      <c r="AIR115" s="106"/>
      <c r="AIS115" s="106"/>
      <c r="AIT115" s="106"/>
      <c r="AIU115" s="106"/>
      <c r="AIV115" s="106"/>
      <c r="AIW115" s="106"/>
      <c r="AIX115" s="106"/>
      <c r="AIY115" s="106"/>
      <c r="AIZ115" s="106"/>
      <c r="AJA115" s="106"/>
      <c r="AJB115" s="106"/>
      <c r="AJC115" s="106"/>
      <c r="AJD115" s="106"/>
      <c r="AJE115" s="106"/>
      <c r="AJF115" s="106"/>
      <c r="AJG115" s="106"/>
      <c r="AJH115" s="106"/>
      <c r="AJI115" s="106"/>
      <c r="AJJ115" s="106"/>
      <c r="AJK115" s="106"/>
      <c r="AJL115" s="106"/>
      <c r="AJM115" s="106"/>
      <c r="AJN115" s="106"/>
      <c r="AJO115" s="106"/>
      <c r="AJP115" s="106"/>
      <c r="AJQ115" s="106"/>
      <c r="AJR115" s="106"/>
      <c r="AJS115" s="106"/>
      <c r="AJT115" s="106"/>
      <c r="AJU115" s="106"/>
      <c r="AJV115" s="106"/>
      <c r="AJW115" s="106"/>
      <c r="AJX115" s="106"/>
      <c r="AJY115" s="106"/>
      <c r="AJZ115" s="106"/>
      <c r="AKA115" s="106"/>
      <c r="AKB115" s="106"/>
      <c r="AKC115" s="106"/>
      <c r="AKD115" s="106"/>
      <c r="AKE115" s="106"/>
      <c r="AKF115" s="106"/>
      <c r="AKG115" s="106"/>
      <c r="AKH115" s="106"/>
      <c r="AKI115" s="106"/>
      <c r="AKJ115" s="106"/>
      <c r="AKK115" s="106"/>
      <c r="AKL115" s="106"/>
      <c r="AKM115" s="106"/>
      <c r="AKN115" s="106"/>
      <c r="AKO115" s="106"/>
      <c r="AKP115" s="106"/>
      <c r="AKQ115" s="106"/>
      <c r="AKR115" s="106"/>
      <c r="AKS115" s="106"/>
      <c r="AKT115" s="106"/>
      <c r="AKU115" s="106"/>
      <c r="AKV115" s="106"/>
      <c r="AKW115" s="106"/>
      <c r="AKX115" s="106"/>
      <c r="AKY115" s="106"/>
      <c r="AKZ115" s="106"/>
      <c r="ALA115" s="106"/>
      <c r="ALB115" s="106"/>
      <c r="ALC115" s="106"/>
      <c r="ALD115" s="106"/>
      <c r="ALE115" s="106"/>
      <c r="ALF115" s="106"/>
      <c r="ALG115" s="106"/>
      <c r="ALH115" s="106"/>
    </row>
    <row r="116" spans="1:996" s="75" customFormat="1" ht="15.75" customHeight="1">
      <c r="A116" s="104"/>
      <c r="B116" s="75" t="str">
        <f t="shared" si="5"/>
        <v>S112503</v>
      </c>
      <c r="C116" s="396" t="s">
        <v>605</v>
      </c>
      <c r="D116" s="27" t="s">
        <v>128</v>
      </c>
      <c r="E116" s="75">
        <v>112503</v>
      </c>
      <c r="F116" s="105" t="s">
        <v>94</v>
      </c>
      <c r="G116" s="74">
        <f>IFERROR(VLOOKUP(E116,'BD - E - Mvto Cx'!$E$15:$G$500,3,0),0)</f>
        <v>11692.27</v>
      </c>
      <c r="H116" s="72">
        <f>IFERROR(VLOOKUP(E116,'BD - E - Mvto Cx'!$N$15:$P$500,3,0),0)</f>
        <v>6800.98</v>
      </c>
      <c r="I116" s="73">
        <f>IFERROR(VLOOKUP(E116,'BD - E - Mvto Cx'!$W$15:$Y$497,3,0),0)</f>
        <v>7681.02</v>
      </c>
      <c r="J116" s="73">
        <f>IFERROR(VLOOKUP(E116,'BD - E - Mvto Cx'!$AF$15:$AI$500,3,0),0)</f>
        <v>8000.64</v>
      </c>
      <c r="K116" s="73">
        <f>IFERROR(VLOOKUP(E116,'BD - E - Mvto Cx'!$AO$15:$AQ$500,3,0),0)</f>
        <v>0</v>
      </c>
      <c r="L116" s="73">
        <f>IFERROR(VLOOKUP(E116,'BD - E - Mvto Cx'!$AX$15:$AZ$500,3,0),0)</f>
        <v>0</v>
      </c>
      <c r="M116" s="73">
        <f>IFERROR(VLOOKUP(E116,'BD - E - Mvto Cx'!$BJ$15:$BL$500,3,0),0)</f>
        <v>0</v>
      </c>
      <c r="N116" s="73">
        <f>IFERROR(VLOOKUP(E116,'BD - E - Mvto Cx'!$BS$15:$BU$500,3,0),0)</f>
        <v>0</v>
      </c>
      <c r="O116" s="73">
        <f>IFERROR(VLOOKUP(E116,'BD - E - Mvto Cx'!$CB$15:$CD$500,3,0),0)</f>
        <v>0</v>
      </c>
      <c r="P116" s="73">
        <f>IFERROR(VLOOKUP(E116,'BD - E - Mvto Cx'!$CK$15:$CM$500,3,0),0)</f>
        <v>0</v>
      </c>
      <c r="Q116" s="73">
        <f>IFERROR(VLOOKUP(E116,'BD - E - Mvto Cx'!$CT$15:$CV$500,3,0),0)</f>
        <v>0</v>
      </c>
      <c r="R116" s="73">
        <f>IFERROR(VLOOKUP(E116,'BD - E - Mvto Cx'!$DC$15:$DE$500,3,0),0)</f>
        <v>0</v>
      </c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  <c r="CZ116" s="106"/>
      <c r="DA116" s="106"/>
      <c r="DB116" s="106"/>
      <c r="DC116" s="106"/>
      <c r="DD116" s="106"/>
      <c r="DE116" s="106"/>
      <c r="DF116" s="106"/>
      <c r="DG116" s="106"/>
      <c r="DH116" s="106"/>
      <c r="DI116" s="106"/>
      <c r="DJ116" s="106"/>
      <c r="DK116" s="106"/>
      <c r="DL116" s="106"/>
      <c r="DM116" s="106"/>
      <c r="DN116" s="106"/>
      <c r="DO116" s="106"/>
      <c r="DP116" s="106"/>
      <c r="DQ116" s="106"/>
      <c r="DR116" s="106"/>
      <c r="DS116" s="106"/>
      <c r="DT116" s="106"/>
      <c r="DU116" s="106"/>
      <c r="DV116" s="106"/>
      <c r="DW116" s="106"/>
      <c r="DX116" s="106"/>
      <c r="DY116" s="106"/>
      <c r="DZ116" s="106"/>
      <c r="EA116" s="106"/>
      <c r="EB116" s="106"/>
      <c r="EC116" s="106"/>
      <c r="ED116" s="106"/>
      <c r="EE116" s="106"/>
      <c r="EF116" s="106"/>
      <c r="EG116" s="106"/>
      <c r="EH116" s="106"/>
      <c r="EI116" s="106"/>
      <c r="EJ116" s="106"/>
      <c r="EK116" s="106"/>
      <c r="EL116" s="106"/>
      <c r="EM116" s="106"/>
      <c r="EN116" s="106"/>
      <c r="EO116" s="106"/>
      <c r="EP116" s="106"/>
      <c r="EQ116" s="106"/>
      <c r="ER116" s="106"/>
      <c r="ES116" s="106"/>
      <c r="ET116" s="106"/>
      <c r="EU116" s="106"/>
      <c r="EV116" s="106"/>
      <c r="EW116" s="106"/>
      <c r="EX116" s="106"/>
      <c r="EY116" s="106"/>
      <c r="EZ116" s="106"/>
      <c r="FA116" s="106"/>
      <c r="FB116" s="106"/>
      <c r="FC116" s="106"/>
      <c r="FD116" s="106"/>
      <c r="FE116" s="106"/>
      <c r="FF116" s="106"/>
      <c r="FG116" s="106"/>
      <c r="FH116" s="106"/>
      <c r="FI116" s="106"/>
      <c r="FJ116" s="106"/>
      <c r="FK116" s="106"/>
      <c r="FL116" s="106"/>
      <c r="FM116" s="106"/>
      <c r="FN116" s="106"/>
      <c r="FO116" s="106"/>
      <c r="FP116" s="106"/>
      <c r="FQ116" s="106"/>
      <c r="FR116" s="106"/>
      <c r="FS116" s="106"/>
      <c r="FT116" s="106"/>
      <c r="FU116" s="106"/>
      <c r="FV116" s="106"/>
      <c r="FW116" s="106"/>
      <c r="FX116" s="106"/>
      <c r="FY116" s="106"/>
      <c r="FZ116" s="106"/>
      <c r="GA116" s="106"/>
      <c r="GB116" s="106"/>
      <c r="GC116" s="106"/>
      <c r="GD116" s="106"/>
      <c r="GE116" s="106"/>
      <c r="GF116" s="106"/>
      <c r="GG116" s="106"/>
      <c r="GH116" s="106"/>
      <c r="GI116" s="106"/>
      <c r="GJ116" s="106"/>
      <c r="GK116" s="106"/>
      <c r="GL116" s="106"/>
      <c r="GM116" s="106"/>
      <c r="GN116" s="106"/>
      <c r="GO116" s="106"/>
      <c r="GP116" s="106"/>
      <c r="GQ116" s="106"/>
      <c r="GR116" s="106"/>
      <c r="GS116" s="106"/>
      <c r="GT116" s="106"/>
      <c r="GU116" s="106"/>
      <c r="GV116" s="106"/>
      <c r="GW116" s="106"/>
      <c r="GX116" s="106"/>
      <c r="GY116" s="106"/>
      <c r="GZ116" s="106"/>
      <c r="HA116" s="106"/>
      <c r="HB116" s="106"/>
      <c r="HC116" s="106"/>
      <c r="HD116" s="106"/>
      <c r="HE116" s="106"/>
      <c r="HF116" s="106"/>
      <c r="HG116" s="106"/>
      <c r="HH116" s="106"/>
      <c r="HI116" s="106"/>
      <c r="HJ116" s="106"/>
      <c r="HK116" s="106"/>
      <c r="HL116" s="106"/>
      <c r="HM116" s="106"/>
      <c r="HN116" s="106"/>
      <c r="HO116" s="106"/>
      <c r="HP116" s="106"/>
      <c r="HQ116" s="106"/>
      <c r="HR116" s="106"/>
      <c r="HS116" s="106"/>
      <c r="HT116" s="106"/>
      <c r="HU116" s="106"/>
      <c r="HV116" s="106"/>
      <c r="HW116" s="106"/>
      <c r="HX116" s="106"/>
      <c r="HY116" s="106"/>
      <c r="HZ116" s="106"/>
      <c r="IA116" s="106"/>
      <c r="IB116" s="106"/>
      <c r="IC116" s="106"/>
      <c r="ID116" s="106"/>
      <c r="IE116" s="106"/>
      <c r="IF116" s="106"/>
      <c r="IG116" s="106"/>
      <c r="IH116" s="106"/>
      <c r="II116" s="106"/>
      <c r="IJ116" s="106"/>
      <c r="IK116" s="106"/>
      <c r="IL116" s="106"/>
      <c r="IM116" s="106"/>
      <c r="IN116" s="106"/>
      <c r="IO116" s="106"/>
      <c r="IP116" s="106"/>
      <c r="IQ116" s="106"/>
      <c r="IR116" s="106"/>
      <c r="IS116" s="106"/>
      <c r="IT116" s="106"/>
      <c r="IU116" s="106"/>
      <c r="IV116" s="106"/>
      <c r="IW116" s="106"/>
      <c r="IX116" s="106"/>
      <c r="IY116" s="106"/>
      <c r="IZ116" s="106"/>
      <c r="JA116" s="106"/>
      <c r="JB116" s="106"/>
      <c r="JC116" s="106"/>
      <c r="JD116" s="106"/>
      <c r="JE116" s="106"/>
      <c r="JF116" s="106"/>
      <c r="JG116" s="106"/>
      <c r="JH116" s="106"/>
      <c r="JI116" s="106"/>
      <c r="JJ116" s="106"/>
      <c r="JK116" s="106"/>
      <c r="JL116" s="106"/>
      <c r="JM116" s="106"/>
      <c r="JN116" s="106"/>
      <c r="JO116" s="106"/>
      <c r="JP116" s="106"/>
      <c r="JQ116" s="106"/>
      <c r="JR116" s="106"/>
      <c r="JS116" s="106"/>
      <c r="JT116" s="106"/>
      <c r="JU116" s="106"/>
      <c r="JV116" s="106"/>
      <c r="JW116" s="106"/>
      <c r="JX116" s="106"/>
      <c r="JY116" s="106"/>
      <c r="JZ116" s="106"/>
      <c r="KA116" s="106"/>
      <c r="KB116" s="106"/>
      <c r="KC116" s="106"/>
      <c r="KD116" s="106"/>
      <c r="KE116" s="106"/>
      <c r="KF116" s="106"/>
      <c r="KG116" s="106"/>
      <c r="KH116" s="106"/>
      <c r="KI116" s="106"/>
      <c r="KJ116" s="106"/>
      <c r="KK116" s="106"/>
      <c r="KL116" s="106"/>
      <c r="KM116" s="106"/>
      <c r="KN116" s="106"/>
      <c r="KO116" s="106"/>
      <c r="KP116" s="106"/>
      <c r="KQ116" s="106"/>
      <c r="KR116" s="106"/>
      <c r="KS116" s="106"/>
      <c r="KT116" s="106"/>
      <c r="KU116" s="106"/>
      <c r="KV116" s="106"/>
      <c r="KW116" s="106"/>
      <c r="KX116" s="106"/>
      <c r="KY116" s="106"/>
      <c r="KZ116" s="106"/>
      <c r="LA116" s="106"/>
      <c r="LB116" s="106"/>
      <c r="LC116" s="106"/>
      <c r="LD116" s="106"/>
      <c r="LE116" s="106"/>
      <c r="LF116" s="106"/>
      <c r="LG116" s="106"/>
      <c r="LH116" s="106"/>
      <c r="LI116" s="106"/>
      <c r="LJ116" s="106"/>
      <c r="LK116" s="106"/>
      <c r="LL116" s="106"/>
      <c r="LM116" s="106"/>
      <c r="LN116" s="106"/>
      <c r="LO116" s="106"/>
      <c r="LP116" s="106"/>
      <c r="LQ116" s="106"/>
      <c r="LR116" s="106"/>
      <c r="LS116" s="106"/>
      <c r="LT116" s="106"/>
      <c r="LU116" s="106"/>
      <c r="LV116" s="106"/>
      <c r="LW116" s="106"/>
      <c r="LX116" s="106"/>
      <c r="LY116" s="106"/>
      <c r="LZ116" s="106"/>
      <c r="MA116" s="106"/>
      <c r="MB116" s="106"/>
      <c r="MC116" s="106"/>
      <c r="MD116" s="106"/>
      <c r="ME116" s="106"/>
      <c r="MF116" s="106"/>
      <c r="MG116" s="106"/>
      <c r="MH116" s="106"/>
      <c r="MI116" s="106"/>
      <c r="MJ116" s="106"/>
      <c r="MK116" s="106"/>
      <c r="ML116" s="106"/>
      <c r="MM116" s="106"/>
      <c r="MN116" s="106"/>
      <c r="MO116" s="106"/>
      <c r="MP116" s="106"/>
      <c r="MQ116" s="106"/>
      <c r="MR116" s="106"/>
      <c r="MS116" s="106"/>
      <c r="MT116" s="106"/>
      <c r="MU116" s="106"/>
      <c r="MV116" s="106"/>
      <c r="MW116" s="106"/>
      <c r="MX116" s="106"/>
      <c r="MY116" s="106"/>
      <c r="MZ116" s="106"/>
      <c r="NA116" s="106"/>
      <c r="NB116" s="106"/>
      <c r="NC116" s="106"/>
      <c r="ND116" s="106"/>
      <c r="NE116" s="106"/>
      <c r="NF116" s="106"/>
      <c r="NG116" s="106"/>
      <c r="NH116" s="106"/>
      <c r="NI116" s="106"/>
      <c r="NJ116" s="106"/>
      <c r="NK116" s="106"/>
      <c r="NL116" s="106"/>
      <c r="NM116" s="106"/>
      <c r="NN116" s="106"/>
      <c r="NO116" s="106"/>
      <c r="NP116" s="106"/>
      <c r="NQ116" s="106"/>
      <c r="NR116" s="106"/>
      <c r="NS116" s="106"/>
      <c r="NT116" s="106"/>
      <c r="NU116" s="106"/>
      <c r="NV116" s="106"/>
      <c r="NW116" s="106"/>
      <c r="NX116" s="106"/>
      <c r="NY116" s="106"/>
      <c r="NZ116" s="106"/>
      <c r="OA116" s="106"/>
      <c r="OB116" s="106"/>
      <c r="OC116" s="106"/>
      <c r="OD116" s="106"/>
      <c r="OE116" s="106"/>
      <c r="OF116" s="106"/>
      <c r="OG116" s="106"/>
      <c r="OH116" s="106"/>
      <c r="OI116" s="106"/>
      <c r="OJ116" s="106"/>
      <c r="OK116" s="106"/>
      <c r="OL116" s="106"/>
      <c r="OM116" s="106"/>
      <c r="ON116" s="106"/>
      <c r="OO116" s="106"/>
      <c r="OP116" s="106"/>
      <c r="OQ116" s="106"/>
      <c r="OR116" s="106"/>
      <c r="OS116" s="106"/>
      <c r="OT116" s="106"/>
      <c r="OU116" s="106"/>
      <c r="OV116" s="106"/>
      <c r="OW116" s="106"/>
      <c r="OX116" s="106"/>
      <c r="OY116" s="106"/>
      <c r="OZ116" s="106"/>
      <c r="PA116" s="106"/>
      <c r="PB116" s="106"/>
      <c r="PC116" s="106"/>
      <c r="PD116" s="106"/>
      <c r="PE116" s="106"/>
      <c r="PF116" s="106"/>
      <c r="PG116" s="106"/>
      <c r="PH116" s="106"/>
      <c r="PI116" s="106"/>
      <c r="PJ116" s="106"/>
      <c r="PK116" s="106"/>
      <c r="PL116" s="106"/>
      <c r="PM116" s="106"/>
      <c r="PN116" s="106"/>
      <c r="PO116" s="106"/>
      <c r="PP116" s="106"/>
      <c r="PQ116" s="106"/>
      <c r="PR116" s="106"/>
      <c r="PS116" s="106"/>
      <c r="PT116" s="106"/>
      <c r="PU116" s="106"/>
      <c r="PV116" s="106"/>
      <c r="PW116" s="106"/>
      <c r="PX116" s="106"/>
      <c r="PY116" s="106"/>
      <c r="PZ116" s="106"/>
      <c r="QA116" s="106"/>
      <c r="QB116" s="106"/>
      <c r="QC116" s="106"/>
      <c r="QD116" s="106"/>
      <c r="QE116" s="106"/>
      <c r="QF116" s="106"/>
      <c r="QG116" s="106"/>
      <c r="QH116" s="106"/>
      <c r="QI116" s="106"/>
      <c r="QJ116" s="106"/>
      <c r="QK116" s="106"/>
      <c r="QL116" s="106"/>
      <c r="QM116" s="106"/>
      <c r="QN116" s="106"/>
      <c r="QO116" s="106"/>
      <c r="QP116" s="106"/>
      <c r="QQ116" s="106"/>
      <c r="QR116" s="106"/>
      <c r="QS116" s="106"/>
      <c r="QT116" s="106"/>
      <c r="QU116" s="106"/>
      <c r="QV116" s="106"/>
      <c r="QW116" s="106"/>
      <c r="QX116" s="106"/>
      <c r="QY116" s="106"/>
      <c r="QZ116" s="106"/>
      <c r="RA116" s="106"/>
      <c r="RB116" s="106"/>
      <c r="RC116" s="106"/>
      <c r="RD116" s="106"/>
      <c r="RE116" s="106"/>
      <c r="RF116" s="106"/>
      <c r="RG116" s="106"/>
      <c r="RH116" s="106"/>
      <c r="RI116" s="106"/>
      <c r="RJ116" s="106"/>
      <c r="RK116" s="106"/>
      <c r="RL116" s="106"/>
      <c r="RM116" s="106"/>
      <c r="RN116" s="106"/>
      <c r="RO116" s="106"/>
      <c r="RP116" s="106"/>
      <c r="RQ116" s="106"/>
      <c r="RR116" s="106"/>
      <c r="RS116" s="106"/>
      <c r="RT116" s="106"/>
      <c r="RU116" s="106"/>
      <c r="RV116" s="106"/>
      <c r="RW116" s="106"/>
      <c r="RX116" s="106"/>
      <c r="RY116" s="106"/>
      <c r="RZ116" s="106"/>
      <c r="SA116" s="106"/>
      <c r="SB116" s="106"/>
      <c r="SC116" s="106"/>
      <c r="SD116" s="106"/>
      <c r="SE116" s="106"/>
      <c r="SF116" s="106"/>
      <c r="SG116" s="106"/>
      <c r="SH116" s="106"/>
      <c r="SI116" s="106"/>
      <c r="SJ116" s="106"/>
      <c r="SK116" s="106"/>
      <c r="SL116" s="106"/>
      <c r="SM116" s="106"/>
      <c r="SN116" s="106"/>
      <c r="SO116" s="106"/>
      <c r="SP116" s="106"/>
      <c r="SQ116" s="106"/>
      <c r="SR116" s="106"/>
      <c r="SS116" s="106"/>
      <c r="ST116" s="106"/>
      <c r="SU116" s="106"/>
      <c r="SV116" s="106"/>
      <c r="SW116" s="106"/>
      <c r="SX116" s="106"/>
      <c r="SY116" s="106"/>
      <c r="SZ116" s="106"/>
      <c r="TA116" s="106"/>
      <c r="TB116" s="106"/>
      <c r="TC116" s="106"/>
      <c r="TD116" s="106"/>
      <c r="TE116" s="106"/>
      <c r="TF116" s="106"/>
      <c r="TG116" s="106"/>
      <c r="TH116" s="106"/>
      <c r="TI116" s="106"/>
      <c r="TJ116" s="106"/>
      <c r="TK116" s="106"/>
      <c r="TL116" s="106"/>
      <c r="TM116" s="106"/>
      <c r="TN116" s="106"/>
      <c r="TO116" s="106"/>
      <c r="TP116" s="106"/>
      <c r="TQ116" s="106"/>
      <c r="TR116" s="106"/>
      <c r="TS116" s="106"/>
      <c r="TT116" s="106"/>
      <c r="TU116" s="106"/>
      <c r="TV116" s="106"/>
      <c r="TW116" s="106"/>
      <c r="TX116" s="106"/>
      <c r="TY116" s="106"/>
      <c r="TZ116" s="106"/>
      <c r="UA116" s="106"/>
      <c r="UB116" s="106"/>
      <c r="UC116" s="106"/>
      <c r="UD116" s="106"/>
      <c r="UE116" s="106"/>
      <c r="UF116" s="106"/>
      <c r="UG116" s="106"/>
      <c r="UH116" s="106"/>
      <c r="UI116" s="106"/>
      <c r="UJ116" s="106"/>
      <c r="UK116" s="106"/>
      <c r="UL116" s="106"/>
      <c r="UM116" s="106"/>
      <c r="UN116" s="106"/>
      <c r="UO116" s="106"/>
      <c r="UP116" s="106"/>
      <c r="UQ116" s="106"/>
      <c r="UR116" s="106"/>
      <c r="US116" s="106"/>
      <c r="UT116" s="106"/>
      <c r="UU116" s="106"/>
      <c r="UV116" s="106"/>
      <c r="UW116" s="106"/>
      <c r="UX116" s="106"/>
      <c r="UY116" s="106"/>
      <c r="UZ116" s="106"/>
      <c r="VA116" s="106"/>
      <c r="VB116" s="106"/>
      <c r="VC116" s="106"/>
      <c r="VD116" s="106"/>
      <c r="VE116" s="106"/>
      <c r="VF116" s="106"/>
      <c r="VG116" s="106"/>
      <c r="VH116" s="106"/>
      <c r="VI116" s="106"/>
      <c r="VJ116" s="106"/>
      <c r="VK116" s="106"/>
      <c r="VL116" s="106"/>
      <c r="VM116" s="106"/>
      <c r="VN116" s="106"/>
      <c r="VO116" s="106"/>
      <c r="VP116" s="106"/>
      <c r="VQ116" s="106"/>
      <c r="VR116" s="106"/>
      <c r="VS116" s="106"/>
      <c r="VT116" s="106"/>
      <c r="VU116" s="106"/>
      <c r="VV116" s="106"/>
      <c r="VW116" s="106"/>
      <c r="VX116" s="106"/>
      <c r="VY116" s="106"/>
      <c r="VZ116" s="106"/>
      <c r="WA116" s="106"/>
      <c r="WB116" s="106"/>
      <c r="WC116" s="106"/>
      <c r="WD116" s="106"/>
      <c r="WE116" s="106"/>
      <c r="WF116" s="106"/>
      <c r="WG116" s="106"/>
      <c r="WH116" s="106"/>
      <c r="WI116" s="106"/>
      <c r="WJ116" s="106"/>
      <c r="WK116" s="106"/>
      <c r="WL116" s="106"/>
      <c r="WM116" s="106"/>
      <c r="WN116" s="106"/>
      <c r="WO116" s="106"/>
      <c r="WP116" s="106"/>
      <c r="WQ116" s="106"/>
      <c r="WR116" s="106"/>
      <c r="WS116" s="106"/>
      <c r="WT116" s="106"/>
      <c r="WU116" s="106"/>
      <c r="WV116" s="106"/>
      <c r="WW116" s="106"/>
      <c r="WX116" s="106"/>
      <c r="WY116" s="106"/>
      <c r="WZ116" s="106"/>
      <c r="XA116" s="106"/>
      <c r="XB116" s="106"/>
      <c r="XC116" s="106"/>
      <c r="XD116" s="106"/>
      <c r="XE116" s="106"/>
      <c r="XF116" s="106"/>
      <c r="XG116" s="106"/>
      <c r="XH116" s="106"/>
      <c r="XI116" s="106"/>
      <c r="XJ116" s="106"/>
      <c r="XK116" s="106"/>
      <c r="XL116" s="106"/>
      <c r="XM116" s="106"/>
      <c r="XN116" s="106"/>
      <c r="XO116" s="106"/>
      <c r="XP116" s="106"/>
      <c r="XQ116" s="106"/>
      <c r="XR116" s="106"/>
      <c r="XS116" s="106"/>
      <c r="XT116" s="106"/>
      <c r="XU116" s="106"/>
      <c r="XV116" s="106"/>
      <c r="XW116" s="106"/>
      <c r="XX116" s="106"/>
      <c r="XY116" s="106"/>
      <c r="XZ116" s="106"/>
      <c r="YA116" s="106"/>
      <c r="YB116" s="106"/>
      <c r="YC116" s="106"/>
      <c r="YD116" s="106"/>
      <c r="YE116" s="106"/>
      <c r="YF116" s="106"/>
      <c r="YG116" s="106"/>
      <c r="YH116" s="106"/>
      <c r="YI116" s="106"/>
      <c r="YJ116" s="106"/>
      <c r="YK116" s="106"/>
      <c r="YL116" s="106"/>
      <c r="YM116" s="106"/>
      <c r="YN116" s="106"/>
      <c r="YO116" s="106"/>
      <c r="YP116" s="106"/>
      <c r="YQ116" s="106"/>
      <c r="YR116" s="106"/>
      <c r="YS116" s="106"/>
      <c r="YT116" s="106"/>
      <c r="YU116" s="106"/>
      <c r="YV116" s="106"/>
      <c r="YW116" s="106"/>
      <c r="YX116" s="106"/>
      <c r="YY116" s="106"/>
      <c r="YZ116" s="106"/>
      <c r="ZA116" s="106"/>
      <c r="ZB116" s="106"/>
      <c r="ZC116" s="106"/>
      <c r="ZD116" s="106"/>
      <c r="ZE116" s="106"/>
      <c r="ZF116" s="106"/>
      <c r="ZG116" s="106"/>
      <c r="ZH116" s="106"/>
      <c r="ZI116" s="106"/>
      <c r="ZJ116" s="106"/>
      <c r="ZK116" s="106"/>
      <c r="ZL116" s="106"/>
      <c r="ZM116" s="106"/>
      <c r="ZN116" s="106"/>
      <c r="ZO116" s="106"/>
      <c r="ZP116" s="106"/>
      <c r="ZQ116" s="106"/>
      <c r="ZR116" s="106"/>
      <c r="ZS116" s="106"/>
      <c r="ZT116" s="106"/>
      <c r="ZU116" s="106"/>
      <c r="ZV116" s="106"/>
      <c r="ZW116" s="106"/>
      <c r="ZX116" s="106"/>
      <c r="ZY116" s="106"/>
      <c r="ZZ116" s="106"/>
      <c r="AAA116" s="106"/>
      <c r="AAB116" s="106"/>
      <c r="AAC116" s="106"/>
      <c r="AAD116" s="106"/>
      <c r="AAE116" s="106"/>
      <c r="AAF116" s="106"/>
      <c r="AAG116" s="106"/>
      <c r="AAH116" s="106"/>
      <c r="AAI116" s="106"/>
      <c r="AAJ116" s="106"/>
      <c r="AAK116" s="106"/>
      <c r="AAL116" s="106"/>
      <c r="AAM116" s="106"/>
      <c r="AAN116" s="106"/>
      <c r="AAO116" s="106"/>
      <c r="AAP116" s="106"/>
      <c r="AAQ116" s="106"/>
      <c r="AAR116" s="106"/>
      <c r="AAS116" s="106"/>
      <c r="AAT116" s="106"/>
      <c r="AAU116" s="106"/>
      <c r="AAV116" s="106"/>
      <c r="AAW116" s="106"/>
      <c r="AAX116" s="106"/>
      <c r="AAY116" s="106"/>
      <c r="AAZ116" s="106"/>
      <c r="ABA116" s="106"/>
      <c r="ABB116" s="106"/>
      <c r="ABC116" s="106"/>
      <c r="ABD116" s="106"/>
      <c r="ABE116" s="106"/>
      <c r="ABF116" s="106"/>
      <c r="ABG116" s="106"/>
      <c r="ABH116" s="106"/>
      <c r="ABI116" s="106"/>
      <c r="ABJ116" s="106"/>
      <c r="ABK116" s="106"/>
      <c r="ABL116" s="106"/>
      <c r="ABM116" s="106"/>
      <c r="ABN116" s="106"/>
      <c r="ABO116" s="106"/>
      <c r="ABP116" s="106"/>
      <c r="ABQ116" s="106"/>
      <c r="ABR116" s="106"/>
      <c r="ABS116" s="106"/>
      <c r="ABT116" s="106"/>
      <c r="ABU116" s="106"/>
      <c r="ABV116" s="106"/>
      <c r="ABW116" s="106"/>
      <c r="ABX116" s="106"/>
      <c r="ABY116" s="106"/>
      <c r="ABZ116" s="106"/>
      <c r="ACA116" s="106"/>
      <c r="ACB116" s="106"/>
      <c r="ACC116" s="106"/>
      <c r="ACD116" s="106"/>
      <c r="ACE116" s="106"/>
      <c r="ACF116" s="106"/>
      <c r="ACG116" s="106"/>
      <c r="ACH116" s="106"/>
      <c r="ACI116" s="106"/>
      <c r="ACJ116" s="106"/>
      <c r="ACK116" s="106"/>
      <c r="ACL116" s="106"/>
      <c r="ACM116" s="106"/>
      <c r="ACN116" s="106"/>
      <c r="ACO116" s="106"/>
      <c r="ACP116" s="106"/>
      <c r="ACQ116" s="106"/>
      <c r="ACR116" s="106"/>
      <c r="ACS116" s="106"/>
      <c r="ACT116" s="106"/>
      <c r="ACU116" s="106"/>
      <c r="ACV116" s="106"/>
      <c r="ACW116" s="106"/>
      <c r="ACX116" s="106"/>
      <c r="ACY116" s="106"/>
      <c r="ACZ116" s="106"/>
      <c r="ADA116" s="106"/>
      <c r="ADB116" s="106"/>
      <c r="ADC116" s="106"/>
      <c r="ADD116" s="106"/>
      <c r="ADE116" s="106"/>
      <c r="ADF116" s="106"/>
      <c r="ADG116" s="106"/>
      <c r="ADH116" s="106"/>
      <c r="ADI116" s="106"/>
      <c r="ADJ116" s="106"/>
      <c r="ADK116" s="106"/>
      <c r="ADL116" s="106"/>
      <c r="ADM116" s="106"/>
      <c r="ADN116" s="106"/>
      <c r="ADO116" s="106"/>
      <c r="ADP116" s="106"/>
      <c r="ADQ116" s="106"/>
      <c r="ADR116" s="106"/>
      <c r="ADS116" s="106"/>
      <c r="ADT116" s="106"/>
      <c r="ADU116" s="106"/>
      <c r="ADV116" s="106"/>
      <c r="ADW116" s="106"/>
      <c r="ADX116" s="106"/>
      <c r="ADY116" s="106"/>
      <c r="ADZ116" s="106"/>
      <c r="AEA116" s="106"/>
      <c r="AEB116" s="106"/>
      <c r="AEC116" s="106"/>
      <c r="AED116" s="106"/>
      <c r="AEE116" s="106"/>
      <c r="AEF116" s="106"/>
      <c r="AEG116" s="106"/>
      <c r="AEH116" s="106"/>
      <c r="AEI116" s="106"/>
      <c r="AEJ116" s="106"/>
      <c r="AEK116" s="106"/>
      <c r="AEL116" s="106"/>
      <c r="AEM116" s="106"/>
      <c r="AEN116" s="106"/>
      <c r="AEO116" s="106"/>
      <c r="AEP116" s="106"/>
      <c r="AEQ116" s="106"/>
      <c r="AER116" s="106"/>
      <c r="AES116" s="106"/>
      <c r="AET116" s="106"/>
      <c r="AEU116" s="106"/>
      <c r="AEV116" s="106"/>
      <c r="AEW116" s="106"/>
      <c r="AEX116" s="106"/>
      <c r="AEY116" s="106"/>
      <c r="AEZ116" s="106"/>
      <c r="AFA116" s="106"/>
      <c r="AFB116" s="106"/>
      <c r="AFC116" s="106"/>
      <c r="AFD116" s="106"/>
      <c r="AFE116" s="106"/>
      <c r="AFF116" s="106"/>
      <c r="AFG116" s="106"/>
      <c r="AFH116" s="106"/>
      <c r="AFI116" s="106"/>
      <c r="AFJ116" s="106"/>
      <c r="AFK116" s="106"/>
      <c r="AFL116" s="106"/>
      <c r="AFM116" s="106"/>
      <c r="AFN116" s="106"/>
      <c r="AFO116" s="106"/>
      <c r="AFP116" s="106"/>
      <c r="AFQ116" s="106"/>
      <c r="AFR116" s="106"/>
      <c r="AFS116" s="106"/>
      <c r="AFT116" s="106"/>
      <c r="AFU116" s="106"/>
      <c r="AFV116" s="106"/>
      <c r="AFW116" s="106"/>
      <c r="AFX116" s="106"/>
      <c r="AFY116" s="106"/>
      <c r="AFZ116" s="106"/>
      <c r="AGA116" s="106"/>
      <c r="AGB116" s="106"/>
      <c r="AGC116" s="106"/>
      <c r="AGD116" s="106"/>
      <c r="AGE116" s="106"/>
      <c r="AGF116" s="106"/>
      <c r="AGG116" s="106"/>
      <c r="AGH116" s="106"/>
      <c r="AGI116" s="106"/>
      <c r="AGJ116" s="106"/>
      <c r="AGK116" s="106"/>
      <c r="AGL116" s="106"/>
      <c r="AGM116" s="106"/>
      <c r="AGN116" s="106"/>
      <c r="AGO116" s="106"/>
      <c r="AGP116" s="106"/>
      <c r="AGQ116" s="106"/>
      <c r="AGR116" s="106"/>
      <c r="AGS116" s="106"/>
      <c r="AGT116" s="106"/>
      <c r="AGU116" s="106"/>
      <c r="AGV116" s="106"/>
      <c r="AGW116" s="106"/>
      <c r="AGX116" s="106"/>
      <c r="AGY116" s="106"/>
      <c r="AGZ116" s="106"/>
      <c r="AHA116" s="106"/>
      <c r="AHB116" s="106"/>
      <c r="AHC116" s="106"/>
      <c r="AHD116" s="106"/>
      <c r="AHE116" s="106"/>
      <c r="AHF116" s="106"/>
      <c r="AHG116" s="106"/>
      <c r="AHH116" s="106"/>
      <c r="AHI116" s="106"/>
      <c r="AHJ116" s="106"/>
      <c r="AHK116" s="106"/>
      <c r="AHL116" s="106"/>
      <c r="AHM116" s="106"/>
      <c r="AHN116" s="106"/>
      <c r="AHO116" s="106"/>
      <c r="AHP116" s="106"/>
      <c r="AHQ116" s="106"/>
      <c r="AHR116" s="106"/>
      <c r="AHS116" s="106"/>
      <c r="AHT116" s="106"/>
      <c r="AHU116" s="106"/>
      <c r="AHV116" s="106"/>
      <c r="AHW116" s="106"/>
      <c r="AHX116" s="106"/>
      <c r="AHY116" s="106"/>
      <c r="AHZ116" s="106"/>
      <c r="AIA116" s="106"/>
      <c r="AIB116" s="106"/>
      <c r="AIC116" s="106"/>
      <c r="AID116" s="106"/>
      <c r="AIE116" s="106"/>
      <c r="AIF116" s="106"/>
      <c r="AIG116" s="106"/>
      <c r="AIH116" s="106"/>
      <c r="AII116" s="106"/>
      <c r="AIJ116" s="106"/>
      <c r="AIK116" s="106"/>
      <c r="AIL116" s="106"/>
      <c r="AIM116" s="106"/>
      <c r="AIN116" s="106"/>
      <c r="AIO116" s="106"/>
      <c r="AIP116" s="106"/>
      <c r="AIQ116" s="106"/>
      <c r="AIR116" s="106"/>
      <c r="AIS116" s="106"/>
      <c r="AIT116" s="106"/>
      <c r="AIU116" s="106"/>
      <c r="AIV116" s="106"/>
      <c r="AIW116" s="106"/>
      <c r="AIX116" s="106"/>
      <c r="AIY116" s="106"/>
      <c r="AIZ116" s="106"/>
      <c r="AJA116" s="106"/>
      <c r="AJB116" s="106"/>
      <c r="AJC116" s="106"/>
      <c r="AJD116" s="106"/>
      <c r="AJE116" s="106"/>
      <c r="AJF116" s="106"/>
      <c r="AJG116" s="106"/>
      <c r="AJH116" s="106"/>
      <c r="AJI116" s="106"/>
      <c r="AJJ116" s="106"/>
      <c r="AJK116" s="106"/>
      <c r="AJL116" s="106"/>
      <c r="AJM116" s="106"/>
      <c r="AJN116" s="106"/>
      <c r="AJO116" s="106"/>
      <c r="AJP116" s="106"/>
      <c r="AJQ116" s="106"/>
      <c r="AJR116" s="106"/>
      <c r="AJS116" s="106"/>
      <c r="AJT116" s="106"/>
      <c r="AJU116" s="106"/>
      <c r="AJV116" s="106"/>
      <c r="AJW116" s="106"/>
      <c r="AJX116" s="106"/>
      <c r="AJY116" s="106"/>
      <c r="AJZ116" s="106"/>
      <c r="AKA116" s="106"/>
      <c r="AKB116" s="106"/>
      <c r="AKC116" s="106"/>
      <c r="AKD116" s="106"/>
      <c r="AKE116" s="106"/>
      <c r="AKF116" s="106"/>
      <c r="AKG116" s="106"/>
      <c r="AKH116" s="106"/>
      <c r="AKI116" s="106"/>
      <c r="AKJ116" s="106"/>
      <c r="AKK116" s="106"/>
      <c r="AKL116" s="106"/>
      <c r="AKM116" s="106"/>
      <c r="AKN116" s="106"/>
      <c r="AKO116" s="106"/>
      <c r="AKP116" s="106"/>
      <c r="AKQ116" s="106"/>
      <c r="AKR116" s="106"/>
      <c r="AKS116" s="106"/>
      <c r="AKT116" s="106"/>
      <c r="AKU116" s="106"/>
      <c r="AKV116" s="106"/>
      <c r="AKW116" s="106"/>
      <c r="AKX116" s="106"/>
      <c r="AKY116" s="106"/>
      <c r="AKZ116" s="106"/>
      <c r="ALA116" s="106"/>
      <c r="ALB116" s="106"/>
      <c r="ALC116" s="106"/>
      <c r="ALD116" s="106"/>
      <c r="ALE116" s="106"/>
      <c r="ALF116" s="106"/>
      <c r="ALG116" s="106"/>
      <c r="ALH116" s="106"/>
    </row>
    <row r="117" spans="1:996" s="75" customFormat="1" ht="15.75" customHeight="1">
      <c r="A117" s="104"/>
      <c r="B117" s="75" t="str">
        <f t="shared" si="5"/>
        <v>S112505</v>
      </c>
      <c r="C117" s="396" t="s">
        <v>605</v>
      </c>
      <c r="D117" s="27" t="s">
        <v>128</v>
      </c>
      <c r="E117" s="75">
        <v>112505</v>
      </c>
      <c r="F117" s="105" t="s">
        <v>95</v>
      </c>
      <c r="G117" s="74">
        <f>IFERROR(VLOOKUP(E117,'BD - E - Mvto Cx'!$E$15:$G$500,3,0),0)</f>
        <v>13041.55</v>
      </c>
      <c r="H117" s="72">
        <f>IFERROR(VLOOKUP(E117,'BD - E - Mvto Cx'!$N$15:$P$500,3,0),0)</f>
        <v>11191.02</v>
      </c>
      <c r="I117" s="73">
        <f>IFERROR(VLOOKUP(E117,'BD - E - Mvto Cx'!$W$15:$Y$497,3,0),0)</f>
        <v>9937.34</v>
      </c>
      <c r="J117" s="73">
        <f>IFERROR(VLOOKUP(E117,'BD - E - Mvto Cx'!$AF$15:$AI$500,3,0),0)</f>
        <v>8912.66</v>
      </c>
      <c r="K117" s="73">
        <f>IFERROR(VLOOKUP(E117,'BD - E - Mvto Cx'!$AO$15:$AQ$500,3,0),0)</f>
        <v>0</v>
      </c>
      <c r="L117" s="73">
        <f>IFERROR(VLOOKUP(E117,'BD - E - Mvto Cx'!$AX$15:$AZ$500,3,0),0)</f>
        <v>0</v>
      </c>
      <c r="M117" s="73">
        <f>IFERROR(VLOOKUP(E117,'BD - E - Mvto Cx'!$BJ$15:$BL$500,3,0),0)</f>
        <v>0</v>
      </c>
      <c r="N117" s="73">
        <f>IFERROR(VLOOKUP(E117,'BD - E - Mvto Cx'!$BS$15:$BU$500,3,0),0)</f>
        <v>0</v>
      </c>
      <c r="O117" s="73">
        <f>IFERROR(VLOOKUP(E117,'BD - E - Mvto Cx'!$CB$15:$CD$500,3,0),0)</f>
        <v>0</v>
      </c>
      <c r="P117" s="73">
        <f>IFERROR(VLOOKUP(E117,'BD - E - Mvto Cx'!$CK$15:$CM$500,3,0),0)</f>
        <v>0</v>
      </c>
      <c r="Q117" s="73">
        <f>IFERROR(VLOOKUP(E117,'BD - E - Mvto Cx'!$CT$15:$CV$500,3,0),0)</f>
        <v>0</v>
      </c>
      <c r="R117" s="73">
        <f>IFERROR(VLOOKUP(E117,'BD - E - Mvto Cx'!$DC$15:$DE$500,3,0),0)</f>
        <v>0</v>
      </c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  <c r="CZ117" s="106"/>
      <c r="DA117" s="106"/>
      <c r="DB117" s="106"/>
      <c r="DC117" s="106"/>
      <c r="DD117" s="106"/>
      <c r="DE117" s="106"/>
      <c r="DF117" s="106"/>
      <c r="DG117" s="106"/>
      <c r="DH117" s="106"/>
      <c r="DI117" s="106"/>
      <c r="DJ117" s="106"/>
      <c r="DK117" s="106"/>
      <c r="DL117" s="106"/>
      <c r="DM117" s="106"/>
      <c r="DN117" s="106"/>
      <c r="DO117" s="106"/>
      <c r="DP117" s="106"/>
      <c r="DQ117" s="106"/>
      <c r="DR117" s="106"/>
      <c r="DS117" s="106"/>
      <c r="DT117" s="106"/>
      <c r="DU117" s="106"/>
      <c r="DV117" s="106"/>
      <c r="DW117" s="106"/>
      <c r="DX117" s="106"/>
      <c r="DY117" s="106"/>
      <c r="DZ117" s="106"/>
      <c r="EA117" s="106"/>
      <c r="EB117" s="106"/>
      <c r="EC117" s="106"/>
      <c r="ED117" s="106"/>
      <c r="EE117" s="106"/>
      <c r="EF117" s="106"/>
      <c r="EG117" s="106"/>
      <c r="EH117" s="106"/>
      <c r="EI117" s="106"/>
      <c r="EJ117" s="106"/>
      <c r="EK117" s="106"/>
      <c r="EL117" s="106"/>
      <c r="EM117" s="106"/>
      <c r="EN117" s="106"/>
      <c r="EO117" s="106"/>
      <c r="EP117" s="106"/>
      <c r="EQ117" s="106"/>
      <c r="ER117" s="106"/>
      <c r="ES117" s="106"/>
      <c r="ET117" s="106"/>
      <c r="EU117" s="106"/>
      <c r="EV117" s="106"/>
      <c r="EW117" s="106"/>
      <c r="EX117" s="106"/>
      <c r="EY117" s="106"/>
      <c r="EZ117" s="106"/>
      <c r="FA117" s="106"/>
      <c r="FB117" s="106"/>
      <c r="FC117" s="106"/>
      <c r="FD117" s="106"/>
      <c r="FE117" s="106"/>
      <c r="FF117" s="106"/>
      <c r="FG117" s="106"/>
      <c r="FH117" s="106"/>
      <c r="FI117" s="106"/>
      <c r="FJ117" s="106"/>
      <c r="FK117" s="106"/>
      <c r="FL117" s="106"/>
      <c r="FM117" s="106"/>
      <c r="FN117" s="106"/>
      <c r="FO117" s="106"/>
      <c r="FP117" s="106"/>
      <c r="FQ117" s="106"/>
      <c r="FR117" s="106"/>
      <c r="FS117" s="106"/>
      <c r="FT117" s="106"/>
      <c r="FU117" s="106"/>
      <c r="FV117" s="106"/>
      <c r="FW117" s="106"/>
      <c r="FX117" s="106"/>
      <c r="FY117" s="106"/>
      <c r="FZ117" s="106"/>
      <c r="GA117" s="106"/>
      <c r="GB117" s="106"/>
      <c r="GC117" s="106"/>
      <c r="GD117" s="106"/>
      <c r="GE117" s="106"/>
      <c r="GF117" s="106"/>
      <c r="GG117" s="106"/>
      <c r="GH117" s="106"/>
      <c r="GI117" s="106"/>
      <c r="GJ117" s="106"/>
      <c r="GK117" s="106"/>
      <c r="GL117" s="106"/>
      <c r="GM117" s="106"/>
      <c r="GN117" s="106"/>
      <c r="GO117" s="106"/>
      <c r="GP117" s="106"/>
      <c r="GQ117" s="106"/>
      <c r="GR117" s="106"/>
      <c r="GS117" s="106"/>
      <c r="GT117" s="106"/>
      <c r="GU117" s="106"/>
      <c r="GV117" s="106"/>
      <c r="GW117" s="106"/>
      <c r="GX117" s="106"/>
      <c r="GY117" s="106"/>
      <c r="GZ117" s="106"/>
      <c r="HA117" s="106"/>
      <c r="HB117" s="106"/>
      <c r="HC117" s="106"/>
      <c r="HD117" s="106"/>
      <c r="HE117" s="106"/>
      <c r="HF117" s="106"/>
      <c r="HG117" s="106"/>
      <c r="HH117" s="106"/>
      <c r="HI117" s="106"/>
      <c r="HJ117" s="106"/>
      <c r="HK117" s="106"/>
      <c r="HL117" s="106"/>
      <c r="HM117" s="106"/>
      <c r="HN117" s="106"/>
      <c r="HO117" s="106"/>
      <c r="HP117" s="106"/>
      <c r="HQ117" s="106"/>
      <c r="HR117" s="106"/>
      <c r="HS117" s="106"/>
      <c r="HT117" s="106"/>
      <c r="HU117" s="106"/>
      <c r="HV117" s="106"/>
      <c r="HW117" s="106"/>
      <c r="HX117" s="106"/>
      <c r="HY117" s="106"/>
      <c r="HZ117" s="106"/>
      <c r="IA117" s="106"/>
      <c r="IB117" s="106"/>
      <c r="IC117" s="106"/>
      <c r="ID117" s="106"/>
      <c r="IE117" s="106"/>
      <c r="IF117" s="106"/>
      <c r="IG117" s="106"/>
      <c r="IH117" s="106"/>
      <c r="II117" s="106"/>
      <c r="IJ117" s="106"/>
      <c r="IK117" s="106"/>
      <c r="IL117" s="106"/>
      <c r="IM117" s="106"/>
      <c r="IN117" s="106"/>
      <c r="IO117" s="106"/>
      <c r="IP117" s="106"/>
      <c r="IQ117" s="106"/>
      <c r="IR117" s="106"/>
      <c r="IS117" s="106"/>
      <c r="IT117" s="106"/>
      <c r="IU117" s="106"/>
      <c r="IV117" s="106"/>
      <c r="IW117" s="106"/>
      <c r="IX117" s="106"/>
      <c r="IY117" s="106"/>
      <c r="IZ117" s="106"/>
      <c r="JA117" s="106"/>
      <c r="JB117" s="106"/>
      <c r="JC117" s="106"/>
      <c r="JD117" s="106"/>
      <c r="JE117" s="106"/>
      <c r="JF117" s="106"/>
      <c r="JG117" s="106"/>
      <c r="JH117" s="106"/>
      <c r="JI117" s="106"/>
      <c r="JJ117" s="106"/>
      <c r="JK117" s="106"/>
      <c r="JL117" s="106"/>
      <c r="JM117" s="106"/>
      <c r="JN117" s="106"/>
      <c r="JO117" s="106"/>
      <c r="JP117" s="106"/>
      <c r="JQ117" s="106"/>
      <c r="JR117" s="106"/>
      <c r="JS117" s="106"/>
      <c r="JT117" s="106"/>
      <c r="JU117" s="106"/>
      <c r="JV117" s="106"/>
      <c r="JW117" s="106"/>
      <c r="JX117" s="106"/>
      <c r="JY117" s="106"/>
      <c r="JZ117" s="106"/>
      <c r="KA117" s="106"/>
      <c r="KB117" s="106"/>
      <c r="KC117" s="106"/>
      <c r="KD117" s="106"/>
      <c r="KE117" s="106"/>
      <c r="KF117" s="106"/>
      <c r="KG117" s="106"/>
      <c r="KH117" s="106"/>
      <c r="KI117" s="106"/>
      <c r="KJ117" s="106"/>
      <c r="KK117" s="106"/>
      <c r="KL117" s="106"/>
      <c r="KM117" s="106"/>
      <c r="KN117" s="106"/>
      <c r="KO117" s="106"/>
      <c r="KP117" s="106"/>
      <c r="KQ117" s="106"/>
      <c r="KR117" s="106"/>
      <c r="KS117" s="106"/>
      <c r="KT117" s="106"/>
      <c r="KU117" s="106"/>
      <c r="KV117" s="106"/>
      <c r="KW117" s="106"/>
      <c r="KX117" s="106"/>
      <c r="KY117" s="106"/>
      <c r="KZ117" s="106"/>
      <c r="LA117" s="106"/>
      <c r="LB117" s="106"/>
      <c r="LC117" s="106"/>
      <c r="LD117" s="106"/>
      <c r="LE117" s="106"/>
      <c r="LF117" s="106"/>
      <c r="LG117" s="106"/>
      <c r="LH117" s="106"/>
      <c r="LI117" s="106"/>
      <c r="LJ117" s="106"/>
      <c r="LK117" s="106"/>
      <c r="LL117" s="106"/>
      <c r="LM117" s="106"/>
      <c r="LN117" s="106"/>
      <c r="LO117" s="106"/>
      <c r="LP117" s="106"/>
      <c r="LQ117" s="106"/>
      <c r="LR117" s="106"/>
      <c r="LS117" s="106"/>
      <c r="LT117" s="106"/>
      <c r="LU117" s="106"/>
      <c r="LV117" s="106"/>
      <c r="LW117" s="106"/>
      <c r="LX117" s="106"/>
      <c r="LY117" s="106"/>
      <c r="LZ117" s="106"/>
      <c r="MA117" s="106"/>
      <c r="MB117" s="106"/>
      <c r="MC117" s="106"/>
      <c r="MD117" s="106"/>
      <c r="ME117" s="106"/>
      <c r="MF117" s="106"/>
      <c r="MG117" s="106"/>
      <c r="MH117" s="106"/>
      <c r="MI117" s="106"/>
      <c r="MJ117" s="106"/>
      <c r="MK117" s="106"/>
      <c r="ML117" s="106"/>
      <c r="MM117" s="106"/>
      <c r="MN117" s="106"/>
      <c r="MO117" s="106"/>
      <c r="MP117" s="106"/>
      <c r="MQ117" s="106"/>
      <c r="MR117" s="106"/>
      <c r="MS117" s="106"/>
      <c r="MT117" s="106"/>
      <c r="MU117" s="106"/>
      <c r="MV117" s="106"/>
      <c r="MW117" s="106"/>
      <c r="MX117" s="106"/>
      <c r="MY117" s="106"/>
      <c r="MZ117" s="106"/>
      <c r="NA117" s="106"/>
      <c r="NB117" s="106"/>
      <c r="NC117" s="106"/>
      <c r="ND117" s="106"/>
      <c r="NE117" s="106"/>
      <c r="NF117" s="106"/>
      <c r="NG117" s="106"/>
      <c r="NH117" s="106"/>
      <c r="NI117" s="106"/>
      <c r="NJ117" s="106"/>
      <c r="NK117" s="106"/>
      <c r="NL117" s="106"/>
      <c r="NM117" s="106"/>
      <c r="NN117" s="106"/>
      <c r="NO117" s="106"/>
      <c r="NP117" s="106"/>
      <c r="NQ117" s="106"/>
      <c r="NR117" s="106"/>
      <c r="NS117" s="106"/>
      <c r="NT117" s="106"/>
      <c r="NU117" s="106"/>
      <c r="NV117" s="106"/>
      <c r="NW117" s="106"/>
      <c r="NX117" s="106"/>
      <c r="NY117" s="106"/>
      <c r="NZ117" s="106"/>
      <c r="OA117" s="106"/>
      <c r="OB117" s="106"/>
      <c r="OC117" s="106"/>
      <c r="OD117" s="106"/>
      <c r="OE117" s="106"/>
      <c r="OF117" s="106"/>
      <c r="OG117" s="106"/>
      <c r="OH117" s="106"/>
      <c r="OI117" s="106"/>
      <c r="OJ117" s="106"/>
      <c r="OK117" s="106"/>
      <c r="OL117" s="106"/>
      <c r="OM117" s="106"/>
      <c r="ON117" s="106"/>
      <c r="OO117" s="106"/>
      <c r="OP117" s="106"/>
      <c r="OQ117" s="106"/>
      <c r="OR117" s="106"/>
      <c r="OS117" s="106"/>
      <c r="OT117" s="106"/>
      <c r="OU117" s="106"/>
      <c r="OV117" s="106"/>
      <c r="OW117" s="106"/>
      <c r="OX117" s="106"/>
      <c r="OY117" s="106"/>
      <c r="OZ117" s="106"/>
      <c r="PA117" s="106"/>
      <c r="PB117" s="106"/>
      <c r="PC117" s="106"/>
      <c r="PD117" s="106"/>
      <c r="PE117" s="106"/>
      <c r="PF117" s="106"/>
      <c r="PG117" s="106"/>
      <c r="PH117" s="106"/>
      <c r="PI117" s="106"/>
      <c r="PJ117" s="106"/>
      <c r="PK117" s="106"/>
      <c r="PL117" s="106"/>
      <c r="PM117" s="106"/>
      <c r="PN117" s="106"/>
      <c r="PO117" s="106"/>
      <c r="PP117" s="106"/>
      <c r="PQ117" s="106"/>
      <c r="PR117" s="106"/>
      <c r="PS117" s="106"/>
      <c r="PT117" s="106"/>
      <c r="PU117" s="106"/>
      <c r="PV117" s="106"/>
      <c r="PW117" s="106"/>
      <c r="PX117" s="106"/>
      <c r="PY117" s="106"/>
      <c r="PZ117" s="106"/>
      <c r="QA117" s="106"/>
      <c r="QB117" s="106"/>
      <c r="QC117" s="106"/>
      <c r="QD117" s="106"/>
      <c r="QE117" s="106"/>
      <c r="QF117" s="106"/>
      <c r="QG117" s="106"/>
      <c r="QH117" s="106"/>
      <c r="QI117" s="106"/>
      <c r="QJ117" s="106"/>
      <c r="QK117" s="106"/>
      <c r="QL117" s="106"/>
      <c r="QM117" s="106"/>
      <c r="QN117" s="106"/>
      <c r="QO117" s="106"/>
      <c r="QP117" s="106"/>
      <c r="QQ117" s="106"/>
      <c r="QR117" s="106"/>
      <c r="QS117" s="106"/>
      <c r="QT117" s="106"/>
      <c r="QU117" s="106"/>
      <c r="QV117" s="106"/>
      <c r="QW117" s="106"/>
      <c r="QX117" s="106"/>
      <c r="QY117" s="106"/>
      <c r="QZ117" s="106"/>
      <c r="RA117" s="106"/>
      <c r="RB117" s="106"/>
      <c r="RC117" s="106"/>
      <c r="RD117" s="106"/>
      <c r="RE117" s="106"/>
      <c r="RF117" s="106"/>
      <c r="RG117" s="106"/>
      <c r="RH117" s="106"/>
      <c r="RI117" s="106"/>
      <c r="RJ117" s="106"/>
      <c r="RK117" s="106"/>
      <c r="RL117" s="106"/>
      <c r="RM117" s="106"/>
      <c r="RN117" s="106"/>
      <c r="RO117" s="106"/>
      <c r="RP117" s="106"/>
      <c r="RQ117" s="106"/>
      <c r="RR117" s="106"/>
      <c r="RS117" s="106"/>
      <c r="RT117" s="106"/>
      <c r="RU117" s="106"/>
      <c r="RV117" s="106"/>
      <c r="RW117" s="106"/>
      <c r="RX117" s="106"/>
      <c r="RY117" s="106"/>
      <c r="RZ117" s="106"/>
      <c r="SA117" s="106"/>
      <c r="SB117" s="106"/>
      <c r="SC117" s="106"/>
      <c r="SD117" s="106"/>
      <c r="SE117" s="106"/>
      <c r="SF117" s="106"/>
      <c r="SG117" s="106"/>
      <c r="SH117" s="106"/>
      <c r="SI117" s="106"/>
      <c r="SJ117" s="106"/>
      <c r="SK117" s="106"/>
      <c r="SL117" s="106"/>
      <c r="SM117" s="106"/>
      <c r="SN117" s="106"/>
      <c r="SO117" s="106"/>
      <c r="SP117" s="106"/>
      <c r="SQ117" s="106"/>
      <c r="SR117" s="106"/>
      <c r="SS117" s="106"/>
      <c r="ST117" s="106"/>
      <c r="SU117" s="106"/>
      <c r="SV117" s="106"/>
      <c r="SW117" s="106"/>
      <c r="SX117" s="106"/>
      <c r="SY117" s="106"/>
      <c r="SZ117" s="106"/>
      <c r="TA117" s="106"/>
      <c r="TB117" s="106"/>
      <c r="TC117" s="106"/>
      <c r="TD117" s="106"/>
      <c r="TE117" s="106"/>
      <c r="TF117" s="106"/>
      <c r="TG117" s="106"/>
      <c r="TH117" s="106"/>
      <c r="TI117" s="106"/>
      <c r="TJ117" s="106"/>
      <c r="TK117" s="106"/>
      <c r="TL117" s="106"/>
      <c r="TM117" s="106"/>
      <c r="TN117" s="106"/>
      <c r="TO117" s="106"/>
      <c r="TP117" s="106"/>
      <c r="TQ117" s="106"/>
      <c r="TR117" s="106"/>
      <c r="TS117" s="106"/>
      <c r="TT117" s="106"/>
      <c r="TU117" s="106"/>
      <c r="TV117" s="106"/>
      <c r="TW117" s="106"/>
      <c r="TX117" s="106"/>
      <c r="TY117" s="106"/>
      <c r="TZ117" s="106"/>
      <c r="UA117" s="106"/>
      <c r="UB117" s="106"/>
      <c r="UC117" s="106"/>
      <c r="UD117" s="106"/>
      <c r="UE117" s="106"/>
      <c r="UF117" s="106"/>
      <c r="UG117" s="106"/>
      <c r="UH117" s="106"/>
      <c r="UI117" s="106"/>
      <c r="UJ117" s="106"/>
      <c r="UK117" s="106"/>
      <c r="UL117" s="106"/>
      <c r="UM117" s="106"/>
      <c r="UN117" s="106"/>
      <c r="UO117" s="106"/>
      <c r="UP117" s="106"/>
      <c r="UQ117" s="106"/>
      <c r="UR117" s="106"/>
      <c r="US117" s="106"/>
      <c r="UT117" s="106"/>
      <c r="UU117" s="106"/>
      <c r="UV117" s="106"/>
      <c r="UW117" s="106"/>
      <c r="UX117" s="106"/>
      <c r="UY117" s="106"/>
      <c r="UZ117" s="106"/>
      <c r="VA117" s="106"/>
      <c r="VB117" s="106"/>
      <c r="VC117" s="106"/>
      <c r="VD117" s="106"/>
      <c r="VE117" s="106"/>
      <c r="VF117" s="106"/>
      <c r="VG117" s="106"/>
      <c r="VH117" s="106"/>
      <c r="VI117" s="106"/>
      <c r="VJ117" s="106"/>
      <c r="VK117" s="106"/>
      <c r="VL117" s="106"/>
      <c r="VM117" s="106"/>
      <c r="VN117" s="106"/>
      <c r="VO117" s="106"/>
      <c r="VP117" s="106"/>
      <c r="VQ117" s="106"/>
      <c r="VR117" s="106"/>
      <c r="VS117" s="106"/>
      <c r="VT117" s="106"/>
      <c r="VU117" s="106"/>
      <c r="VV117" s="106"/>
      <c r="VW117" s="106"/>
      <c r="VX117" s="106"/>
      <c r="VY117" s="106"/>
      <c r="VZ117" s="106"/>
      <c r="WA117" s="106"/>
      <c r="WB117" s="106"/>
      <c r="WC117" s="106"/>
      <c r="WD117" s="106"/>
      <c r="WE117" s="106"/>
      <c r="WF117" s="106"/>
      <c r="WG117" s="106"/>
      <c r="WH117" s="106"/>
      <c r="WI117" s="106"/>
      <c r="WJ117" s="106"/>
      <c r="WK117" s="106"/>
      <c r="WL117" s="106"/>
      <c r="WM117" s="106"/>
      <c r="WN117" s="106"/>
      <c r="WO117" s="106"/>
      <c r="WP117" s="106"/>
      <c r="WQ117" s="106"/>
      <c r="WR117" s="106"/>
      <c r="WS117" s="106"/>
      <c r="WT117" s="106"/>
      <c r="WU117" s="106"/>
      <c r="WV117" s="106"/>
      <c r="WW117" s="106"/>
      <c r="WX117" s="106"/>
      <c r="WY117" s="106"/>
      <c r="WZ117" s="106"/>
      <c r="XA117" s="106"/>
      <c r="XB117" s="106"/>
      <c r="XC117" s="106"/>
      <c r="XD117" s="106"/>
      <c r="XE117" s="106"/>
      <c r="XF117" s="106"/>
      <c r="XG117" s="106"/>
      <c r="XH117" s="106"/>
      <c r="XI117" s="106"/>
      <c r="XJ117" s="106"/>
      <c r="XK117" s="106"/>
      <c r="XL117" s="106"/>
      <c r="XM117" s="106"/>
      <c r="XN117" s="106"/>
      <c r="XO117" s="106"/>
      <c r="XP117" s="106"/>
      <c r="XQ117" s="106"/>
      <c r="XR117" s="106"/>
      <c r="XS117" s="106"/>
      <c r="XT117" s="106"/>
      <c r="XU117" s="106"/>
      <c r="XV117" s="106"/>
      <c r="XW117" s="106"/>
      <c r="XX117" s="106"/>
      <c r="XY117" s="106"/>
      <c r="XZ117" s="106"/>
      <c r="YA117" s="106"/>
      <c r="YB117" s="106"/>
      <c r="YC117" s="106"/>
      <c r="YD117" s="106"/>
      <c r="YE117" s="106"/>
      <c r="YF117" s="106"/>
      <c r="YG117" s="106"/>
      <c r="YH117" s="106"/>
      <c r="YI117" s="106"/>
      <c r="YJ117" s="106"/>
      <c r="YK117" s="106"/>
      <c r="YL117" s="106"/>
      <c r="YM117" s="106"/>
      <c r="YN117" s="106"/>
      <c r="YO117" s="106"/>
      <c r="YP117" s="106"/>
      <c r="YQ117" s="106"/>
      <c r="YR117" s="106"/>
      <c r="YS117" s="106"/>
      <c r="YT117" s="106"/>
      <c r="YU117" s="106"/>
      <c r="YV117" s="106"/>
      <c r="YW117" s="106"/>
      <c r="YX117" s="106"/>
      <c r="YY117" s="106"/>
      <c r="YZ117" s="106"/>
      <c r="ZA117" s="106"/>
      <c r="ZB117" s="106"/>
      <c r="ZC117" s="106"/>
      <c r="ZD117" s="106"/>
      <c r="ZE117" s="106"/>
      <c r="ZF117" s="106"/>
      <c r="ZG117" s="106"/>
      <c r="ZH117" s="106"/>
      <c r="ZI117" s="106"/>
      <c r="ZJ117" s="106"/>
      <c r="ZK117" s="106"/>
      <c r="ZL117" s="106"/>
      <c r="ZM117" s="106"/>
      <c r="ZN117" s="106"/>
      <c r="ZO117" s="106"/>
      <c r="ZP117" s="106"/>
      <c r="ZQ117" s="106"/>
      <c r="ZR117" s="106"/>
      <c r="ZS117" s="106"/>
      <c r="ZT117" s="106"/>
      <c r="ZU117" s="106"/>
      <c r="ZV117" s="106"/>
      <c r="ZW117" s="106"/>
      <c r="ZX117" s="106"/>
      <c r="ZY117" s="106"/>
      <c r="ZZ117" s="106"/>
      <c r="AAA117" s="106"/>
      <c r="AAB117" s="106"/>
      <c r="AAC117" s="106"/>
      <c r="AAD117" s="106"/>
      <c r="AAE117" s="106"/>
      <c r="AAF117" s="106"/>
      <c r="AAG117" s="106"/>
      <c r="AAH117" s="106"/>
      <c r="AAI117" s="106"/>
      <c r="AAJ117" s="106"/>
      <c r="AAK117" s="106"/>
      <c r="AAL117" s="106"/>
      <c r="AAM117" s="106"/>
      <c r="AAN117" s="106"/>
      <c r="AAO117" s="106"/>
      <c r="AAP117" s="106"/>
      <c r="AAQ117" s="106"/>
      <c r="AAR117" s="106"/>
      <c r="AAS117" s="106"/>
      <c r="AAT117" s="106"/>
      <c r="AAU117" s="106"/>
      <c r="AAV117" s="106"/>
      <c r="AAW117" s="106"/>
      <c r="AAX117" s="106"/>
      <c r="AAY117" s="106"/>
      <c r="AAZ117" s="106"/>
      <c r="ABA117" s="106"/>
      <c r="ABB117" s="106"/>
      <c r="ABC117" s="106"/>
      <c r="ABD117" s="106"/>
      <c r="ABE117" s="106"/>
      <c r="ABF117" s="106"/>
      <c r="ABG117" s="106"/>
      <c r="ABH117" s="106"/>
      <c r="ABI117" s="106"/>
      <c r="ABJ117" s="106"/>
      <c r="ABK117" s="106"/>
      <c r="ABL117" s="106"/>
      <c r="ABM117" s="106"/>
      <c r="ABN117" s="106"/>
      <c r="ABO117" s="106"/>
      <c r="ABP117" s="106"/>
      <c r="ABQ117" s="106"/>
      <c r="ABR117" s="106"/>
      <c r="ABS117" s="106"/>
      <c r="ABT117" s="106"/>
      <c r="ABU117" s="106"/>
      <c r="ABV117" s="106"/>
      <c r="ABW117" s="106"/>
      <c r="ABX117" s="106"/>
      <c r="ABY117" s="106"/>
      <c r="ABZ117" s="106"/>
      <c r="ACA117" s="106"/>
      <c r="ACB117" s="106"/>
      <c r="ACC117" s="106"/>
      <c r="ACD117" s="106"/>
      <c r="ACE117" s="106"/>
      <c r="ACF117" s="106"/>
      <c r="ACG117" s="106"/>
      <c r="ACH117" s="106"/>
      <c r="ACI117" s="106"/>
      <c r="ACJ117" s="106"/>
      <c r="ACK117" s="106"/>
      <c r="ACL117" s="106"/>
      <c r="ACM117" s="106"/>
      <c r="ACN117" s="106"/>
      <c r="ACO117" s="106"/>
      <c r="ACP117" s="106"/>
      <c r="ACQ117" s="106"/>
      <c r="ACR117" s="106"/>
      <c r="ACS117" s="106"/>
      <c r="ACT117" s="106"/>
      <c r="ACU117" s="106"/>
      <c r="ACV117" s="106"/>
      <c r="ACW117" s="106"/>
      <c r="ACX117" s="106"/>
      <c r="ACY117" s="106"/>
      <c r="ACZ117" s="106"/>
      <c r="ADA117" s="106"/>
      <c r="ADB117" s="106"/>
      <c r="ADC117" s="106"/>
      <c r="ADD117" s="106"/>
      <c r="ADE117" s="106"/>
      <c r="ADF117" s="106"/>
      <c r="ADG117" s="106"/>
      <c r="ADH117" s="106"/>
      <c r="ADI117" s="106"/>
      <c r="ADJ117" s="106"/>
      <c r="ADK117" s="106"/>
      <c r="ADL117" s="106"/>
      <c r="ADM117" s="106"/>
      <c r="ADN117" s="106"/>
      <c r="ADO117" s="106"/>
      <c r="ADP117" s="106"/>
      <c r="ADQ117" s="106"/>
      <c r="ADR117" s="106"/>
      <c r="ADS117" s="106"/>
      <c r="ADT117" s="106"/>
      <c r="ADU117" s="106"/>
      <c r="ADV117" s="106"/>
      <c r="ADW117" s="106"/>
      <c r="ADX117" s="106"/>
      <c r="ADY117" s="106"/>
      <c r="ADZ117" s="106"/>
      <c r="AEA117" s="106"/>
      <c r="AEB117" s="106"/>
      <c r="AEC117" s="106"/>
      <c r="AED117" s="106"/>
      <c r="AEE117" s="106"/>
      <c r="AEF117" s="106"/>
      <c r="AEG117" s="106"/>
      <c r="AEH117" s="106"/>
      <c r="AEI117" s="106"/>
      <c r="AEJ117" s="106"/>
      <c r="AEK117" s="106"/>
      <c r="AEL117" s="106"/>
      <c r="AEM117" s="106"/>
      <c r="AEN117" s="106"/>
      <c r="AEO117" s="106"/>
      <c r="AEP117" s="106"/>
      <c r="AEQ117" s="106"/>
      <c r="AER117" s="106"/>
      <c r="AES117" s="106"/>
      <c r="AET117" s="106"/>
      <c r="AEU117" s="106"/>
      <c r="AEV117" s="106"/>
      <c r="AEW117" s="106"/>
      <c r="AEX117" s="106"/>
      <c r="AEY117" s="106"/>
      <c r="AEZ117" s="106"/>
      <c r="AFA117" s="106"/>
      <c r="AFB117" s="106"/>
      <c r="AFC117" s="106"/>
      <c r="AFD117" s="106"/>
      <c r="AFE117" s="106"/>
      <c r="AFF117" s="106"/>
      <c r="AFG117" s="106"/>
      <c r="AFH117" s="106"/>
      <c r="AFI117" s="106"/>
      <c r="AFJ117" s="106"/>
      <c r="AFK117" s="106"/>
      <c r="AFL117" s="106"/>
      <c r="AFM117" s="106"/>
      <c r="AFN117" s="106"/>
      <c r="AFO117" s="106"/>
      <c r="AFP117" s="106"/>
      <c r="AFQ117" s="106"/>
      <c r="AFR117" s="106"/>
      <c r="AFS117" s="106"/>
      <c r="AFT117" s="106"/>
      <c r="AFU117" s="106"/>
      <c r="AFV117" s="106"/>
      <c r="AFW117" s="106"/>
      <c r="AFX117" s="106"/>
      <c r="AFY117" s="106"/>
      <c r="AFZ117" s="106"/>
      <c r="AGA117" s="106"/>
      <c r="AGB117" s="106"/>
      <c r="AGC117" s="106"/>
      <c r="AGD117" s="106"/>
      <c r="AGE117" s="106"/>
      <c r="AGF117" s="106"/>
      <c r="AGG117" s="106"/>
      <c r="AGH117" s="106"/>
      <c r="AGI117" s="106"/>
      <c r="AGJ117" s="106"/>
      <c r="AGK117" s="106"/>
      <c r="AGL117" s="106"/>
      <c r="AGM117" s="106"/>
      <c r="AGN117" s="106"/>
      <c r="AGO117" s="106"/>
      <c r="AGP117" s="106"/>
      <c r="AGQ117" s="106"/>
      <c r="AGR117" s="106"/>
      <c r="AGS117" s="106"/>
      <c r="AGT117" s="106"/>
      <c r="AGU117" s="106"/>
      <c r="AGV117" s="106"/>
      <c r="AGW117" s="106"/>
      <c r="AGX117" s="106"/>
      <c r="AGY117" s="106"/>
      <c r="AGZ117" s="106"/>
      <c r="AHA117" s="106"/>
      <c r="AHB117" s="106"/>
      <c r="AHC117" s="106"/>
      <c r="AHD117" s="106"/>
      <c r="AHE117" s="106"/>
      <c r="AHF117" s="106"/>
      <c r="AHG117" s="106"/>
      <c r="AHH117" s="106"/>
      <c r="AHI117" s="106"/>
      <c r="AHJ117" s="106"/>
      <c r="AHK117" s="106"/>
      <c r="AHL117" s="106"/>
      <c r="AHM117" s="106"/>
      <c r="AHN117" s="106"/>
      <c r="AHO117" s="106"/>
      <c r="AHP117" s="106"/>
      <c r="AHQ117" s="106"/>
      <c r="AHR117" s="106"/>
      <c r="AHS117" s="106"/>
      <c r="AHT117" s="106"/>
      <c r="AHU117" s="106"/>
      <c r="AHV117" s="106"/>
      <c r="AHW117" s="106"/>
      <c r="AHX117" s="106"/>
      <c r="AHY117" s="106"/>
      <c r="AHZ117" s="106"/>
      <c r="AIA117" s="106"/>
      <c r="AIB117" s="106"/>
      <c r="AIC117" s="106"/>
      <c r="AID117" s="106"/>
      <c r="AIE117" s="106"/>
      <c r="AIF117" s="106"/>
      <c r="AIG117" s="106"/>
      <c r="AIH117" s="106"/>
      <c r="AII117" s="106"/>
      <c r="AIJ117" s="106"/>
      <c r="AIK117" s="106"/>
      <c r="AIL117" s="106"/>
      <c r="AIM117" s="106"/>
      <c r="AIN117" s="106"/>
      <c r="AIO117" s="106"/>
      <c r="AIP117" s="106"/>
      <c r="AIQ117" s="106"/>
      <c r="AIR117" s="106"/>
      <c r="AIS117" s="106"/>
      <c r="AIT117" s="106"/>
      <c r="AIU117" s="106"/>
      <c r="AIV117" s="106"/>
      <c r="AIW117" s="106"/>
      <c r="AIX117" s="106"/>
      <c r="AIY117" s="106"/>
      <c r="AIZ117" s="106"/>
      <c r="AJA117" s="106"/>
      <c r="AJB117" s="106"/>
      <c r="AJC117" s="106"/>
      <c r="AJD117" s="106"/>
      <c r="AJE117" s="106"/>
      <c r="AJF117" s="106"/>
      <c r="AJG117" s="106"/>
      <c r="AJH117" s="106"/>
      <c r="AJI117" s="106"/>
      <c r="AJJ117" s="106"/>
      <c r="AJK117" s="106"/>
      <c r="AJL117" s="106"/>
      <c r="AJM117" s="106"/>
      <c r="AJN117" s="106"/>
      <c r="AJO117" s="106"/>
      <c r="AJP117" s="106"/>
      <c r="AJQ117" s="106"/>
      <c r="AJR117" s="106"/>
      <c r="AJS117" s="106"/>
      <c r="AJT117" s="106"/>
      <c r="AJU117" s="106"/>
      <c r="AJV117" s="106"/>
      <c r="AJW117" s="106"/>
      <c r="AJX117" s="106"/>
      <c r="AJY117" s="106"/>
      <c r="AJZ117" s="106"/>
      <c r="AKA117" s="106"/>
      <c r="AKB117" s="106"/>
      <c r="AKC117" s="106"/>
      <c r="AKD117" s="106"/>
      <c r="AKE117" s="106"/>
      <c r="AKF117" s="106"/>
      <c r="AKG117" s="106"/>
      <c r="AKH117" s="106"/>
      <c r="AKI117" s="106"/>
      <c r="AKJ117" s="106"/>
      <c r="AKK117" s="106"/>
      <c r="AKL117" s="106"/>
      <c r="AKM117" s="106"/>
      <c r="AKN117" s="106"/>
      <c r="AKO117" s="106"/>
      <c r="AKP117" s="106"/>
      <c r="AKQ117" s="106"/>
      <c r="AKR117" s="106"/>
      <c r="AKS117" s="106"/>
      <c r="AKT117" s="106"/>
      <c r="AKU117" s="106"/>
      <c r="AKV117" s="106"/>
      <c r="AKW117" s="106"/>
      <c r="AKX117" s="106"/>
      <c r="AKY117" s="106"/>
      <c r="AKZ117" s="106"/>
      <c r="ALA117" s="106"/>
      <c r="ALB117" s="106"/>
      <c r="ALC117" s="106"/>
      <c r="ALD117" s="106"/>
      <c r="ALE117" s="106"/>
      <c r="ALF117" s="106"/>
      <c r="ALG117" s="106"/>
      <c r="ALH117" s="106"/>
    </row>
    <row r="118" spans="1:996" s="75" customFormat="1" ht="15.75" customHeight="1">
      <c r="A118" s="104"/>
      <c r="B118" s="75" t="str">
        <f t="shared" si="5"/>
        <v>S112506</v>
      </c>
      <c r="C118" s="396" t="s">
        <v>605</v>
      </c>
      <c r="D118" s="27" t="s">
        <v>128</v>
      </c>
      <c r="E118" s="75">
        <v>112506</v>
      </c>
      <c r="F118" s="105" t="s">
        <v>96</v>
      </c>
      <c r="G118" s="74">
        <f>IFERROR(VLOOKUP(E118,'BD - E - Mvto Cx'!$E$15:$G$500,3,0),0)</f>
        <v>10540.49</v>
      </c>
      <c r="H118" s="72">
        <f>IFERROR(VLOOKUP(E118,'BD - E - Mvto Cx'!$N$15:$P$500,3,0),0)</f>
        <v>7150.88</v>
      </c>
      <c r="I118" s="73">
        <f>IFERROR(VLOOKUP(E118,'BD - E - Mvto Cx'!$W$15:$Y$497,3,0),0)</f>
        <v>5988.22</v>
      </c>
      <c r="J118" s="73">
        <f>IFERROR(VLOOKUP(E118,'BD - E - Mvto Cx'!$AF$15:$AI$500,3,0),0)</f>
        <v>7530.09</v>
      </c>
      <c r="K118" s="73">
        <f>IFERROR(VLOOKUP(E118,'BD - E - Mvto Cx'!$AO$15:$AQ$500,3,0),0)</f>
        <v>0</v>
      </c>
      <c r="L118" s="73">
        <f>IFERROR(VLOOKUP(E118,'BD - E - Mvto Cx'!$AX$15:$AZ$500,3,0),0)</f>
        <v>0</v>
      </c>
      <c r="M118" s="73">
        <f>IFERROR(VLOOKUP(E118,'BD - E - Mvto Cx'!$BJ$15:$BL$500,3,0),0)</f>
        <v>0</v>
      </c>
      <c r="N118" s="73">
        <f>IFERROR(VLOOKUP(E118,'BD - E - Mvto Cx'!$BS$15:$BU$500,3,0),0)</f>
        <v>0</v>
      </c>
      <c r="O118" s="73">
        <f>IFERROR(VLOOKUP(E118,'BD - E - Mvto Cx'!$CB$15:$CD$500,3,0),0)</f>
        <v>0</v>
      </c>
      <c r="P118" s="73">
        <f>IFERROR(VLOOKUP(E118,'BD - E - Mvto Cx'!$CK$15:$CM$500,3,0),0)</f>
        <v>0</v>
      </c>
      <c r="Q118" s="73">
        <f>IFERROR(VLOOKUP(E118,'BD - E - Mvto Cx'!$CT$15:$CV$500,3,0),0)</f>
        <v>0</v>
      </c>
      <c r="R118" s="73">
        <f>IFERROR(VLOOKUP(E118,'BD - E - Mvto Cx'!$DC$15:$DE$500,3,0),0)</f>
        <v>0</v>
      </c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  <c r="DA118" s="106"/>
      <c r="DB118" s="106"/>
      <c r="DC118" s="106"/>
      <c r="DD118" s="106"/>
      <c r="DE118" s="106"/>
      <c r="DF118" s="106"/>
      <c r="DG118" s="106"/>
      <c r="DH118" s="106"/>
      <c r="DI118" s="106"/>
      <c r="DJ118" s="106"/>
      <c r="DK118" s="106"/>
      <c r="DL118" s="106"/>
      <c r="DM118" s="106"/>
      <c r="DN118" s="106"/>
      <c r="DO118" s="106"/>
      <c r="DP118" s="106"/>
      <c r="DQ118" s="106"/>
      <c r="DR118" s="106"/>
      <c r="DS118" s="106"/>
      <c r="DT118" s="106"/>
      <c r="DU118" s="106"/>
      <c r="DV118" s="106"/>
      <c r="DW118" s="106"/>
      <c r="DX118" s="106"/>
      <c r="DY118" s="106"/>
      <c r="DZ118" s="106"/>
      <c r="EA118" s="106"/>
      <c r="EB118" s="106"/>
      <c r="EC118" s="106"/>
      <c r="ED118" s="106"/>
      <c r="EE118" s="106"/>
      <c r="EF118" s="106"/>
      <c r="EG118" s="106"/>
      <c r="EH118" s="106"/>
      <c r="EI118" s="106"/>
      <c r="EJ118" s="106"/>
      <c r="EK118" s="106"/>
      <c r="EL118" s="106"/>
      <c r="EM118" s="106"/>
      <c r="EN118" s="106"/>
      <c r="EO118" s="106"/>
      <c r="EP118" s="106"/>
      <c r="EQ118" s="106"/>
      <c r="ER118" s="106"/>
      <c r="ES118" s="106"/>
      <c r="ET118" s="106"/>
      <c r="EU118" s="106"/>
      <c r="EV118" s="106"/>
      <c r="EW118" s="106"/>
      <c r="EX118" s="106"/>
      <c r="EY118" s="106"/>
      <c r="EZ118" s="106"/>
      <c r="FA118" s="106"/>
      <c r="FB118" s="106"/>
      <c r="FC118" s="106"/>
      <c r="FD118" s="106"/>
      <c r="FE118" s="106"/>
      <c r="FF118" s="106"/>
      <c r="FG118" s="106"/>
      <c r="FH118" s="106"/>
      <c r="FI118" s="106"/>
      <c r="FJ118" s="106"/>
      <c r="FK118" s="106"/>
      <c r="FL118" s="106"/>
      <c r="FM118" s="106"/>
      <c r="FN118" s="106"/>
      <c r="FO118" s="106"/>
      <c r="FP118" s="106"/>
      <c r="FQ118" s="106"/>
      <c r="FR118" s="106"/>
      <c r="FS118" s="106"/>
      <c r="FT118" s="106"/>
      <c r="FU118" s="106"/>
      <c r="FV118" s="106"/>
      <c r="FW118" s="106"/>
      <c r="FX118" s="106"/>
      <c r="FY118" s="106"/>
      <c r="FZ118" s="106"/>
      <c r="GA118" s="106"/>
      <c r="GB118" s="106"/>
      <c r="GC118" s="106"/>
      <c r="GD118" s="106"/>
      <c r="GE118" s="106"/>
      <c r="GF118" s="106"/>
      <c r="GG118" s="106"/>
      <c r="GH118" s="106"/>
      <c r="GI118" s="106"/>
      <c r="GJ118" s="106"/>
      <c r="GK118" s="106"/>
      <c r="GL118" s="106"/>
      <c r="GM118" s="106"/>
      <c r="GN118" s="106"/>
      <c r="GO118" s="106"/>
      <c r="GP118" s="106"/>
      <c r="GQ118" s="106"/>
      <c r="GR118" s="106"/>
      <c r="GS118" s="106"/>
      <c r="GT118" s="106"/>
      <c r="GU118" s="106"/>
      <c r="GV118" s="106"/>
      <c r="GW118" s="106"/>
      <c r="GX118" s="106"/>
      <c r="GY118" s="106"/>
      <c r="GZ118" s="106"/>
      <c r="HA118" s="106"/>
      <c r="HB118" s="106"/>
      <c r="HC118" s="106"/>
      <c r="HD118" s="106"/>
      <c r="HE118" s="106"/>
      <c r="HF118" s="106"/>
      <c r="HG118" s="106"/>
      <c r="HH118" s="106"/>
      <c r="HI118" s="106"/>
      <c r="HJ118" s="106"/>
      <c r="HK118" s="106"/>
      <c r="HL118" s="106"/>
      <c r="HM118" s="106"/>
      <c r="HN118" s="106"/>
      <c r="HO118" s="106"/>
      <c r="HP118" s="106"/>
      <c r="HQ118" s="106"/>
      <c r="HR118" s="106"/>
      <c r="HS118" s="106"/>
      <c r="HT118" s="106"/>
      <c r="HU118" s="106"/>
      <c r="HV118" s="106"/>
      <c r="HW118" s="106"/>
      <c r="HX118" s="106"/>
      <c r="HY118" s="106"/>
      <c r="HZ118" s="106"/>
      <c r="IA118" s="106"/>
      <c r="IB118" s="106"/>
      <c r="IC118" s="106"/>
      <c r="ID118" s="106"/>
      <c r="IE118" s="106"/>
      <c r="IF118" s="106"/>
      <c r="IG118" s="106"/>
      <c r="IH118" s="106"/>
      <c r="II118" s="106"/>
      <c r="IJ118" s="106"/>
      <c r="IK118" s="106"/>
      <c r="IL118" s="106"/>
      <c r="IM118" s="106"/>
      <c r="IN118" s="106"/>
      <c r="IO118" s="106"/>
      <c r="IP118" s="106"/>
      <c r="IQ118" s="106"/>
      <c r="IR118" s="106"/>
      <c r="IS118" s="106"/>
      <c r="IT118" s="106"/>
      <c r="IU118" s="106"/>
      <c r="IV118" s="106"/>
      <c r="IW118" s="106"/>
      <c r="IX118" s="106"/>
      <c r="IY118" s="106"/>
      <c r="IZ118" s="106"/>
      <c r="JA118" s="106"/>
      <c r="JB118" s="106"/>
      <c r="JC118" s="106"/>
      <c r="JD118" s="106"/>
      <c r="JE118" s="106"/>
      <c r="JF118" s="106"/>
      <c r="JG118" s="106"/>
      <c r="JH118" s="106"/>
      <c r="JI118" s="106"/>
      <c r="JJ118" s="106"/>
      <c r="JK118" s="106"/>
      <c r="JL118" s="106"/>
      <c r="JM118" s="106"/>
      <c r="JN118" s="106"/>
      <c r="JO118" s="106"/>
      <c r="JP118" s="106"/>
      <c r="JQ118" s="106"/>
      <c r="JR118" s="106"/>
      <c r="JS118" s="106"/>
      <c r="JT118" s="106"/>
      <c r="JU118" s="106"/>
      <c r="JV118" s="106"/>
      <c r="JW118" s="106"/>
      <c r="JX118" s="106"/>
      <c r="JY118" s="106"/>
      <c r="JZ118" s="106"/>
      <c r="KA118" s="106"/>
      <c r="KB118" s="106"/>
      <c r="KC118" s="106"/>
      <c r="KD118" s="106"/>
      <c r="KE118" s="106"/>
      <c r="KF118" s="106"/>
      <c r="KG118" s="106"/>
      <c r="KH118" s="106"/>
      <c r="KI118" s="106"/>
      <c r="KJ118" s="106"/>
      <c r="KK118" s="106"/>
      <c r="KL118" s="106"/>
      <c r="KM118" s="106"/>
      <c r="KN118" s="106"/>
      <c r="KO118" s="106"/>
      <c r="KP118" s="106"/>
      <c r="KQ118" s="106"/>
      <c r="KR118" s="106"/>
      <c r="KS118" s="106"/>
      <c r="KT118" s="106"/>
      <c r="KU118" s="106"/>
      <c r="KV118" s="106"/>
      <c r="KW118" s="106"/>
      <c r="KX118" s="106"/>
      <c r="KY118" s="106"/>
      <c r="KZ118" s="106"/>
      <c r="LA118" s="106"/>
      <c r="LB118" s="106"/>
      <c r="LC118" s="106"/>
      <c r="LD118" s="106"/>
      <c r="LE118" s="106"/>
      <c r="LF118" s="106"/>
      <c r="LG118" s="106"/>
      <c r="LH118" s="106"/>
      <c r="LI118" s="106"/>
      <c r="LJ118" s="106"/>
      <c r="LK118" s="106"/>
      <c r="LL118" s="106"/>
      <c r="LM118" s="106"/>
      <c r="LN118" s="106"/>
      <c r="LO118" s="106"/>
      <c r="LP118" s="106"/>
      <c r="LQ118" s="106"/>
      <c r="LR118" s="106"/>
      <c r="LS118" s="106"/>
      <c r="LT118" s="106"/>
      <c r="LU118" s="106"/>
      <c r="LV118" s="106"/>
      <c r="LW118" s="106"/>
      <c r="LX118" s="106"/>
      <c r="LY118" s="106"/>
      <c r="LZ118" s="106"/>
      <c r="MA118" s="106"/>
      <c r="MB118" s="106"/>
      <c r="MC118" s="106"/>
      <c r="MD118" s="106"/>
      <c r="ME118" s="106"/>
      <c r="MF118" s="106"/>
      <c r="MG118" s="106"/>
      <c r="MH118" s="106"/>
      <c r="MI118" s="106"/>
      <c r="MJ118" s="106"/>
      <c r="MK118" s="106"/>
      <c r="ML118" s="106"/>
      <c r="MM118" s="106"/>
      <c r="MN118" s="106"/>
      <c r="MO118" s="106"/>
      <c r="MP118" s="106"/>
      <c r="MQ118" s="106"/>
      <c r="MR118" s="106"/>
      <c r="MS118" s="106"/>
      <c r="MT118" s="106"/>
      <c r="MU118" s="106"/>
      <c r="MV118" s="106"/>
      <c r="MW118" s="106"/>
      <c r="MX118" s="106"/>
      <c r="MY118" s="106"/>
      <c r="MZ118" s="106"/>
      <c r="NA118" s="106"/>
      <c r="NB118" s="106"/>
      <c r="NC118" s="106"/>
      <c r="ND118" s="106"/>
      <c r="NE118" s="106"/>
      <c r="NF118" s="106"/>
      <c r="NG118" s="106"/>
      <c r="NH118" s="106"/>
      <c r="NI118" s="106"/>
      <c r="NJ118" s="106"/>
      <c r="NK118" s="106"/>
      <c r="NL118" s="106"/>
      <c r="NM118" s="106"/>
      <c r="NN118" s="106"/>
      <c r="NO118" s="106"/>
      <c r="NP118" s="106"/>
      <c r="NQ118" s="106"/>
      <c r="NR118" s="106"/>
      <c r="NS118" s="106"/>
      <c r="NT118" s="106"/>
      <c r="NU118" s="106"/>
      <c r="NV118" s="106"/>
      <c r="NW118" s="106"/>
      <c r="NX118" s="106"/>
      <c r="NY118" s="106"/>
      <c r="NZ118" s="106"/>
      <c r="OA118" s="106"/>
      <c r="OB118" s="106"/>
      <c r="OC118" s="106"/>
      <c r="OD118" s="106"/>
      <c r="OE118" s="106"/>
      <c r="OF118" s="106"/>
      <c r="OG118" s="106"/>
      <c r="OH118" s="106"/>
      <c r="OI118" s="106"/>
      <c r="OJ118" s="106"/>
      <c r="OK118" s="106"/>
      <c r="OL118" s="106"/>
      <c r="OM118" s="106"/>
      <c r="ON118" s="106"/>
      <c r="OO118" s="106"/>
      <c r="OP118" s="106"/>
      <c r="OQ118" s="106"/>
      <c r="OR118" s="106"/>
      <c r="OS118" s="106"/>
      <c r="OT118" s="106"/>
      <c r="OU118" s="106"/>
      <c r="OV118" s="106"/>
      <c r="OW118" s="106"/>
      <c r="OX118" s="106"/>
      <c r="OY118" s="106"/>
      <c r="OZ118" s="106"/>
      <c r="PA118" s="106"/>
      <c r="PB118" s="106"/>
      <c r="PC118" s="106"/>
      <c r="PD118" s="106"/>
      <c r="PE118" s="106"/>
      <c r="PF118" s="106"/>
      <c r="PG118" s="106"/>
      <c r="PH118" s="106"/>
      <c r="PI118" s="106"/>
      <c r="PJ118" s="106"/>
      <c r="PK118" s="106"/>
      <c r="PL118" s="106"/>
      <c r="PM118" s="106"/>
      <c r="PN118" s="106"/>
      <c r="PO118" s="106"/>
      <c r="PP118" s="106"/>
      <c r="PQ118" s="106"/>
      <c r="PR118" s="106"/>
      <c r="PS118" s="106"/>
      <c r="PT118" s="106"/>
      <c r="PU118" s="106"/>
      <c r="PV118" s="106"/>
      <c r="PW118" s="106"/>
      <c r="PX118" s="106"/>
      <c r="PY118" s="106"/>
      <c r="PZ118" s="106"/>
      <c r="QA118" s="106"/>
      <c r="QB118" s="106"/>
      <c r="QC118" s="106"/>
      <c r="QD118" s="106"/>
      <c r="QE118" s="106"/>
      <c r="QF118" s="106"/>
      <c r="QG118" s="106"/>
      <c r="QH118" s="106"/>
      <c r="QI118" s="106"/>
      <c r="QJ118" s="106"/>
      <c r="QK118" s="106"/>
      <c r="QL118" s="106"/>
      <c r="QM118" s="106"/>
      <c r="QN118" s="106"/>
      <c r="QO118" s="106"/>
      <c r="QP118" s="106"/>
      <c r="QQ118" s="106"/>
      <c r="QR118" s="106"/>
      <c r="QS118" s="106"/>
      <c r="QT118" s="106"/>
      <c r="QU118" s="106"/>
      <c r="QV118" s="106"/>
      <c r="QW118" s="106"/>
      <c r="QX118" s="106"/>
      <c r="QY118" s="106"/>
      <c r="QZ118" s="106"/>
      <c r="RA118" s="106"/>
      <c r="RB118" s="106"/>
      <c r="RC118" s="106"/>
      <c r="RD118" s="106"/>
      <c r="RE118" s="106"/>
      <c r="RF118" s="106"/>
      <c r="RG118" s="106"/>
      <c r="RH118" s="106"/>
      <c r="RI118" s="106"/>
      <c r="RJ118" s="106"/>
      <c r="RK118" s="106"/>
      <c r="RL118" s="106"/>
      <c r="RM118" s="106"/>
      <c r="RN118" s="106"/>
      <c r="RO118" s="106"/>
      <c r="RP118" s="106"/>
      <c r="RQ118" s="106"/>
      <c r="RR118" s="106"/>
      <c r="RS118" s="106"/>
      <c r="RT118" s="106"/>
      <c r="RU118" s="106"/>
      <c r="RV118" s="106"/>
      <c r="RW118" s="106"/>
      <c r="RX118" s="106"/>
      <c r="RY118" s="106"/>
      <c r="RZ118" s="106"/>
      <c r="SA118" s="106"/>
      <c r="SB118" s="106"/>
      <c r="SC118" s="106"/>
      <c r="SD118" s="106"/>
      <c r="SE118" s="106"/>
      <c r="SF118" s="106"/>
      <c r="SG118" s="106"/>
      <c r="SH118" s="106"/>
      <c r="SI118" s="106"/>
      <c r="SJ118" s="106"/>
      <c r="SK118" s="106"/>
      <c r="SL118" s="106"/>
      <c r="SM118" s="106"/>
      <c r="SN118" s="106"/>
      <c r="SO118" s="106"/>
      <c r="SP118" s="106"/>
      <c r="SQ118" s="106"/>
      <c r="SR118" s="106"/>
      <c r="SS118" s="106"/>
      <c r="ST118" s="106"/>
      <c r="SU118" s="106"/>
      <c r="SV118" s="106"/>
      <c r="SW118" s="106"/>
      <c r="SX118" s="106"/>
      <c r="SY118" s="106"/>
      <c r="SZ118" s="106"/>
      <c r="TA118" s="106"/>
      <c r="TB118" s="106"/>
      <c r="TC118" s="106"/>
      <c r="TD118" s="106"/>
      <c r="TE118" s="106"/>
      <c r="TF118" s="106"/>
      <c r="TG118" s="106"/>
      <c r="TH118" s="106"/>
      <c r="TI118" s="106"/>
      <c r="TJ118" s="106"/>
      <c r="TK118" s="106"/>
      <c r="TL118" s="106"/>
      <c r="TM118" s="106"/>
      <c r="TN118" s="106"/>
      <c r="TO118" s="106"/>
      <c r="TP118" s="106"/>
      <c r="TQ118" s="106"/>
      <c r="TR118" s="106"/>
      <c r="TS118" s="106"/>
      <c r="TT118" s="106"/>
      <c r="TU118" s="106"/>
      <c r="TV118" s="106"/>
      <c r="TW118" s="106"/>
      <c r="TX118" s="106"/>
      <c r="TY118" s="106"/>
      <c r="TZ118" s="106"/>
      <c r="UA118" s="106"/>
      <c r="UB118" s="106"/>
      <c r="UC118" s="106"/>
      <c r="UD118" s="106"/>
      <c r="UE118" s="106"/>
      <c r="UF118" s="106"/>
      <c r="UG118" s="106"/>
      <c r="UH118" s="106"/>
      <c r="UI118" s="106"/>
      <c r="UJ118" s="106"/>
      <c r="UK118" s="106"/>
      <c r="UL118" s="106"/>
      <c r="UM118" s="106"/>
      <c r="UN118" s="106"/>
      <c r="UO118" s="106"/>
      <c r="UP118" s="106"/>
      <c r="UQ118" s="106"/>
      <c r="UR118" s="106"/>
      <c r="US118" s="106"/>
      <c r="UT118" s="106"/>
      <c r="UU118" s="106"/>
      <c r="UV118" s="106"/>
      <c r="UW118" s="106"/>
      <c r="UX118" s="106"/>
      <c r="UY118" s="106"/>
      <c r="UZ118" s="106"/>
      <c r="VA118" s="106"/>
      <c r="VB118" s="106"/>
      <c r="VC118" s="106"/>
      <c r="VD118" s="106"/>
      <c r="VE118" s="106"/>
      <c r="VF118" s="106"/>
      <c r="VG118" s="106"/>
      <c r="VH118" s="106"/>
      <c r="VI118" s="106"/>
      <c r="VJ118" s="106"/>
      <c r="VK118" s="106"/>
      <c r="VL118" s="106"/>
      <c r="VM118" s="106"/>
      <c r="VN118" s="106"/>
      <c r="VO118" s="106"/>
      <c r="VP118" s="106"/>
      <c r="VQ118" s="106"/>
      <c r="VR118" s="106"/>
      <c r="VS118" s="106"/>
      <c r="VT118" s="106"/>
      <c r="VU118" s="106"/>
      <c r="VV118" s="106"/>
      <c r="VW118" s="106"/>
      <c r="VX118" s="106"/>
      <c r="VY118" s="106"/>
      <c r="VZ118" s="106"/>
      <c r="WA118" s="106"/>
      <c r="WB118" s="106"/>
      <c r="WC118" s="106"/>
      <c r="WD118" s="106"/>
      <c r="WE118" s="106"/>
      <c r="WF118" s="106"/>
      <c r="WG118" s="106"/>
      <c r="WH118" s="106"/>
      <c r="WI118" s="106"/>
      <c r="WJ118" s="106"/>
      <c r="WK118" s="106"/>
      <c r="WL118" s="106"/>
      <c r="WM118" s="106"/>
      <c r="WN118" s="106"/>
      <c r="WO118" s="106"/>
      <c r="WP118" s="106"/>
      <c r="WQ118" s="106"/>
      <c r="WR118" s="106"/>
      <c r="WS118" s="106"/>
      <c r="WT118" s="106"/>
      <c r="WU118" s="106"/>
      <c r="WV118" s="106"/>
      <c r="WW118" s="106"/>
      <c r="WX118" s="106"/>
      <c r="WY118" s="106"/>
      <c r="WZ118" s="106"/>
      <c r="XA118" s="106"/>
      <c r="XB118" s="106"/>
      <c r="XC118" s="106"/>
      <c r="XD118" s="106"/>
      <c r="XE118" s="106"/>
      <c r="XF118" s="106"/>
      <c r="XG118" s="106"/>
      <c r="XH118" s="106"/>
      <c r="XI118" s="106"/>
      <c r="XJ118" s="106"/>
      <c r="XK118" s="106"/>
      <c r="XL118" s="106"/>
      <c r="XM118" s="106"/>
      <c r="XN118" s="106"/>
      <c r="XO118" s="106"/>
      <c r="XP118" s="106"/>
      <c r="XQ118" s="106"/>
      <c r="XR118" s="106"/>
      <c r="XS118" s="106"/>
      <c r="XT118" s="106"/>
      <c r="XU118" s="106"/>
      <c r="XV118" s="106"/>
      <c r="XW118" s="106"/>
      <c r="XX118" s="106"/>
      <c r="XY118" s="106"/>
      <c r="XZ118" s="106"/>
      <c r="YA118" s="106"/>
      <c r="YB118" s="106"/>
      <c r="YC118" s="106"/>
      <c r="YD118" s="106"/>
      <c r="YE118" s="106"/>
      <c r="YF118" s="106"/>
      <c r="YG118" s="106"/>
      <c r="YH118" s="106"/>
      <c r="YI118" s="106"/>
      <c r="YJ118" s="106"/>
      <c r="YK118" s="106"/>
      <c r="YL118" s="106"/>
      <c r="YM118" s="106"/>
      <c r="YN118" s="106"/>
      <c r="YO118" s="106"/>
      <c r="YP118" s="106"/>
      <c r="YQ118" s="106"/>
      <c r="YR118" s="106"/>
      <c r="YS118" s="106"/>
      <c r="YT118" s="106"/>
      <c r="YU118" s="106"/>
      <c r="YV118" s="106"/>
      <c r="YW118" s="106"/>
      <c r="YX118" s="106"/>
      <c r="YY118" s="106"/>
      <c r="YZ118" s="106"/>
      <c r="ZA118" s="106"/>
      <c r="ZB118" s="106"/>
      <c r="ZC118" s="106"/>
      <c r="ZD118" s="106"/>
      <c r="ZE118" s="106"/>
      <c r="ZF118" s="106"/>
      <c r="ZG118" s="106"/>
      <c r="ZH118" s="106"/>
      <c r="ZI118" s="106"/>
      <c r="ZJ118" s="106"/>
      <c r="ZK118" s="106"/>
      <c r="ZL118" s="106"/>
      <c r="ZM118" s="106"/>
      <c r="ZN118" s="106"/>
      <c r="ZO118" s="106"/>
      <c r="ZP118" s="106"/>
      <c r="ZQ118" s="106"/>
      <c r="ZR118" s="106"/>
      <c r="ZS118" s="106"/>
      <c r="ZT118" s="106"/>
      <c r="ZU118" s="106"/>
      <c r="ZV118" s="106"/>
      <c r="ZW118" s="106"/>
      <c r="ZX118" s="106"/>
      <c r="ZY118" s="106"/>
      <c r="ZZ118" s="106"/>
      <c r="AAA118" s="106"/>
      <c r="AAB118" s="106"/>
      <c r="AAC118" s="106"/>
      <c r="AAD118" s="106"/>
      <c r="AAE118" s="106"/>
      <c r="AAF118" s="106"/>
      <c r="AAG118" s="106"/>
      <c r="AAH118" s="106"/>
      <c r="AAI118" s="106"/>
      <c r="AAJ118" s="106"/>
      <c r="AAK118" s="106"/>
      <c r="AAL118" s="106"/>
      <c r="AAM118" s="106"/>
      <c r="AAN118" s="106"/>
      <c r="AAO118" s="106"/>
      <c r="AAP118" s="106"/>
      <c r="AAQ118" s="106"/>
      <c r="AAR118" s="106"/>
      <c r="AAS118" s="106"/>
      <c r="AAT118" s="106"/>
      <c r="AAU118" s="106"/>
      <c r="AAV118" s="106"/>
      <c r="AAW118" s="106"/>
      <c r="AAX118" s="106"/>
      <c r="AAY118" s="106"/>
      <c r="AAZ118" s="106"/>
      <c r="ABA118" s="106"/>
      <c r="ABB118" s="106"/>
      <c r="ABC118" s="106"/>
      <c r="ABD118" s="106"/>
      <c r="ABE118" s="106"/>
      <c r="ABF118" s="106"/>
      <c r="ABG118" s="106"/>
      <c r="ABH118" s="106"/>
      <c r="ABI118" s="106"/>
      <c r="ABJ118" s="106"/>
      <c r="ABK118" s="106"/>
      <c r="ABL118" s="106"/>
      <c r="ABM118" s="106"/>
      <c r="ABN118" s="106"/>
      <c r="ABO118" s="106"/>
      <c r="ABP118" s="106"/>
      <c r="ABQ118" s="106"/>
      <c r="ABR118" s="106"/>
      <c r="ABS118" s="106"/>
      <c r="ABT118" s="106"/>
      <c r="ABU118" s="106"/>
      <c r="ABV118" s="106"/>
      <c r="ABW118" s="106"/>
      <c r="ABX118" s="106"/>
      <c r="ABY118" s="106"/>
      <c r="ABZ118" s="106"/>
      <c r="ACA118" s="106"/>
      <c r="ACB118" s="106"/>
      <c r="ACC118" s="106"/>
      <c r="ACD118" s="106"/>
      <c r="ACE118" s="106"/>
      <c r="ACF118" s="106"/>
      <c r="ACG118" s="106"/>
      <c r="ACH118" s="106"/>
      <c r="ACI118" s="106"/>
      <c r="ACJ118" s="106"/>
      <c r="ACK118" s="106"/>
      <c r="ACL118" s="106"/>
      <c r="ACM118" s="106"/>
      <c r="ACN118" s="106"/>
      <c r="ACO118" s="106"/>
      <c r="ACP118" s="106"/>
      <c r="ACQ118" s="106"/>
      <c r="ACR118" s="106"/>
      <c r="ACS118" s="106"/>
      <c r="ACT118" s="106"/>
      <c r="ACU118" s="106"/>
      <c r="ACV118" s="106"/>
      <c r="ACW118" s="106"/>
      <c r="ACX118" s="106"/>
      <c r="ACY118" s="106"/>
      <c r="ACZ118" s="106"/>
      <c r="ADA118" s="106"/>
      <c r="ADB118" s="106"/>
      <c r="ADC118" s="106"/>
      <c r="ADD118" s="106"/>
      <c r="ADE118" s="106"/>
      <c r="ADF118" s="106"/>
      <c r="ADG118" s="106"/>
      <c r="ADH118" s="106"/>
      <c r="ADI118" s="106"/>
      <c r="ADJ118" s="106"/>
      <c r="ADK118" s="106"/>
      <c r="ADL118" s="106"/>
      <c r="ADM118" s="106"/>
      <c r="ADN118" s="106"/>
      <c r="ADO118" s="106"/>
      <c r="ADP118" s="106"/>
      <c r="ADQ118" s="106"/>
      <c r="ADR118" s="106"/>
      <c r="ADS118" s="106"/>
      <c r="ADT118" s="106"/>
      <c r="ADU118" s="106"/>
      <c r="ADV118" s="106"/>
      <c r="ADW118" s="106"/>
      <c r="ADX118" s="106"/>
      <c r="ADY118" s="106"/>
      <c r="ADZ118" s="106"/>
      <c r="AEA118" s="106"/>
      <c r="AEB118" s="106"/>
      <c r="AEC118" s="106"/>
      <c r="AED118" s="106"/>
      <c r="AEE118" s="106"/>
      <c r="AEF118" s="106"/>
      <c r="AEG118" s="106"/>
      <c r="AEH118" s="106"/>
      <c r="AEI118" s="106"/>
      <c r="AEJ118" s="106"/>
      <c r="AEK118" s="106"/>
      <c r="AEL118" s="106"/>
      <c r="AEM118" s="106"/>
      <c r="AEN118" s="106"/>
      <c r="AEO118" s="106"/>
      <c r="AEP118" s="106"/>
      <c r="AEQ118" s="106"/>
      <c r="AER118" s="106"/>
      <c r="AES118" s="106"/>
      <c r="AET118" s="106"/>
      <c r="AEU118" s="106"/>
      <c r="AEV118" s="106"/>
      <c r="AEW118" s="106"/>
      <c r="AEX118" s="106"/>
      <c r="AEY118" s="106"/>
      <c r="AEZ118" s="106"/>
      <c r="AFA118" s="106"/>
      <c r="AFB118" s="106"/>
      <c r="AFC118" s="106"/>
      <c r="AFD118" s="106"/>
      <c r="AFE118" s="106"/>
      <c r="AFF118" s="106"/>
      <c r="AFG118" s="106"/>
      <c r="AFH118" s="106"/>
      <c r="AFI118" s="106"/>
      <c r="AFJ118" s="106"/>
      <c r="AFK118" s="106"/>
      <c r="AFL118" s="106"/>
      <c r="AFM118" s="106"/>
      <c r="AFN118" s="106"/>
      <c r="AFO118" s="106"/>
      <c r="AFP118" s="106"/>
      <c r="AFQ118" s="106"/>
      <c r="AFR118" s="106"/>
      <c r="AFS118" s="106"/>
      <c r="AFT118" s="106"/>
      <c r="AFU118" s="106"/>
      <c r="AFV118" s="106"/>
      <c r="AFW118" s="106"/>
      <c r="AFX118" s="106"/>
      <c r="AFY118" s="106"/>
      <c r="AFZ118" s="106"/>
      <c r="AGA118" s="106"/>
      <c r="AGB118" s="106"/>
      <c r="AGC118" s="106"/>
      <c r="AGD118" s="106"/>
      <c r="AGE118" s="106"/>
      <c r="AGF118" s="106"/>
      <c r="AGG118" s="106"/>
      <c r="AGH118" s="106"/>
      <c r="AGI118" s="106"/>
      <c r="AGJ118" s="106"/>
      <c r="AGK118" s="106"/>
      <c r="AGL118" s="106"/>
      <c r="AGM118" s="106"/>
      <c r="AGN118" s="106"/>
      <c r="AGO118" s="106"/>
      <c r="AGP118" s="106"/>
      <c r="AGQ118" s="106"/>
      <c r="AGR118" s="106"/>
      <c r="AGS118" s="106"/>
      <c r="AGT118" s="106"/>
      <c r="AGU118" s="106"/>
      <c r="AGV118" s="106"/>
      <c r="AGW118" s="106"/>
      <c r="AGX118" s="106"/>
      <c r="AGY118" s="106"/>
      <c r="AGZ118" s="106"/>
      <c r="AHA118" s="106"/>
      <c r="AHB118" s="106"/>
      <c r="AHC118" s="106"/>
      <c r="AHD118" s="106"/>
      <c r="AHE118" s="106"/>
      <c r="AHF118" s="106"/>
      <c r="AHG118" s="106"/>
      <c r="AHH118" s="106"/>
      <c r="AHI118" s="106"/>
      <c r="AHJ118" s="106"/>
      <c r="AHK118" s="106"/>
      <c r="AHL118" s="106"/>
      <c r="AHM118" s="106"/>
      <c r="AHN118" s="106"/>
      <c r="AHO118" s="106"/>
      <c r="AHP118" s="106"/>
      <c r="AHQ118" s="106"/>
      <c r="AHR118" s="106"/>
      <c r="AHS118" s="106"/>
      <c r="AHT118" s="106"/>
      <c r="AHU118" s="106"/>
      <c r="AHV118" s="106"/>
      <c r="AHW118" s="106"/>
      <c r="AHX118" s="106"/>
      <c r="AHY118" s="106"/>
      <c r="AHZ118" s="106"/>
      <c r="AIA118" s="106"/>
      <c r="AIB118" s="106"/>
      <c r="AIC118" s="106"/>
      <c r="AID118" s="106"/>
      <c r="AIE118" s="106"/>
      <c r="AIF118" s="106"/>
      <c r="AIG118" s="106"/>
      <c r="AIH118" s="106"/>
      <c r="AII118" s="106"/>
      <c r="AIJ118" s="106"/>
      <c r="AIK118" s="106"/>
      <c r="AIL118" s="106"/>
      <c r="AIM118" s="106"/>
      <c r="AIN118" s="106"/>
      <c r="AIO118" s="106"/>
      <c r="AIP118" s="106"/>
      <c r="AIQ118" s="106"/>
      <c r="AIR118" s="106"/>
      <c r="AIS118" s="106"/>
      <c r="AIT118" s="106"/>
      <c r="AIU118" s="106"/>
      <c r="AIV118" s="106"/>
      <c r="AIW118" s="106"/>
      <c r="AIX118" s="106"/>
      <c r="AIY118" s="106"/>
      <c r="AIZ118" s="106"/>
      <c r="AJA118" s="106"/>
      <c r="AJB118" s="106"/>
      <c r="AJC118" s="106"/>
      <c r="AJD118" s="106"/>
      <c r="AJE118" s="106"/>
      <c r="AJF118" s="106"/>
      <c r="AJG118" s="106"/>
      <c r="AJH118" s="106"/>
      <c r="AJI118" s="106"/>
      <c r="AJJ118" s="106"/>
      <c r="AJK118" s="106"/>
      <c r="AJL118" s="106"/>
      <c r="AJM118" s="106"/>
      <c r="AJN118" s="106"/>
      <c r="AJO118" s="106"/>
      <c r="AJP118" s="106"/>
      <c r="AJQ118" s="106"/>
      <c r="AJR118" s="106"/>
      <c r="AJS118" s="106"/>
      <c r="AJT118" s="106"/>
      <c r="AJU118" s="106"/>
      <c r="AJV118" s="106"/>
      <c r="AJW118" s="106"/>
      <c r="AJX118" s="106"/>
      <c r="AJY118" s="106"/>
      <c r="AJZ118" s="106"/>
      <c r="AKA118" s="106"/>
      <c r="AKB118" s="106"/>
      <c r="AKC118" s="106"/>
      <c r="AKD118" s="106"/>
      <c r="AKE118" s="106"/>
      <c r="AKF118" s="106"/>
      <c r="AKG118" s="106"/>
      <c r="AKH118" s="106"/>
      <c r="AKI118" s="106"/>
      <c r="AKJ118" s="106"/>
      <c r="AKK118" s="106"/>
      <c r="AKL118" s="106"/>
      <c r="AKM118" s="106"/>
      <c r="AKN118" s="106"/>
      <c r="AKO118" s="106"/>
      <c r="AKP118" s="106"/>
      <c r="AKQ118" s="106"/>
      <c r="AKR118" s="106"/>
      <c r="AKS118" s="106"/>
      <c r="AKT118" s="106"/>
      <c r="AKU118" s="106"/>
      <c r="AKV118" s="106"/>
      <c r="AKW118" s="106"/>
      <c r="AKX118" s="106"/>
      <c r="AKY118" s="106"/>
      <c r="AKZ118" s="106"/>
      <c r="ALA118" s="106"/>
      <c r="ALB118" s="106"/>
      <c r="ALC118" s="106"/>
      <c r="ALD118" s="106"/>
      <c r="ALE118" s="106"/>
      <c r="ALF118" s="106"/>
      <c r="ALG118" s="106"/>
      <c r="ALH118" s="106"/>
    </row>
    <row r="119" spans="1:996" s="75" customFormat="1" ht="15.75" customHeight="1">
      <c r="A119" s="104"/>
      <c r="B119" s="75" t="str">
        <f t="shared" si="5"/>
        <v>S112507</v>
      </c>
      <c r="C119" s="396" t="s">
        <v>605</v>
      </c>
      <c r="D119" s="27" t="s">
        <v>128</v>
      </c>
      <c r="E119" s="75">
        <v>112507</v>
      </c>
      <c r="F119" s="105" t="s">
        <v>854</v>
      </c>
      <c r="G119" s="74">
        <f>IFERROR(VLOOKUP(E119,'BD - E - Mvto Cx'!$E$15:$G$500,3,0),0)</f>
        <v>0</v>
      </c>
      <c r="H119" s="72">
        <f>IFERROR(VLOOKUP(E119,'BD - E - Mvto Cx'!$N$15:$P$500,3,0),0)</f>
        <v>32.07</v>
      </c>
      <c r="I119" s="73">
        <f>IFERROR(VLOOKUP(E119,'BD - E - Mvto Cx'!$W$15:$Y$497,3,0),0)</f>
        <v>174.97</v>
      </c>
      <c r="J119" s="73">
        <f>IFERROR(VLOOKUP(E119,'BD - E - Mvto Cx'!$AF$15:$AI$500,3,0),0)</f>
        <v>0</v>
      </c>
      <c r="K119" s="73">
        <f>IFERROR(VLOOKUP(E119,'BD - E - Mvto Cx'!$AO$15:$AQ$500,3,0),0)</f>
        <v>0</v>
      </c>
      <c r="L119" s="73">
        <f>IFERROR(VLOOKUP(E119,'BD - E - Mvto Cx'!$AX$15:$AZ$500,3,0),0)</f>
        <v>0</v>
      </c>
      <c r="M119" s="73">
        <f>IFERROR(VLOOKUP(E119,'BD - E - Mvto Cx'!$BJ$15:$BL$500,3,0),0)</f>
        <v>0</v>
      </c>
      <c r="N119" s="73">
        <f>IFERROR(VLOOKUP(E119,'BD - E - Mvto Cx'!$BS$15:$BU$500,3,0),0)</f>
        <v>0</v>
      </c>
      <c r="O119" s="73">
        <f>IFERROR(VLOOKUP(E119,'BD - E - Mvto Cx'!$CB$15:$CD$500,3,0),0)</f>
        <v>0</v>
      </c>
      <c r="P119" s="73">
        <f>IFERROR(VLOOKUP(E119,'BD - E - Mvto Cx'!$CK$15:$CM$500,3,0),0)</f>
        <v>0</v>
      </c>
      <c r="Q119" s="73">
        <f>IFERROR(VLOOKUP(E119,'BD - E - Mvto Cx'!$CT$15:$CV$500,3,0),0)</f>
        <v>0</v>
      </c>
      <c r="R119" s="73">
        <f>IFERROR(VLOOKUP(E119,'BD - E - Mvto Cx'!$DC$15:$DE$500,3,0),0)</f>
        <v>0</v>
      </c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6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  <c r="CZ119" s="106"/>
      <c r="DA119" s="106"/>
      <c r="DB119" s="106"/>
      <c r="DC119" s="106"/>
      <c r="DD119" s="106"/>
      <c r="DE119" s="106"/>
      <c r="DF119" s="106"/>
      <c r="DG119" s="106"/>
      <c r="DH119" s="106"/>
      <c r="DI119" s="106"/>
      <c r="DJ119" s="106"/>
      <c r="DK119" s="106"/>
      <c r="DL119" s="106"/>
      <c r="DM119" s="106"/>
      <c r="DN119" s="106"/>
      <c r="DO119" s="106"/>
      <c r="DP119" s="106"/>
      <c r="DQ119" s="106"/>
      <c r="DR119" s="106"/>
      <c r="DS119" s="106"/>
      <c r="DT119" s="106"/>
      <c r="DU119" s="106"/>
      <c r="DV119" s="106"/>
      <c r="DW119" s="106"/>
      <c r="DX119" s="106"/>
      <c r="DY119" s="106"/>
      <c r="DZ119" s="106"/>
      <c r="EA119" s="106"/>
      <c r="EB119" s="106"/>
      <c r="EC119" s="106"/>
      <c r="ED119" s="106"/>
      <c r="EE119" s="106"/>
      <c r="EF119" s="106"/>
      <c r="EG119" s="106"/>
      <c r="EH119" s="106"/>
      <c r="EI119" s="106"/>
      <c r="EJ119" s="106"/>
      <c r="EK119" s="106"/>
      <c r="EL119" s="106"/>
      <c r="EM119" s="106"/>
      <c r="EN119" s="106"/>
      <c r="EO119" s="106"/>
      <c r="EP119" s="106"/>
      <c r="EQ119" s="106"/>
      <c r="ER119" s="106"/>
      <c r="ES119" s="106"/>
      <c r="ET119" s="106"/>
      <c r="EU119" s="106"/>
      <c r="EV119" s="106"/>
      <c r="EW119" s="106"/>
      <c r="EX119" s="106"/>
      <c r="EY119" s="106"/>
      <c r="EZ119" s="106"/>
      <c r="FA119" s="106"/>
      <c r="FB119" s="106"/>
      <c r="FC119" s="106"/>
      <c r="FD119" s="106"/>
      <c r="FE119" s="106"/>
      <c r="FF119" s="106"/>
      <c r="FG119" s="106"/>
      <c r="FH119" s="106"/>
      <c r="FI119" s="106"/>
      <c r="FJ119" s="106"/>
      <c r="FK119" s="106"/>
      <c r="FL119" s="106"/>
      <c r="FM119" s="106"/>
      <c r="FN119" s="106"/>
      <c r="FO119" s="106"/>
      <c r="FP119" s="106"/>
      <c r="FQ119" s="106"/>
      <c r="FR119" s="106"/>
      <c r="FS119" s="106"/>
      <c r="FT119" s="106"/>
      <c r="FU119" s="106"/>
      <c r="FV119" s="106"/>
      <c r="FW119" s="106"/>
      <c r="FX119" s="106"/>
      <c r="FY119" s="106"/>
      <c r="FZ119" s="106"/>
      <c r="GA119" s="106"/>
      <c r="GB119" s="106"/>
      <c r="GC119" s="106"/>
      <c r="GD119" s="106"/>
      <c r="GE119" s="106"/>
      <c r="GF119" s="106"/>
      <c r="GG119" s="106"/>
      <c r="GH119" s="106"/>
      <c r="GI119" s="106"/>
      <c r="GJ119" s="106"/>
      <c r="GK119" s="106"/>
      <c r="GL119" s="106"/>
      <c r="GM119" s="106"/>
      <c r="GN119" s="106"/>
      <c r="GO119" s="106"/>
      <c r="GP119" s="106"/>
      <c r="GQ119" s="106"/>
      <c r="GR119" s="106"/>
      <c r="GS119" s="106"/>
      <c r="GT119" s="106"/>
      <c r="GU119" s="106"/>
      <c r="GV119" s="106"/>
      <c r="GW119" s="106"/>
      <c r="GX119" s="106"/>
      <c r="GY119" s="106"/>
      <c r="GZ119" s="106"/>
      <c r="HA119" s="106"/>
      <c r="HB119" s="106"/>
      <c r="HC119" s="106"/>
      <c r="HD119" s="106"/>
      <c r="HE119" s="106"/>
      <c r="HF119" s="106"/>
      <c r="HG119" s="106"/>
      <c r="HH119" s="106"/>
      <c r="HI119" s="106"/>
      <c r="HJ119" s="106"/>
      <c r="HK119" s="106"/>
      <c r="HL119" s="106"/>
      <c r="HM119" s="106"/>
      <c r="HN119" s="106"/>
      <c r="HO119" s="106"/>
      <c r="HP119" s="106"/>
      <c r="HQ119" s="106"/>
      <c r="HR119" s="106"/>
      <c r="HS119" s="106"/>
      <c r="HT119" s="106"/>
      <c r="HU119" s="106"/>
      <c r="HV119" s="106"/>
      <c r="HW119" s="106"/>
      <c r="HX119" s="106"/>
      <c r="HY119" s="106"/>
      <c r="HZ119" s="106"/>
      <c r="IA119" s="106"/>
      <c r="IB119" s="106"/>
      <c r="IC119" s="106"/>
      <c r="ID119" s="106"/>
      <c r="IE119" s="106"/>
      <c r="IF119" s="106"/>
      <c r="IG119" s="106"/>
      <c r="IH119" s="106"/>
      <c r="II119" s="106"/>
      <c r="IJ119" s="106"/>
      <c r="IK119" s="106"/>
      <c r="IL119" s="106"/>
      <c r="IM119" s="106"/>
      <c r="IN119" s="106"/>
      <c r="IO119" s="106"/>
      <c r="IP119" s="106"/>
      <c r="IQ119" s="106"/>
      <c r="IR119" s="106"/>
      <c r="IS119" s="106"/>
      <c r="IT119" s="106"/>
      <c r="IU119" s="106"/>
      <c r="IV119" s="106"/>
      <c r="IW119" s="106"/>
      <c r="IX119" s="106"/>
      <c r="IY119" s="106"/>
      <c r="IZ119" s="106"/>
      <c r="JA119" s="106"/>
      <c r="JB119" s="106"/>
      <c r="JC119" s="106"/>
      <c r="JD119" s="106"/>
      <c r="JE119" s="106"/>
      <c r="JF119" s="106"/>
      <c r="JG119" s="106"/>
      <c r="JH119" s="106"/>
      <c r="JI119" s="106"/>
      <c r="JJ119" s="106"/>
      <c r="JK119" s="106"/>
      <c r="JL119" s="106"/>
      <c r="JM119" s="106"/>
      <c r="JN119" s="106"/>
      <c r="JO119" s="106"/>
      <c r="JP119" s="106"/>
      <c r="JQ119" s="106"/>
      <c r="JR119" s="106"/>
      <c r="JS119" s="106"/>
      <c r="JT119" s="106"/>
      <c r="JU119" s="106"/>
      <c r="JV119" s="106"/>
      <c r="JW119" s="106"/>
      <c r="JX119" s="106"/>
      <c r="JY119" s="106"/>
      <c r="JZ119" s="106"/>
      <c r="KA119" s="106"/>
      <c r="KB119" s="106"/>
      <c r="KC119" s="106"/>
      <c r="KD119" s="106"/>
      <c r="KE119" s="106"/>
      <c r="KF119" s="106"/>
      <c r="KG119" s="106"/>
      <c r="KH119" s="106"/>
      <c r="KI119" s="106"/>
      <c r="KJ119" s="106"/>
      <c r="KK119" s="106"/>
      <c r="KL119" s="106"/>
      <c r="KM119" s="106"/>
      <c r="KN119" s="106"/>
      <c r="KO119" s="106"/>
      <c r="KP119" s="106"/>
      <c r="KQ119" s="106"/>
      <c r="KR119" s="106"/>
      <c r="KS119" s="106"/>
      <c r="KT119" s="106"/>
      <c r="KU119" s="106"/>
      <c r="KV119" s="106"/>
      <c r="KW119" s="106"/>
      <c r="KX119" s="106"/>
      <c r="KY119" s="106"/>
      <c r="KZ119" s="106"/>
      <c r="LA119" s="106"/>
      <c r="LB119" s="106"/>
      <c r="LC119" s="106"/>
      <c r="LD119" s="106"/>
      <c r="LE119" s="106"/>
      <c r="LF119" s="106"/>
      <c r="LG119" s="106"/>
      <c r="LH119" s="106"/>
      <c r="LI119" s="106"/>
      <c r="LJ119" s="106"/>
      <c r="LK119" s="106"/>
      <c r="LL119" s="106"/>
      <c r="LM119" s="106"/>
      <c r="LN119" s="106"/>
      <c r="LO119" s="106"/>
      <c r="LP119" s="106"/>
      <c r="LQ119" s="106"/>
      <c r="LR119" s="106"/>
      <c r="LS119" s="106"/>
      <c r="LT119" s="106"/>
      <c r="LU119" s="106"/>
      <c r="LV119" s="106"/>
      <c r="LW119" s="106"/>
      <c r="LX119" s="106"/>
      <c r="LY119" s="106"/>
      <c r="LZ119" s="106"/>
      <c r="MA119" s="106"/>
      <c r="MB119" s="106"/>
      <c r="MC119" s="106"/>
      <c r="MD119" s="106"/>
      <c r="ME119" s="106"/>
      <c r="MF119" s="106"/>
      <c r="MG119" s="106"/>
      <c r="MH119" s="106"/>
      <c r="MI119" s="106"/>
      <c r="MJ119" s="106"/>
      <c r="MK119" s="106"/>
      <c r="ML119" s="106"/>
      <c r="MM119" s="106"/>
      <c r="MN119" s="106"/>
      <c r="MO119" s="106"/>
      <c r="MP119" s="106"/>
      <c r="MQ119" s="106"/>
      <c r="MR119" s="106"/>
      <c r="MS119" s="106"/>
      <c r="MT119" s="106"/>
      <c r="MU119" s="106"/>
      <c r="MV119" s="106"/>
      <c r="MW119" s="106"/>
      <c r="MX119" s="106"/>
      <c r="MY119" s="106"/>
      <c r="MZ119" s="106"/>
      <c r="NA119" s="106"/>
      <c r="NB119" s="106"/>
      <c r="NC119" s="106"/>
      <c r="ND119" s="106"/>
      <c r="NE119" s="106"/>
      <c r="NF119" s="106"/>
      <c r="NG119" s="106"/>
      <c r="NH119" s="106"/>
      <c r="NI119" s="106"/>
      <c r="NJ119" s="106"/>
      <c r="NK119" s="106"/>
      <c r="NL119" s="106"/>
      <c r="NM119" s="106"/>
      <c r="NN119" s="106"/>
      <c r="NO119" s="106"/>
      <c r="NP119" s="106"/>
      <c r="NQ119" s="106"/>
      <c r="NR119" s="106"/>
      <c r="NS119" s="106"/>
      <c r="NT119" s="106"/>
      <c r="NU119" s="106"/>
      <c r="NV119" s="106"/>
      <c r="NW119" s="106"/>
      <c r="NX119" s="106"/>
      <c r="NY119" s="106"/>
      <c r="NZ119" s="106"/>
      <c r="OA119" s="106"/>
      <c r="OB119" s="106"/>
      <c r="OC119" s="106"/>
      <c r="OD119" s="106"/>
      <c r="OE119" s="106"/>
      <c r="OF119" s="106"/>
      <c r="OG119" s="106"/>
      <c r="OH119" s="106"/>
      <c r="OI119" s="106"/>
      <c r="OJ119" s="106"/>
      <c r="OK119" s="106"/>
      <c r="OL119" s="106"/>
      <c r="OM119" s="106"/>
      <c r="ON119" s="106"/>
      <c r="OO119" s="106"/>
      <c r="OP119" s="106"/>
      <c r="OQ119" s="106"/>
      <c r="OR119" s="106"/>
      <c r="OS119" s="106"/>
      <c r="OT119" s="106"/>
      <c r="OU119" s="106"/>
      <c r="OV119" s="106"/>
      <c r="OW119" s="106"/>
      <c r="OX119" s="106"/>
      <c r="OY119" s="106"/>
      <c r="OZ119" s="106"/>
      <c r="PA119" s="106"/>
      <c r="PB119" s="106"/>
      <c r="PC119" s="106"/>
      <c r="PD119" s="106"/>
      <c r="PE119" s="106"/>
      <c r="PF119" s="106"/>
      <c r="PG119" s="106"/>
      <c r="PH119" s="106"/>
      <c r="PI119" s="106"/>
      <c r="PJ119" s="106"/>
      <c r="PK119" s="106"/>
      <c r="PL119" s="106"/>
      <c r="PM119" s="106"/>
      <c r="PN119" s="106"/>
      <c r="PO119" s="106"/>
      <c r="PP119" s="106"/>
      <c r="PQ119" s="106"/>
      <c r="PR119" s="106"/>
      <c r="PS119" s="106"/>
      <c r="PT119" s="106"/>
      <c r="PU119" s="106"/>
      <c r="PV119" s="106"/>
      <c r="PW119" s="106"/>
      <c r="PX119" s="106"/>
      <c r="PY119" s="106"/>
      <c r="PZ119" s="106"/>
      <c r="QA119" s="106"/>
      <c r="QB119" s="106"/>
      <c r="QC119" s="106"/>
      <c r="QD119" s="106"/>
      <c r="QE119" s="106"/>
      <c r="QF119" s="106"/>
      <c r="QG119" s="106"/>
      <c r="QH119" s="106"/>
      <c r="QI119" s="106"/>
      <c r="QJ119" s="106"/>
      <c r="QK119" s="106"/>
      <c r="QL119" s="106"/>
      <c r="QM119" s="106"/>
      <c r="QN119" s="106"/>
      <c r="QO119" s="106"/>
      <c r="QP119" s="106"/>
      <c r="QQ119" s="106"/>
      <c r="QR119" s="106"/>
      <c r="QS119" s="106"/>
      <c r="QT119" s="106"/>
      <c r="QU119" s="106"/>
      <c r="QV119" s="106"/>
      <c r="QW119" s="106"/>
      <c r="QX119" s="106"/>
      <c r="QY119" s="106"/>
      <c r="QZ119" s="106"/>
      <c r="RA119" s="106"/>
      <c r="RB119" s="106"/>
      <c r="RC119" s="106"/>
      <c r="RD119" s="106"/>
      <c r="RE119" s="106"/>
      <c r="RF119" s="106"/>
      <c r="RG119" s="106"/>
      <c r="RH119" s="106"/>
      <c r="RI119" s="106"/>
      <c r="RJ119" s="106"/>
      <c r="RK119" s="106"/>
      <c r="RL119" s="106"/>
      <c r="RM119" s="106"/>
      <c r="RN119" s="106"/>
      <c r="RO119" s="106"/>
      <c r="RP119" s="106"/>
      <c r="RQ119" s="106"/>
      <c r="RR119" s="106"/>
      <c r="RS119" s="106"/>
      <c r="RT119" s="106"/>
      <c r="RU119" s="106"/>
      <c r="RV119" s="106"/>
      <c r="RW119" s="106"/>
      <c r="RX119" s="106"/>
      <c r="RY119" s="106"/>
      <c r="RZ119" s="106"/>
      <c r="SA119" s="106"/>
      <c r="SB119" s="106"/>
      <c r="SC119" s="106"/>
      <c r="SD119" s="106"/>
      <c r="SE119" s="106"/>
      <c r="SF119" s="106"/>
      <c r="SG119" s="106"/>
      <c r="SH119" s="106"/>
      <c r="SI119" s="106"/>
      <c r="SJ119" s="106"/>
      <c r="SK119" s="106"/>
      <c r="SL119" s="106"/>
      <c r="SM119" s="106"/>
      <c r="SN119" s="106"/>
      <c r="SO119" s="106"/>
      <c r="SP119" s="106"/>
      <c r="SQ119" s="106"/>
      <c r="SR119" s="106"/>
      <c r="SS119" s="106"/>
      <c r="ST119" s="106"/>
      <c r="SU119" s="106"/>
      <c r="SV119" s="106"/>
      <c r="SW119" s="106"/>
      <c r="SX119" s="106"/>
      <c r="SY119" s="106"/>
      <c r="SZ119" s="106"/>
      <c r="TA119" s="106"/>
      <c r="TB119" s="106"/>
      <c r="TC119" s="106"/>
      <c r="TD119" s="106"/>
      <c r="TE119" s="106"/>
      <c r="TF119" s="106"/>
      <c r="TG119" s="106"/>
      <c r="TH119" s="106"/>
      <c r="TI119" s="106"/>
      <c r="TJ119" s="106"/>
      <c r="TK119" s="106"/>
      <c r="TL119" s="106"/>
      <c r="TM119" s="106"/>
      <c r="TN119" s="106"/>
      <c r="TO119" s="106"/>
      <c r="TP119" s="106"/>
      <c r="TQ119" s="106"/>
      <c r="TR119" s="106"/>
      <c r="TS119" s="106"/>
      <c r="TT119" s="106"/>
      <c r="TU119" s="106"/>
      <c r="TV119" s="106"/>
      <c r="TW119" s="106"/>
      <c r="TX119" s="106"/>
      <c r="TY119" s="106"/>
      <c r="TZ119" s="106"/>
      <c r="UA119" s="106"/>
      <c r="UB119" s="106"/>
      <c r="UC119" s="106"/>
      <c r="UD119" s="106"/>
      <c r="UE119" s="106"/>
      <c r="UF119" s="106"/>
      <c r="UG119" s="106"/>
      <c r="UH119" s="106"/>
      <c r="UI119" s="106"/>
      <c r="UJ119" s="106"/>
      <c r="UK119" s="106"/>
      <c r="UL119" s="106"/>
      <c r="UM119" s="106"/>
      <c r="UN119" s="106"/>
      <c r="UO119" s="106"/>
      <c r="UP119" s="106"/>
      <c r="UQ119" s="106"/>
      <c r="UR119" s="106"/>
      <c r="US119" s="106"/>
      <c r="UT119" s="106"/>
      <c r="UU119" s="106"/>
      <c r="UV119" s="106"/>
      <c r="UW119" s="106"/>
      <c r="UX119" s="106"/>
      <c r="UY119" s="106"/>
      <c r="UZ119" s="106"/>
      <c r="VA119" s="106"/>
      <c r="VB119" s="106"/>
      <c r="VC119" s="106"/>
      <c r="VD119" s="106"/>
      <c r="VE119" s="106"/>
      <c r="VF119" s="106"/>
      <c r="VG119" s="106"/>
      <c r="VH119" s="106"/>
      <c r="VI119" s="106"/>
      <c r="VJ119" s="106"/>
      <c r="VK119" s="106"/>
      <c r="VL119" s="106"/>
      <c r="VM119" s="106"/>
      <c r="VN119" s="106"/>
      <c r="VO119" s="106"/>
      <c r="VP119" s="106"/>
      <c r="VQ119" s="106"/>
      <c r="VR119" s="106"/>
      <c r="VS119" s="106"/>
      <c r="VT119" s="106"/>
      <c r="VU119" s="106"/>
      <c r="VV119" s="106"/>
      <c r="VW119" s="106"/>
      <c r="VX119" s="106"/>
      <c r="VY119" s="106"/>
      <c r="VZ119" s="106"/>
      <c r="WA119" s="106"/>
      <c r="WB119" s="106"/>
      <c r="WC119" s="106"/>
      <c r="WD119" s="106"/>
      <c r="WE119" s="106"/>
      <c r="WF119" s="106"/>
      <c r="WG119" s="106"/>
      <c r="WH119" s="106"/>
      <c r="WI119" s="106"/>
      <c r="WJ119" s="106"/>
      <c r="WK119" s="106"/>
      <c r="WL119" s="106"/>
      <c r="WM119" s="106"/>
      <c r="WN119" s="106"/>
      <c r="WO119" s="106"/>
      <c r="WP119" s="106"/>
      <c r="WQ119" s="106"/>
      <c r="WR119" s="106"/>
      <c r="WS119" s="106"/>
      <c r="WT119" s="106"/>
      <c r="WU119" s="106"/>
      <c r="WV119" s="106"/>
      <c r="WW119" s="106"/>
      <c r="WX119" s="106"/>
      <c r="WY119" s="106"/>
      <c r="WZ119" s="106"/>
      <c r="XA119" s="106"/>
      <c r="XB119" s="106"/>
      <c r="XC119" s="106"/>
      <c r="XD119" s="106"/>
      <c r="XE119" s="106"/>
      <c r="XF119" s="106"/>
      <c r="XG119" s="106"/>
      <c r="XH119" s="106"/>
      <c r="XI119" s="106"/>
      <c r="XJ119" s="106"/>
      <c r="XK119" s="106"/>
      <c r="XL119" s="106"/>
      <c r="XM119" s="106"/>
      <c r="XN119" s="106"/>
      <c r="XO119" s="106"/>
      <c r="XP119" s="106"/>
      <c r="XQ119" s="106"/>
      <c r="XR119" s="106"/>
      <c r="XS119" s="106"/>
      <c r="XT119" s="106"/>
      <c r="XU119" s="106"/>
      <c r="XV119" s="106"/>
      <c r="XW119" s="106"/>
      <c r="XX119" s="106"/>
      <c r="XY119" s="106"/>
      <c r="XZ119" s="106"/>
      <c r="YA119" s="106"/>
      <c r="YB119" s="106"/>
      <c r="YC119" s="106"/>
      <c r="YD119" s="106"/>
      <c r="YE119" s="106"/>
      <c r="YF119" s="106"/>
      <c r="YG119" s="106"/>
      <c r="YH119" s="106"/>
      <c r="YI119" s="106"/>
      <c r="YJ119" s="106"/>
      <c r="YK119" s="106"/>
      <c r="YL119" s="106"/>
      <c r="YM119" s="106"/>
      <c r="YN119" s="106"/>
      <c r="YO119" s="106"/>
      <c r="YP119" s="106"/>
      <c r="YQ119" s="106"/>
      <c r="YR119" s="106"/>
      <c r="YS119" s="106"/>
      <c r="YT119" s="106"/>
      <c r="YU119" s="106"/>
      <c r="YV119" s="106"/>
      <c r="YW119" s="106"/>
      <c r="YX119" s="106"/>
      <c r="YY119" s="106"/>
      <c r="YZ119" s="106"/>
      <c r="ZA119" s="106"/>
      <c r="ZB119" s="106"/>
      <c r="ZC119" s="106"/>
      <c r="ZD119" s="106"/>
      <c r="ZE119" s="106"/>
      <c r="ZF119" s="106"/>
      <c r="ZG119" s="106"/>
      <c r="ZH119" s="106"/>
      <c r="ZI119" s="106"/>
      <c r="ZJ119" s="106"/>
      <c r="ZK119" s="106"/>
      <c r="ZL119" s="106"/>
      <c r="ZM119" s="106"/>
      <c r="ZN119" s="106"/>
      <c r="ZO119" s="106"/>
      <c r="ZP119" s="106"/>
      <c r="ZQ119" s="106"/>
      <c r="ZR119" s="106"/>
      <c r="ZS119" s="106"/>
      <c r="ZT119" s="106"/>
      <c r="ZU119" s="106"/>
      <c r="ZV119" s="106"/>
      <c r="ZW119" s="106"/>
      <c r="ZX119" s="106"/>
      <c r="ZY119" s="106"/>
      <c r="ZZ119" s="106"/>
      <c r="AAA119" s="106"/>
      <c r="AAB119" s="106"/>
      <c r="AAC119" s="106"/>
      <c r="AAD119" s="106"/>
      <c r="AAE119" s="106"/>
      <c r="AAF119" s="106"/>
      <c r="AAG119" s="106"/>
      <c r="AAH119" s="106"/>
      <c r="AAI119" s="106"/>
      <c r="AAJ119" s="106"/>
      <c r="AAK119" s="106"/>
      <c r="AAL119" s="106"/>
      <c r="AAM119" s="106"/>
      <c r="AAN119" s="106"/>
      <c r="AAO119" s="106"/>
      <c r="AAP119" s="106"/>
      <c r="AAQ119" s="106"/>
      <c r="AAR119" s="106"/>
      <c r="AAS119" s="106"/>
      <c r="AAT119" s="106"/>
      <c r="AAU119" s="106"/>
      <c r="AAV119" s="106"/>
      <c r="AAW119" s="106"/>
      <c r="AAX119" s="106"/>
      <c r="AAY119" s="106"/>
      <c r="AAZ119" s="106"/>
      <c r="ABA119" s="106"/>
      <c r="ABB119" s="106"/>
      <c r="ABC119" s="106"/>
      <c r="ABD119" s="106"/>
      <c r="ABE119" s="106"/>
      <c r="ABF119" s="106"/>
      <c r="ABG119" s="106"/>
      <c r="ABH119" s="106"/>
      <c r="ABI119" s="106"/>
      <c r="ABJ119" s="106"/>
      <c r="ABK119" s="106"/>
      <c r="ABL119" s="106"/>
      <c r="ABM119" s="106"/>
      <c r="ABN119" s="106"/>
      <c r="ABO119" s="106"/>
      <c r="ABP119" s="106"/>
      <c r="ABQ119" s="106"/>
      <c r="ABR119" s="106"/>
      <c r="ABS119" s="106"/>
      <c r="ABT119" s="106"/>
      <c r="ABU119" s="106"/>
      <c r="ABV119" s="106"/>
      <c r="ABW119" s="106"/>
      <c r="ABX119" s="106"/>
      <c r="ABY119" s="106"/>
      <c r="ABZ119" s="106"/>
      <c r="ACA119" s="106"/>
      <c r="ACB119" s="106"/>
      <c r="ACC119" s="106"/>
      <c r="ACD119" s="106"/>
      <c r="ACE119" s="106"/>
      <c r="ACF119" s="106"/>
      <c r="ACG119" s="106"/>
      <c r="ACH119" s="106"/>
      <c r="ACI119" s="106"/>
      <c r="ACJ119" s="106"/>
      <c r="ACK119" s="106"/>
      <c r="ACL119" s="106"/>
      <c r="ACM119" s="106"/>
      <c r="ACN119" s="106"/>
      <c r="ACO119" s="106"/>
      <c r="ACP119" s="106"/>
      <c r="ACQ119" s="106"/>
      <c r="ACR119" s="106"/>
      <c r="ACS119" s="106"/>
      <c r="ACT119" s="106"/>
      <c r="ACU119" s="106"/>
      <c r="ACV119" s="106"/>
      <c r="ACW119" s="106"/>
      <c r="ACX119" s="106"/>
      <c r="ACY119" s="106"/>
      <c r="ACZ119" s="106"/>
      <c r="ADA119" s="106"/>
      <c r="ADB119" s="106"/>
      <c r="ADC119" s="106"/>
      <c r="ADD119" s="106"/>
      <c r="ADE119" s="106"/>
      <c r="ADF119" s="106"/>
      <c r="ADG119" s="106"/>
      <c r="ADH119" s="106"/>
      <c r="ADI119" s="106"/>
      <c r="ADJ119" s="106"/>
      <c r="ADK119" s="106"/>
      <c r="ADL119" s="106"/>
      <c r="ADM119" s="106"/>
      <c r="ADN119" s="106"/>
      <c r="ADO119" s="106"/>
      <c r="ADP119" s="106"/>
      <c r="ADQ119" s="106"/>
      <c r="ADR119" s="106"/>
      <c r="ADS119" s="106"/>
      <c r="ADT119" s="106"/>
      <c r="ADU119" s="106"/>
      <c r="ADV119" s="106"/>
      <c r="ADW119" s="106"/>
      <c r="ADX119" s="106"/>
      <c r="ADY119" s="106"/>
      <c r="ADZ119" s="106"/>
      <c r="AEA119" s="106"/>
      <c r="AEB119" s="106"/>
      <c r="AEC119" s="106"/>
      <c r="AED119" s="106"/>
      <c r="AEE119" s="106"/>
      <c r="AEF119" s="106"/>
      <c r="AEG119" s="106"/>
      <c r="AEH119" s="106"/>
      <c r="AEI119" s="106"/>
      <c r="AEJ119" s="106"/>
      <c r="AEK119" s="106"/>
      <c r="AEL119" s="106"/>
      <c r="AEM119" s="106"/>
      <c r="AEN119" s="106"/>
      <c r="AEO119" s="106"/>
      <c r="AEP119" s="106"/>
      <c r="AEQ119" s="106"/>
      <c r="AER119" s="106"/>
      <c r="AES119" s="106"/>
      <c r="AET119" s="106"/>
      <c r="AEU119" s="106"/>
      <c r="AEV119" s="106"/>
      <c r="AEW119" s="106"/>
      <c r="AEX119" s="106"/>
      <c r="AEY119" s="106"/>
      <c r="AEZ119" s="106"/>
      <c r="AFA119" s="106"/>
      <c r="AFB119" s="106"/>
      <c r="AFC119" s="106"/>
      <c r="AFD119" s="106"/>
      <c r="AFE119" s="106"/>
      <c r="AFF119" s="106"/>
      <c r="AFG119" s="106"/>
      <c r="AFH119" s="106"/>
      <c r="AFI119" s="106"/>
      <c r="AFJ119" s="106"/>
      <c r="AFK119" s="106"/>
      <c r="AFL119" s="106"/>
      <c r="AFM119" s="106"/>
      <c r="AFN119" s="106"/>
      <c r="AFO119" s="106"/>
      <c r="AFP119" s="106"/>
      <c r="AFQ119" s="106"/>
      <c r="AFR119" s="106"/>
      <c r="AFS119" s="106"/>
      <c r="AFT119" s="106"/>
      <c r="AFU119" s="106"/>
      <c r="AFV119" s="106"/>
      <c r="AFW119" s="106"/>
      <c r="AFX119" s="106"/>
      <c r="AFY119" s="106"/>
      <c r="AFZ119" s="106"/>
      <c r="AGA119" s="106"/>
      <c r="AGB119" s="106"/>
      <c r="AGC119" s="106"/>
      <c r="AGD119" s="106"/>
      <c r="AGE119" s="106"/>
      <c r="AGF119" s="106"/>
      <c r="AGG119" s="106"/>
      <c r="AGH119" s="106"/>
      <c r="AGI119" s="106"/>
      <c r="AGJ119" s="106"/>
      <c r="AGK119" s="106"/>
      <c r="AGL119" s="106"/>
      <c r="AGM119" s="106"/>
      <c r="AGN119" s="106"/>
      <c r="AGO119" s="106"/>
      <c r="AGP119" s="106"/>
      <c r="AGQ119" s="106"/>
      <c r="AGR119" s="106"/>
      <c r="AGS119" s="106"/>
      <c r="AGT119" s="106"/>
      <c r="AGU119" s="106"/>
      <c r="AGV119" s="106"/>
      <c r="AGW119" s="106"/>
      <c r="AGX119" s="106"/>
      <c r="AGY119" s="106"/>
      <c r="AGZ119" s="106"/>
      <c r="AHA119" s="106"/>
      <c r="AHB119" s="106"/>
      <c r="AHC119" s="106"/>
      <c r="AHD119" s="106"/>
      <c r="AHE119" s="106"/>
      <c r="AHF119" s="106"/>
      <c r="AHG119" s="106"/>
      <c r="AHH119" s="106"/>
      <c r="AHI119" s="106"/>
      <c r="AHJ119" s="106"/>
      <c r="AHK119" s="106"/>
      <c r="AHL119" s="106"/>
      <c r="AHM119" s="106"/>
      <c r="AHN119" s="106"/>
      <c r="AHO119" s="106"/>
      <c r="AHP119" s="106"/>
      <c r="AHQ119" s="106"/>
      <c r="AHR119" s="106"/>
      <c r="AHS119" s="106"/>
      <c r="AHT119" s="106"/>
      <c r="AHU119" s="106"/>
      <c r="AHV119" s="106"/>
      <c r="AHW119" s="106"/>
      <c r="AHX119" s="106"/>
      <c r="AHY119" s="106"/>
      <c r="AHZ119" s="106"/>
      <c r="AIA119" s="106"/>
      <c r="AIB119" s="106"/>
      <c r="AIC119" s="106"/>
      <c r="AID119" s="106"/>
      <c r="AIE119" s="106"/>
      <c r="AIF119" s="106"/>
      <c r="AIG119" s="106"/>
      <c r="AIH119" s="106"/>
      <c r="AII119" s="106"/>
      <c r="AIJ119" s="106"/>
      <c r="AIK119" s="106"/>
      <c r="AIL119" s="106"/>
      <c r="AIM119" s="106"/>
      <c r="AIN119" s="106"/>
      <c r="AIO119" s="106"/>
      <c r="AIP119" s="106"/>
      <c r="AIQ119" s="106"/>
      <c r="AIR119" s="106"/>
      <c r="AIS119" s="106"/>
      <c r="AIT119" s="106"/>
      <c r="AIU119" s="106"/>
      <c r="AIV119" s="106"/>
      <c r="AIW119" s="106"/>
      <c r="AIX119" s="106"/>
      <c r="AIY119" s="106"/>
      <c r="AIZ119" s="106"/>
      <c r="AJA119" s="106"/>
      <c r="AJB119" s="106"/>
      <c r="AJC119" s="106"/>
      <c r="AJD119" s="106"/>
      <c r="AJE119" s="106"/>
      <c r="AJF119" s="106"/>
      <c r="AJG119" s="106"/>
      <c r="AJH119" s="106"/>
      <c r="AJI119" s="106"/>
      <c r="AJJ119" s="106"/>
      <c r="AJK119" s="106"/>
      <c r="AJL119" s="106"/>
      <c r="AJM119" s="106"/>
      <c r="AJN119" s="106"/>
      <c r="AJO119" s="106"/>
      <c r="AJP119" s="106"/>
      <c r="AJQ119" s="106"/>
      <c r="AJR119" s="106"/>
      <c r="AJS119" s="106"/>
      <c r="AJT119" s="106"/>
      <c r="AJU119" s="106"/>
      <c r="AJV119" s="106"/>
      <c r="AJW119" s="106"/>
      <c r="AJX119" s="106"/>
      <c r="AJY119" s="106"/>
      <c r="AJZ119" s="106"/>
      <c r="AKA119" s="106"/>
      <c r="AKB119" s="106"/>
      <c r="AKC119" s="106"/>
      <c r="AKD119" s="106"/>
      <c r="AKE119" s="106"/>
      <c r="AKF119" s="106"/>
      <c r="AKG119" s="106"/>
      <c r="AKH119" s="106"/>
      <c r="AKI119" s="106"/>
      <c r="AKJ119" s="106"/>
      <c r="AKK119" s="106"/>
      <c r="AKL119" s="106"/>
      <c r="AKM119" s="106"/>
      <c r="AKN119" s="106"/>
      <c r="AKO119" s="106"/>
      <c r="AKP119" s="106"/>
      <c r="AKQ119" s="106"/>
      <c r="AKR119" s="106"/>
      <c r="AKS119" s="106"/>
      <c r="AKT119" s="106"/>
      <c r="AKU119" s="106"/>
      <c r="AKV119" s="106"/>
      <c r="AKW119" s="106"/>
      <c r="AKX119" s="106"/>
      <c r="AKY119" s="106"/>
      <c r="AKZ119" s="106"/>
      <c r="ALA119" s="106"/>
      <c r="ALB119" s="106"/>
      <c r="ALC119" s="106"/>
      <c r="ALD119" s="106"/>
      <c r="ALE119" s="106"/>
      <c r="ALF119" s="106"/>
      <c r="ALG119" s="106"/>
      <c r="ALH119" s="106"/>
    </row>
    <row r="120" spans="1:996" s="75" customFormat="1" ht="15.75" customHeight="1">
      <c r="A120" s="104"/>
      <c r="B120" s="75" t="str">
        <f t="shared" ref="B120:B121" si="7">D120&amp;E120</f>
        <v>S112512</v>
      </c>
      <c r="C120" s="396" t="s">
        <v>605</v>
      </c>
      <c r="D120" s="27" t="s">
        <v>128</v>
      </c>
      <c r="E120" s="75">
        <v>112512</v>
      </c>
      <c r="F120" s="105" t="s">
        <v>99</v>
      </c>
      <c r="G120" s="74">
        <f>IFERROR(VLOOKUP(E120,'BD - E - Mvto Cx'!$E$15:$G$500,3,0),0)</f>
        <v>76.069999999999993</v>
      </c>
      <c r="H120" s="72">
        <f>IFERROR(VLOOKUP(E120,'BD - E - Mvto Cx'!$N$15:$P$500,3,0),0)</f>
        <v>0</v>
      </c>
      <c r="I120" s="73">
        <f>IFERROR(VLOOKUP(E120,'BD - E - Mvto Cx'!$W$15:$Y$497,3,0),0)</f>
        <v>171.29</v>
      </c>
      <c r="J120" s="73">
        <f>IFERROR(VLOOKUP(E120,'BD - E - Mvto Cx'!$AF$15:$AI$500,3,0),0)</f>
        <v>60.54</v>
      </c>
      <c r="K120" s="73">
        <f>IFERROR(VLOOKUP(E120,'BD - E - Mvto Cx'!$AO$15:$AQ$500,3,0),0)</f>
        <v>0</v>
      </c>
      <c r="L120" s="73">
        <f>IFERROR(VLOOKUP(E120,'BD - E - Mvto Cx'!$AX$15:$AZ$500,3,0),0)</f>
        <v>0</v>
      </c>
      <c r="M120" s="73">
        <f>IFERROR(VLOOKUP(E120,'BD - E - Mvto Cx'!$BJ$15:$BL$500,3,0),0)</f>
        <v>0</v>
      </c>
      <c r="N120" s="73">
        <f>IFERROR(VLOOKUP(E120,'BD - E - Mvto Cx'!$BS$15:$BU$500,3,0),0)</f>
        <v>0</v>
      </c>
      <c r="O120" s="73">
        <f>IFERROR(VLOOKUP(E120,'BD - E - Mvto Cx'!$CB$15:$CD$500,3,0),0)</f>
        <v>0</v>
      </c>
      <c r="P120" s="73">
        <f>IFERROR(VLOOKUP(E120,'BD - E - Mvto Cx'!$CK$15:$CM$500,3,0),0)</f>
        <v>0</v>
      </c>
      <c r="Q120" s="73">
        <f>IFERROR(VLOOKUP(E120,'BD - E - Mvto Cx'!$CT$15:$CV$500,3,0),0)</f>
        <v>0</v>
      </c>
      <c r="R120" s="73">
        <f>IFERROR(VLOOKUP(E120,'BD - E - Mvto Cx'!$DC$15:$DE$500,3,0),0)</f>
        <v>0</v>
      </c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  <c r="CZ120" s="106"/>
      <c r="DA120" s="106"/>
      <c r="DB120" s="106"/>
      <c r="DC120" s="106"/>
      <c r="DD120" s="106"/>
      <c r="DE120" s="106"/>
      <c r="DF120" s="106"/>
      <c r="DG120" s="106"/>
      <c r="DH120" s="106"/>
      <c r="DI120" s="106"/>
      <c r="DJ120" s="106"/>
      <c r="DK120" s="106"/>
      <c r="DL120" s="106"/>
      <c r="DM120" s="106"/>
      <c r="DN120" s="106"/>
      <c r="DO120" s="106"/>
      <c r="DP120" s="106"/>
      <c r="DQ120" s="106"/>
      <c r="DR120" s="106"/>
      <c r="DS120" s="106"/>
      <c r="DT120" s="106"/>
      <c r="DU120" s="106"/>
      <c r="DV120" s="106"/>
      <c r="DW120" s="106"/>
      <c r="DX120" s="106"/>
      <c r="DY120" s="106"/>
      <c r="DZ120" s="106"/>
      <c r="EA120" s="106"/>
      <c r="EB120" s="106"/>
      <c r="EC120" s="106"/>
      <c r="ED120" s="106"/>
      <c r="EE120" s="106"/>
      <c r="EF120" s="106"/>
      <c r="EG120" s="106"/>
      <c r="EH120" s="106"/>
      <c r="EI120" s="106"/>
      <c r="EJ120" s="106"/>
      <c r="EK120" s="106"/>
      <c r="EL120" s="106"/>
      <c r="EM120" s="106"/>
      <c r="EN120" s="106"/>
      <c r="EO120" s="106"/>
      <c r="EP120" s="106"/>
      <c r="EQ120" s="106"/>
      <c r="ER120" s="106"/>
      <c r="ES120" s="106"/>
      <c r="ET120" s="106"/>
      <c r="EU120" s="106"/>
      <c r="EV120" s="106"/>
      <c r="EW120" s="106"/>
      <c r="EX120" s="106"/>
      <c r="EY120" s="106"/>
      <c r="EZ120" s="106"/>
      <c r="FA120" s="106"/>
      <c r="FB120" s="106"/>
      <c r="FC120" s="106"/>
      <c r="FD120" s="106"/>
      <c r="FE120" s="106"/>
      <c r="FF120" s="106"/>
      <c r="FG120" s="106"/>
      <c r="FH120" s="106"/>
      <c r="FI120" s="106"/>
      <c r="FJ120" s="106"/>
      <c r="FK120" s="106"/>
      <c r="FL120" s="106"/>
      <c r="FM120" s="106"/>
      <c r="FN120" s="106"/>
      <c r="FO120" s="106"/>
      <c r="FP120" s="106"/>
      <c r="FQ120" s="106"/>
      <c r="FR120" s="106"/>
      <c r="FS120" s="106"/>
      <c r="FT120" s="106"/>
      <c r="FU120" s="106"/>
      <c r="FV120" s="106"/>
      <c r="FW120" s="106"/>
      <c r="FX120" s="106"/>
      <c r="FY120" s="106"/>
      <c r="FZ120" s="106"/>
      <c r="GA120" s="106"/>
      <c r="GB120" s="106"/>
      <c r="GC120" s="106"/>
      <c r="GD120" s="106"/>
      <c r="GE120" s="106"/>
      <c r="GF120" s="106"/>
      <c r="GG120" s="106"/>
      <c r="GH120" s="106"/>
      <c r="GI120" s="106"/>
      <c r="GJ120" s="106"/>
      <c r="GK120" s="106"/>
      <c r="GL120" s="106"/>
      <c r="GM120" s="106"/>
      <c r="GN120" s="106"/>
      <c r="GO120" s="106"/>
      <c r="GP120" s="106"/>
      <c r="GQ120" s="106"/>
      <c r="GR120" s="106"/>
      <c r="GS120" s="106"/>
      <c r="GT120" s="106"/>
      <c r="GU120" s="106"/>
      <c r="GV120" s="106"/>
      <c r="GW120" s="106"/>
      <c r="GX120" s="106"/>
      <c r="GY120" s="106"/>
      <c r="GZ120" s="106"/>
      <c r="HA120" s="106"/>
      <c r="HB120" s="106"/>
      <c r="HC120" s="106"/>
      <c r="HD120" s="106"/>
      <c r="HE120" s="106"/>
      <c r="HF120" s="106"/>
      <c r="HG120" s="106"/>
      <c r="HH120" s="106"/>
      <c r="HI120" s="106"/>
      <c r="HJ120" s="106"/>
      <c r="HK120" s="106"/>
      <c r="HL120" s="106"/>
      <c r="HM120" s="106"/>
      <c r="HN120" s="106"/>
      <c r="HO120" s="106"/>
      <c r="HP120" s="106"/>
      <c r="HQ120" s="106"/>
      <c r="HR120" s="106"/>
      <c r="HS120" s="106"/>
      <c r="HT120" s="106"/>
      <c r="HU120" s="106"/>
      <c r="HV120" s="106"/>
      <c r="HW120" s="106"/>
      <c r="HX120" s="106"/>
      <c r="HY120" s="106"/>
      <c r="HZ120" s="106"/>
      <c r="IA120" s="106"/>
      <c r="IB120" s="106"/>
      <c r="IC120" s="106"/>
      <c r="ID120" s="106"/>
      <c r="IE120" s="106"/>
      <c r="IF120" s="106"/>
      <c r="IG120" s="106"/>
      <c r="IH120" s="106"/>
      <c r="II120" s="106"/>
      <c r="IJ120" s="106"/>
      <c r="IK120" s="106"/>
      <c r="IL120" s="106"/>
      <c r="IM120" s="106"/>
      <c r="IN120" s="106"/>
      <c r="IO120" s="106"/>
      <c r="IP120" s="106"/>
      <c r="IQ120" s="106"/>
      <c r="IR120" s="106"/>
      <c r="IS120" s="106"/>
      <c r="IT120" s="106"/>
      <c r="IU120" s="106"/>
      <c r="IV120" s="106"/>
      <c r="IW120" s="106"/>
      <c r="IX120" s="106"/>
      <c r="IY120" s="106"/>
      <c r="IZ120" s="106"/>
      <c r="JA120" s="106"/>
      <c r="JB120" s="106"/>
      <c r="JC120" s="106"/>
      <c r="JD120" s="106"/>
      <c r="JE120" s="106"/>
      <c r="JF120" s="106"/>
      <c r="JG120" s="106"/>
      <c r="JH120" s="106"/>
      <c r="JI120" s="106"/>
      <c r="JJ120" s="106"/>
      <c r="JK120" s="106"/>
      <c r="JL120" s="106"/>
      <c r="JM120" s="106"/>
      <c r="JN120" s="106"/>
      <c r="JO120" s="106"/>
      <c r="JP120" s="106"/>
      <c r="JQ120" s="106"/>
      <c r="JR120" s="106"/>
      <c r="JS120" s="106"/>
      <c r="JT120" s="106"/>
      <c r="JU120" s="106"/>
      <c r="JV120" s="106"/>
      <c r="JW120" s="106"/>
      <c r="JX120" s="106"/>
      <c r="JY120" s="106"/>
      <c r="JZ120" s="106"/>
      <c r="KA120" s="106"/>
      <c r="KB120" s="106"/>
      <c r="KC120" s="106"/>
      <c r="KD120" s="106"/>
      <c r="KE120" s="106"/>
      <c r="KF120" s="106"/>
      <c r="KG120" s="106"/>
      <c r="KH120" s="106"/>
      <c r="KI120" s="106"/>
      <c r="KJ120" s="106"/>
      <c r="KK120" s="106"/>
      <c r="KL120" s="106"/>
      <c r="KM120" s="106"/>
      <c r="KN120" s="106"/>
      <c r="KO120" s="106"/>
      <c r="KP120" s="106"/>
      <c r="KQ120" s="106"/>
      <c r="KR120" s="106"/>
      <c r="KS120" s="106"/>
      <c r="KT120" s="106"/>
      <c r="KU120" s="106"/>
      <c r="KV120" s="106"/>
      <c r="KW120" s="106"/>
      <c r="KX120" s="106"/>
      <c r="KY120" s="106"/>
      <c r="KZ120" s="106"/>
      <c r="LA120" s="106"/>
      <c r="LB120" s="106"/>
      <c r="LC120" s="106"/>
      <c r="LD120" s="106"/>
      <c r="LE120" s="106"/>
      <c r="LF120" s="106"/>
      <c r="LG120" s="106"/>
      <c r="LH120" s="106"/>
      <c r="LI120" s="106"/>
      <c r="LJ120" s="106"/>
      <c r="LK120" s="106"/>
      <c r="LL120" s="106"/>
      <c r="LM120" s="106"/>
      <c r="LN120" s="106"/>
      <c r="LO120" s="106"/>
      <c r="LP120" s="106"/>
      <c r="LQ120" s="106"/>
      <c r="LR120" s="106"/>
      <c r="LS120" s="106"/>
      <c r="LT120" s="106"/>
      <c r="LU120" s="106"/>
      <c r="LV120" s="106"/>
      <c r="LW120" s="106"/>
      <c r="LX120" s="106"/>
      <c r="LY120" s="106"/>
      <c r="LZ120" s="106"/>
      <c r="MA120" s="106"/>
      <c r="MB120" s="106"/>
      <c r="MC120" s="106"/>
      <c r="MD120" s="106"/>
      <c r="ME120" s="106"/>
      <c r="MF120" s="106"/>
      <c r="MG120" s="106"/>
      <c r="MH120" s="106"/>
      <c r="MI120" s="106"/>
      <c r="MJ120" s="106"/>
      <c r="MK120" s="106"/>
      <c r="ML120" s="106"/>
      <c r="MM120" s="106"/>
      <c r="MN120" s="106"/>
      <c r="MO120" s="106"/>
      <c r="MP120" s="106"/>
      <c r="MQ120" s="106"/>
      <c r="MR120" s="106"/>
      <c r="MS120" s="106"/>
      <c r="MT120" s="106"/>
      <c r="MU120" s="106"/>
      <c r="MV120" s="106"/>
      <c r="MW120" s="106"/>
      <c r="MX120" s="106"/>
      <c r="MY120" s="106"/>
      <c r="MZ120" s="106"/>
      <c r="NA120" s="106"/>
      <c r="NB120" s="106"/>
      <c r="NC120" s="106"/>
      <c r="ND120" s="106"/>
      <c r="NE120" s="106"/>
      <c r="NF120" s="106"/>
      <c r="NG120" s="106"/>
      <c r="NH120" s="106"/>
      <c r="NI120" s="106"/>
      <c r="NJ120" s="106"/>
      <c r="NK120" s="106"/>
      <c r="NL120" s="106"/>
      <c r="NM120" s="106"/>
      <c r="NN120" s="106"/>
      <c r="NO120" s="106"/>
      <c r="NP120" s="106"/>
      <c r="NQ120" s="106"/>
      <c r="NR120" s="106"/>
      <c r="NS120" s="106"/>
      <c r="NT120" s="106"/>
      <c r="NU120" s="106"/>
      <c r="NV120" s="106"/>
      <c r="NW120" s="106"/>
      <c r="NX120" s="106"/>
      <c r="NY120" s="106"/>
      <c r="NZ120" s="106"/>
      <c r="OA120" s="106"/>
      <c r="OB120" s="106"/>
      <c r="OC120" s="106"/>
      <c r="OD120" s="106"/>
      <c r="OE120" s="106"/>
      <c r="OF120" s="106"/>
      <c r="OG120" s="106"/>
      <c r="OH120" s="106"/>
      <c r="OI120" s="106"/>
      <c r="OJ120" s="106"/>
      <c r="OK120" s="106"/>
      <c r="OL120" s="106"/>
      <c r="OM120" s="106"/>
      <c r="ON120" s="106"/>
      <c r="OO120" s="106"/>
      <c r="OP120" s="106"/>
      <c r="OQ120" s="106"/>
      <c r="OR120" s="106"/>
      <c r="OS120" s="106"/>
      <c r="OT120" s="106"/>
      <c r="OU120" s="106"/>
      <c r="OV120" s="106"/>
      <c r="OW120" s="106"/>
      <c r="OX120" s="106"/>
      <c r="OY120" s="106"/>
      <c r="OZ120" s="106"/>
      <c r="PA120" s="106"/>
      <c r="PB120" s="106"/>
      <c r="PC120" s="106"/>
      <c r="PD120" s="106"/>
      <c r="PE120" s="106"/>
      <c r="PF120" s="106"/>
      <c r="PG120" s="106"/>
      <c r="PH120" s="106"/>
      <c r="PI120" s="106"/>
      <c r="PJ120" s="106"/>
      <c r="PK120" s="106"/>
      <c r="PL120" s="106"/>
      <c r="PM120" s="106"/>
      <c r="PN120" s="106"/>
      <c r="PO120" s="106"/>
      <c r="PP120" s="106"/>
      <c r="PQ120" s="106"/>
      <c r="PR120" s="106"/>
      <c r="PS120" s="106"/>
      <c r="PT120" s="106"/>
      <c r="PU120" s="106"/>
      <c r="PV120" s="106"/>
      <c r="PW120" s="106"/>
      <c r="PX120" s="106"/>
      <c r="PY120" s="106"/>
      <c r="PZ120" s="106"/>
      <c r="QA120" s="106"/>
      <c r="QB120" s="106"/>
      <c r="QC120" s="106"/>
      <c r="QD120" s="106"/>
      <c r="QE120" s="106"/>
      <c r="QF120" s="106"/>
      <c r="QG120" s="106"/>
      <c r="QH120" s="106"/>
      <c r="QI120" s="106"/>
      <c r="QJ120" s="106"/>
      <c r="QK120" s="106"/>
      <c r="QL120" s="106"/>
      <c r="QM120" s="106"/>
      <c r="QN120" s="106"/>
      <c r="QO120" s="106"/>
      <c r="QP120" s="106"/>
      <c r="QQ120" s="106"/>
      <c r="QR120" s="106"/>
      <c r="QS120" s="106"/>
      <c r="QT120" s="106"/>
      <c r="QU120" s="106"/>
      <c r="QV120" s="106"/>
      <c r="QW120" s="106"/>
      <c r="QX120" s="106"/>
      <c r="QY120" s="106"/>
      <c r="QZ120" s="106"/>
      <c r="RA120" s="106"/>
      <c r="RB120" s="106"/>
      <c r="RC120" s="106"/>
      <c r="RD120" s="106"/>
      <c r="RE120" s="106"/>
      <c r="RF120" s="106"/>
      <c r="RG120" s="106"/>
      <c r="RH120" s="106"/>
      <c r="RI120" s="106"/>
      <c r="RJ120" s="106"/>
      <c r="RK120" s="106"/>
      <c r="RL120" s="106"/>
      <c r="RM120" s="106"/>
      <c r="RN120" s="106"/>
      <c r="RO120" s="106"/>
      <c r="RP120" s="106"/>
      <c r="RQ120" s="106"/>
      <c r="RR120" s="106"/>
      <c r="RS120" s="106"/>
      <c r="RT120" s="106"/>
      <c r="RU120" s="106"/>
      <c r="RV120" s="106"/>
      <c r="RW120" s="106"/>
      <c r="RX120" s="106"/>
      <c r="RY120" s="106"/>
      <c r="RZ120" s="106"/>
      <c r="SA120" s="106"/>
      <c r="SB120" s="106"/>
      <c r="SC120" s="106"/>
      <c r="SD120" s="106"/>
      <c r="SE120" s="106"/>
      <c r="SF120" s="106"/>
      <c r="SG120" s="106"/>
      <c r="SH120" s="106"/>
      <c r="SI120" s="106"/>
      <c r="SJ120" s="106"/>
      <c r="SK120" s="106"/>
      <c r="SL120" s="106"/>
      <c r="SM120" s="106"/>
      <c r="SN120" s="106"/>
      <c r="SO120" s="106"/>
      <c r="SP120" s="106"/>
      <c r="SQ120" s="106"/>
      <c r="SR120" s="106"/>
      <c r="SS120" s="106"/>
      <c r="ST120" s="106"/>
      <c r="SU120" s="106"/>
      <c r="SV120" s="106"/>
      <c r="SW120" s="106"/>
      <c r="SX120" s="106"/>
      <c r="SY120" s="106"/>
      <c r="SZ120" s="106"/>
      <c r="TA120" s="106"/>
      <c r="TB120" s="106"/>
      <c r="TC120" s="106"/>
      <c r="TD120" s="106"/>
      <c r="TE120" s="106"/>
      <c r="TF120" s="106"/>
      <c r="TG120" s="106"/>
      <c r="TH120" s="106"/>
      <c r="TI120" s="106"/>
      <c r="TJ120" s="106"/>
      <c r="TK120" s="106"/>
      <c r="TL120" s="106"/>
      <c r="TM120" s="106"/>
      <c r="TN120" s="106"/>
      <c r="TO120" s="106"/>
      <c r="TP120" s="106"/>
      <c r="TQ120" s="106"/>
      <c r="TR120" s="106"/>
      <c r="TS120" s="106"/>
      <c r="TT120" s="106"/>
      <c r="TU120" s="106"/>
      <c r="TV120" s="106"/>
      <c r="TW120" s="106"/>
      <c r="TX120" s="106"/>
      <c r="TY120" s="106"/>
      <c r="TZ120" s="106"/>
      <c r="UA120" s="106"/>
      <c r="UB120" s="106"/>
      <c r="UC120" s="106"/>
      <c r="UD120" s="106"/>
      <c r="UE120" s="106"/>
      <c r="UF120" s="106"/>
      <c r="UG120" s="106"/>
      <c r="UH120" s="106"/>
      <c r="UI120" s="106"/>
      <c r="UJ120" s="106"/>
      <c r="UK120" s="106"/>
      <c r="UL120" s="106"/>
      <c r="UM120" s="106"/>
      <c r="UN120" s="106"/>
      <c r="UO120" s="106"/>
      <c r="UP120" s="106"/>
      <c r="UQ120" s="106"/>
      <c r="UR120" s="106"/>
      <c r="US120" s="106"/>
      <c r="UT120" s="106"/>
      <c r="UU120" s="106"/>
      <c r="UV120" s="106"/>
      <c r="UW120" s="106"/>
      <c r="UX120" s="106"/>
      <c r="UY120" s="106"/>
      <c r="UZ120" s="106"/>
      <c r="VA120" s="106"/>
      <c r="VB120" s="106"/>
      <c r="VC120" s="106"/>
      <c r="VD120" s="106"/>
      <c r="VE120" s="106"/>
      <c r="VF120" s="106"/>
      <c r="VG120" s="106"/>
      <c r="VH120" s="106"/>
      <c r="VI120" s="106"/>
      <c r="VJ120" s="106"/>
      <c r="VK120" s="106"/>
      <c r="VL120" s="106"/>
      <c r="VM120" s="106"/>
      <c r="VN120" s="106"/>
      <c r="VO120" s="106"/>
      <c r="VP120" s="106"/>
      <c r="VQ120" s="106"/>
      <c r="VR120" s="106"/>
      <c r="VS120" s="106"/>
      <c r="VT120" s="106"/>
      <c r="VU120" s="106"/>
      <c r="VV120" s="106"/>
      <c r="VW120" s="106"/>
      <c r="VX120" s="106"/>
      <c r="VY120" s="106"/>
      <c r="VZ120" s="106"/>
      <c r="WA120" s="106"/>
      <c r="WB120" s="106"/>
      <c r="WC120" s="106"/>
      <c r="WD120" s="106"/>
      <c r="WE120" s="106"/>
      <c r="WF120" s="106"/>
      <c r="WG120" s="106"/>
      <c r="WH120" s="106"/>
      <c r="WI120" s="106"/>
      <c r="WJ120" s="106"/>
      <c r="WK120" s="106"/>
      <c r="WL120" s="106"/>
      <c r="WM120" s="106"/>
      <c r="WN120" s="106"/>
      <c r="WO120" s="106"/>
      <c r="WP120" s="106"/>
      <c r="WQ120" s="106"/>
      <c r="WR120" s="106"/>
      <c r="WS120" s="106"/>
      <c r="WT120" s="106"/>
      <c r="WU120" s="106"/>
      <c r="WV120" s="106"/>
      <c r="WW120" s="106"/>
      <c r="WX120" s="106"/>
      <c r="WY120" s="106"/>
      <c r="WZ120" s="106"/>
      <c r="XA120" s="106"/>
      <c r="XB120" s="106"/>
      <c r="XC120" s="106"/>
      <c r="XD120" s="106"/>
      <c r="XE120" s="106"/>
      <c r="XF120" s="106"/>
      <c r="XG120" s="106"/>
      <c r="XH120" s="106"/>
      <c r="XI120" s="106"/>
      <c r="XJ120" s="106"/>
      <c r="XK120" s="106"/>
      <c r="XL120" s="106"/>
      <c r="XM120" s="106"/>
      <c r="XN120" s="106"/>
      <c r="XO120" s="106"/>
      <c r="XP120" s="106"/>
      <c r="XQ120" s="106"/>
      <c r="XR120" s="106"/>
      <c r="XS120" s="106"/>
      <c r="XT120" s="106"/>
      <c r="XU120" s="106"/>
      <c r="XV120" s="106"/>
      <c r="XW120" s="106"/>
      <c r="XX120" s="106"/>
      <c r="XY120" s="106"/>
      <c r="XZ120" s="106"/>
      <c r="YA120" s="106"/>
      <c r="YB120" s="106"/>
      <c r="YC120" s="106"/>
      <c r="YD120" s="106"/>
      <c r="YE120" s="106"/>
      <c r="YF120" s="106"/>
      <c r="YG120" s="106"/>
      <c r="YH120" s="106"/>
      <c r="YI120" s="106"/>
      <c r="YJ120" s="106"/>
      <c r="YK120" s="106"/>
      <c r="YL120" s="106"/>
      <c r="YM120" s="106"/>
      <c r="YN120" s="106"/>
      <c r="YO120" s="106"/>
      <c r="YP120" s="106"/>
      <c r="YQ120" s="106"/>
      <c r="YR120" s="106"/>
      <c r="YS120" s="106"/>
      <c r="YT120" s="106"/>
      <c r="YU120" s="106"/>
      <c r="YV120" s="106"/>
      <c r="YW120" s="106"/>
      <c r="YX120" s="106"/>
      <c r="YY120" s="106"/>
      <c r="YZ120" s="106"/>
      <c r="ZA120" s="106"/>
      <c r="ZB120" s="106"/>
      <c r="ZC120" s="106"/>
      <c r="ZD120" s="106"/>
      <c r="ZE120" s="106"/>
      <c r="ZF120" s="106"/>
      <c r="ZG120" s="106"/>
      <c r="ZH120" s="106"/>
      <c r="ZI120" s="106"/>
      <c r="ZJ120" s="106"/>
      <c r="ZK120" s="106"/>
      <c r="ZL120" s="106"/>
      <c r="ZM120" s="106"/>
      <c r="ZN120" s="106"/>
      <c r="ZO120" s="106"/>
      <c r="ZP120" s="106"/>
      <c r="ZQ120" s="106"/>
      <c r="ZR120" s="106"/>
      <c r="ZS120" s="106"/>
      <c r="ZT120" s="106"/>
      <c r="ZU120" s="106"/>
      <c r="ZV120" s="106"/>
      <c r="ZW120" s="106"/>
      <c r="ZX120" s="106"/>
      <c r="ZY120" s="106"/>
      <c r="ZZ120" s="106"/>
      <c r="AAA120" s="106"/>
      <c r="AAB120" s="106"/>
      <c r="AAC120" s="106"/>
      <c r="AAD120" s="106"/>
      <c r="AAE120" s="106"/>
      <c r="AAF120" s="106"/>
      <c r="AAG120" s="106"/>
      <c r="AAH120" s="106"/>
      <c r="AAI120" s="106"/>
      <c r="AAJ120" s="106"/>
      <c r="AAK120" s="106"/>
      <c r="AAL120" s="106"/>
      <c r="AAM120" s="106"/>
      <c r="AAN120" s="106"/>
      <c r="AAO120" s="106"/>
      <c r="AAP120" s="106"/>
      <c r="AAQ120" s="106"/>
      <c r="AAR120" s="106"/>
      <c r="AAS120" s="106"/>
      <c r="AAT120" s="106"/>
      <c r="AAU120" s="106"/>
      <c r="AAV120" s="106"/>
      <c r="AAW120" s="106"/>
      <c r="AAX120" s="106"/>
      <c r="AAY120" s="106"/>
      <c r="AAZ120" s="106"/>
      <c r="ABA120" s="106"/>
      <c r="ABB120" s="106"/>
      <c r="ABC120" s="106"/>
      <c r="ABD120" s="106"/>
      <c r="ABE120" s="106"/>
      <c r="ABF120" s="106"/>
      <c r="ABG120" s="106"/>
      <c r="ABH120" s="106"/>
      <c r="ABI120" s="106"/>
      <c r="ABJ120" s="106"/>
      <c r="ABK120" s="106"/>
      <c r="ABL120" s="106"/>
      <c r="ABM120" s="106"/>
      <c r="ABN120" s="106"/>
      <c r="ABO120" s="106"/>
      <c r="ABP120" s="106"/>
      <c r="ABQ120" s="106"/>
      <c r="ABR120" s="106"/>
      <c r="ABS120" s="106"/>
      <c r="ABT120" s="106"/>
      <c r="ABU120" s="106"/>
      <c r="ABV120" s="106"/>
      <c r="ABW120" s="106"/>
      <c r="ABX120" s="106"/>
      <c r="ABY120" s="106"/>
      <c r="ABZ120" s="106"/>
      <c r="ACA120" s="106"/>
      <c r="ACB120" s="106"/>
      <c r="ACC120" s="106"/>
      <c r="ACD120" s="106"/>
      <c r="ACE120" s="106"/>
      <c r="ACF120" s="106"/>
      <c r="ACG120" s="106"/>
      <c r="ACH120" s="106"/>
      <c r="ACI120" s="106"/>
      <c r="ACJ120" s="106"/>
      <c r="ACK120" s="106"/>
      <c r="ACL120" s="106"/>
      <c r="ACM120" s="106"/>
      <c r="ACN120" s="106"/>
      <c r="ACO120" s="106"/>
      <c r="ACP120" s="106"/>
      <c r="ACQ120" s="106"/>
      <c r="ACR120" s="106"/>
      <c r="ACS120" s="106"/>
      <c r="ACT120" s="106"/>
      <c r="ACU120" s="106"/>
      <c r="ACV120" s="106"/>
      <c r="ACW120" s="106"/>
      <c r="ACX120" s="106"/>
      <c r="ACY120" s="106"/>
      <c r="ACZ120" s="106"/>
      <c r="ADA120" s="106"/>
      <c r="ADB120" s="106"/>
      <c r="ADC120" s="106"/>
      <c r="ADD120" s="106"/>
      <c r="ADE120" s="106"/>
      <c r="ADF120" s="106"/>
      <c r="ADG120" s="106"/>
      <c r="ADH120" s="106"/>
      <c r="ADI120" s="106"/>
      <c r="ADJ120" s="106"/>
      <c r="ADK120" s="106"/>
      <c r="ADL120" s="106"/>
      <c r="ADM120" s="106"/>
      <c r="ADN120" s="106"/>
      <c r="ADO120" s="106"/>
      <c r="ADP120" s="106"/>
      <c r="ADQ120" s="106"/>
      <c r="ADR120" s="106"/>
      <c r="ADS120" s="106"/>
      <c r="ADT120" s="106"/>
      <c r="ADU120" s="106"/>
      <c r="ADV120" s="106"/>
      <c r="ADW120" s="106"/>
      <c r="ADX120" s="106"/>
      <c r="ADY120" s="106"/>
      <c r="ADZ120" s="106"/>
      <c r="AEA120" s="106"/>
      <c r="AEB120" s="106"/>
      <c r="AEC120" s="106"/>
      <c r="AED120" s="106"/>
      <c r="AEE120" s="106"/>
      <c r="AEF120" s="106"/>
      <c r="AEG120" s="106"/>
      <c r="AEH120" s="106"/>
      <c r="AEI120" s="106"/>
      <c r="AEJ120" s="106"/>
      <c r="AEK120" s="106"/>
      <c r="AEL120" s="106"/>
      <c r="AEM120" s="106"/>
      <c r="AEN120" s="106"/>
      <c r="AEO120" s="106"/>
      <c r="AEP120" s="106"/>
      <c r="AEQ120" s="106"/>
      <c r="AER120" s="106"/>
      <c r="AES120" s="106"/>
      <c r="AET120" s="106"/>
      <c r="AEU120" s="106"/>
      <c r="AEV120" s="106"/>
      <c r="AEW120" s="106"/>
      <c r="AEX120" s="106"/>
      <c r="AEY120" s="106"/>
      <c r="AEZ120" s="106"/>
      <c r="AFA120" s="106"/>
      <c r="AFB120" s="106"/>
      <c r="AFC120" s="106"/>
      <c r="AFD120" s="106"/>
      <c r="AFE120" s="106"/>
      <c r="AFF120" s="106"/>
      <c r="AFG120" s="106"/>
      <c r="AFH120" s="106"/>
      <c r="AFI120" s="106"/>
      <c r="AFJ120" s="106"/>
      <c r="AFK120" s="106"/>
      <c r="AFL120" s="106"/>
      <c r="AFM120" s="106"/>
      <c r="AFN120" s="106"/>
      <c r="AFO120" s="106"/>
      <c r="AFP120" s="106"/>
      <c r="AFQ120" s="106"/>
      <c r="AFR120" s="106"/>
      <c r="AFS120" s="106"/>
      <c r="AFT120" s="106"/>
      <c r="AFU120" s="106"/>
      <c r="AFV120" s="106"/>
      <c r="AFW120" s="106"/>
      <c r="AFX120" s="106"/>
      <c r="AFY120" s="106"/>
      <c r="AFZ120" s="106"/>
      <c r="AGA120" s="106"/>
      <c r="AGB120" s="106"/>
      <c r="AGC120" s="106"/>
      <c r="AGD120" s="106"/>
      <c r="AGE120" s="106"/>
      <c r="AGF120" s="106"/>
      <c r="AGG120" s="106"/>
      <c r="AGH120" s="106"/>
      <c r="AGI120" s="106"/>
      <c r="AGJ120" s="106"/>
      <c r="AGK120" s="106"/>
      <c r="AGL120" s="106"/>
      <c r="AGM120" s="106"/>
      <c r="AGN120" s="106"/>
      <c r="AGO120" s="106"/>
      <c r="AGP120" s="106"/>
      <c r="AGQ120" s="106"/>
      <c r="AGR120" s="106"/>
      <c r="AGS120" s="106"/>
      <c r="AGT120" s="106"/>
      <c r="AGU120" s="106"/>
      <c r="AGV120" s="106"/>
      <c r="AGW120" s="106"/>
      <c r="AGX120" s="106"/>
      <c r="AGY120" s="106"/>
      <c r="AGZ120" s="106"/>
      <c r="AHA120" s="106"/>
      <c r="AHB120" s="106"/>
      <c r="AHC120" s="106"/>
      <c r="AHD120" s="106"/>
      <c r="AHE120" s="106"/>
      <c r="AHF120" s="106"/>
      <c r="AHG120" s="106"/>
      <c r="AHH120" s="106"/>
      <c r="AHI120" s="106"/>
      <c r="AHJ120" s="106"/>
      <c r="AHK120" s="106"/>
      <c r="AHL120" s="106"/>
      <c r="AHM120" s="106"/>
      <c r="AHN120" s="106"/>
      <c r="AHO120" s="106"/>
      <c r="AHP120" s="106"/>
      <c r="AHQ120" s="106"/>
      <c r="AHR120" s="106"/>
      <c r="AHS120" s="106"/>
      <c r="AHT120" s="106"/>
      <c r="AHU120" s="106"/>
      <c r="AHV120" s="106"/>
      <c r="AHW120" s="106"/>
      <c r="AHX120" s="106"/>
      <c r="AHY120" s="106"/>
      <c r="AHZ120" s="106"/>
      <c r="AIA120" s="106"/>
      <c r="AIB120" s="106"/>
      <c r="AIC120" s="106"/>
      <c r="AID120" s="106"/>
      <c r="AIE120" s="106"/>
      <c r="AIF120" s="106"/>
      <c r="AIG120" s="106"/>
      <c r="AIH120" s="106"/>
      <c r="AII120" s="106"/>
      <c r="AIJ120" s="106"/>
      <c r="AIK120" s="106"/>
      <c r="AIL120" s="106"/>
      <c r="AIM120" s="106"/>
      <c r="AIN120" s="106"/>
      <c r="AIO120" s="106"/>
      <c r="AIP120" s="106"/>
      <c r="AIQ120" s="106"/>
      <c r="AIR120" s="106"/>
      <c r="AIS120" s="106"/>
      <c r="AIT120" s="106"/>
      <c r="AIU120" s="106"/>
      <c r="AIV120" s="106"/>
      <c r="AIW120" s="106"/>
      <c r="AIX120" s="106"/>
      <c r="AIY120" s="106"/>
      <c r="AIZ120" s="106"/>
      <c r="AJA120" s="106"/>
      <c r="AJB120" s="106"/>
      <c r="AJC120" s="106"/>
      <c r="AJD120" s="106"/>
      <c r="AJE120" s="106"/>
      <c r="AJF120" s="106"/>
      <c r="AJG120" s="106"/>
      <c r="AJH120" s="106"/>
      <c r="AJI120" s="106"/>
      <c r="AJJ120" s="106"/>
      <c r="AJK120" s="106"/>
      <c r="AJL120" s="106"/>
      <c r="AJM120" s="106"/>
      <c r="AJN120" s="106"/>
      <c r="AJO120" s="106"/>
      <c r="AJP120" s="106"/>
      <c r="AJQ120" s="106"/>
      <c r="AJR120" s="106"/>
      <c r="AJS120" s="106"/>
      <c r="AJT120" s="106"/>
      <c r="AJU120" s="106"/>
      <c r="AJV120" s="106"/>
      <c r="AJW120" s="106"/>
      <c r="AJX120" s="106"/>
      <c r="AJY120" s="106"/>
      <c r="AJZ120" s="106"/>
      <c r="AKA120" s="106"/>
      <c r="AKB120" s="106"/>
      <c r="AKC120" s="106"/>
      <c r="AKD120" s="106"/>
      <c r="AKE120" s="106"/>
      <c r="AKF120" s="106"/>
      <c r="AKG120" s="106"/>
      <c r="AKH120" s="106"/>
      <c r="AKI120" s="106"/>
      <c r="AKJ120" s="106"/>
      <c r="AKK120" s="106"/>
      <c r="AKL120" s="106"/>
      <c r="AKM120" s="106"/>
      <c r="AKN120" s="106"/>
      <c r="AKO120" s="106"/>
      <c r="AKP120" s="106"/>
      <c r="AKQ120" s="106"/>
      <c r="AKR120" s="106"/>
      <c r="AKS120" s="106"/>
      <c r="AKT120" s="106"/>
      <c r="AKU120" s="106"/>
      <c r="AKV120" s="106"/>
      <c r="AKW120" s="106"/>
      <c r="AKX120" s="106"/>
      <c r="AKY120" s="106"/>
      <c r="AKZ120" s="106"/>
      <c r="ALA120" s="106"/>
      <c r="ALB120" s="106"/>
      <c r="ALC120" s="106"/>
      <c r="ALD120" s="106"/>
      <c r="ALE120" s="106"/>
      <c r="ALF120" s="106"/>
      <c r="ALG120" s="106"/>
      <c r="ALH120" s="106"/>
    </row>
    <row r="121" spans="1:996" s="75" customFormat="1" ht="15.75" customHeight="1">
      <c r="A121" s="104"/>
      <c r="B121" s="75" t="str">
        <f t="shared" si="7"/>
        <v>S112514</v>
      </c>
      <c r="C121" s="396" t="s">
        <v>605</v>
      </c>
      <c r="D121" s="27" t="s">
        <v>128</v>
      </c>
      <c r="E121" s="75">
        <v>112514</v>
      </c>
      <c r="F121" s="105" t="s">
        <v>101</v>
      </c>
      <c r="G121" s="74">
        <f>IFERROR(VLOOKUP(E121,'BD - E - Mvto Cx'!$E$15:$G$500,3,0),0)</f>
        <v>0</v>
      </c>
      <c r="H121" s="72">
        <f>IFERROR(VLOOKUP(E121,'BD - E - Mvto Cx'!$N$15:$P$500,3,0),0)</f>
        <v>0</v>
      </c>
      <c r="I121" s="73">
        <f>IFERROR(VLOOKUP(E121,'BD - E - Mvto Cx'!$W$15:$Y$497,3,0),0)</f>
        <v>0</v>
      </c>
      <c r="J121" s="73">
        <f>IFERROR(VLOOKUP(E121,'BD - E - Mvto Cx'!$AF$15:$AI$500,3,0),0)</f>
        <v>0</v>
      </c>
      <c r="K121" s="73">
        <f>IFERROR(VLOOKUP(E121,'BD - E - Mvto Cx'!$AO$15:$AQ$500,3,0),0)</f>
        <v>0</v>
      </c>
      <c r="L121" s="73">
        <f>IFERROR(VLOOKUP(E121,'BD - E - Mvto Cx'!$AX$15:$AZ$500,3,0),0)</f>
        <v>0</v>
      </c>
      <c r="M121" s="73">
        <f>IFERROR(VLOOKUP(E121,'BD - E - Mvto Cx'!$BJ$15:$BL$500,3,0),0)</f>
        <v>0</v>
      </c>
      <c r="N121" s="73">
        <f>IFERROR(VLOOKUP(E121,'BD - E - Mvto Cx'!$BS$15:$BU$500,3,0),0)</f>
        <v>0</v>
      </c>
      <c r="O121" s="73">
        <f>IFERROR(VLOOKUP(E121,'BD - E - Mvto Cx'!$CB$15:$CD$500,3,0),0)</f>
        <v>0</v>
      </c>
      <c r="P121" s="73">
        <f>IFERROR(VLOOKUP(E121,'BD - E - Mvto Cx'!$CK$15:$CM$500,3,0),0)</f>
        <v>0</v>
      </c>
      <c r="Q121" s="73">
        <f>IFERROR(VLOOKUP(E121,'BD - E - Mvto Cx'!$CT$15:$CV$500,3,0),0)</f>
        <v>0</v>
      </c>
      <c r="R121" s="73">
        <f>IFERROR(VLOOKUP(E121,'BD - E - Mvto Cx'!$DC$15:$DE$500,3,0),0)</f>
        <v>0</v>
      </c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  <c r="DA121" s="106"/>
      <c r="DB121" s="106"/>
      <c r="DC121" s="106"/>
      <c r="DD121" s="106"/>
      <c r="DE121" s="106"/>
      <c r="DF121" s="106"/>
      <c r="DG121" s="106"/>
      <c r="DH121" s="106"/>
      <c r="DI121" s="106"/>
      <c r="DJ121" s="106"/>
      <c r="DK121" s="106"/>
      <c r="DL121" s="106"/>
      <c r="DM121" s="106"/>
      <c r="DN121" s="106"/>
      <c r="DO121" s="106"/>
      <c r="DP121" s="106"/>
      <c r="DQ121" s="106"/>
      <c r="DR121" s="106"/>
      <c r="DS121" s="106"/>
      <c r="DT121" s="106"/>
      <c r="DU121" s="106"/>
      <c r="DV121" s="106"/>
      <c r="DW121" s="106"/>
      <c r="DX121" s="106"/>
      <c r="DY121" s="106"/>
      <c r="DZ121" s="106"/>
      <c r="EA121" s="106"/>
      <c r="EB121" s="106"/>
      <c r="EC121" s="106"/>
      <c r="ED121" s="106"/>
      <c r="EE121" s="106"/>
      <c r="EF121" s="106"/>
      <c r="EG121" s="106"/>
      <c r="EH121" s="106"/>
      <c r="EI121" s="106"/>
      <c r="EJ121" s="106"/>
      <c r="EK121" s="106"/>
      <c r="EL121" s="106"/>
      <c r="EM121" s="106"/>
      <c r="EN121" s="106"/>
      <c r="EO121" s="106"/>
      <c r="EP121" s="106"/>
      <c r="EQ121" s="106"/>
      <c r="ER121" s="106"/>
      <c r="ES121" s="106"/>
      <c r="ET121" s="106"/>
      <c r="EU121" s="106"/>
      <c r="EV121" s="106"/>
      <c r="EW121" s="106"/>
      <c r="EX121" s="106"/>
      <c r="EY121" s="106"/>
      <c r="EZ121" s="106"/>
      <c r="FA121" s="106"/>
      <c r="FB121" s="106"/>
      <c r="FC121" s="106"/>
      <c r="FD121" s="106"/>
      <c r="FE121" s="106"/>
      <c r="FF121" s="106"/>
      <c r="FG121" s="106"/>
      <c r="FH121" s="106"/>
      <c r="FI121" s="106"/>
      <c r="FJ121" s="106"/>
      <c r="FK121" s="106"/>
      <c r="FL121" s="106"/>
      <c r="FM121" s="106"/>
      <c r="FN121" s="106"/>
      <c r="FO121" s="106"/>
      <c r="FP121" s="106"/>
      <c r="FQ121" s="106"/>
      <c r="FR121" s="106"/>
      <c r="FS121" s="106"/>
      <c r="FT121" s="106"/>
      <c r="FU121" s="106"/>
      <c r="FV121" s="106"/>
      <c r="FW121" s="106"/>
      <c r="FX121" s="106"/>
      <c r="FY121" s="106"/>
      <c r="FZ121" s="106"/>
      <c r="GA121" s="106"/>
      <c r="GB121" s="106"/>
      <c r="GC121" s="106"/>
      <c r="GD121" s="106"/>
      <c r="GE121" s="106"/>
      <c r="GF121" s="106"/>
      <c r="GG121" s="106"/>
      <c r="GH121" s="106"/>
      <c r="GI121" s="106"/>
      <c r="GJ121" s="106"/>
      <c r="GK121" s="106"/>
      <c r="GL121" s="106"/>
      <c r="GM121" s="106"/>
      <c r="GN121" s="106"/>
      <c r="GO121" s="106"/>
      <c r="GP121" s="106"/>
      <c r="GQ121" s="106"/>
      <c r="GR121" s="106"/>
      <c r="GS121" s="106"/>
      <c r="GT121" s="106"/>
      <c r="GU121" s="106"/>
      <c r="GV121" s="106"/>
      <c r="GW121" s="106"/>
      <c r="GX121" s="106"/>
      <c r="GY121" s="106"/>
      <c r="GZ121" s="106"/>
      <c r="HA121" s="106"/>
      <c r="HB121" s="106"/>
      <c r="HC121" s="106"/>
      <c r="HD121" s="106"/>
      <c r="HE121" s="106"/>
      <c r="HF121" s="106"/>
      <c r="HG121" s="106"/>
      <c r="HH121" s="106"/>
      <c r="HI121" s="106"/>
      <c r="HJ121" s="106"/>
      <c r="HK121" s="106"/>
      <c r="HL121" s="106"/>
      <c r="HM121" s="106"/>
      <c r="HN121" s="106"/>
      <c r="HO121" s="106"/>
      <c r="HP121" s="106"/>
      <c r="HQ121" s="106"/>
      <c r="HR121" s="106"/>
      <c r="HS121" s="106"/>
      <c r="HT121" s="106"/>
      <c r="HU121" s="106"/>
      <c r="HV121" s="106"/>
      <c r="HW121" s="106"/>
      <c r="HX121" s="106"/>
      <c r="HY121" s="106"/>
      <c r="HZ121" s="106"/>
      <c r="IA121" s="106"/>
      <c r="IB121" s="106"/>
      <c r="IC121" s="106"/>
      <c r="ID121" s="106"/>
      <c r="IE121" s="106"/>
      <c r="IF121" s="106"/>
      <c r="IG121" s="106"/>
      <c r="IH121" s="106"/>
      <c r="II121" s="106"/>
      <c r="IJ121" s="106"/>
      <c r="IK121" s="106"/>
      <c r="IL121" s="106"/>
      <c r="IM121" s="106"/>
      <c r="IN121" s="106"/>
      <c r="IO121" s="106"/>
      <c r="IP121" s="106"/>
      <c r="IQ121" s="106"/>
      <c r="IR121" s="106"/>
      <c r="IS121" s="106"/>
      <c r="IT121" s="106"/>
      <c r="IU121" s="106"/>
      <c r="IV121" s="106"/>
      <c r="IW121" s="106"/>
      <c r="IX121" s="106"/>
      <c r="IY121" s="106"/>
      <c r="IZ121" s="106"/>
      <c r="JA121" s="106"/>
      <c r="JB121" s="106"/>
      <c r="JC121" s="106"/>
      <c r="JD121" s="106"/>
      <c r="JE121" s="106"/>
      <c r="JF121" s="106"/>
      <c r="JG121" s="106"/>
      <c r="JH121" s="106"/>
      <c r="JI121" s="106"/>
      <c r="JJ121" s="106"/>
      <c r="JK121" s="106"/>
      <c r="JL121" s="106"/>
      <c r="JM121" s="106"/>
      <c r="JN121" s="106"/>
      <c r="JO121" s="106"/>
      <c r="JP121" s="106"/>
      <c r="JQ121" s="106"/>
      <c r="JR121" s="106"/>
      <c r="JS121" s="106"/>
      <c r="JT121" s="106"/>
      <c r="JU121" s="106"/>
      <c r="JV121" s="106"/>
      <c r="JW121" s="106"/>
      <c r="JX121" s="106"/>
      <c r="JY121" s="106"/>
      <c r="JZ121" s="106"/>
      <c r="KA121" s="106"/>
      <c r="KB121" s="106"/>
      <c r="KC121" s="106"/>
      <c r="KD121" s="106"/>
      <c r="KE121" s="106"/>
      <c r="KF121" s="106"/>
      <c r="KG121" s="106"/>
      <c r="KH121" s="106"/>
      <c r="KI121" s="106"/>
      <c r="KJ121" s="106"/>
      <c r="KK121" s="106"/>
      <c r="KL121" s="106"/>
      <c r="KM121" s="106"/>
      <c r="KN121" s="106"/>
      <c r="KO121" s="106"/>
      <c r="KP121" s="106"/>
      <c r="KQ121" s="106"/>
      <c r="KR121" s="106"/>
      <c r="KS121" s="106"/>
      <c r="KT121" s="106"/>
      <c r="KU121" s="106"/>
      <c r="KV121" s="106"/>
      <c r="KW121" s="106"/>
      <c r="KX121" s="106"/>
      <c r="KY121" s="106"/>
      <c r="KZ121" s="106"/>
      <c r="LA121" s="106"/>
      <c r="LB121" s="106"/>
      <c r="LC121" s="106"/>
      <c r="LD121" s="106"/>
      <c r="LE121" s="106"/>
      <c r="LF121" s="106"/>
      <c r="LG121" s="106"/>
      <c r="LH121" s="106"/>
      <c r="LI121" s="106"/>
      <c r="LJ121" s="106"/>
      <c r="LK121" s="106"/>
      <c r="LL121" s="106"/>
      <c r="LM121" s="106"/>
      <c r="LN121" s="106"/>
      <c r="LO121" s="106"/>
      <c r="LP121" s="106"/>
      <c r="LQ121" s="106"/>
      <c r="LR121" s="106"/>
      <c r="LS121" s="106"/>
      <c r="LT121" s="106"/>
      <c r="LU121" s="106"/>
      <c r="LV121" s="106"/>
      <c r="LW121" s="106"/>
      <c r="LX121" s="106"/>
      <c r="LY121" s="106"/>
      <c r="LZ121" s="106"/>
      <c r="MA121" s="106"/>
      <c r="MB121" s="106"/>
      <c r="MC121" s="106"/>
      <c r="MD121" s="106"/>
      <c r="ME121" s="106"/>
      <c r="MF121" s="106"/>
      <c r="MG121" s="106"/>
      <c r="MH121" s="106"/>
      <c r="MI121" s="106"/>
      <c r="MJ121" s="106"/>
      <c r="MK121" s="106"/>
      <c r="ML121" s="106"/>
      <c r="MM121" s="106"/>
      <c r="MN121" s="106"/>
      <c r="MO121" s="106"/>
      <c r="MP121" s="106"/>
      <c r="MQ121" s="106"/>
      <c r="MR121" s="106"/>
      <c r="MS121" s="106"/>
      <c r="MT121" s="106"/>
      <c r="MU121" s="106"/>
      <c r="MV121" s="106"/>
      <c r="MW121" s="106"/>
      <c r="MX121" s="106"/>
      <c r="MY121" s="106"/>
      <c r="MZ121" s="106"/>
      <c r="NA121" s="106"/>
      <c r="NB121" s="106"/>
      <c r="NC121" s="106"/>
      <c r="ND121" s="106"/>
      <c r="NE121" s="106"/>
      <c r="NF121" s="106"/>
      <c r="NG121" s="106"/>
      <c r="NH121" s="106"/>
      <c r="NI121" s="106"/>
      <c r="NJ121" s="106"/>
      <c r="NK121" s="106"/>
      <c r="NL121" s="106"/>
      <c r="NM121" s="106"/>
      <c r="NN121" s="106"/>
      <c r="NO121" s="106"/>
      <c r="NP121" s="106"/>
      <c r="NQ121" s="106"/>
      <c r="NR121" s="106"/>
      <c r="NS121" s="106"/>
      <c r="NT121" s="106"/>
      <c r="NU121" s="106"/>
      <c r="NV121" s="106"/>
      <c r="NW121" s="106"/>
      <c r="NX121" s="106"/>
      <c r="NY121" s="106"/>
      <c r="NZ121" s="106"/>
      <c r="OA121" s="106"/>
      <c r="OB121" s="106"/>
      <c r="OC121" s="106"/>
      <c r="OD121" s="106"/>
      <c r="OE121" s="106"/>
      <c r="OF121" s="106"/>
      <c r="OG121" s="106"/>
      <c r="OH121" s="106"/>
      <c r="OI121" s="106"/>
      <c r="OJ121" s="106"/>
      <c r="OK121" s="106"/>
      <c r="OL121" s="106"/>
      <c r="OM121" s="106"/>
      <c r="ON121" s="106"/>
      <c r="OO121" s="106"/>
      <c r="OP121" s="106"/>
      <c r="OQ121" s="106"/>
      <c r="OR121" s="106"/>
      <c r="OS121" s="106"/>
      <c r="OT121" s="106"/>
      <c r="OU121" s="106"/>
      <c r="OV121" s="106"/>
      <c r="OW121" s="106"/>
      <c r="OX121" s="106"/>
      <c r="OY121" s="106"/>
      <c r="OZ121" s="106"/>
      <c r="PA121" s="106"/>
      <c r="PB121" s="106"/>
      <c r="PC121" s="106"/>
      <c r="PD121" s="106"/>
      <c r="PE121" s="106"/>
      <c r="PF121" s="106"/>
      <c r="PG121" s="106"/>
      <c r="PH121" s="106"/>
      <c r="PI121" s="106"/>
      <c r="PJ121" s="106"/>
      <c r="PK121" s="106"/>
      <c r="PL121" s="106"/>
      <c r="PM121" s="106"/>
      <c r="PN121" s="106"/>
      <c r="PO121" s="106"/>
      <c r="PP121" s="106"/>
      <c r="PQ121" s="106"/>
      <c r="PR121" s="106"/>
      <c r="PS121" s="106"/>
      <c r="PT121" s="106"/>
      <c r="PU121" s="106"/>
      <c r="PV121" s="106"/>
      <c r="PW121" s="106"/>
      <c r="PX121" s="106"/>
      <c r="PY121" s="106"/>
      <c r="PZ121" s="106"/>
      <c r="QA121" s="106"/>
      <c r="QB121" s="106"/>
      <c r="QC121" s="106"/>
      <c r="QD121" s="106"/>
      <c r="QE121" s="106"/>
      <c r="QF121" s="106"/>
      <c r="QG121" s="106"/>
      <c r="QH121" s="106"/>
      <c r="QI121" s="106"/>
      <c r="QJ121" s="106"/>
      <c r="QK121" s="106"/>
      <c r="QL121" s="106"/>
      <c r="QM121" s="106"/>
      <c r="QN121" s="106"/>
      <c r="QO121" s="106"/>
      <c r="QP121" s="106"/>
      <c r="QQ121" s="106"/>
      <c r="QR121" s="106"/>
      <c r="QS121" s="106"/>
      <c r="QT121" s="106"/>
      <c r="QU121" s="106"/>
      <c r="QV121" s="106"/>
      <c r="QW121" s="106"/>
      <c r="QX121" s="106"/>
      <c r="QY121" s="106"/>
      <c r="QZ121" s="106"/>
      <c r="RA121" s="106"/>
      <c r="RB121" s="106"/>
      <c r="RC121" s="106"/>
      <c r="RD121" s="106"/>
      <c r="RE121" s="106"/>
      <c r="RF121" s="106"/>
      <c r="RG121" s="106"/>
      <c r="RH121" s="106"/>
      <c r="RI121" s="106"/>
      <c r="RJ121" s="106"/>
      <c r="RK121" s="106"/>
      <c r="RL121" s="106"/>
      <c r="RM121" s="106"/>
      <c r="RN121" s="106"/>
      <c r="RO121" s="106"/>
      <c r="RP121" s="106"/>
      <c r="RQ121" s="106"/>
      <c r="RR121" s="106"/>
      <c r="RS121" s="106"/>
      <c r="RT121" s="106"/>
      <c r="RU121" s="106"/>
      <c r="RV121" s="106"/>
      <c r="RW121" s="106"/>
      <c r="RX121" s="106"/>
      <c r="RY121" s="106"/>
      <c r="RZ121" s="106"/>
      <c r="SA121" s="106"/>
      <c r="SB121" s="106"/>
      <c r="SC121" s="106"/>
      <c r="SD121" s="106"/>
      <c r="SE121" s="106"/>
      <c r="SF121" s="106"/>
      <c r="SG121" s="106"/>
      <c r="SH121" s="106"/>
      <c r="SI121" s="106"/>
      <c r="SJ121" s="106"/>
      <c r="SK121" s="106"/>
      <c r="SL121" s="106"/>
      <c r="SM121" s="106"/>
      <c r="SN121" s="106"/>
      <c r="SO121" s="106"/>
      <c r="SP121" s="106"/>
      <c r="SQ121" s="106"/>
      <c r="SR121" s="106"/>
      <c r="SS121" s="106"/>
      <c r="ST121" s="106"/>
      <c r="SU121" s="106"/>
      <c r="SV121" s="106"/>
      <c r="SW121" s="106"/>
      <c r="SX121" s="106"/>
      <c r="SY121" s="106"/>
      <c r="SZ121" s="106"/>
      <c r="TA121" s="106"/>
      <c r="TB121" s="106"/>
      <c r="TC121" s="106"/>
      <c r="TD121" s="106"/>
      <c r="TE121" s="106"/>
      <c r="TF121" s="106"/>
      <c r="TG121" s="106"/>
      <c r="TH121" s="106"/>
      <c r="TI121" s="106"/>
      <c r="TJ121" s="106"/>
      <c r="TK121" s="106"/>
      <c r="TL121" s="106"/>
      <c r="TM121" s="106"/>
      <c r="TN121" s="106"/>
      <c r="TO121" s="106"/>
      <c r="TP121" s="106"/>
      <c r="TQ121" s="106"/>
      <c r="TR121" s="106"/>
      <c r="TS121" s="106"/>
      <c r="TT121" s="106"/>
      <c r="TU121" s="106"/>
      <c r="TV121" s="106"/>
      <c r="TW121" s="106"/>
      <c r="TX121" s="106"/>
      <c r="TY121" s="106"/>
      <c r="TZ121" s="106"/>
      <c r="UA121" s="106"/>
      <c r="UB121" s="106"/>
      <c r="UC121" s="106"/>
      <c r="UD121" s="106"/>
      <c r="UE121" s="106"/>
      <c r="UF121" s="106"/>
      <c r="UG121" s="106"/>
      <c r="UH121" s="106"/>
      <c r="UI121" s="106"/>
      <c r="UJ121" s="106"/>
      <c r="UK121" s="106"/>
      <c r="UL121" s="106"/>
      <c r="UM121" s="106"/>
      <c r="UN121" s="106"/>
      <c r="UO121" s="106"/>
      <c r="UP121" s="106"/>
      <c r="UQ121" s="106"/>
      <c r="UR121" s="106"/>
      <c r="US121" s="106"/>
      <c r="UT121" s="106"/>
      <c r="UU121" s="106"/>
      <c r="UV121" s="106"/>
      <c r="UW121" s="106"/>
      <c r="UX121" s="106"/>
      <c r="UY121" s="106"/>
      <c r="UZ121" s="106"/>
      <c r="VA121" s="106"/>
      <c r="VB121" s="106"/>
      <c r="VC121" s="106"/>
      <c r="VD121" s="106"/>
      <c r="VE121" s="106"/>
      <c r="VF121" s="106"/>
      <c r="VG121" s="106"/>
      <c r="VH121" s="106"/>
      <c r="VI121" s="106"/>
      <c r="VJ121" s="106"/>
      <c r="VK121" s="106"/>
      <c r="VL121" s="106"/>
      <c r="VM121" s="106"/>
      <c r="VN121" s="106"/>
      <c r="VO121" s="106"/>
      <c r="VP121" s="106"/>
      <c r="VQ121" s="106"/>
      <c r="VR121" s="106"/>
      <c r="VS121" s="106"/>
      <c r="VT121" s="106"/>
      <c r="VU121" s="106"/>
      <c r="VV121" s="106"/>
      <c r="VW121" s="106"/>
      <c r="VX121" s="106"/>
      <c r="VY121" s="106"/>
      <c r="VZ121" s="106"/>
      <c r="WA121" s="106"/>
      <c r="WB121" s="106"/>
      <c r="WC121" s="106"/>
      <c r="WD121" s="106"/>
      <c r="WE121" s="106"/>
      <c r="WF121" s="106"/>
      <c r="WG121" s="106"/>
      <c r="WH121" s="106"/>
      <c r="WI121" s="106"/>
      <c r="WJ121" s="106"/>
      <c r="WK121" s="106"/>
      <c r="WL121" s="106"/>
      <c r="WM121" s="106"/>
      <c r="WN121" s="106"/>
      <c r="WO121" s="106"/>
      <c r="WP121" s="106"/>
      <c r="WQ121" s="106"/>
      <c r="WR121" s="106"/>
      <c r="WS121" s="106"/>
      <c r="WT121" s="106"/>
      <c r="WU121" s="106"/>
      <c r="WV121" s="106"/>
      <c r="WW121" s="106"/>
      <c r="WX121" s="106"/>
      <c r="WY121" s="106"/>
      <c r="WZ121" s="106"/>
      <c r="XA121" s="106"/>
      <c r="XB121" s="106"/>
      <c r="XC121" s="106"/>
      <c r="XD121" s="106"/>
      <c r="XE121" s="106"/>
      <c r="XF121" s="106"/>
      <c r="XG121" s="106"/>
      <c r="XH121" s="106"/>
      <c r="XI121" s="106"/>
      <c r="XJ121" s="106"/>
      <c r="XK121" s="106"/>
      <c r="XL121" s="106"/>
      <c r="XM121" s="106"/>
      <c r="XN121" s="106"/>
      <c r="XO121" s="106"/>
      <c r="XP121" s="106"/>
      <c r="XQ121" s="106"/>
      <c r="XR121" s="106"/>
      <c r="XS121" s="106"/>
      <c r="XT121" s="106"/>
      <c r="XU121" s="106"/>
      <c r="XV121" s="106"/>
      <c r="XW121" s="106"/>
      <c r="XX121" s="106"/>
      <c r="XY121" s="106"/>
      <c r="XZ121" s="106"/>
      <c r="YA121" s="106"/>
      <c r="YB121" s="106"/>
      <c r="YC121" s="106"/>
      <c r="YD121" s="106"/>
      <c r="YE121" s="106"/>
      <c r="YF121" s="106"/>
      <c r="YG121" s="106"/>
      <c r="YH121" s="106"/>
      <c r="YI121" s="106"/>
      <c r="YJ121" s="106"/>
      <c r="YK121" s="106"/>
      <c r="YL121" s="106"/>
      <c r="YM121" s="106"/>
      <c r="YN121" s="106"/>
      <c r="YO121" s="106"/>
      <c r="YP121" s="106"/>
      <c r="YQ121" s="106"/>
      <c r="YR121" s="106"/>
      <c r="YS121" s="106"/>
      <c r="YT121" s="106"/>
      <c r="YU121" s="106"/>
      <c r="YV121" s="106"/>
      <c r="YW121" s="106"/>
      <c r="YX121" s="106"/>
      <c r="YY121" s="106"/>
      <c r="YZ121" s="106"/>
      <c r="ZA121" s="106"/>
      <c r="ZB121" s="106"/>
      <c r="ZC121" s="106"/>
      <c r="ZD121" s="106"/>
      <c r="ZE121" s="106"/>
      <c r="ZF121" s="106"/>
      <c r="ZG121" s="106"/>
      <c r="ZH121" s="106"/>
      <c r="ZI121" s="106"/>
      <c r="ZJ121" s="106"/>
      <c r="ZK121" s="106"/>
      <c r="ZL121" s="106"/>
      <c r="ZM121" s="106"/>
      <c r="ZN121" s="106"/>
      <c r="ZO121" s="106"/>
      <c r="ZP121" s="106"/>
      <c r="ZQ121" s="106"/>
      <c r="ZR121" s="106"/>
      <c r="ZS121" s="106"/>
      <c r="ZT121" s="106"/>
      <c r="ZU121" s="106"/>
      <c r="ZV121" s="106"/>
      <c r="ZW121" s="106"/>
      <c r="ZX121" s="106"/>
      <c r="ZY121" s="106"/>
      <c r="ZZ121" s="106"/>
      <c r="AAA121" s="106"/>
      <c r="AAB121" s="106"/>
      <c r="AAC121" s="106"/>
      <c r="AAD121" s="106"/>
      <c r="AAE121" s="106"/>
      <c r="AAF121" s="106"/>
      <c r="AAG121" s="106"/>
      <c r="AAH121" s="106"/>
      <c r="AAI121" s="106"/>
      <c r="AAJ121" s="106"/>
      <c r="AAK121" s="106"/>
      <c r="AAL121" s="106"/>
      <c r="AAM121" s="106"/>
      <c r="AAN121" s="106"/>
      <c r="AAO121" s="106"/>
      <c r="AAP121" s="106"/>
      <c r="AAQ121" s="106"/>
      <c r="AAR121" s="106"/>
      <c r="AAS121" s="106"/>
      <c r="AAT121" s="106"/>
      <c r="AAU121" s="106"/>
      <c r="AAV121" s="106"/>
      <c r="AAW121" s="106"/>
      <c r="AAX121" s="106"/>
      <c r="AAY121" s="106"/>
      <c r="AAZ121" s="106"/>
      <c r="ABA121" s="106"/>
      <c r="ABB121" s="106"/>
      <c r="ABC121" s="106"/>
      <c r="ABD121" s="106"/>
      <c r="ABE121" s="106"/>
      <c r="ABF121" s="106"/>
      <c r="ABG121" s="106"/>
      <c r="ABH121" s="106"/>
      <c r="ABI121" s="106"/>
      <c r="ABJ121" s="106"/>
      <c r="ABK121" s="106"/>
      <c r="ABL121" s="106"/>
      <c r="ABM121" s="106"/>
      <c r="ABN121" s="106"/>
      <c r="ABO121" s="106"/>
      <c r="ABP121" s="106"/>
      <c r="ABQ121" s="106"/>
      <c r="ABR121" s="106"/>
      <c r="ABS121" s="106"/>
      <c r="ABT121" s="106"/>
      <c r="ABU121" s="106"/>
      <c r="ABV121" s="106"/>
      <c r="ABW121" s="106"/>
      <c r="ABX121" s="106"/>
      <c r="ABY121" s="106"/>
      <c r="ABZ121" s="106"/>
      <c r="ACA121" s="106"/>
      <c r="ACB121" s="106"/>
      <c r="ACC121" s="106"/>
      <c r="ACD121" s="106"/>
      <c r="ACE121" s="106"/>
      <c r="ACF121" s="106"/>
      <c r="ACG121" s="106"/>
      <c r="ACH121" s="106"/>
      <c r="ACI121" s="106"/>
      <c r="ACJ121" s="106"/>
      <c r="ACK121" s="106"/>
      <c r="ACL121" s="106"/>
      <c r="ACM121" s="106"/>
      <c r="ACN121" s="106"/>
      <c r="ACO121" s="106"/>
      <c r="ACP121" s="106"/>
      <c r="ACQ121" s="106"/>
      <c r="ACR121" s="106"/>
      <c r="ACS121" s="106"/>
      <c r="ACT121" s="106"/>
      <c r="ACU121" s="106"/>
      <c r="ACV121" s="106"/>
      <c r="ACW121" s="106"/>
      <c r="ACX121" s="106"/>
      <c r="ACY121" s="106"/>
      <c r="ACZ121" s="106"/>
      <c r="ADA121" s="106"/>
      <c r="ADB121" s="106"/>
      <c r="ADC121" s="106"/>
      <c r="ADD121" s="106"/>
      <c r="ADE121" s="106"/>
      <c r="ADF121" s="106"/>
      <c r="ADG121" s="106"/>
      <c r="ADH121" s="106"/>
      <c r="ADI121" s="106"/>
      <c r="ADJ121" s="106"/>
      <c r="ADK121" s="106"/>
      <c r="ADL121" s="106"/>
      <c r="ADM121" s="106"/>
      <c r="ADN121" s="106"/>
      <c r="ADO121" s="106"/>
      <c r="ADP121" s="106"/>
      <c r="ADQ121" s="106"/>
      <c r="ADR121" s="106"/>
      <c r="ADS121" s="106"/>
      <c r="ADT121" s="106"/>
      <c r="ADU121" s="106"/>
      <c r="ADV121" s="106"/>
      <c r="ADW121" s="106"/>
      <c r="ADX121" s="106"/>
      <c r="ADY121" s="106"/>
      <c r="ADZ121" s="106"/>
      <c r="AEA121" s="106"/>
      <c r="AEB121" s="106"/>
      <c r="AEC121" s="106"/>
      <c r="AED121" s="106"/>
      <c r="AEE121" s="106"/>
      <c r="AEF121" s="106"/>
      <c r="AEG121" s="106"/>
      <c r="AEH121" s="106"/>
      <c r="AEI121" s="106"/>
      <c r="AEJ121" s="106"/>
      <c r="AEK121" s="106"/>
      <c r="AEL121" s="106"/>
      <c r="AEM121" s="106"/>
      <c r="AEN121" s="106"/>
      <c r="AEO121" s="106"/>
      <c r="AEP121" s="106"/>
      <c r="AEQ121" s="106"/>
      <c r="AER121" s="106"/>
      <c r="AES121" s="106"/>
      <c r="AET121" s="106"/>
      <c r="AEU121" s="106"/>
      <c r="AEV121" s="106"/>
      <c r="AEW121" s="106"/>
      <c r="AEX121" s="106"/>
      <c r="AEY121" s="106"/>
      <c r="AEZ121" s="106"/>
      <c r="AFA121" s="106"/>
      <c r="AFB121" s="106"/>
      <c r="AFC121" s="106"/>
      <c r="AFD121" s="106"/>
      <c r="AFE121" s="106"/>
      <c r="AFF121" s="106"/>
      <c r="AFG121" s="106"/>
      <c r="AFH121" s="106"/>
      <c r="AFI121" s="106"/>
      <c r="AFJ121" s="106"/>
      <c r="AFK121" s="106"/>
      <c r="AFL121" s="106"/>
      <c r="AFM121" s="106"/>
      <c r="AFN121" s="106"/>
      <c r="AFO121" s="106"/>
      <c r="AFP121" s="106"/>
      <c r="AFQ121" s="106"/>
      <c r="AFR121" s="106"/>
      <c r="AFS121" s="106"/>
      <c r="AFT121" s="106"/>
      <c r="AFU121" s="106"/>
      <c r="AFV121" s="106"/>
      <c r="AFW121" s="106"/>
      <c r="AFX121" s="106"/>
      <c r="AFY121" s="106"/>
      <c r="AFZ121" s="106"/>
      <c r="AGA121" s="106"/>
      <c r="AGB121" s="106"/>
      <c r="AGC121" s="106"/>
      <c r="AGD121" s="106"/>
      <c r="AGE121" s="106"/>
      <c r="AGF121" s="106"/>
      <c r="AGG121" s="106"/>
      <c r="AGH121" s="106"/>
      <c r="AGI121" s="106"/>
      <c r="AGJ121" s="106"/>
      <c r="AGK121" s="106"/>
      <c r="AGL121" s="106"/>
      <c r="AGM121" s="106"/>
      <c r="AGN121" s="106"/>
      <c r="AGO121" s="106"/>
      <c r="AGP121" s="106"/>
      <c r="AGQ121" s="106"/>
      <c r="AGR121" s="106"/>
      <c r="AGS121" s="106"/>
      <c r="AGT121" s="106"/>
      <c r="AGU121" s="106"/>
      <c r="AGV121" s="106"/>
      <c r="AGW121" s="106"/>
      <c r="AGX121" s="106"/>
      <c r="AGY121" s="106"/>
      <c r="AGZ121" s="106"/>
      <c r="AHA121" s="106"/>
      <c r="AHB121" s="106"/>
      <c r="AHC121" s="106"/>
      <c r="AHD121" s="106"/>
      <c r="AHE121" s="106"/>
      <c r="AHF121" s="106"/>
      <c r="AHG121" s="106"/>
      <c r="AHH121" s="106"/>
      <c r="AHI121" s="106"/>
      <c r="AHJ121" s="106"/>
      <c r="AHK121" s="106"/>
      <c r="AHL121" s="106"/>
      <c r="AHM121" s="106"/>
      <c r="AHN121" s="106"/>
      <c r="AHO121" s="106"/>
      <c r="AHP121" s="106"/>
      <c r="AHQ121" s="106"/>
      <c r="AHR121" s="106"/>
      <c r="AHS121" s="106"/>
      <c r="AHT121" s="106"/>
      <c r="AHU121" s="106"/>
      <c r="AHV121" s="106"/>
      <c r="AHW121" s="106"/>
      <c r="AHX121" s="106"/>
      <c r="AHY121" s="106"/>
      <c r="AHZ121" s="106"/>
      <c r="AIA121" s="106"/>
      <c r="AIB121" s="106"/>
      <c r="AIC121" s="106"/>
      <c r="AID121" s="106"/>
      <c r="AIE121" s="106"/>
      <c r="AIF121" s="106"/>
      <c r="AIG121" s="106"/>
      <c r="AIH121" s="106"/>
      <c r="AII121" s="106"/>
      <c r="AIJ121" s="106"/>
      <c r="AIK121" s="106"/>
      <c r="AIL121" s="106"/>
      <c r="AIM121" s="106"/>
      <c r="AIN121" s="106"/>
      <c r="AIO121" s="106"/>
      <c r="AIP121" s="106"/>
      <c r="AIQ121" s="106"/>
      <c r="AIR121" s="106"/>
      <c r="AIS121" s="106"/>
      <c r="AIT121" s="106"/>
      <c r="AIU121" s="106"/>
      <c r="AIV121" s="106"/>
      <c r="AIW121" s="106"/>
      <c r="AIX121" s="106"/>
      <c r="AIY121" s="106"/>
      <c r="AIZ121" s="106"/>
      <c r="AJA121" s="106"/>
      <c r="AJB121" s="106"/>
      <c r="AJC121" s="106"/>
      <c r="AJD121" s="106"/>
      <c r="AJE121" s="106"/>
      <c r="AJF121" s="106"/>
      <c r="AJG121" s="106"/>
      <c r="AJH121" s="106"/>
      <c r="AJI121" s="106"/>
      <c r="AJJ121" s="106"/>
      <c r="AJK121" s="106"/>
      <c r="AJL121" s="106"/>
      <c r="AJM121" s="106"/>
      <c r="AJN121" s="106"/>
      <c r="AJO121" s="106"/>
      <c r="AJP121" s="106"/>
      <c r="AJQ121" s="106"/>
      <c r="AJR121" s="106"/>
      <c r="AJS121" s="106"/>
      <c r="AJT121" s="106"/>
      <c r="AJU121" s="106"/>
      <c r="AJV121" s="106"/>
      <c r="AJW121" s="106"/>
      <c r="AJX121" s="106"/>
      <c r="AJY121" s="106"/>
      <c r="AJZ121" s="106"/>
      <c r="AKA121" s="106"/>
      <c r="AKB121" s="106"/>
      <c r="AKC121" s="106"/>
      <c r="AKD121" s="106"/>
      <c r="AKE121" s="106"/>
      <c r="AKF121" s="106"/>
      <c r="AKG121" s="106"/>
      <c r="AKH121" s="106"/>
      <c r="AKI121" s="106"/>
      <c r="AKJ121" s="106"/>
      <c r="AKK121" s="106"/>
      <c r="AKL121" s="106"/>
      <c r="AKM121" s="106"/>
      <c r="AKN121" s="106"/>
      <c r="AKO121" s="106"/>
      <c r="AKP121" s="106"/>
      <c r="AKQ121" s="106"/>
      <c r="AKR121" s="106"/>
      <c r="AKS121" s="106"/>
      <c r="AKT121" s="106"/>
      <c r="AKU121" s="106"/>
      <c r="AKV121" s="106"/>
      <c r="AKW121" s="106"/>
      <c r="AKX121" s="106"/>
      <c r="AKY121" s="106"/>
      <c r="AKZ121" s="106"/>
      <c r="ALA121" s="106"/>
      <c r="ALB121" s="106"/>
      <c r="ALC121" s="106"/>
      <c r="ALD121" s="106"/>
      <c r="ALE121" s="106"/>
      <c r="ALF121" s="106"/>
      <c r="ALG121" s="106"/>
      <c r="ALH121" s="106"/>
    </row>
    <row r="122" spans="1:996">
      <c r="A122" s="37"/>
      <c r="B122" t="str">
        <f t="shared" si="0"/>
        <v>S113118</v>
      </c>
      <c r="C122" s="29" t="s">
        <v>338</v>
      </c>
      <c r="D122" s="27" t="s">
        <v>128</v>
      </c>
      <c r="E122" s="7">
        <v>113118</v>
      </c>
      <c r="F122" s="48" t="s">
        <v>129</v>
      </c>
      <c r="G122" s="49">
        <f>IFERROR(VLOOKUP(E122,'BD - E - Mvto Cx'!$E$15:$G$500,3,0),0)</f>
        <v>18229.41</v>
      </c>
      <c r="H122" s="51">
        <f>IFERROR(VLOOKUP(E122,'BD - E - Mvto Cx'!$N$15:$P$500,3,0),0)</f>
        <v>309.23</v>
      </c>
      <c r="I122" s="50">
        <f>IFERROR(VLOOKUP(E122,'BD - E - Mvto Cx'!$W$15:$Y$497,3,0),0)</f>
        <v>47751.040000000001</v>
      </c>
      <c r="J122" s="50">
        <f>IFERROR(VLOOKUP(E122,'BD - E - Mvto Cx'!$AF$15:$AI$500,3,0),0)</f>
        <v>0</v>
      </c>
      <c r="K122" s="50">
        <f>IFERROR(VLOOKUP(E122,'BD - E - Mvto Cx'!$AO$15:$AQ$500,3,0),0)</f>
        <v>0</v>
      </c>
      <c r="L122" s="50">
        <f>IFERROR(VLOOKUP(E122,'BD - E - Mvto Cx'!$AX$15:$AZ$500,3,0),0)</f>
        <v>0</v>
      </c>
      <c r="M122" s="50">
        <f>IFERROR(VLOOKUP(E122,'BD - E - Mvto Cx'!$BJ$15:$BL$500,3,0),0)</f>
        <v>0</v>
      </c>
      <c r="N122" s="50">
        <f>IFERROR(VLOOKUP(E122,'BD - E - Mvto Cx'!$BS$15:$BU$500,3,0),0)</f>
        <v>0</v>
      </c>
      <c r="O122" s="50">
        <f>IFERROR(VLOOKUP(E122,'BD - E - Mvto Cx'!$CB$15:$CD$500,3,0),0)</f>
        <v>0</v>
      </c>
      <c r="P122" s="50">
        <f>IFERROR(VLOOKUP(E122,'BD - E - Mvto Cx'!$CK$15:$CM$500,3,0),0)</f>
        <v>0</v>
      </c>
      <c r="Q122" s="50">
        <f>IFERROR(VLOOKUP(E122,'BD - E - Mvto Cx'!$CT$15:$CV$500,3,0),0)</f>
        <v>0</v>
      </c>
      <c r="R122" s="50">
        <f>IFERROR(VLOOKUP(E122,'BD - E - Mvto Cx'!$DC$15:$DE$500,3,0),0)</f>
        <v>0</v>
      </c>
    </row>
    <row r="123" spans="1:996">
      <c r="A123" s="37"/>
      <c r="B123" t="str">
        <f>D123&amp;E123</f>
        <v>S119103</v>
      </c>
      <c r="C123" s="29" t="s">
        <v>8</v>
      </c>
      <c r="D123" s="27" t="s">
        <v>128</v>
      </c>
      <c r="E123" s="7">
        <v>119103</v>
      </c>
      <c r="F123" s="48" t="s">
        <v>130</v>
      </c>
      <c r="G123" s="49">
        <f>IFERROR(VLOOKUP(E123,'BD - E - Mvto Cx'!$E$15:$G$500,3,0),0)</f>
        <v>100287.46</v>
      </c>
      <c r="H123" s="51">
        <f>IFERROR(VLOOKUP(E123,'BD - E - Mvto Cx'!$N$15:$P$500,3,0),0)</f>
        <v>67330.240000000005</v>
      </c>
      <c r="I123" s="50">
        <f>IFERROR(VLOOKUP(E123,'BD - E - Mvto Cx'!$W$15:$Y$497,3,0),0)</f>
        <v>61080.55</v>
      </c>
      <c r="J123" s="50">
        <f>IFERROR(VLOOKUP(E123,'BD - E - Mvto Cx'!$AF$15:$AI$500,3,0),0)</f>
        <v>185092.52</v>
      </c>
      <c r="K123" s="50">
        <f>IFERROR(VLOOKUP(E123,'BD - E - Mvto Cx'!$AO$15:$AQ$500,3,0),0)</f>
        <v>0</v>
      </c>
      <c r="L123" s="50">
        <f>IFERROR(VLOOKUP(E123,'BD - E - Mvto Cx'!$AX$15:$AZ$500,3,0),0)</f>
        <v>0</v>
      </c>
      <c r="M123" s="50">
        <f>IFERROR(VLOOKUP(E123,'BD - E - Mvto Cx'!$BJ$15:$BL$500,3,0),0)</f>
        <v>0</v>
      </c>
      <c r="N123" s="50">
        <f>IFERROR(VLOOKUP(E123,'BD - E - Mvto Cx'!$BS$15:$BU$500,3,0),0)</f>
        <v>0</v>
      </c>
      <c r="O123" s="50">
        <f>IFERROR(VLOOKUP(E123,'BD - E - Mvto Cx'!$CB$15:$CD$500,3,0),0)</f>
        <v>0</v>
      </c>
      <c r="P123" s="50">
        <f>IFERROR(VLOOKUP(E123,'BD - E - Mvto Cx'!$CK$15:$CM$500,3,0),0)</f>
        <v>0</v>
      </c>
      <c r="Q123" s="50">
        <f>IFERROR(VLOOKUP(E123,'BD - E - Mvto Cx'!$CT$15:$CV$500,3,0),0)</f>
        <v>0</v>
      </c>
      <c r="R123" s="50">
        <f>IFERROR(VLOOKUP(E123,'BD - E - Mvto Cx'!$DC$15:$DE$500,3,0),0)</f>
        <v>0</v>
      </c>
    </row>
    <row r="124" spans="1:996">
      <c r="A124" s="37"/>
      <c r="B124" t="str">
        <f>D124&amp;E124</f>
        <v>S191601</v>
      </c>
      <c r="C124" s="29" t="s">
        <v>8</v>
      </c>
      <c r="D124" s="27" t="s">
        <v>128</v>
      </c>
      <c r="E124" s="7">
        <v>191601</v>
      </c>
      <c r="F124" s="48" t="s">
        <v>479</v>
      </c>
      <c r="G124" s="49">
        <f>IFERROR(VLOOKUP(E124,'BD - E - Mvto Cx'!$E$15:$G$500,3,0),0)</f>
        <v>10000</v>
      </c>
      <c r="H124" s="51">
        <f>IFERROR(VLOOKUP(E124,'BD - E - Mvto Cx'!$N$15:$P$500,3,0),0)</f>
        <v>0</v>
      </c>
      <c r="I124" s="50">
        <f>IFERROR(VLOOKUP(E124,'BD - E - Mvto Cx'!$W$15:$Y$497,3,0),0)</f>
        <v>5000</v>
      </c>
      <c r="J124" s="50">
        <f>IFERROR(VLOOKUP(E124,'BD - E - Mvto Cx'!$AF$15:$AI$500,3,0),0)</f>
        <v>5000</v>
      </c>
      <c r="K124" s="50">
        <f>IFERROR(VLOOKUP(E124,'BD - E - Mvto Cx'!$AO$15:$AQ$500,3,0),0)</f>
        <v>0</v>
      </c>
      <c r="L124" s="50">
        <f>IFERROR(VLOOKUP(E124,'BD - E - Mvto Cx'!$AX$15:$AZ$500,3,0),0)</f>
        <v>0</v>
      </c>
      <c r="M124" s="50">
        <f>IFERROR(VLOOKUP(E124,'BD - E - Mvto Cx'!$BJ$15:$BL$500,3,0),0)</f>
        <v>0</v>
      </c>
      <c r="N124" s="50">
        <f>IFERROR(VLOOKUP(E124,'BD - E - Mvto Cx'!$BS$15:$BU$500,3,0),0)</f>
        <v>0</v>
      </c>
      <c r="O124" s="50">
        <f>IFERROR(VLOOKUP(E124,'BD - E - Mvto Cx'!$CB$15:$CD$500,3,0),0)</f>
        <v>0</v>
      </c>
      <c r="P124" s="50">
        <f>IFERROR(VLOOKUP(E124,'BD - E - Mvto Cx'!$CK$15:$CM$500,3,0),0)</f>
        <v>0</v>
      </c>
      <c r="Q124" s="50">
        <f>IFERROR(VLOOKUP(E124,'BD - E - Mvto Cx'!$CT$15:$CV$500,3,0),0)</f>
        <v>0</v>
      </c>
      <c r="R124" s="50">
        <f>IFERROR(VLOOKUP(E124,'BD - E - Mvto Cx'!$DC$15:$DE$500,3,0),0)</f>
        <v>0</v>
      </c>
    </row>
    <row r="125" spans="1:996">
      <c r="A125" s="37"/>
      <c r="B125" t="str">
        <f t="shared" si="0"/>
        <v>S127301</v>
      </c>
      <c r="C125" s="7" t="s">
        <v>29</v>
      </c>
      <c r="D125" s="27" t="s">
        <v>128</v>
      </c>
      <c r="E125" s="7">
        <v>127301</v>
      </c>
      <c r="F125" s="48" t="s">
        <v>131</v>
      </c>
      <c r="G125" s="49">
        <f>IFERROR(VLOOKUP(E125,'BD - E - Mvto Cx'!$E$15:$G$500,3,0),0)</f>
        <v>600</v>
      </c>
      <c r="H125" s="51">
        <f>IFERROR(VLOOKUP(E125,'BD - E - Mvto Cx'!$N$15:$P$500,3,0),0)</f>
        <v>200</v>
      </c>
      <c r="I125" s="50">
        <f>IFERROR(VLOOKUP(E125,'BD - E - Mvto Cx'!$W$15:$Y$497,3,0),0)</f>
        <v>200</v>
      </c>
      <c r="J125" s="50">
        <f>IFERROR(VLOOKUP(E125,'BD - E - Mvto Cx'!$AF$15:$AI$500,3,0),0)</f>
        <v>200</v>
      </c>
      <c r="K125" s="50">
        <f>IFERROR(VLOOKUP(E125,'BD - E - Mvto Cx'!$AO$15:$AQ$500,3,0),0)</f>
        <v>0</v>
      </c>
      <c r="L125" s="50">
        <f>IFERROR(VLOOKUP(E125,'BD - E - Mvto Cx'!$AX$15:$AZ$500,3,0),0)</f>
        <v>0</v>
      </c>
      <c r="M125" s="50">
        <f>IFERROR(VLOOKUP(E125,'BD - E - Mvto Cx'!$BJ$15:$BL$500,3,0),0)</f>
        <v>0</v>
      </c>
      <c r="N125" s="50">
        <f>IFERROR(VLOOKUP(E125,'BD - E - Mvto Cx'!$BS$15:$BU$500,3,0),0)</f>
        <v>0</v>
      </c>
      <c r="O125" s="50">
        <f>IFERROR(VLOOKUP(E125,'BD - E - Mvto Cx'!$CB$15:$CD$500,3,0),0)</f>
        <v>0</v>
      </c>
      <c r="P125" s="50">
        <f>IFERROR(VLOOKUP(E125,'BD - E - Mvto Cx'!$CK$15:$CM$500,3,0),0)</f>
        <v>0</v>
      </c>
      <c r="Q125" s="50">
        <f>IFERROR(VLOOKUP(E125,'BD - E - Mvto Cx'!$CT$15:$CV$500,3,0),0)</f>
        <v>0</v>
      </c>
      <c r="R125" s="50">
        <f>IFERROR(VLOOKUP(E125,'BD - E - Mvto Cx'!$DC$15:$DE$500,3,0),0)</f>
        <v>0</v>
      </c>
    </row>
    <row r="126" spans="1:996">
      <c r="A126" s="37"/>
      <c r="B126" t="str">
        <f t="shared" si="0"/>
        <v>S211101</v>
      </c>
      <c r="C126" s="29" t="s">
        <v>352</v>
      </c>
      <c r="D126" s="27" t="s">
        <v>128</v>
      </c>
      <c r="E126" s="7">
        <v>211101</v>
      </c>
      <c r="F126" s="48" t="s">
        <v>132</v>
      </c>
      <c r="G126" s="49">
        <f>IFERROR(VLOOKUP(E126,'BD - E - Mvto Cx'!$E$15:$G$500,3,0),0)</f>
        <v>19415988.280000001</v>
      </c>
      <c r="H126" s="51">
        <f>IFERROR(VLOOKUP(E126,'BD - E - Mvto Cx'!$N$15:$P$500,3,0),0)</f>
        <v>10982805.060000001</v>
      </c>
      <c r="I126" s="50">
        <f>IFERROR(VLOOKUP(E126,'BD - E - Mvto Cx'!$W$15:$Y$497,3,0),0)</f>
        <v>13047262.689999999</v>
      </c>
      <c r="J126" s="50">
        <f>IFERROR(VLOOKUP(E126,'BD - E - Mvto Cx'!$AF$15:$AI$500,3,0),0)</f>
        <v>12688488.779999999</v>
      </c>
      <c r="K126" s="50">
        <f>IFERROR(VLOOKUP(E126,'BD - E - Mvto Cx'!$AO$15:$AQ$500,3,0),0)</f>
        <v>0</v>
      </c>
      <c r="L126" s="50">
        <f>IFERROR(VLOOKUP(E126,'BD - E - Mvto Cx'!$AX$15:$AZ$500,3,0),0)</f>
        <v>0</v>
      </c>
      <c r="M126" s="50">
        <f>IFERROR(VLOOKUP(E126,'BD - E - Mvto Cx'!$BJ$15:$BL$500,3,0),0)</f>
        <v>0</v>
      </c>
      <c r="N126" s="50">
        <f>IFERROR(VLOOKUP(E126,'BD - E - Mvto Cx'!$BS$15:$BU$500,3,0),0)</f>
        <v>0</v>
      </c>
      <c r="O126" s="50">
        <f>IFERROR(VLOOKUP(E126,'BD - E - Mvto Cx'!$CB$15:$CD$500,3,0),0)</f>
        <v>0</v>
      </c>
      <c r="P126" s="50">
        <f>IFERROR(VLOOKUP(E126,'BD - E - Mvto Cx'!$CK$15:$CM$500,3,0),0)</f>
        <v>0</v>
      </c>
      <c r="Q126" s="50">
        <f>IFERROR(VLOOKUP(E126,'BD - E - Mvto Cx'!$CT$15:$CV$500,3,0),0)</f>
        <v>0</v>
      </c>
      <c r="R126" s="50">
        <f>IFERROR(VLOOKUP(E126,'BD - E - Mvto Cx'!$DC$15:$DE$500,3,0),0)</f>
        <v>0</v>
      </c>
    </row>
    <row r="127" spans="1:996">
      <c r="A127" s="37"/>
      <c r="B127" t="str">
        <f t="shared" si="0"/>
        <v>S211102</v>
      </c>
      <c r="C127" s="29" t="s">
        <v>352</v>
      </c>
      <c r="D127" s="27" t="s">
        <v>128</v>
      </c>
      <c r="E127" s="7">
        <v>211102</v>
      </c>
      <c r="F127" s="48" t="s">
        <v>133</v>
      </c>
      <c r="G127" s="49">
        <f>IFERROR(VLOOKUP(E127,'BD - E - Mvto Cx'!$E$15:$G$500,3,0),0)</f>
        <v>2587559.7599999998</v>
      </c>
      <c r="H127" s="51">
        <f>IFERROR(VLOOKUP(E127,'BD - E - Mvto Cx'!$N$15:$P$500,3,0),0)</f>
        <v>1470749.16</v>
      </c>
      <c r="I127" s="50">
        <f>IFERROR(VLOOKUP(E127,'BD - E - Mvto Cx'!$W$15:$Y$497,3,0),0)</f>
        <v>1766188.89</v>
      </c>
      <c r="J127" s="50">
        <f>IFERROR(VLOOKUP(E127,'BD - E - Mvto Cx'!$AF$15:$AI$500,3,0),0)</f>
        <v>1624943.56</v>
      </c>
      <c r="K127" s="50">
        <f>IFERROR(VLOOKUP(E127,'BD - E - Mvto Cx'!$AO$15:$AQ$500,3,0),0)</f>
        <v>0</v>
      </c>
      <c r="L127" s="50">
        <f>IFERROR(VLOOKUP(E127,'BD - E - Mvto Cx'!$AX$15:$AZ$500,3,0),0)</f>
        <v>0</v>
      </c>
      <c r="M127" s="50">
        <f>IFERROR(VLOOKUP(E127,'BD - E - Mvto Cx'!$BJ$15:$BL$500,3,0),0)</f>
        <v>0</v>
      </c>
      <c r="N127" s="50">
        <f>IFERROR(VLOOKUP(E127,'BD - E - Mvto Cx'!$BS$15:$BU$500,3,0),0)</f>
        <v>0</v>
      </c>
      <c r="O127" s="50">
        <f>IFERROR(VLOOKUP(E127,'BD - E - Mvto Cx'!$CB$15:$CD$500,3,0),0)</f>
        <v>0</v>
      </c>
      <c r="P127" s="50">
        <f>IFERROR(VLOOKUP(E127,'BD - E - Mvto Cx'!$CK$15:$CM$500,3,0),0)</f>
        <v>0</v>
      </c>
      <c r="Q127" s="50">
        <f>IFERROR(VLOOKUP(E127,'BD - E - Mvto Cx'!$CT$15:$CV$500,3,0),0)</f>
        <v>0</v>
      </c>
      <c r="R127" s="50">
        <f>IFERROR(VLOOKUP(E127,'BD - E - Mvto Cx'!$DC$15:$DE$500,3,0),0)</f>
        <v>0</v>
      </c>
    </row>
    <row r="128" spans="1:996" s="445" customFormat="1">
      <c r="A128" s="444"/>
      <c r="B128" s="445" t="str">
        <f t="shared" si="0"/>
        <v>S211103</v>
      </c>
      <c r="C128" s="445" t="s">
        <v>347</v>
      </c>
      <c r="D128" s="446" t="s">
        <v>128</v>
      </c>
      <c r="E128" s="445">
        <v>211103</v>
      </c>
      <c r="F128" s="447" t="s">
        <v>134</v>
      </c>
      <c r="G128" s="448">
        <f>IFERROR(VLOOKUP(E128,'BD - E - Mvto Cx'!$E$15:$G$500,3,0),0)</f>
        <v>777811.93</v>
      </c>
      <c r="H128" s="449">
        <f>IFERROR(VLOOKUP(E128,'BD - E - Mvto Cx'!$N$15:$P$500,3,0),0)</f>
        <v>694086.3</v>
      </c>
      <c r="I128" s="450">
        <f>IFERROR(VLOOKUP(E128,'BD - E - Mvto Cx'!$W$15:$Y$497,3,0),0)</f>
        <v>1307159.97</v>
      </c>
      <c r="J128" s="450">
        <f>IFERROR(VLOOKUP(E128,'BD - E - Mvto Cx'!$AF$15:$AI$500,3,0),0)</f>
        <v>1256300.69</v>
      </c>
      <c r="K128" s="450">
        <f>IFERROR(VLOOKUP(E128,'BD - E - Mvto Cx'!$AO$15:$AQ$500,3,0),0)</f>
        <v>0</v>
      </c>
      <c r="L128" s="450">
        <f>IFERROR(VLOOKUP(E128,'BD - E - Mvto Cx'!$AX$15:$AZ$500,3,0),0)</f>
        <v>0</v>
      </c>
      <c r="M128" s="450">
        <f>IFERROR(VLOOKUP(E128,'BD - E - Mvto Cx'!$BJ$15:$BL$500,3,0),0)</f>
        <v>0</v>
      </c>
      <c r="N128" s="450">
        <f>IFERROR(VLOOKUP(E128,'BD - E - Mvto Cx'!$BS$15:$BU$500,3,0),0)</f>
        <v>0</v>
      </c>
      <c r="O128" s="450">
        <f>IFERROR(VLOOKUP(E128,'BD - E - Mvto Cx'!$CB$15:$CD$500,3,0),0)</f>
        <v>0</v>
      </c>
      <c r="P128" s="450">
        <f>IFERROR(VLOOKUP(E128,'BD - E - Mvto Cx'!$CK$15:$CM$500,3,0),0)</f>
        <v>0</v>
      </c>
      <c r="Q128" s="450">
        <f>IFERROR(VLOOKUP(E128,'BD - E - Mvto Cx'!$CT$15:$CV$500,3,0),0)</f>
        <v>0</v>
      </c>
      <c r="R128" s="450">
        <f>IFERROR(VLOOKUP(E128,'BD - E - Mvto Cx'!$DC$15:$DE$500,3,0),0)</f>
        <v>0</v>
      </c>
      <c r="S128" s="451"/>
      <c r="T128" s="451"/>
      <c r="U128" s="451"/>
      <c r="V128" s="451"/>
      <c r="W128" s="451"/>
      <c r="X128" s="451"/>
      <c r="Y128" s="451"/>
      <c r="Z128" s="451"/>
      <c r="AA128" s="451"/>
      <c r="AB128" s="451"/>
      <c r="AC128" s="451"/>
      <c r="AD128" s="451"/>
      <c r="AE128" s="451"/>
      <c r="AF128" s="451"/>
      <c r="AG128" s="451"/>
      <c r="AH128" s="451"/>
      <c r="AI128" s="451"/>
      <c r="AJ128" s="451"/>
      <c r="AK128" s="451"/>
      <c r="AL128" s="451"/>
      <c r="AM128" s="451"/>
      <c r="AN128" s="451"/>
      <c r="AO128" s="451"/>
      <c r="AP128" s="451"/>
      <c r="AQ128" s="451"/>
      <c r="AR128" s="451"/>
      <c r="AS128" s="451"/>
      <c r="AT128" s="451"/>
      <c r="AU128" s="451"/>
      <c r="AV128" s="451"/>
      <c r="AW128" s="451"/>
      <c r="AX128" s="451"/>
      <c r="AY128" s="451"/>
      <c r="AZ128" s="451"/>
      <c r="BA128" s="451"/>
      <c r="BB128" s="451"/>
      <c r="BC128" s="451"/>
      <c r="BD128" s="451"/>
      <c r="BE128" s="451"/>
      <c r="BF128" s="451"/>
      <c r="BG128" s="451"/>
      <c r="BH128" s="451"/>
      <c r="BI128" s="451"/>
      <c r="BJ128" s="451"/>
      <c r="BK128" s="451"/>
      <c r="BL128" s="451"/>
      <c r="BM128" s="451"/>
      <c r="BN128" s="451"/>
      <c r="BO128" s="451"/>
      <c r="BP128" s="451"/>
      <c r="BQ128" s="451"/>
      <c r="BR128" s="451"/>
      <c r="BS128" s="451"/>
      <c r="BT128" s="451"/>
      <c r="BU128" s="451"/>
      <c r="BV128" s="451"/>
      <c r="BW128" s="451"/>
      <c r="BX128" s="451"/>
      <c r="BY128" s="451"/>
      <c r="BZ128" s="451"/>
      <c r="CA128" s="451"/>
      <c r="CB128" s="451"/>
      <c r="CC128" s="451"/>
      <c r="CD128" s="451"/>
      <c r="CE128" s="451"/>
      <c r="CF128" s="451"/>
      <c r="CG128" s="451"/>
      <c r="CH128" s="451"/>
      <c r="CI128" s="451"/>
      <c r="CJ128" s="451"/>
      <c r="CK128" s="451"/>
      <c r="CL128" s="451"/>
      <c r="CM128" s="451"/>
      <c r="CN128" s="451"/>
      <c r="CO128" s="451"/>
      <c r="CP128" s="451"/>
      <c r="CQ128" s="451"/>
      <c r="CR128" s="451"/>
      <c r="CS128" s="451"/>
      <c r="CT128" s="451"/>
      <c r="CU128" s="451"/>
      <c r="CV128" s="451"/>
      <c r="CW128" s="451"/>
      <c r="CX128" s="451"/>
      <c r="CY128" s="451"/>
      <c r="CZ128" s="451"/>
      <c r="DA128" s="451"/>
      <c r="DB128" s="451"/>
      <c r="DC128" s="451"/>
      <c r="DD128" s="451"/>
      <c r="DE128" s="451"/>
      <c r="DF128" s="451"/>
      <c r="DG128" s="451"/>
      <c r="DH128" s="451"/>
      <c r="DI128" s="451"/>
      <c r="DJ128" s="451"/>
      <c r="DK128" s="451"/>
      <c r="DL128" s="451"/>
      <c r="DM128" s="451"/>
      <c r="DN128" s="451"/>
      <c r="DO128" s="451"/>
      <c r="DP128" s="451"/>
      <c r="DQ128" s="451"/>
      <c r="DR128" s="451"/>
      <c r="DS128" s="451"/>
      <c r="DT128" s="451"/>
      <c r="DU128" s="451"/>
      <c r="DV128" s="451"/>
      <c r="DW128" s="451"/>
      <c r="DX128" s="451"/>
      <c r="DY128" s="451"/>
      <c r="DZ128" s="451"/>
      <c r="EA128" s="451"/>
      <c r="EB128" s="451"/>
      <c r="EC128" s="451"/>
      <c r="ED128" s="451"/>
      <c r="EE128" s="451"/>
      <c r="EF128" s="451"/>
      <c r="EG128" s="451"/>
      <c r="EH128" s="451"/>
      <c r="EI128" s="451"/>
      <c r="EJ128" s="451"/>
      <c r="EK128" s="451"/>
      <c r="EL128" s="451"/>
      <c r="EM128" s="451"/>
      <c r="EN128" s="451"/>
      <c r="EO128" s="451"/>
      <c r="EP128" s="451"/>
      <c r="EQ128" s="451"/>
      <c r="ER128" s="451"/>
      <c r="ES128" s="451"/>
      <c r="ET128" s="451"/>
      <c r="EU128" s="451"/>
      <c r="EV128" s="451"/>
      <c r="EW128" s="451"/>
      <c r="EX128" s="451"/>
      <c r="EY128" s="451"/>
      <c r="EZ128" s="451"/>
      <c r="FA128" s="451"/>
      <c r="FB128" s="451"/>
      <c r="FC128" s="451"/>
      <c r="FD128" s="451"/>
      <c r="FE128" s="451"/>
      <c r="FF128" s="451"/>
      <c r="FG128" s="451"/>
      <c r="FH128" s="451"/>
      <c r="FI128" s="451"/>
      <c r="FJ128" s="451"/>
      <c r="FK128" s="451"/>
      <c r="FL128" s="451"/>
      <c r="FM128" s="451"/>
      <c r="FN128" s="451"/>
      <c r="FO128" s="451"/>
      <c r="FP128" s="451"/>
      <c r="FQ128" s="451"/>
      <c r="FR128" s="451"/>
      <c r="FS128" s="451"/>
      <c r="FT128" s="451"/>
      <c r="FU128" s="451"/>
      <c r="FV128" s="451"/>
      <c r="FW128" s="451"/>
      <c r="FX128" s="451"/>
      <c r="FY128" s="451"/>
      <c r="FZ128" s="451"/>
      <c r="GA128" s="451"/>
      <c r="GB128" s="451"/>
      <c r="GC128" s="451"/>
      <c r="GD128" s="451"/>
      <c r="GE128" s="451"/>
      <c r="GF128" s="451"/>
      <c r="GG128" s="451"/>
      <c r="GH128" s="451"/>
      <c r="GI128" s="451"/>
      <c r="GJ128" s="451"/>
      <c r="GK128" s="451"/>
      <c r="GL128" s="451"/>
      <c r="GM128" s="451"/>
      <c r="GN128" s="451"/>
      <c r="GO128" s="451"/>
      <c r="GP128" s="451"/>
      <c r="GQ128" s="451"/>
      <c r="GR128" s="451"/>
      <c r="GS128" s="451"/>
      <c r="GT128" s="451"/>
      <c r="GU128" s="451"/>
      <c r="GV128" s="451"/>
      <c r="GW128" s="451"/>
      <c r="GX128" s="451"/>
      <c r="GY128" s="451"/>
      <c r="GZ128" s="451"/>
      <c r="HA128" s="451"/>
      <c r="HB128" s="451"/>
      <c r="HC128" s="451"/>
      <c r="HD128" s="451"/>
      <c r="HE128" s="451"/>
      <c r="HF128" s="451"/>
      <c r="HG128" s="451"/>
      <c r="HH128" s="451"/>
      <c r="HI128" s="451"/>
      <c r="HJ128" s="451"/>
      <c r="HK128" s="451"/>
      <c r="HL128" s="451"/>
      <c r="HM128" s="451"/>
      <c r="HN128" s="451"/>
      <c r="HO128" s="451"/>
      <c r="HP128" s="451"/>
      <c r="HQ128" s="451"/>
      <c r="HR128" s="451"/>
      <c r="HS128" s="451"/>
      <c r="HT128" s="451"/>
      <c r="HU128" s="451"/>
      <c r="HV128" s="451"/>
      <c r="HW128" s="451"/>
      <c r="HX128" s="451"/>
      <c r="HY128" s="451"/>
      <c r="HZ128" s="451"/>
      <c r="IA128" s="451"/>
      <c r="IB128" s="451"/>
      <c r="IC128" s="451"/>
      <c r="ID128" s="451"/>
      <c r="IE128" s="451"/>
      <c r="IF128" s="451"/>
      <c r="IG128" s="451"/>
      <c r="IH128" s="451"/>
      <c r="II128" s="451"/>
      <c r="IJ128" s="451"/>
      <c r="IK128" s="451"/>
      <c r="IL128" s="451"/>
      <c r="IM128" s="451"/>
      <c r="IN128" s="451"/>
      <c r="IO128" s="451"/>
      <c r="IP128" s="451"/>
      <c r="IQ128" s="451"/>
      <c r="IR128" s="451"/>
      <c r="IS128" s="451"/>
      <c r="IT128" s="451"/>
      <c r="IU128" s="451"/>
      <c r="IV128" s="451"/>
      <c r="IW128" s="451"/>
      <c r="IX128" s="451"/>
      <c r="IY128" s="451"/>
      <c r="IZ128" s="451"/>
      <c r="JA128" s="451"/>
      <c r="JB128" s="451"/>
      <c r="JC128" s="451"/>
      <c r="JD128" s="451"/>
      <c r="JE128" s="451"/>
      <c r="JF128" s="451"/>
      <c r="JG128" s="451"/>
      <c r="JH128" s="451"/>
      <c r="JI128" s="451"/>
      <c r="JJ128" s="451"/>
      <c r="JK128" s="451"/>
      <c r="JL128" s="451"/>
      <c r="JM128" s="451"/>
      <c r="JN128" s="451"/>
      <c r="JO128" s="451"/>
      <c r="JP128" s="451"/>
      <c r="JQ128" s="451"/>
      <c r="JR128" s="451"/>
      <c r="JS128" s="451"/>
      <c r="JT128" s="451"/>
      <c r="JU128" s="451"/>
      <c r="JV128" s="451"/>
      <c r="JW128" s="451"/>
      <c r="JX128" s="451"/>
      <c r="JY128" s="451"/>
      <c r="JZ128" s="451"/>
      <c r="KA128" s="451"/>
      <c r="KB128" s="451"/>
      <c r="KC128" s="451"/>
      <c r="KD128" s="451"/>
      <c r="KE128" s="451"/>
      <c r="KF128" s="451"/>
      <c r="KG128" s="451"/>
      <c r="KH128" s="451"/>
      <c r="KI128" s="451"/>
      <c r="KJ128" s="451"/>
      <c r="KK128" s="451"/>
      <c r="KL128" s="451"/>
      <c r="KM128" s="451"/>
      <c r="KN128" s="451"/>
      <c r="KO128" s="451"/>
      <c r="KP128" s="451"/>
      <c r="KQ128" s="451"/>
      <c r="KR128" s="451"/>
      <c r="KS128" s="451"/>
      <c r="KT128" s="451"/>
      <c r="KU128" s="451"/>
      <c r="KV128" s="451"/>
      <c r="KW128" s="451"/>
      <c r="KX128" s="451"/>
      <c r="KY128" s="451"/>
      <c r="KZ128" s="451"/>
      <c r="LA128" s="451"/>
      <c r="LB128" s="451"/>
      <c r="LC128" s="451"/>
      <c r="LD128" s="451"/>
      <c r="LE128" s="451"/>
      <c r="LF128" s="451"/>
      <c r="LG128" s="451"/>
      <c r="LH128" s="451"/>
      <c r="LI128" s="451"/>
      <c r="LJ128" s="451"/>
      <c r="LK128" s="451"/>
      <c r="LL128" s="451"/>
      <c r="LM128" s="451"/>
      <c r="LN128" s="451"/>
      <c r="LO128" s="451"/>
      <c r="LP128" s="451"/>
      <c r="LQ128" s="451"/>
      <c r="LR128" s="451"/>
      <c r="LS128" s="451"/>
      <c r="LT128" s="451"/>
      <c r="LU128" s="451"/>
      <c r="LV128" s="451"/>
      <c r="LW128" s="451"/>
      <c r="LX128" s="451"/>
      <c r="LY128" s="451"/>
      <c r="LZ128" s="451"/>
      <c r="MA128" s="451"/>
      <c r="MB128" s="451"/>
      <c r="MC128" s="451"/>
      <c r="MD128" s="451"/>
      <c r="ME128" s="451"/>
      <c r="MF128" s="451"/>
      <c r="MG128" s="451"/>
      <c r="MH128" s="451"/>
      <c r="MI128" s="451"/>
      <c r="MJ128" s="451"/>
      <c r="MK128" s="451"/>
      <c r="ML128" s="451"/>
      <c r="MM128" s="451"/>
      <c r="MN128" s="451"/>
      <c r="MO128" s="451"/>
      <c r="MP128" s="451"/>
      <c r="MQ128" s="451"/>
      <c r="MR128" s="451"/>
      <c r="MS128" s="451"/>
      <c r="MT128" s="451"/>
      <c r="MU128" s="451"/>
      <c r="MV128" s="451"/>
      <c r="MW128" s="451"/>
      <c r="MX128" s="451"/>
      <c r="MY128" s="451"/>
      <c r="MZ128" s="451"/>
      <c r="NA128" s="451"/>
      <c r="NB128" s="451"/>
      <c r="NC128" s="451"/>
      <c r="ND128" s="451"/>
      <c r="NE128" s="451"/>
      <c r="NF128" s="451"/>
      <c r="NG128" s="451"/>
      <c r="NH128" s="451"/>
      <c r="NI128" s="451"/>
      <c r="NJ128" s="451"/>
      <c r="NK128" s="451"/>
      <c r="NL128" s="451"/>
      <c r="NM128" s="451"/>
      <c r="NN128" s="451"/>
      <c r="NO128" s="451"/>
      <c r="NP128" s="451"/>
      <c r="NQ128" s="451"/>
      <c r="NR128" s="451"/>
      <c r="NS128" s="451"/>
      <c r="NT128" s="451"/>
      <c r="NU128" s="451"/>
      <c r="NV128" s="451"/>
      <c r="NW128" s="451"/>
      <c r="NX128" s="451"/>
      <c r="NY128" s="451"/>
      <c r="NZ128" s="451"/>
      <c r="OA128" s="451"/>
      <c r="OB128" s="451"/>
      <c r="OC128" s="451"/>
      <c r="OD128" s="451"/>
      <c r="OE128" s="451"/>
      <c r="OF128" s="451"/>
      <c r="OG128" s="451"/>
      <c r="OH128" s="451"/>
      <c r="OI128" s="451"/>
      <c r="OJ128" s="451"/>
      <c r="OK128" s="451"/>
      <c r="OL128" s="451"/>
      <c r="OM128" s="451"/>
      <c r="ON128" s="451"/>
      <c r="OO128" s="451"/>
      <c r="OP128" s="451"/>
      <c r="OQ128" s="451"/>
      <c r="OR128" s="451"/>
      <c r="OS128" s="451"/>
      <c r="OT128" s="451"/>
      <c r="OU128" s="451"/>
      <c r="OV128" s="451"/>
      <c r="OW128" s="451"/>
      <c r="OX128" s="451"/>
      <c r="OY128" s="451"/>
      <c r="OZ128" s="451"/>
      <c r="PA128" s="451"/>
      <c r="PB128" s="451"/>
      <c r="PC128" s="451"/>
      <c r="PD128" s="451"/>
      <c r="PE128" s="451"/>
      <c r="PF128" s="451"/>
      <c r="PG128" s="451"/>
      <c r="PH128" s="451"/>
      <c r="PI128" s="451"/>
      <c r="PJ128" s="451"/>
      <c r="PK128" s="451"/>
      <c r="PL128" s="451"/>
      <c r="PM128" s="451"/>
      <c r="PN128" s="451"/>
      <c r="PO128" s="451"/>
      <c r="PP128" s="451"/>
      <c r="PQ128" s="451"/>
      <c r="PR128" s="451"/>
      <c r="PS128" s="451"/>
      <c r="PT128" s="451"/>
      <c r="PU128" s="451"/>
      <c r="PV128" s="451"/>
      <c r="PW128" s="451"/>
      <c r="PX128" s="451"/>
      <c r="PY128" s="451"/>
      <c r="PZ128" s="451"/>
      <c r="QA128" s="451"/>
      <c r="QB128" s="451"/>
      <c r="QC128" s="451"/>
      <c r="QD128" s="451"/>
      <c r="QE128" s="451"/>
      <c r="QF128" s="451"/>
      <c r="QG128" s="451"/>
      <c r="QH128" s="451"/>
      <c r="QI128" s="451"/>
      <c r="QJ128" s="451"/>
      <c r="QK128" s="451"/>
      <c r="QL128" s="451"/>
      <c r="QM128" s="451"/>
      <c r="QN128" s="451"/>
      <c r="QO128" s="451"/>
      <c r="QP128" s="451"/>
      <c r="QQ128" s="451"/>
      <c r="QR128" s="451"/>
      <c r="QS128" s="451"/>
      <c r="QT128" s="451"/>
      <c r="QU128" s="451"/>
      <c r="QV128" s="451"/>
      <c r="QW128" s="451"/>
      <c r="QX128" s="451"/>
      <c r="QY128" s="451"/>
      <c r="QZ128" s="451"/>
      <c r="RA128" s="451"/>
      <c r="RB128" s="451"/>
      <c r="RC128" s="451"/>
      <c r="RD128" s="451"/>
      <c r="RE128" s="451"/>
      <c r="RF128" s="451"/>
      <c r="RG128" s="451"/>
      <c r="RH128" s="451"/>
      <c r="RI128" s="451"/>
      <c r="RJ128" s="451"/>
      <c r="RK128" s="451"/>
      <c r="RL128" s="451"/>
      <c r="RM128" s="451"/>
      <c r="RN128" s="451"/>
      <c r="RO128" s="451"/>
      <c r="RP128" s="451"/>
      <c r="RQ128" s="451"/>
      <c r="RR128" s="451"/>
      <c r="RS128" s="451"/>
      <c r="RT128" s="451"/>
      <c r="RU128" s="451"/>
      <c r="RV128" s="451"/>
      <c r="RW128" s="451"/>
      <c r="RX128" s="451"/>
      <c r="RY128" s="451"/>
      <c r="RZ128" s="451"/>
      <c r="SA128" s="451"/>
      <c r="SB128" s="451"/>
      <c r="SC128" s="451"/>
      <c r="SD128" s="451"/>
      <c r="SE128" s="451"/>
      <c r="SF128" s="451"/>
      <c r="SG128" s="451"/>
      <c r="SH128" s="451"/>
      <c r="SI128" s="451"/>
      <c r="SJ128" s="451"/>
      <c r="SK128" s="451"/>
      <c r="SL128" s="451"/>
      <c r="SM128" s="451"/>
      <c r="SN128" s="451"/>
      <c r="SO128" s="451"/>
      <c r="SP128" s="451"/>
      <c r="SQ128" s="451"/>
      <c r="SR128" s="451"/>
      <c r="SS128" s="451"/>
      <c r="ST128" s="451"/>
      <c r="SU128" s="451"/>
      <c r="SV128" s="451"/>
      <c r="SW128" s="451"/>
      <c r="SX128" s="451"/>
      <c r="SY128" s="451"/>
      <c r="SZ128" s="451"/>
      <c r="TA128" s="451"/>
      <c r="TB128" s="451"/>
      <c r="TC128" s="451"/>
      <c r="TD128" s="451"/>
      <c r="TE128" s="451"/>
      <c r="TF128" s="451"/>
      <c r="TG128" s="451"/>
      <c r="TH128" s="451"/>
      <c r="TI128" s="451"/>
      <c r="TJ128" s="451"/>
      <c r="TK128" s="451"/>
      <c r="TL128" s="451"/>
      <c r="TM128" s="451"/>
      <c r="TN128" s="451"/>
      <c r="TO128" s="451"/>
      <c r="TP128" s="451"/>
      <c r="TQ128" s="451"/>
      <c r="TR128" s="451"/>
      <c r="TS128" s="451"/>
      <c r="TT128" s="451"/>
      <c r="TU128" s="451"/>
      <c r="TV128" s="451"/>
      <c r="TW128" s="451"/>
      <c r="TX128" s="451"/>
      <c r="TY128" s="451"/>
      <c r="TZ128" s="451"/>
      <c r="UA128" s="451"/>
      <c r="UB128" s="451"/>
      <c r="UC128" s="451"/>
      <c r="UD128" s="451"/>
      <c r="UE128" s="451"/>
      <c r="UF128" s="451"/>
      <c r="UG128" s="451"/>
      <c r="UH128" s="451"/>
      <c r="UI128" s="451"/>
      <c r="UJ128" s="451"/>
      <c r="UK128" s="451"/>
      <c r="UL128" s="451"/>
      <c r="UM128" s="451"/>
      <c r="UN128" s="451"/>
      <c r="UO128" s="451"/>
      <c r="UP128" s="451"/>
      <c r="UQ128" s="451"/>
      <c r="UR128" s="451"/>
      <c r="US128" s="451"/>
      <c r="UT128" s="451"/>
      <c r="UU128" s="451"/>
      <c r="UV128" s="451"/>
      <c r="UW128" s="451"/>
      <c r="UX128" s="451"/>
      <c r="UY128" s="451"/>
      <c r="UZ128" s="451"/>
      <c r="VA128" s="451"/>
      <c r="VB128" s="451"/>
      <c r="VC128" s="451"/>
      <c r="VD128" s="451"/>
      <c r="VE128" s="451"/>
      <c r="VF128" s="451"/>
      <c r="VG128" s="451"/>
      <c r="VH128" s="451"/>
      <c r="VI128" s="451"/>
      <c r="VJ128" s="451"/>
      <c r="VK128" s="451"/>
      <c r="VL128" s="451"/>
      <c r="VM128" s="451"/>
      <c r="VN128" s="451"/>
      <c r="VO128" s="451"/>
      <c r="VP128" s="451"/>
      <c r="VQ128" s="451"/>
      <c r="VR128" s="451"/>
      <c r="VS128" s="451"/>
      <c r="VT128" s="451"/>
      <c r="VU128" s="451"/>
      <c r="VV128" s="451"/>
      <c r="VW128" s="451"/>
      <c r="VX128" s="451"/>
      <c r="VY128" s="451"/>
      <c r="VZ128" s="451"/>
      <c r="WA128" s="451"/>
      <c r="WB128" s="451"/>
      <c r="WC128" s="451"/>
      <c r="WD128" s="451"/>
      <c r="WE128" s="451"/>
      <c r="WF128" s="451"/>
      <c r="WG128" s="451"/>
      <c r="WH128" s="451"/>
      <c r="WI128" s="451"/>
      <c r="WJ128" s="451"/>
      <c r="WK128" s="451"/>
      <c r="WL128" s="451"/>
      <c r="WM128" s="451"/>
      <c r="WN128" s="451"/>
      <c r="WO128" s="451"/>
      <c r="WP128" s="451"/>
      <c r="WQ128" s="451"/>
      <c r="WR128" s="451"/>
      <c r="WS128" s="451"/>
      <c r="WT128" s="451"/>
      <c r="WU128" s="451"/>
      <c r="WV128" s="451"/>
      <c r="WW128" s="451"/>
      <c r="WX128" s="451"/>
      <c r="WY128" s="451"/>
      <c r="WZ128" s="451"/>
      <c r="XA128" s="451"/>
      <c r="XB128" s="451"/>
      <c r="XC128" s="451"/>
      <c r="XD128" s="451"/>
      <c r="XE128" s="451"/>
      <c r="XF128" s="451"/>
      <c r="XG128" s="451"/>
      <c r="XH128" s="451"/>
      <c r="XI128" s="451"/>
      <c r="XJ128" s="451"/>
      <c r="XK128" s="451"/>
      <c r="XL128" s="451"/>
      <c r="XM128" s="451"/>
      <c r="XN128" s="451"/>
      <c r="XO128" s="451"/>
      <c r="XP128" s="451"/>
      <c r="XQ128" s="451"/>
      <c r="XR128" s="451"/>
      <c r="XS128" s="451"/>
      <c r="XT128" s="451"/>
      <c r="XU128" s="451"/>
      <c r="XV128" s="451"/>
      <c r="XW128" s="451"/>
      <c r="XX128" s="451"/>
      <c r="XY128" s="451"/>
      <c r="XZ128" s="451"/>
      <c r="YA128" s="451"/>
      <c r="YB128" s="451"/>
      <c r="YC128" s="451"/>
      <c r="YD128" s="451"/>
      <c r="YE128" s="451"/>
      <c r="YF128" s="451"/>
      <c r="YG128" s="451"/>
      <c r="YH128" s="451"/>
      <c r="YI128" s="451"/>
      <c r="YJ128" s="451"/>
      <c r="YK128" s="451"/>
      <c r="YL128" s="451"/>
      <c r="YM128" s="451"/>
      <c r="YN128" s="451"/>
      <c r="YO128" s="451"/>
      <c r="YP128" s="451"/>
      <c r="YQ128" s="451"/>
      <c r="YR128" s="451"/>
      <c r="YS128" s="451"/>
      <c r="YT128" s="451"/>
      <c r="YU128" s="451"/>
      <c r="YV128" s="451"/>
      <c r="YW128" s="451"/>
      <c r="YX128" s="451"/>
      <c r="YY128" s="451"/>
      <c r="YZ128" s="451"/>
      <c r="ZA128" s="451"/>
      <c r="ZB128" s="451"/>
      <c r="ZC128" s="451"/>
      <c r="ZD128" s="451"/>
      <c r="ZE128" s="451"/>
      <c r="ZF128" s="451"/>
      <c r="ZG128" s="451"/>
      <c r="ZH128" s="451"/>
      <c r="ZI128" s="451"/>
      <c r="ZJ128" s="451"/>
      <c r="ZK128" s="451"/>
      <c r="ZL128" s="451"/>
      <c r="ZM128" s="451"/>
      <c r="ZN128" s="451"/>
      <c r="ZO128" s="451"/>
      <c r="ZP128" s="451"/>
      <c r="ZQ128" s="451"/>
      <c r="ZR128" s="451"/>
      <c r="ZS128" s="451"/>
      <c r="ZT128" s="451"/>
      <c r="ZU128" s="451"/>
      <c r="ZV128" s="451"/>
      <c r="ZW128" s="451"/>
      <c r="ZX128" s="451"/>
      <c r="ZY128" s="451"/>
      <c r="ZZ128" s="451"/>
      <c r="AAA128" s="451"/>
      <c r="AAB128" s="451"/>
      <c r="AAC128" s="451"/>
      <c r="AAD128" s="451"/>
      <c r="AAE128" s="451"/>
      <c r="AAF128" s="451"/>
      <c r="AAG128" s="451"/>
      <c r="AAH128" s="451"/>
      <c r="AAI128" s="451"/>
      <c r="AAJ128" s="451"/>
      <c r="AAK128" s="451"/>
      <c r="AAL128" s="451"/>
      <c r="AAM128" s="451"/>
      <c r="AAN128" s="451"/>
      <c r="AAO128" s="451"/>
      <c r="AAP128" s="451"/>
      <c r="AAQ128" s="451"/>
      <c r="AAR128" s="451"/>
      <c r="AAS128" s="451"/>
      <c r="AAT128" s="451"/>
      <c r="AAU128" s="451"/>
      <c r="AAV128" s="451"/>
      <c r="AAW128" s="451"/>
      <c r="AAX128" s="451"/>
      <c r="AAY128" s="451"/>
      <c r="AAZ128" s="451"/>
      <c r="ABA128" s="451"/>
      <c r="ABB128" s="451"/>
      <c r="ABC128" s="451"/>
      <c r="ABD128" s="451"/>
      <c r="ABE128" s="451"/>
      <c r="ABF128" s="451"/>
      <c r="ABG128" s="451"/>
      <c r="ABH128" s="451"/>
      <c r="ABI128" s="451"/>
      <c r="ABJ128" s="451"/>
      <c r="ABK128" s="451"/>
      <c r="ABL128" s="451"/>
      <c r="ABM128" s="451"/>
      <c r="ABN128" s="451"/>
      <c r="ABO128" s="451"/>
      <c r="ABP128" s="451"/>
      <c r="ABQ128" s="451"/>
      <c r="ABR128" s="451"/>
      <c r="ABS128" s="451"/>
      <c r="ABT128" s="451"/>
      <c r="ABU128" s="451"/>
      <c r="ABV128" s="451"/>
      <c r="ABW128" s="451"/>
      <c r="ABX128" s="451"/>
      <c r="ABY128" s="451"/>
      <c r="ABZ128" s="451"/>
      <c r="ACA128" s="451"/>
      <c r="ACB128" s="451"/>
      <c r="ACC128" s="451"/>
      <c r="ACD128" s="451"/>
      <c r="ACE128" s="451"/>
      <c r="ACF128" s="451"/>
      <c r="ACG128" s="451"/>
      <c r="ACH128" s="451"/>
      <c r="ACI128" s="451"/>
      <c r="ACJ128" s="451"/>
      <c r="ACK128" s="451"/>
      <c r="ACL128" s="451"/>
      <c r="ACM128" s="451"/>
      <c r="ACN128" s="451"/>
      <c r="ACO128" s="451"/>
      <c r="ACP128" s="451"/>
      <c r="ACQ128" s="451"/>
      <c r="ACR128" s="451"/>
      <c r="ACS128" s="451"/>
      <c r="ACT128" s="451"/>
      <c r="ACU128" s="451"/>
      <c r="ACV128" s="451"/>
      <c r="ACW128" s="451"/>
      <c r="ACX128" s="451"/>
      <c r="ACY128" s="451"/>
      <c r="ACZ128" s="451"/>
      <c r="ADA128" s="451"/>
      <c r="ADB128" s="451"/>
      <c r="ADC128" s="451"/>
      <c r="ADD128" s="451"/>
      <c r="ADE128" s="451"/>
      <c r="ADF128" s="451"/>
      <c r="ADG128" s="451"/>
      <c r="ADH128" s="451"/>
      <c r="ADI128" s="451"/>
      <c r="ADJ128" s="451"/>
      <c r="ADK128" s="451"/>
      <c r="ADL128" s="451"/>
      <c r="ADM128" s="451"/>
      <c r="ADN128" s="451"/>
      <c r="ADO128" s="451"/>
      <c r="ADP128" s="451"/>
      <c r="ADQ128" s="451"/>
      <c r="ADR128" s="451"/>
      <c r="ADS128" s="451"/>
      <c r="ADT128" s="451"/>
      <c r="ADU128" s="451"/>
      <c r="ADV128" s="451"/>
      <c r="ADW128" s="451"/>
      <c r="ADX128" s="451"/>
      <c r="ADY128" s="451"/>
      <c r="ADZ128" s="451"/>
      <c r="AEA128" s="451"/>
      <c r="AEB128" s="451"/>
      <c r="AEC128" s="451"/>
      <c r="AED128" s="451"/>
      <c r="AEE128" s="451"/>
      <c r="AEF128" s="451"/>
      <c r="AEG128" s="451"/>
      <c r="AEH128" s="451"/>
      <c r="AEI128" s="451"/>
      <c r="AEJ128" s="451"/>
      <c r="AEK128" s="451"/>
      <c r="AEL128" s="451"/>
      <c r="AEM128" s="451"/>
      <c r="AEN128" s="451"/>
      <c r="AEO128" s="451"/>
      <c r="AEP128" s="451"/>
      <c r="AEQ128" s="451"/>
      <c r="AER128" s="451"/>
      <c r="AES128" s="451"/>
      <c r="AET128" s="451"/>
      <c r="AEU128" s="451"/>
      <c r="AEV128" s="451"/>
      <c r="AEW128" s="451"/>
      <c r="AEX128" s="451"/>
      <c r="AEY128" s="451"/>
      <c r="AEZ128" s="451"/>
      <c r="AFA128" s="451"/>
      <c r="AFB128" s="451"/>
      <c r="AFC128" s="451"/>
      <c r="AFD128" s="451"/>
      <c r="AFE128" s="451"/>
      <c r="AFF128" s="451"/>
      <c r="AFG128" s="451"/>
      <c r="AFH128" s="451"/>
      <c r="AFI128" s="451"/>
      <c r="AFJ128" s="451"/>
      <c r="AFK128" s="451"/>
      <c r="AFL128" s="451"/>
      <c r="AFM128" s="451"/>
      <c r="AFN128" s="451"/>
      <c r="AFO128" s="451"/>
      <c r="AFP128" s="451"/>
      <c r="AFQ128" s="451"/>
      <c r="AFR128" s="451"/>
      <c r="AFS128" s="451"/>
      <c r="AFT128" s="451"/>
      <c r="AFU128" s="451"/>
      <c r="AFV128" s="451"/>
      <c r="AFW128" s="451"/>
      <c r="AFX128" s="451"/>
      <c r="AFY128" s="451"/>
      <c r="AFZ128" s="451"/>
      <c r="AGA128" s="451"/>
      <c r="AGB128" s="451"/>
      <c r="AGC128" s="451"/>
      <c r="AGD128" s="451"/>
      <c r="AGE128" s="451"/>
      <c r="AGF128" s="451"/>
      <c r="AGG128" s="451"/>
      <c r="AGH128" s="451"/>
      <c r="AGI128" s="451"/>
      <c r="AGJ128" s="451"/>
      <c r="AGK128" s="451"/>
      <c r="AGL128" s="451"/>
      <c r="AGM128" s="451"/>
      <c r="AGN128" s="451"/>
      <c r="AGO128" s="451"/>
      <c r="AGP128" s="451"/>
      <c r="AGQ128" s="451"/>
      <c r="AGR128" s="451"/>
      <c r="AGS128" s="451"/>
      <c r="AGT128" s="451"/>
      <c r="AGU128" s="451"/>
      <c r="AGV128" s="451"/>
      <c r="AGW128" s="451"/>
      <c r="AGX128" s="451"/>
      <c r="AGY128" s="451"/>
      <c r="AGZ128" s="451"/>
      <c r="AHA128" s="451"/>
      <c r="AHB128" s="451"/>
      <c r="AHC128" s="451"/>
      <c r="AHD128" s="451"/>
      <c r="AHE128" s="451"/>
      <c r="AHF128" s="451"/>
      <c r="AHG128" s="451"/>
      <c r="AHH128" s="451"/>
      <c r="AHI128" s="451"/>
      <c r="AHJ128" s="451"/>
      <c r="AHK128" s="451"/>
      <c r="AHL128" s="451"/>
      <c r="AHM128" s="451"/>
      <c r="AHN128" s="451"/>
      <c r="AHO128" s="451"/>
      <c r="AHP128" s="451"/>
      <c r="AHQ128" s="451"/>
      <c r="AHR128" s="451"/>
      <c r="AHS128" s="451"/>
      <c r="AHT128" s="451"/>
      <c r="AHU128" s="451"/>
      <c r="AHV128" s="451"/>
      <c r="AHW128" s="451"/>
      <c r="AHX128" s="451"/>
      <c r="AHY128" s="451"/>
      <c r="AHZ128" s="451"/>
      <c r="AIA128" s="451"/>
      <c r="AIB128" s="451"/>
      <c r="AIC128" s="451"/>
      <c r="AID128" s="451"/>
      <c r="AIE128" s="451"/>
      <c r="AIF128" s="451"/>
      <c r="AIG128" s="451"/>
      <c r="AIH128" s="451"/>
      <c r="AII128" s="451"/>
      <c r="AIJ128" s="451"/>
      <c r="AIK128" s="451"/>
      <c r="AIL128" s="451"/>
      <c r="AIM128" s="451"/>
      <c r="AIN128" s="451"/>
      <c r="AIO128" s="451"/>
      <c r="AIP128" s="451"/>
      <c r="AIQ128" s="451"/>
      <c r="AIR128" s="451"/>
      <c r="AIS128" s="451"/>
      <c r="AIT128" s="451"/>
      <c r="AIU128" s="451"/>
      <c r="AIV128" s="451"/>
      <c r="AIW128" s="451"/>
      <c r="AIX128" s="451"/>
      <c r="AIY128" s="451"/>
      <c r="AIZ128" s="451"/>
      <c r="AJA128" s="451"/>
      <c r="AJB128" s="451"/>
      <c r="AJC128" s="451"/>
      <c r="AJD128" s="451"/>
      <c r="AJE128" s="451"/>
      <c r="AJF128" s="451"/>
      <c r="AJG128" s="451"/>
      <c r="AJH128" s="451"/>
      <c r="AJI128" s="451"/>
      <c r="AJJ128" s="451"/>
      <c r="AJK128" s="451"/>
      <c r="AJL128" s="451"/>
      <c r="AJM128" s="451"/>
      <c r="AJN128" s="451"/>
      <c r="AJO128" s="451"/>
      <c r="AJP128" s="451"/>
      <c r="AJQ128" s="451"/>
      <c r="AJR128" s="451"/>
      <c r="AJS128" s="451"/>
      <c r="AJT128" s="451"/>
      <c r="AJU128" s="451"/>
      <c r="AJV128" s="451"/>
      <c r="AJW128" s="451"/>
      <c r="AJX128" s="451"/>
      <c r="AJY128" s="451"/>
      <c r="AJZ128" s="451"/>
      <c r="AKA128" s="451"/>
      <c r="AKB128" s="451"/>
      <c r="AKC128" s="451"/>
      <c r="AKD128" s="451"/>
      <c r="AKE128" s="451"/>
      <c r="AKF128" s="451"/>
      <c r="AKG128" s="451"/>
      <c r="AKH128" s="451"/>
      <c r="AKI128" s="451"/>
      <c r="AKJ128" s="451"/>
      <c r="AKK128" s="451"/>
      <c r="AKL128" s="451"/>
      <c r="AKM128" s="451"/>
      <c r="AKN128" s="451"/>
      <c r="AKO128" s="451"/>
      <c r="AKP128" s="451"/>
      <c r="AKQ128" s="451"/>
      <c r="AKR128" s="451"/>
      <c r="AKS128" s="451"/>
      <c r="AKT128" s="451"/>
      <c r="AKU128" s="451"/>
      <c r="AKV128" s="451"/>
      <c r="AKW128" s="451"/>
      <c r="AKX128" s="451"/>
      <c r="AKY128" s="451"/>
      <c r="AKZ128" s="451"/>
      <c r="ALA128" s="451"/>
      <c r="ALB128" s="451"/>
      <c r="ALC128" s="451"/>
      <c r="ALD128" s="451"/>
      <c r="ALE128" s="451"/>
      <c r="ALF128" s="451"/>
      <c r="ALG128" s="451"/>
      <c r="ALH128" s="451"/>
    </row>
    <row r="129" spans="1:996" s="445" customFormat="1">
      <c r="A129" s="444"/>
      <c r="B129" s="445" t="str">
        <f t="shared" si="0"/>
        <v>S211104</v>
      </c>
      <c r="C129" s="445" t="s">
        <v>347</v>
      </c>
      <c r="D129" s="446" t="s">
        <v>128</v>
      </c>
      <c r="E129" s="445">
        <v>211104</v>
      </c>
      <c r="F129" s="447" t="s">
        <v>135</v>
      </c>
      <c r="G129" s="448">
        <f>IFERROR(VLOOKUP(E129,'BD - E - Mvto Cx'!$E$15:$G$500,3,0),0)</f>
        <v>2080860.26</v>
      </c>
      <c r="H129" s="449">
        <f>IFERROR(VLOOKUP(E129,'BD - E - Mvto Cx'!$N$15:$P$500,3,0),0)</f>
        <v>1605086.96</v>
      </c>
      <c r="I129" s="450">
        <f>IFERROR(VLOOKUP(E129,'BD - E - Mvto Cx'!$W$15:$Y$497,3,0),0)</f>
        <v>2075149.88</v>
      </c>
      <c r="J129" s="450">
        <f>IFERROR(VLOOKUP(E129,'BD - E - Mvto Cx'!$AF$15:$AI$500,3,0),0)</f>
        <v>1968707.74</v>
      </c>
      <c r="K129" s="450">
        <f>IFERROR(VLOOKUP(E129,'BD - E - Mvto Cx'!$AO$15:$AQ$500,3,0),0)</f>
        <v>0</v>
      </c>
      <c r="L129" s="450">
        <f>IFERROR(VLOOKUP(E129,'BD - E - Mvto Cx'!$AX$15:$AZ$500,3,0),0)</f>
        <v>0</v>
      </c>
      <c r="M129" s="450">
        <f>IFERROR(VLOOKUP(E129,'BD - E - Mvto Cx'!$BJ$15:$BL$500,3,0),0)</f>
        <v>0</v>
      </c>
      <c r="N129" s="450">
        <f>IFERROR(VLOOKUP(E129,'BD - E - Mvto Cx'!$BS$15:$BU$500,3,0),0)</f>
        <v>0</v>
      </c>
      <c r="O129" s="450">
        <f>IFERROR(VLOOKUP(E129,'BD - E - Mvto Cx'!$CB$15:$CD$500,3,0),0)</f>
        <v>0</v>
      </c>
      <c r="P129" s="450">
        <f>IFERROR(VLOOKUP(E129,'BD - E - Mvto Cx'!$CK$15:$CM$500,3,0),0)</f>
        <v>0</v>
      </c>
      <c r="Q129" s="450">
        <f>IFERROR(VLOOKUP(E129,'BD - E - Mvto Cx'!$CT$15:$CV$500,3,0),0)</f>
        <v>0</v>
      </c>
      <c r="R129" s="450">
        <f>IFERROR(VLOOKUP(E129,'BD - E - Mvto Cx'!$DC$15:$DE$500,3,0),0)</f>
        <v>0</v>
      </c>
      <c r="S129" s="451"/>
      <c r="T129" s="451"/>
      <c r="U129" s="451"/>
      <c r="V129" s="451"/>
      <c r="W129" s="451"/>
      <c r="X129" s="451"/>
      <c r="Y129" s="451"/>
      <c r="Z129" s="451"/>
      <c r="AA129" s="451"/>
      <c r="AB129" s="451"/>
      <c r="AC129" s="451"/>
      <c r="AD129" s="451"/>
      <c r="AE129" s="451"/>
      <c r="AF129" s="451"/>
      <c r="AG129" s="451"/>
      <c r="AH129" s="451"/>
      <c r="AI129" s="451"/>
      <c r="AJ129" s="451"/>
      <c r="AK129" s="451"/>
      <c r="AL129" s="451"/>
      <c r="AM129" s="451"/>
      <c r="AN129" s="451"/>
      <c r="AO129" s="451"/>
      <c r="AP129" s="451"/>
      <c r="AQ129" s="451"/>
      <c r="AR129" s="451"/>
      <c r="AS129" s="451"/>
      <c r="AT129" s="451"/>
      <c r="AU129" s="451"/>
      <c r="AV129" s="451"/>
      <c r="AW129" s="451"/>
      <c r="AX129" s="451"/>
      <c r="AY129" s="451"/>
      <c r="AZ129" s="451"/>
      <c r="BA129" s="451"/>
      <c r="BB129" s="451"/>
      <c r="BC129" s="451"/>
      <c r="BD129" s="451"/>
      <c r="BE129" s="451"/>
      <c r="BF129" s="451"/>
      <c r="BG129" s="451"/>
      <c r="BH129" s="451"/>
      <c r="BI129" s="451"/>
      <c r="BJ129" s="451"/>
      <c r="BK129" s="451"/>
      <c r="BL129" s="451"/>
      <c r="BM129" s="451"/>
      <c r="BN129" s="451"/>
      <c r="BO129" s="451"/>
      <c r="BP129" s="451"/>
      <c r="BQ129" s="451"/>
      <c r="BR129" s="451"/>
      <c r="BS129" s="451"/>
      <c r="BT129" s="451"/>
      <c r="BU129" s="451"/>
      <c r="BV129" s="451"/>
      <c r="BW129" s="451"/>
      <c r="BX129" s="451"/>
      <c r="BY129" s="451"/>
      <c r="BZ129" s="451"/>
      <c r="CA129" s="451"/>
      <c r="CB129" s="451"/>
      <c r="CC129" s="451"/>
      <c r="CD129" s="451"/>
      <c r="CE129" s="451"/>
      <c r="CF129" s="451"/>
      <c r="CG129" s="451"/>
      <c r="CH129" s="451"/>
      <c r="CI129" s="451"/>
      <c r="CJ129" s="451"/>
      <c r="CK129" s="451"/>
      <c r="CL129" s="451"/>
      <c r="CM129" s="451"/>
      <c r="CN129" s="451"/>
      <c r="CO129" s="451"/>
      <c r="CP129" s="451"/>
      <c r="CQ129" s="451"/>
      <c r="CR129" s="451"/>
      <c r="CS129" s="451"/>
      <c r="CT129" s="451"/>
      <c r="CU129" s="451"/>
      <c r="CV129" s="451"/>
      <c r="CW129" s="451"/>
      <c r="CX129" s="451"/>
      <c r="CY129" s="451"/>
      <c r="CZ129" s="451"/>
      <c r="DA129" s="451"/>
      <c r="DB129" s="451"/>
      <c r="DC129" s="451"/>
      <c r="DD129" s="451"/>
      <c r="DE129" s="451"/>
      <c r="DF129" s="451"/>
      <c r="DG129" s="451"/>
      <c r="DH129" s="451"/>
      <c r="DI129" s="451"/>
      <c r="DJ129" s="451"/>
      <c r="DK129" s="451"/>
      <c r="DL129" s="451"/>
      <c r="DM129" s="451"/>
      <c r="DN129" s="451"/>
      <c r="DO129" s="451"/>
      <c r="DP129" s="451"/>
      <c r="DQ129" s="451"/>
      <c r="DR129" s="451"/>
      <c r="DS129" s="451"/>
      <c r="DT129" s="451"/>
      <c r="DU129" s="451"/>
      <c r="DV129" s="451"/>
      <c r="DW129" s="451"/>
      <c r="DX129" s="451"/>
      <c r="DY129" s="451"/>
      <c r="DZ129" s="451"/>
      <c r="EA129" s="451"/>
      <c r="EB129" s="451"/>
      <c r="EC129" s="451"/>
      <c r="ED129" s="451"/>
      <c r="EE129" s="451"/>
      <c r="EF129" s="451"/>
      <c r="EG129" s="451"/>
      <c r="EH129" s="451"/>
      <c r="EI129" s="451"/>
      <c r="EJ129" s="451"/>
      <c r="EK129" s="451"/>
      <c r="EL129" s="451"/>
      <c r="EM129" s="451"/>
      <c r="EN129" s="451"/>
      <c r="EO129" s="451"/>
      <c r="EP129" s="451"/>
      <c r="EQ129" s="451"/>
      <c r="ER129" s="451"/>
      <c r="ES129" s="451"/>
      <c r="ET129" s="451"/>
      <c r="EU129" s="451"/>
      <c r="EV129" s="451"/>
      <c r="EW129" s="451"/>
      <c r="EX129" s="451"/>
      <c r="EY129" s="451"/>
      <c r="EZ129" s="451"/>
      <c r="FA129" s="451"/>
      <c r="FB129" s="451"/>
      <c r="FC129" s="451"/>
      <c r="FD129" s="451"/>
      <c r="FE129" s="451"/>
      <c r="FF129" s="451"/>
      <c r="FG129" s="451"/>
      <c r="FH129" s="451"/>
      <c r="FI129" s="451"/>
      <c r="FJ129" s="451"/>
      <c r="FK129" s="451"/>
      <c r="FL129" s="451"/>
      <c r="FM129" s="451"/>
      <c r="FN129" s="451"/>
      <c r="FO129" s="451"/>
      <c r="FP129" s="451"/>
      <c r="FQ129" s="451"/>
      <c r="FR129" s="451"/>
      <c r="FS129" s="451"/>
      <c r="FT129" s="451"/>
      <c r="FU129" s="451"/>
      <c r="FV129" s="451"/>
      <c r="FW129" s="451"/>
      <c r="FX129" s="451"/>
      <c r="FY129" s="451"/>
      <c r="FZ129" s="451"/>
      <c r="GA129" s="451"/>
      <c r="GB129" s="451"/>
      <c r="GC129" s="451"/>
      <c r="GD129" s="451"/>
      <c r="GE129" s="451"/>
      <c r="GF129" s="451"/>
      <c r="GG129" s="451"/>
      <c r="GH129" s="451"/>
      <c r="GI129" s="451"/>
      <c r="GJ129" s="451"/>
      <c r="GK129" s="451"/>
      <c r="GL129" s="451"/>
      <c r="GM129" s="451"/>
      <c r="GN129" s="451"/>
      <c r="GO129" s="451"/>
      <c r="GP129" s="451"/>
      <c r="GQ129" s="451"/>
      <c r="GR129" s="451"/>
      <c r="GS129" s="451"/>
      <c r="GT129" s="451"/>
      <c r="GU129" s="451"/>
      <c r="GV129" s="451"/>
      <c r="GW129" s="451"/>
      <c r="GX129" s="451"/>
      <c r="GY129" s="451"/>
      <c r="GZ129" s="451"/>
      <c r="HA129" s="451"/>
      <c r="HB129" s="451"/>
      <c r="HC129" s="451"/>
      <c r="HD129" s="451"/>
      <c r="HE129" s="451"/>
      <c r="HF129" s="451"/>
      <c r="HG129" s="451"/>
      <c r="HH129" s="451"/>
      <c r="HI129" s="451"/>
      <c r="HJ129" s="451"/>
      <c r="HK129" s="451"/>
      <c r="HL129" s="451"/>
      <c r="HM129" s="451"/>
      <c r="HN129" s="451"/>
      <c r="HO129" s="451"/>
      <c r="HP129" s="451"/>
      <c r="HQ129" s="451"/>
      <c r="HR129" s="451"/>
      <c r="HS129" s="451"/>
      <c r="HT129" s="451"/>
      <c r="HU129" s="451"/>
      <c r="HV129" s="451"/>
      <c r="HW129" s="451"/>
      <c r="HX129" s="451"/>
      <c r="HY129" s="451"/>
      <c r="HZ129" s="451"/>
      <c r="IA129" s="451"/>
      <c r="IB129" s="451"/>
      <c r="IC129" s="451"/>
      <c r="ID129" s="451"/>
      <c r="IE129" s="451"/>
      <c r="IF129" s="451"/>
      <c r="IG129" s="451"/>
      <c r="IH129" s="451"/>
      <c r="II129" s="451"/>
      <c r="IJ129" s="451"/>
      <c r="IK129" s="451"/>
      <c r="IL129" s="451"/>
      <c r="IM129" s="451"/>
      <c r="IN129" s="451"/>
      <c r="IO129" s="451"/>
      <c r="IP129" s="451"/>
      <c r="IQ129" s="451"/>
      <c r="IR129" s="451"/>
      <c r="IS129" s="451"/>
      <c r="IT129" s="451"/>
      <c r="IU129" s="451"/>
      <c r="IV129" s="451"/>
      <c r="IW129" s="451"/>
      <c r="IX129" s="451"/>
      <c r="IY129" s="451"/>
      <c r="IZ129" s="451"/>
      <c r="JA129" s="451"/>
      <c r="JB129" s="451"/>
      <c r="JC129" s="451"/>
      <c r="JD129" s="451"/>
      <c r="JE129" s="451"/>
      <c r="JF129" s="451"/>
      <c r="JG129" s="451"/>
      <c r="JH129" s="451"/>
      <c r="JI129" s="451"/>
      <c r="JJ129" s="451"/>
      <c r="JK129" s="451"/>
      <c r="JL129" s="451"/>
      <c r="JM129" s="451"/>
      <c r="JN129" s="451"/>
      <c r="JO129" s="451"/>
      <c r="JP129" s="451"/>
      <c r="JQ129" s="451"/>
      <c r="JR129" s="451"/>
      <c r="JS129" s="451"/>
      <c r="JT129" s="451"/>
      <c r="JU129" s="451"/>
      <c r="JV129" s="451"/>
      <c r="JW129" s="451"/>
      <c r="JX129" s="451"/>
      <c r="JY129" s="451"/>
      <c r="JZ129" s="451"/>
      <c r="KA129" s="451"/>
      <c r="KB129" s="451"/>
      <c r="KC129" s="451"/>
      <c r="KD129" s="451"/>
      <c r="KE129" s="451"/>
      <c r="KF129" s="451"/>
      <c r="KG129" s="451"/>
      <c r="KH129" s="451"/>
      <c r="KI129" s="451"/>
      <c r="KJ129" s="451"/>
      <c r="KK129" s="451"/>
      <c r="KL129" s="451"/>
      <c r="KM129" s="451"/>
      <c r="KN129" s="451"/>
      <c r="KO129" s="451"/>
      <c r="KP129" s="451"/>
      <c r="KQ129" s="451"/>
      <c r="KR129" s="451"/>
      <c r="KS129" s="451"/>
      <c r="KT129" s="451"/>
      <c r="KU129" s="451"/>
      <c r="KV129" s="451"/>
      <c r="KW129" s="451"/>
      <c r="KX129" s="451"/>
      <c r="KY129" s="451"/>
      <c r="KZ129" s="451"/>
      <c r="LA129" s="451"/>
      <c r="LB129" s="451"/>
      <c r="LC129" s="451"/>
      <c r="LD129" s="451"/>
      <c r="LE129" s="451"/>
      <c r="LF129" s="451"/>
      <c r="LG129" s="451"/>
      <c r="LH129" s="451"/>
      <c r="LI129" s="451"/>
      <c r="LJ129" s="451"/>
      <c r="LK129" s="451"/>
      <c r="LL129" s="451"/>
      <c r="LM129" s="451"/>
      <c r="LN129" s="451"/>
      <c r="LO129" s="451"/>
      <c r="LP129" s="451"/>
      <c r="LQ129" s="451"/>
      <c r="LR129" s="451"/>
      <c r="LS129" s="451"/>
      <c r="LT129" s="451"/>
      <c r="LU129" s="451"/>
      <c r="LV129" s="451"/>
      <c r="LW129" s="451"/>
      <c r="LX129" s="451"/>
      <c r="LY129" s="451"/>
      <c r="LZ129" s="451"/>
      <c r="MA129" s="451"/>
      <c r="MB129" s="451"/>
      <c r="MC129" s="451"/>
      <c r="MD129" s="451"/>
      <c r="ME129" s="451"/>
      <c r="MF129" s="451"/>
      <c r="MG129" s="451"/>
      <c r="MH129" s="451"/>
      <c r="MI129" s="451"/>
      <c r="MJ129" s="451"/>
      <c r="MK129" s="451"/>
      <c r="ML129" s="451"/>
      <c r="MM129" s="451"/>
      <c r="MN129" s="451"/>
      <c r="MO129" s="451"/>
      <c r="MP129" s="451"/>
      <c r="MQ129" s="451"/>
      <c r="MR129" s="451"/>
      <c r="MS129" s="451"/>
      <c r="MT129" s="451"/>
      <c r="MU129" s="451"/>
      <c r="MV129" s="451"/>
      <c r="MW129" s="451"/>
      <c r="MX129" s="451"/>
      <c r="MY129" s="451"/>
      <c r="MZ129" s="451"/>
      <c r="NA129" s="451"/>
      <c r="NB129" s="451"/>
      <c r="NC129" s="451"/>
      <c r="ND129" s="451"/>
      <c r="NE129" s="451"/>
      <c r="NF129" s="451"/>
      <c r="NG129" s="451"/>
      <c r="NH129" s="451"/>
      <c r="NI129" s="451"/>
      <c r="NJ129" s="451"/>
      <c r="NK129" s="451"/>
      <c r="NL129" s="451"/>
      <c r="NM129" s="451"/>
      <c r="NN129" s="451"/>
      <c r="NO129" s="451"/>
      <c r="NP129" s="451"/>
      <c r="NQ129" s="451"/>
      <c r="NR129" s="451"/>
      <c r="NS129" s="451"/>
      <c r="NT129" s="451"/>
      <c r="NU129" s="451"/>
      <c r="NV129" s="451"/>
      <c r="NW129" s="451"/>
      <c r="NX129" s="451"/>
      <c r="NY129" s="451"/>
      <c r="NZ129" s="451"/>
      <c r="OA129" s="451"/>
      <c r="OB129" s="451"/>
      <c r="OC129" s="451"/>
      <c r="OD129" s="451"/>
      <c r="OE129" s="451"/>
      <c r="OF129" s="451"/>
      <c r="OG129" s="451"/>
      <c r="OH129" s="451"/>
      <c r="OI129" s="451"/>
      <c r="OJ129" s="451"/>
      <c r="OK129" s="451"/>
      <c r="OL129" s="451"/>
      <c r="OM129" s="451"/>
      <c r="ON129" s="451"/>
      <c r="OO129" s="451"/>
      <c r="OP129" s="451"/>
      <c r="OQ129" s="451"/>
      <c r="OR129" s="451"/>
      <c r="OS129" s="451"/>
      <c r="OT129" s="451"/>
      <c r="OU129" s="451"/>
      <c r="OV129" s="451"/>
      <c r="OW129" s="451"/>
      <c r="OX129" s="451"/>
      <c r="OY129" s="451"/>
      <c r="OZ129" s="451"/>
      <c r="PA129" s="451"/>
      <c r="PB129" s="451"/>
      <c r="PC129" s="451"/>
      <c r="PD129" s="451"/>
      <c r="PE129" s="451"/>
      <c r="PF129" s="451"/>
      <c r="PG129" s="451"/>
      <c r="PH129" s="451"/>
      <c r="PI129" s="451"/>
      <c r="PJ129" s="451"/>
      <c r="PK129" s="451"/>
      <c r="PL129" s="451"/>
      <c r="PM129" s="451"/>
      <c r="PN129" s="451"/>
      <c r="PO129" s="451"/>
      <c r="PP129" s="451"/>
      <c r="PQ129" s="451"/>
      <c r="PR129" s="451"/>
      <c r="PS129" s="451"/>
      <c r="PT129" s="451"/>
      <c r="PU129" s="451"/>
      <c r="PV129" s="451"/>
      <c r="PW129" s="451"/>
      <c r="PX129" s="451"/>
      <c r="PY129" s="451"/>
      <c r="PZ129" s="451"/>
      <c r="QA129" s="451"/>
      <c r="QB129" s="451"/>
      <c r="QC129" s="451"/>
      <c r="QD129" s="451"/>
      <c r="QE129" s="451"/>
      <c r="QF129" s="451"/>
      <c r="QG129" s="451"/>
      <c r="QH129" s="451"/>
      <c r="QI129" s="451"/>
      <c r="QJ129" s="451"/>
      <c r="QK129" s="451"/>
      <c r="QL129" s="451"/>
      <c r="QM129" s="451"/>
      <c r="QN129" s="451"/>
      <c r="QO129" s="451"/>
      <c r="QP129" s="451"/>
      <c r="QQ129" s="451"/>
      <c r="QR129" s="451"/>
      <c r="QS129" s="451"/>
      <c r="QT129" s="451"/>
      <c r="QU129" s="451"/>
      <c r="QV129" s="451"/>
      <c r="QW129" s="451"/>
      <c r="QX129" s="451"/>
      <c r="QY129" s="451"/>
      <c r="QZ129" s="451"/>
      <c r="RA129" s="451"/>
      <c r="RB129" s="451"/>
      <c r="RC129" s="451"/>
      <c r="RD129" s="451"/>
      <c r="RE129" s="451"/>
      <c r="RF129" s="451"/>
      <c r="RG129" s="451"/>
      <c r="RH129" s="451"/>
      <c r="RI129" s="451"/>
      <c r="RJ129" s="451"/>
      <c r="RK129" s="451"/>
      <c r="RL129" s="451"/>
      <c r="RM129" s="451"/>
      <c r="RN129" s="451"/>
      <c r="RO129" s="451"/>
      <c r="RP129" s="451"/>
      <c r="RQ129" s="451"/>
      <c r="RR129" s="451"/>
      <c r="RS129" s="451"/>
      <c r="RT129" s="451"/>
      <c r="RU129" s="451"/>
      <c r="RV129" s="451"/>
      <c r="RW129" s="451"/>
      <c r="RX129" s="451"/>
      <c r="RY129" s="451"/>
      <c r="RZ129" s="451"/>
      <c r="SA129" s="451"/>
      <c r="SB129" s="451"/>
      <c r="SC129" s="451"/>
      <c r="SD129" s="451"/>
      <c r="SE129" s="451"/>
      <c r="SF129" s="451"/>
      <c r="SG129" s="451"/>
      <c r="SH129" s="451"/>
      <c r="SI129" s="451"/>
      <c r="SJ129" s="451"/>
      <c r="SK129" s="451"/>
      <c r="SL129" s="451"/>
      <c r="SM129" s="451"/>
      <c r="SN129" s="451"/>
      <c r="SO129" s="451"/>
      <c r="SP129" s="451"/>
      <c r="SQ129" s="451"/>
      <c r="SR129" s="451"/>
      <c r="SS129" s="451"/>
      <c r="ST129" s="451"/>
      <c r="SU129" s="451"/>
      <c r="SV129" s="451"/>
      <c r="SW129" s="451"/>
      <c r="SX129" s="451"/>
      <c r="SY129" s="451"/>
      <c r="SZ129" s="451"/>
      <c r="TA129" s="451"/>
      <c r="TB129" s="451"/>
      <c r="TC129" s="451"/>
      <c r="TD129" s="451"/>
      <c r="TE129" s="451"/>
      <c r="TF129" s="451"/>
      <c r="TG129" s="451"/>
      <c r="TH129" s="451"/>
      <c r="TI129" s="451"/>
      <c r="TJ129" s="451"/>
      <c r="TK129" s="451"/>
      <c r="TL129" s="451"/>
      <c r="TM129" s="451"/>
      <c r="TN129" s="451"/>
      <c r="TO129" s="451"/>
      <c r="TP129" s="451"/>
      <c r="TQ129" s="451"/>
      <c r="TR129" s="451"/>
      <c r="TS129" s="451"/>
      <c r="TT129" s="451"/>
      <c r="TU129" s="451"/>
      <c r="TV129" s="451"/>
      <c r="TW129" s="451"/>
      <c r="TX129" s="451"/>
      <c r="TY129" s="451"/>
      <c r="TZ129" s="451"/>
      <c r="UA129" s="451"/>
      <c r="UB129" s="451"/>
      <c r="UC129" s="451"/>
      <c r="UD129" s="451"/>
      <c r="UE129" s="451"/>
      <c r="UF129" s="451"/>
      <c r="UG129" s="451"/>
      <c r="UH129" s="451"/>
      <c r="UI129" s="451"/>
      <c r="UJ129" s="451"/>
      <c r="UK129" s="451"/>
      <c r="UL129" s="451"/>
      <c r="UM129" s="451"/>
      <c r="UN129" s="451"/>
      <c r="UO129" s="451"/>
      <c r="UP129" s="451"/>
      <c r="UQ129" s="451"/>
      <c r="UR129" s="451"/>
      <c r="US129" s="451"/>
      <c r="UT129" s="451"/>
      <c r="UU129" s="451"/>
      <c r="UV129" s="451"/>
      <c r="UW129" s="451"/>
      <c r="UX129" s="451"/>
      <c r="UY129" s="451"/>
      <c r="UZ129" s="451"/>
      <c r="VA129" s="451"/>
      <c r="VB129" s="451"/>
      <c r="VC129" s="451"/>
      <c r="VD129" s="451"/>
      <c r="VE129" s="451"/>
      <c r="VF129" s="451"/>
      <c r="VG129" s="451"/>
      <c r="VH129" s="451"/>
      <c r="VI129" s="451"/>
      <c r="VJ129" s="451"/>
      <c r="VK129" s="451"/>
      <c r="VL129" s="451"/>
      <c r="VM129" s="451"/>
      <c r="VN129" s="451"/>
      <c r="VO129" s="451"/>
      <c r="VP129" s="451"/>
      <c r="VQ129" s="451"/>
      <c r="VR129" s="451"/>
      <c r="VS129" s="451"/>
      <c r="VT129" s="451"/>
      <c r="VU129" s="451"/>
      <c r="VV129" s="451"/>
      <c r="VW129" s="451"/>
      <c r="VX129" s="451"/>
      <c r="VY129" s="451"/>
      <c r="VZ129" s="451"/>
      <c r="WA129" s="451"/>
      <c r="WB129" s="451"/>
      <c r="WC129" s="451"/>
      <c r="WD129" s="451"/>
      <c r="WE129" s="451"/>
      <c r="WF129" s="451"/>
      <c r="WG129" s="451"/>
      <c r="WH129" s="451"/>
      <c r="WI129" s="451"/>
      <c r="WJ129" s="451"/>
      <c r="WK129" s="451"/>
      <c r="WL129" s="451"/>
      <c r="WM129" s="451"/>
      <c r="WN129" s="451"/>
      <c r="WO129" s="451"/>
      <c r="WP129" s="451"/>
      <c r="WQ129" s="451"/>
      <c r="WR129" s="451"/>
      <c r="WS129" s="451"/>
      <c r="WT129" s="451"/>
      <c r="WU129" s="451"/>
      <c r="WV129" s="451"/>
      <c r="WW129" s="451"/>
      <c r="WX129" s="451"/>
      <c r="WY129" s="451"/>
      <c r="WZ129" s="451"/>
      <c r="XA129" s="451"/>
      <c r="XB129" s="451"/>
      <c r="XC129" s="451"/>
      <c r="XD129" s="451"/>
      <c r="XE129" s="451"/>
      <c r="XF129" s="451"/>
      <c r="XG129" s="451"/>
      <c r="XH129" s="451"/>
      <c r="XI129" s="451"/>
      <c r="XJ129" s="451"/>
      <c r="XK129" s="451"/>
      <c r="XL129" s="451"/>
      <c r="XM129" s="451"/>
      <c r="XN129" s="451"/>
      <c r="XO129" s="451"/>
      <c r="XP129" s="451"/>
      <c r="XQ129" s="451"/>
      <c r="XR129" s="451"/>
      <c r="XS129" s="451"/>
      <c r="XT129" s="451"/>
      <c r="XU129" s="451"/>
      <c r="XV129" s="451"/>
      <c r="XW129" s="451"/>
      <c r="XX129" s="451"/>
      <c r="XY129" s="451"/>
      <c r="XZ129" s="451"/>
      <c r="YA129" s="451"/>
      <c r="YB129" s="451"/>
      <c r="YC129" s="451"/>
      <c r="YD129" s="451"/>
      <c r="YE129" s="451"/>
      <c r="YF129" s="451"/>
      <c r="YG129" s="451"/>
      <c r="YH129" s="451"/>
      <c r="YI129" s="451"/>
      <c r="YJ129" s="451"/>
      <c r="YK129" s="451"/>
      <c r="YL129" s="451"/>
      <c r="YM129" s="451"/>
      <c r="YN129" s="451"/>
      <c r="YO129" s="451"/>
      <c r="YP129" s="451"/>
      <c r="YQ129" s="451"/>
      <c r="YR129" s="451"/>
      <c r="YS129" s="451"/>
      <c r="YT129" s="451"/>
      <c r="YU129" s="451"/>
      <c r="YV129" s="451"/>
      <c r="YW129" s="451"/>
      <c r="YX129" s="451"/>
      <c r="YY129" s="451"/>
      <c r="YZ129" s="451"/>
      <c r="ZA129" s="451"/>
      <c r="ZB129" s="451"/>
      <c r="ZC129" s="451"/>
      <c r="ZD129" s="451"/>
      <c r="ZE129" s="451"/>
      <c r="ZF129" s="451"/>
      <c r="ZG129" s="451"/>
      <c r="ZH129" s="451"/>
      <c r="ZI129" s="451"/>
      <c r="ZJ129" s="451"/>
      <c r="ZK129" s="451"/>
      <c r="ZL129" s="451"/>
      <c r="ZM129" s="451"/>
      <c r="ZN129" s="451"/>
      <c r="ZO129" s="451"/>
      <c r="ZP129" s="451"/>
      <c r="ZQ129" s="451"/>
      <c r="ZR129" s="451"/>
      <c r="ZS129" s="451"/>
      <c r="ZT129" s="451"/>
      <c r="ZU129" s="451"/>
      <c r="ZV129" s="451"/>
      <c r="ZW129" s="451"/>
      <c r="ZX129" s="451"/>
      <c r="ZY129" s="451"/>
      <c r="ZZ129" s="451"/>
      <c r="AAA129" s="451"/>
      <c r="AAB129" s="451"/>
      <c r="AAC129" s="451"/>
      <c r="AAD129" s="451"/>
      <c r="AAE129" s="451"/>
      <c r="AAF129" s="451"/>
      <c r="AAG129" s="451"/>
      <c r="AAH129" s="451"/>
      <c r="AAI129" s="451"/>
      <c r="AAJ129" s="451"/>
      <c r="AAK129" s="451"/>
      <c r="AAL129" s="451"/>
      <c r="AAM129" s="451"/>
      <c r="AAN129" s="451"/>
      <c r="AAO129" s="451"/>
      <c r="AAP129" s="451"/>
      <c r="AAQ129" s="451"/>
      <c r="AAR129" s="451"/>
      <c r="AAS129" s="451"/>
      <c r="AAT129" s="451"/>
      <c r="AAU129" s="451"/>
      <c r="AAV129" s="451"/>
      <c r="AAW129" s="451"/>
      <c r="AAX129" s="451"/>
      <c r="AAY129" s="451"/>
      <c r="AAZ129" s="451"/>
      <c r="ABA129" s="451"/>
      <c r="ABB129" s="451"/>
      <c r="ABC129" s="451"/>
      <c r="ABD129" s="451"/>
      <c r="ABE129" s="451"/>
      <c r="ABF129" s="451"/>
      <c r="ABG129" s="451"/>
      <c r="ABH129" s="451"/>
      <c r="ABI129" s="451"/>
      <c r="ABJ129" s="451"/>
      <c r="ABK129" s="451"/>
      <c r="ABL129" s="451"/>
      <c r="ABM129" s="451"/>
      <c r="ABN129" s="451"/>
      <c r="ABO129" s="451"/>
      <c r="ABP129" s="451"/>
      <c r="ABQ129" s="451"/>
      <c r="ABR129" s="451"/>
      <c r="ABS129" s="451"/>
      <c r="ABT129" s="451"/>
      <c r="ABU129" s="451"/>
      <c r="ABV129" s="451"/>
      <c r="ABW129" s="451"/>
      <c r="ABX129" s="451"/>
      <c r="ABY129" s="451"/>
      <c r="ABZ129" s="451"/>
      <c r="ACA129" s="451"/>
      <c r="ACB129" s="451"/>
      <c r="ACC129" s="451"/>
      <c r="ACD129" s="451"/>
      <c r="ACE129" s="451"/>
      <c r="ACF129" s="451"/>
      <c r="ACG129" s="451"/>
      <c r="ACH129" s="451"/>
      <c r="ACI129" s="451"/>
      <c r="ACJ129" s="451"/>
      <c r="ACK129" s="451"/>
      <c r="ACL129" s="451"/>
      <c r="ACM129" s="451"/>
      <c r="ACN129" s="451"/>
      <c r="ACO129" s="451"/>
      <c r="ACP129" s="451"/>
      <c r="ACQ129" s="451"/>
      <c r="ACR129" s="451"/>
      <c r="ACS129" s="451"/>
      <c r="ACT129" s="451"/>
      <c r="ACU129" s="451"/>
      <c r="ACV129" s="451"/>
      <c r="ACW129" s="451"/>
      <c r="ACX129" s="451"/>
      <c r="ACY129" s="451"/>
      <c r="ACZ129" s="451"/>
      <c r="ADA129" s="451"/>
      <c r="ADB129" s="451"/>
      <c r="ADC129" s="451"/>
      <c r="ADD129" s="451"/>
      <c r="ADE129" s="451"/>
      <c r="ADF129" s="451"/>
      <c r="ADG129" s="451"/>
      <c r="ADH129" s="451"/>
      <c r="ADI129" s="451"/>
      <c r="ADJ129" s="451"/>
      <c r="ADK129" s="451"/>
      <c r="ADL129" s="451"/>
      <c r="ADM129" s="451"/>
      <c r="ADN129" s="451"/>
      <c r="ADO129" s="451"/>
      <c r="ADP129" s="451"/>
      <c r="ADQ129" s="451"/>
      <c r="ADR129" s="451"/>
      <c r="ADS129" s="451"/>
      <c r="ADT129" s="451"/>
      <c r="ADU129" s="451"/>
      <c r="ADV129" s="451"/>
      <c r="ADW129" s="451"/>
      <c r="ADX129" s="451"/>
      <c r="ADY129" s="451"/>
      <c r="ADZ129" s="451"/>
      <c r="AEA129" s="451"/>
      <c r="AEB129" s="451"/>
      <c r="AEC129" s="451"/>
      <c r="AED129" s="451"/>
      <c r="AEE129" s="451"/>
      <c r="AEF129" s="451"/>
      <c r="AEG129" s="451"/>
      <c r="AEH129" s="451"/>
      <c r="AEI129" s="451"/>
      <c r="AEJ129" s="451"/>
      <c r="AEK129" s="451"/>
      <c r="AEL129" s="451"/>
      <c r="AEM129" s="451"/>
      <c r="AEN129" s="451"/>
      <c r="AEO129" s="451"/>
      <c r="AEP129" s="451"/>
      <c r="AEQ129" s="451"/>
      <c r="AER129" s="451"/>
      <c r="AES129" s="451"/>
      <c r="AET129" s="451"/>
      <c r="AEU129" s="451"/>
      <c r="AEV129" s="451"/>
      <c r="AEW129" s="451"/>
      <c r="AEX129" s="451"/>
      <c r="AEY129" s="451"/>
      <c r="AEZ129" s="451"/>
      <c r="AFA129" s="451"/>
      <c r="AFB129" s="451"/>
      <c r="AFC129" s="451"/>
      <c r="AFD129" s="451"/>
      <c r="AFE129" s="451"/>
      <c r="AFF129" s="451"/>
      <c r="AFG129" s="451"/>
      <c r="AFH129" s="451"/>
      <c r="AFI129" s="451"/>
      <c r="AFJ129" s="451"/>
      <c r="AFK129" s="451"/>
      <c r="AFL129" s="451"/>
      <c r="AFM129" s="451"/>
      <c r="AFN129" s="451"/>
      <c r="AFO129" s="451"/>
      <c r="AFP129" s="451"/>
      <c r="AFQ129" s="451"/>
      <c r="AFR129" s="451"/>
      <c r="AFS129" s="451"/>
      <c r="AFT129" s="451"/>
      <c r="AFU129" s="451"/>
      <c r="AFV129" s="451"/>
      <c r="AFW129" s="451"/>
      <c r="AFX129" s="451"/>
      <c r="AFY129" s="451"/>
      <c r="AFZ129" s="451"/>
      <c r="AGA129" s="451"/>
      <c r="AGB129" s="451"/>
      <c r="AGC129" s="451"/>
      <c r="AGD129" s="451"/>
      <c r="AGE129" s="451"/>
      <c r="AGF129" s="451"/>
      <c r="AGG129" s="451"/>
      <c r="AGH129" s="451"/>
      <c r="AGI129" s="451"/>
      <c r="AGJ129" s="451"/>
      <c r="AGK129" s="451"/>
      <c r="AGL129" s="451"/>
      <c r="AGM129" s="451"/>
      <c r="AGN129" s="451"/>
      <c r="AGO129" s="451"/>
      <c r="AGP129" s="451"/>
      <c r="AGQ129" s="451"/>
      <c r="AGR129" s="451"/>
      <c r="AGS129" s="451"/>
      <c r="AGT129" s="451"/>
      <c r="AGU129" s="451"/>
      <c r="AGV129" s="451"/>
      <c r="AGW129" s="451"/>
      <c r="AGX129" s="451"/>
      <c r="AGY129" s="451"/>
      <c r="AGZ129" s="451"/>
      <c r="AHA129" s="451"/>
      <c r="AHB129" s="451"/>
      <c r="AHC129" s="451"/>
      <c r="AHD129" s="451"/>
      <c r="AHE129" s="451"/>
      <c r="AHF129" s="451"/>
      <c r="AHG129" s="451"/>
      <c r="AHH129" s="451"/>
      <c r="AHI129" s="451"/>
      <c r="AHJ129" s="451"/>
      <c r="AHK129" s="451"/>
      <c r="AHL129" s="451"/>
      <c r="AHM129" s="451"/>
      <c r="AHN129" s="451"/>
      <c r="AHO129" s="451"/>
      <c r="AHP129" s="451"/>
      <c r="AHQ129" s="451"/>
      <c r="AHR129" s="451"/>
      <c r="AHS129" s="451"/>
      <c r="AHT129" s="451"/>
      <c r="AHU129" s="451"/>
      <c r="AHV129" s="451"/>
      <c r="AHW129" s="451"/>
      <c r="AHX129" s="451"/>
      <c r="AHY129" s="451"/>
      <c r="AHZ129" s="451"/>
      <c r="AIA129" s="451"/>
      <c r="AIB129" s="451"/>
      <c r="AIC129" s="451"/>
      <c r="AID129" s="451"/>
      <c r="AIE129" s="451"/>
      <c r="AIF129" s="451"/>
      <c r="AIG129" s="451"/>
      <c r="AIH129" s="451"/>
      <c r="AII129" s="451"/>
      <c r="AIJ129" s="451"/>
      <c r="AIK129" s="451"/>
      <c r="AIL129" s="451"/>
      <c r="AIM129" s="451"/>
      <c r="AIN129" s="451"/>
      <c r="AIO129" s="451"/>
      <c r="AIP129" s="451"/>
      <c r="AIQ129" s="451"/>
      <c r="AIR129" s="451"/>
      <c r="AIS129" s="451"/>
      <c r="AIT129" s="451"/>
      <c r="AIU129" s="451"/>
      <c r="AIV129" s="451"/>
      <c r="AIW129" s="451"/>
      <c r="AIX129" s="451"/>
      <c r="AIY129" s="451"/>
      <c r="AIZ129" s="451"/>
      <c r="AJA129" s="451"/>
      <c r="AJB129" s="451"/>
      <c r="AJC129" s="451"/>
      <c r="AJD129" s="451"/>
      <c r="AJE129" s="451"/>
      <c r="AJF129" s="451"/>
      <c r="AJG129" s="451"/>
      <c r="AJH129" s="451"/>
      <c r="AJI129" s="451"/>
      <c r="AJJ129" s="451"/>
      <c r="AJK129" s="451"/>
      <c r="AJL129" s="451"/>
      <c r="AJM129" s="451"/>
      <c r="AJN129" s="451"/>
      <c r="AJO129" s="451"/>
      <c r="AJP129" s="451"/>
      <c r="AJQ129" s="451"/>
      <c r="AJR129" s="451"/>
      <c r="AJS129" s="451"/>
      <c r="AJT129" s="451"/>
      <c r="AJU129" s="451"/>
      <c r="AJV129" s="451"/>
      <c r="AJW129" s="451"/>
      <c r="AJX129" s="451"/>
      <c r="AJY129" s="451"/>
      <c r="AJZ129" s="451"/>
      <c r="AKA129" s="451"/>
      <c r="AKB129" s="451"/>
      <c r="AKC129" s="451"/>
      <c r="AKD129" s="451"/>
      <c r="AKE129" s="451"/>
      <c r="AKF129" s="451"/>
      <c r="AKG129" s="451"/>
      <c r="AKH129" s="451"/>
      <c r="AKI129" s="451"/>
      <c r="AKJ129" s="451"/>
      <c r="AKK129" s="451"/>
      <c r="AKL129" s="451"/>
      <c r="AKM129" s="451"/>
      <c r="AKN129" s="451"/>
      <c r="AKO129" s="451"/>
      <c r="AKP129" s="451"/>
      <c r="AKQ129" s="451"/>
      <c r="AKR129" s="451"/>
      <c r="AKS129" s="451"/>
      <c r="AKT129" s="451"/>
      <c r="AKU129" s="451"/>
      <c r="AKV129" s="451"/>
      <c r="AKW129" s="451"/>
      <c r="AKX129" s="451"/>
      <c r="AKY129" s="451"/>
      <c r="AKZ129" s="451"/>
      <c r="ALA129" s="451"/>
      <c r="ALB129" s="451"/>
      <c r="ALC129" s="451"/>
      <c r="ALD129" s="451"/>
      <c r="ALE129" s="451"/>
      <c r="ALF129" s="451"/>
      <c r="ALG129" s="451"/>
      <c r="ALH129" s="451"/>
    </row>
    <row r="130" spans="1:996">
      <c r="A130" s="37"/>
      <c r="B130" t="str">
        <f t="shared" si="0"/>
        <v>S211201</v>
      </c>
      <c r="C130" s="29" t="s">
        <v>352</v>
      </c>
      <c r="D130" s="27" t="s">
        <v>128</v>
      </c>
      <c r="E130" s="7">
        <v>211201</v>
      </c>
      <c r="F130" s="48" t="s">
        <v>136</v>
      </c>
      <c r="G130" s="49">
        <f>IFERROR(VLOOKUP(E130,'BD - E - Mvto Cx'!$E$15:$G$500,3,0),0)</f>
        <v>0</v>
      </c>
      <c r="H130" s="51">
        <f>IFERROR(VLOOKUP(E130,'BD - E - Mvto Cx'!$N$15:$P$500,3,0),0)</f>
        <v>0</v>
      </c>
      <c r="I130" s="50">
        <f>IFERROR(VLOOKUP(E130,'BD - E - Mvto Cx'!$W$15:$Y$497,3,0),0)</f>
        <v>0</v>
      </c>
      <c r="J130" s="50">
        <f>IFERROR(VLOOKUP(E130,'BD - E - Mvto Cx'!$AF$15:$AI$500,3,0),0)</f>
        <v>0</v>
      </c>
      <c r="K130" s="50">
        <f>IFERROR(VLOOKUP(E130,'BD - E - Mvto Cx'!$AO$15:$AQ$500,3,0),0)</f>
        <v>0</v>
      </c>
      <c r="L130" s="50">
        <f>IFERROR(VLOOKUP(E130,'BD - E - Mvto Cx'!$AX$15:$AZ$500,3,0),0)</f>
        <v>0</v>
      </c>
      <c r="M130" s="50">
        <f>IFERROR(VLOOKUP(E130,'BD - E - Mvto Cx'!$BJ$15:$BL$500,3,0),0)</f>
        <v>0</v>
      </c>
      <c r="N130" s="50">
        <f>IFERROR(VLOOKUP(E130,'BD - E - Mvto Cx'!$BS$15:$BU$500,3,0),0)</f>
        <v>0</v>
      </c>
      <c r="O130" s="50">
        <f>IFERROR(VLOOKUP(E130,'BD - E - Mvto Cx'!$CB$15:$CD$500,3,0),0)</f>
        <v>0</v>
      </c>
      <c r="P130" s="50">
        <f>IFERROR(VLOOKUP(E130,'BD - E - Mvto Cx'!$CK$15:$CM$500,3,0),0)</f>
        <v>0</v>
      </c>
      <c r="Q130" s="50">
        <f>IFERROR(VLOOKUP(E130,'BD - E - Mvto Cx'!$CT$15:$CV$500,3,0),0)</f>
        <v>0</v>
      </c>
      <c r="R130" s="50">
        <f>IFERROR(VLOOKUP(E130,'BD - E - Mvto Cx'!$DC$15:$DE$500,3,0),0)</f>
        <v>0</v>
      </c>
    </row>
    <row r="131" spans="1:996">
      <c r="A131" s="37"/>
      <c r="B131" t="str">
        <f t="shared" si="0"/>
        <v>S211301</v>
      </c>
      <c r="C131" s="7" t="s">
        <v>360</v>
      </c>
      <c r="D131" s="27" t="s">
        <v>128</v>
      </c>
      <c r="E131" s="7">
        <v>211301</v>
      </c>
      <c r="F131" s="48" t="s">
        <v>137</v>
      </c>
      <c r="G131" s="49">
        <f>IFERROR(VLOOKUP(E131,'BD - E - Mvto Cx'!$E$15:$G$500,3,0),0)</f>
        <v>95173.71</v>
      </c>
      <c r="H131" s="51">
        <f>IFERROR(VLOOKUP(E131,'BD - E - Mvto Cx'!$N$15:$P$500,3,0),0)</f>
        <v>362458.41</v>
      </c>
      <c r="I131" s="50">
        <f>IFERROR(VLOOKUP(E131,'BD - E - Mvto Cx'!$W$15:$Y$497,3,0),0)</f>
        <v>238874.15</v>
      </c>
      <c r="J131" s="50">
        <f>IFERROR(VLOOKUP(E131,'BD - E - Mvto Cx'!$AF$15:$AI$500,3,0),0)</f>
        <v>140428.45000000001</v>
      </c>
      <c r="K131" s="50">
        <f>IFERROR(VLOOKUP(E131,'BD - E - Mvto Cx'!$AO$15:$AQ$500,3,0),0)</f>
        <v>0</v>
      </c>
      <c r="L131" s="50">
        <f>IFERROR(VLOOKUP(E131,'BD - E - Mvto Cx'!$AX$15:$AZ$500,3,0),0)</f>
        <v>0</v>
      </c>
      <c r="M131" s="50">
        <f>IFERROR(VLOOKUP(E131,'BD - E - Mvto Cx'!$BJ$15:$BL$500,3,0),0)</f>
        <v>0</v>
      </c>
      <c r="N131" s="50">
        <f>IFERROR(VLOOKUP(E131,'BD - E - Mvto Cx'!$BS$15:$BU$500,3,0),0)</f>
        <v>0</v>
      </c>
      <c r="O131" s="50">
        <f>IFERROR(VLOOKUP(E131,'BD - E - Mvto Cx'!$CB$15:$CD$500,3,0),0)</f>
        <v>0</v>
      </c>
      <c r="P131" s="50">
        <f>IFERROR(VLOOKUP(E131,'BD - E - Mvto Cx'!$CK$15:$CM$500,3,0),0)</f>
        <v>0</v>
      </c>
      <c r="Q131" s="50">
        <f>IFERROR(VLOOKUP(E131,'BD - E - Mvto Cx'!$CT$15:$CV$500,3,0),0)</f>
        <v>0</v>
      </c>
      <c r="R131" s="50">
        <f>IFERROR(VLOOKUP(E131,'BD - E - Mvto Cx'!$DC$15:$DE$500,3,0),0)</f>
        <v>0</v>
      </c>
    </row>
    <row r="132" spans="1:996">
      <c r="A132" s="37"/>
      <c r="B132" t="str">
        <f t="shared" si="0"/>
        <v>S212102</v>
      </c>
      <c r="C132" s="29" t="s">
        <v>340</v>
      </c>
      <c r="D132" s="27" t="s">
        <v>128</v>
      </c>
      <c r="E132" s="7">
        <v>212102</v>
      </c>
      <c r="F132" s="48" t="s">
        <v>138</v>
      </c>
      <c r="G132" s="49">
        <f>IFERROR(VLOOKUP(E132,'BD - E - Mvto Cx'!$E$15:$G$500,3,0),0)</f>
        <v>186877.94</v>
      </c>
      <c r="H132" s="51">
        <f>IFERROR(VLOOKUP(E132,'BD - E - Mvto Cx'!$N$15:$P$500,3,0),0)</f>
        <v>152746.01</v>
      </c>
      <c r="I132" s="50">
        <f>IFERROR(VLOOKUP(E132,'BD - E - Mvto Cx'!$W$15:$Y$497,3,0),0)</f>
        <v>6856.81</v>
      </c>
      <c r="J132" s="50">
        <f>IFERROR(VLOOKUP(E132,'BD - E - Mvto Cx'!$AF$15:$AI$500,3,0),0)</f>
        <v>301114.59999999998</v>
      </c>
      <c r="K132" s="50">
        <f>IFERROR(VLOOKUP(E132,'BD - E - Mvto Cx'!$AO$15:$AQ$500,3,0),0)</f>
        <v>0</v>
      </c>
      <c r="L132" s="50">
        <f>IFERROR(VLOOKUP(E132,'BD - E - Mvto Cx'!$AX$15:$AZ$500,3,0),0)</f>
        <v>0</v>
      </c>
      <c r="M132" s="50">
        <f>IFERROR(VLOOKUP(E132,'BD - E - Mvto Cx'!$BJ$15:$BL$500,3,0),0)</f>
        <v>0</v>
      </c>
      <c r="N132" s="50">
        <f>IFERROR(VLOOKUP(E132,'BD - E - Mvto Cx'!$BS$15:$BU$500,3,0),0)</f>
        <v>0</v>
      </c>
      <c r="O132" s="50">
        <f>IFERROR(VLOOKUP(E132,'BD - E - Mvto Cx'!$CB$15:$CD$500,3,0),0)</f>
        <v>0</v>
      </c>
      <c r="P132" s="50">
        <f>IFERROR(VLOOKUP(E132,'BD - E - Mvto Cx'!$CK$15:$CM$500,3,0),0)</f>
        <v>0</v>
      </c>
      <c r="Q132" s="50">
        <f>IFERROR(VLOOKUP(E132,'BD - E - Mvto Cx'!$CT$15:$CV$500,3,0),0)</f>
        <v>0</v>
      </c>
      <c r="R132" s="50">
        <f>IFERROR(VLOOKUP(E132,'BD - E - Mvto Cx'!$DC$15:$DE$500,3,0),0)</f>
        <v>0</v>
      </c>
    </row>
    <row r="133" spans="1:996">
      <c r="A133" s="37"/>
      <c r="B133" t="str">
        <f t="shared" si="0"/>
        <v>S212106</v>
      </c>
      <c r="C133" s="29" t="s">
        <v>340</v>
      </c>
      <c r="D133" s="27" t="s">
        <v>128</v>
      </c>
      <c r="E133" s="7">
        <v>212106</v>
      </c>
      <c r="F133" s="48" t="s">
        <v>139</v>
      </c>
      <c r="G133" s="49">
        <f>IFERROR(VLOOKUP(E133,'BD - E - Mvto Cx'!$E$15:$G$500,3,0),0)</f>
        <v>131187.20000000001</v>
      </c>
      <c r="H133" s="51">
        <f>IFERROR(VLOOKUP(E133,'BD - E - Mvto Cx'!$N$15:$P$500,3,0),0)</f>
        <v>53202.46</v>
      </c>
      <c r="I133" s="50">
        <f>IFERROR(VLOOKUP(E133,'BD - E - Mvto Cx'!$W$15:$Y$497,3,0),0)</f>
        <v>90369.34</v>
      </c>
      <c r="J133" s="50">
        <f>IFERROR(VLOOKUP(E133,'BD - E - Mvto Cx'!$AF$15:$AI$500,3,0),0)</f>
        <v>48928.85</v>
      </c>
      <c r="K133" s="50">
        <f>IFERROR(VLOOKUP(E133,'BD - E - Mvto Cx'!$AO$15:$AQ$500,3,0),0)</f>
        <v>0</v>
      </c>
      <c r="L133" s="50">
        <f>IFERROR(VLOOKUP(E133,'BD - E - Mvto Cx'!$AX$15:$AZ$500,3,0),0)</f>
        <v>0</v>
      </c>
      <c r="M133" s="50">
        <f>IFERROR(VLOOKUP(E133,'BD - E - Mvto Cx'!$BJ$15:$BL$500,3,0),0)</f>
        <v>0</v>
      </c>
      <c r="N133" s="50">
        <f>IFERROR(VLOOKUP(E133,'BD - E - Mvto Cx'!$BS$15:$BU$500,3,0),0)</f>
        <v>0</v>
      </c>
      <c r="O133" s="50">
        <f>IFERROR(VLOOKUP(E133,'BD - E - Mvto Cx'!$CB$15:$CD$500,3,0),0)</f>
        <v>0</v>
      </c>
      <c r="P133" s="50">
        <f>IFERROR(VLOOKUP(E133,'BD - E - Mvto Cx'!$CK$15:$CM$500,3,0),0)</f>
        <v>0</v>
      </c>
      <c r="Q133" s="50">
        <f>IFERROR(VLOOKUP(E133,'BD - E - Mvto Cx'!$CT$15:$CV$500,3,0),0)</f>
        <v>0</v>
      </c>
      <c r="R133" s="50">
        <f>IFERROR(VLOOKUP(E133,'BD - E - Mvto Cx'!$DC$15:$DE$500,3,0),0)</f>
        <v>0</v>
      </c>
    </row>
    <row r="134" spans="1:996">
      <c r="A134" s="37"/>
      <c r="B134" t="str">
        <f t="shared" si="0"/>
        <v>S212199</v>
      </c>
      <c r="C134" s="29" t="s">
        <v>340</v>
      </c>
      <c r="D134" s="27" t="s">
        <v>128</v>
      </c>
      <c r="E134" s="7">
        <v>212199</v>
      </c>
      <c r="F134" s="48" t="s">
        <v>140</v>
      </c>
      <c r="G134" s="49">
        <f>IFERROR(VLOOKUP(E134,'BD - E - Mvto Cx'!$E$15:$G$500,3,0),0)</f>
        <v>1448240.46</v>
      </c>
      <c r="H134" s="51">
        <f>IFERROR(VLOOKUP(E134,'BD - E - Mvto Cx'!$N$15:$P$500,3,0),0)</f>
        <v>1500441.35</v>
      </c>
      <c r="I134" s="50">
        <f>IFERROR(VLOOKUP(E134,'BD - E - Mvto Cx'!$W$15:$Y$497,3,0),0)</f>
        <v>1299897.55</v>
      </c>
      <c r="J134" s="50">
        <f>IFERROR(VLOOKUP(E134,'BD - E - Mvto Cx'!$AF$15:$AI$500,3,0),0)</f>
        <v>1319141.8</v>
      </c>
      <c r="K134" s="50">
        <f>IFERROR(VLOOKUP(E134,'BD - E - Mvto Cx'!$AO$15:$AQ$500,3,0),0)</f>
        <v>0</v>
      </c>
      <c r="L134" s="50">
        <f>IFERROR(VLOOKUP(E134,'BD - E - Mvto Cx'!$AX$15:$AZ$500,3,0),0)</f>
        <v>0</v>
      </c>
      <c r="M134" s="50">
        <f>IFERROR(VLOOKUP(E134,'BD - E - Mvto Cx'!$BJ$15:$BL$500,3,0),0)</f>
        <v>0</v>
      </c>
      <c r="N134" s="50">
        <f>IFERROR(VLOOKUP(E134,'BD - E - Mvto Cx'!$BS$15:$BU$500,3,0),0)</f>
        <v>0</v>
      </c>
      <c r="O134" s="50">
        <f>IFERROR(VLOOKUP(E134,'BD - E - Mvto Cx'!$CB$15:$CD$500,3,0),0)</f>
        <v>0</v>
      </c>
      <c r="P134" s="50">
        <f>IFERROR(VLOOKUP(E134,'BD - E - Mvto Cx'!$CK$15:$CM$500,3,0),0)</f>
        <v>0</v>
      </c>
      <c r="Q134" s="50">
        <f>IFERROR(VLOOKUP(E134,'BD - E - Mvto Cx'!$CT$15:$CV$500,3,0),0)</f>
        <v>0</v>
      </c>
      <c r="R134" s="50">
        <f>IFERROR(VLOOKUP(E134,'BD - E - Mvto Cx'!$DC$15:$DE$500,3,0),0)</f>
        <v>0</v>
      </c>
    </row>
    <row r="135" spans="1:996">
      <c r="A135" s="37"/>
      <c r="B135" t="str">
        <f t="shared" ref="B135:B229" si="8">D135&amp;E135</f>
        <v>S212204</v>
      </c>
      <c r="C135" s="29" t="s">
        <v>338</v>
      </c>
      <c r="D135" s="27" t="s">
        <v>128</v>
      </c>
      <c r="E135" s="7">
        <v>212204</v>
      </c>
      <c r="F135" s="48" t="s">
        <v>141</v>
      </c>
      <c r="G135" s="49">
        <f>IFERROR(VLOOKUP(E135,'BD - E - Mvto Cx'!$E$15:$G$500,3,0),0)</f>
        <v>10181.780000000001</v>
      </c>
      <c r="H135" s="51">
        <f>IFERROR(VLOOKUP(E135,'BD - E - Mvto Cx'!$N$15:$P$500,3,0),0)</f>
        <v>10385.280000000001</v>
      </c>
      <c r="I135" s="50">
        <f>IFERROR(VLOOKUP(E135,'BD - E - Mvto Cx'!$W$15:$Y$497,3,0),0)</f>
        <v>10974.24</v>
      </c>
      <c r="J135" s="50">
        <f>IFERROR(VLOOKUP(E135,'BD - E - Mvto Cx'!$AF$15:$AI$500,3,0),0)</f>
        <v>0</v>
      </c>
      <c r="K135" s="50">
        <f>IFERROR(VLOOKUP(E135,'BD - E - Mvto Cx'!$AO$15:$AQ$500,3,0),0)</f>
        <v>0</v>
      </c>
      <c r="L135" s="50">
        <f>IFERROR(VLOOKUP(E135,'BD - E - Mvto Cx'!$AX$15:$AZ$500,3,0),0)</f>
        <v>0</v>
      </c>
      <c r="M135" s="50">
        <f>IFERROR(VLOOKUP(E135,'BD - E - Mvto Cx'!$BJ$15:$BL$500,3,0),0)</f>
        <v>0</v>
      </c>
      <c r="N135" s="50">
        <f>IFERROR(VLOOKUP(E135,'BD - E - Mvto Cx'!$BS$15:$BU$500,3,0),0)</f>
        <v>0</v>
      </c>
      <c r="O135" s="50">
        <f>IFERROR(VLOOKUP(E135,'BD - E - Mvto Cx'!$CB$15:$CD$500,3,0),0)</f>
        <v>0</v>
      </c>
      <c r="P135" s="50">
        <f>IFERROR(VLOOKUP(E135,'BD - E - Mvto Cx'!$CK$15:$CM$500,3,0),0)</f>
        <v>0</v>
      </c>
      <c r="Q135" s="50">
        <f>IFERROR(VLOOKUP(E135,'BD - E - Mvto Cx'!$CT$15:$CV$500,3,0),0)</f>
        <v>0</v>
      </c>
      <c r="R135" s="50">
        <f>IFERROR(VLOOKUP(E135,'BD - E - Mvto Cx'!$DC$15:$DE$500,3,0),0)</f>
        <v>0</v>
      </c>
    </row>
    <row r="136" spans="1:996">
      <c r="A136" s="37"/>
      <c r="B136" t="str">
        <f t="shared" si="8"/>
        <v>S212108</v>
      </c>
      <c r="C136" s="29" t="s">
        <v>361</v>
      </c>
      <c r="D136" s="27" t="s">
        <v>128</v>
      </c>
      <c r="E136" s="7">
        <v>212108</v>
      </c>
      <c r="F136" s="48" t="s">
        <v>475</v>
      </c>
      <c r="G136" s="49">
        <f>IFERROR(VLOOKUP(E136,'BD - E - Mvto Cx'!$E$15:$G$500,3,0),0)</f>
        <v>86335.87</v>
      </c>
      <c r="H136" s="51">
        <f>IFERROR(VLOOKUP(E136,'BD - E - Mvto Cx'!$N$15:$P$500,3,0),0)</f>
        <v>91717.26</v>
      </c>
      <c r="I136" s="50">
        <f>IFERROR(VLOOKUP(E136,'BD - E - Mvto Cx'!$W$15:$Y$497,3,0),0)</f>
        <v>98935.88</v>
      </c>
      <c r="J136" s="50">
        <f>IFERROR(VLOOKUP(E136,'BD - E - Mvto Cx'!$AF$15:$AI$500,3,0),0)</f>
        <v>109415.61</v>
      </c>
      <c r="K136" s="50">
        <f>IFERROR(VLOOKUP(E136,'BD - E - Mvto Cx'!$AO$15:$AQ$500,3,0),0)</f>
        <v>0</v>
      </c>
      <c r="L136" s="50">
        <f>IFERROR(VLOOKUP(E136,'BD - E - Mvto Cx'!$AX$15:$AZ$500,3,0),0)</f>
        <v>0</v>
      </c>
      <c r="M136" s="50">
        <f>IFERROR(VLOOKUP(E136,'BD - E - Mvto Cx'!$BJ$15:$BL$500,3,0),0)</f>
        <v>0</v>
      </c>
      <c r="N136" s="50">
        <f>IFERROR(VLOOKUP(E136,'BD - E - Mvto Cx'!$BS$15:$BU$500,3,0),0)</f>
        <v>0</v>
      </c>
      <c r="O136" s="50">
        <f>IFERROR(VLOOKUP(E136,'BD - E - Mvto Cx'!$CB$15:$CD$500,3,0),0)</f>
        <v>0</v>
      </c>
      <c r="P136" s="50">
        <f>IFERROR(VLOOKUP(E136,'BD - E - Mvto Cx'!$CK$15:$CM$500,3,0),0)</f>
        <v>0</v>
      </c>
      <c r="Q136" s="50">
        <f>IFERROR(VLOOKUP(E136,'BD - E - Mvto Cx'!$CT$15:$CV$500,3,0),0)</f>
        <v>0</v>
      </c>
      <c r="R136" s="50">
        <f>IFERROR(VLOOKUP(E136,'BD - E - Mvto Cx'!$DC$15:$DE$500,3,0),0)</f>
        <v>0</v>
      </c>
    </row>
    <row r="137" spans="1:996">
      <c r="A137" s="37"/>
      <c r="B137" t="str">
        <f t="shared" si="8"/>
        <v>S212299</v>
      </c>
      <c r="C137" s="29" t="s">
        <v>340</v>
      </c>
      <c r="D137" s="27" t="s">
        <v>128</v>
      </c>
      <c r="E137" s="7">
        <v>212299</v>
      </c>
      <c r="F137" s="48" t="s">
        <v>142</v>
      </c>
      <c r="G137" s="49">
        <f>IFERROR(VLOOKUP(E137,'BD - E - Mvto Cx'!$E$15:$G$500,3,0),0)</f>
        <v>275474.84999999998</v>
      </c>
      <c r="H137" s="51">
        <f>IFERROR(VLOOKUP(E137,'BD - E - Mvto Cx'!$N$15:$P$500,3,0),0)</f>
        <v>191472.32</v>
      </c>
      <c r="I137" s="50">
        <f>IFERROR(VLOOKUP(E137,'BD - E - Mvto Cx'!$W$15:$Y$497,3,0),0)</f>
        <v>200758.27</v>
      </c>
      <c r="J137" s="50">
        <f>IFERROR(VLOOKUP(E137,'BD - E - Mvto Cx'!$AF$15:$AI$500,3,0),0)</f>
        <v>154535.35</v>
      </c>
      <c r="K137" s="50">
        <f>IFERROR(VLOOKUP(E137,'BD - E - Mvto Cx'!$AO$15:$AQ$500,3,0),0)</f>
        <v>0</v>
      </c>
      <c r="L137" s="50">
        <f>IFERROR(VLOOKUP(E137,'BD - E - Mvto Cx'!$AX$15:$AZ$500,3,0),0)</f>
        <v>0</v>
      </c>
      <c r="M137" s="50">
        <f>IFERROR(VLOOKUP(E137,'BD - E - Mvto Cx'!$BJ$15:$BL$500,3,0),0)</f>
        <v>0</v>
      </c>
      <c r="N137" s="50">
        <f>IFERROR(VLOOKUP(E137,'BD - E - Mvto Cx'!$BS$15:$BU$500,3,0),0)</f>
        <v>0</v>
      </c>
      <c r="O137" s="50">
        <f>IFERROR(VLOOKUP(E137,'BD - E - Mvto Cx'!$CB$15:$CD$500,3,0),0)</f>
        <v>0</v>
      </c>
      <c r="P137" s="50">
        <f>IFERROR(VLOOKUP(E137,'BD - E - Mvto Cx'!$CK$15:$CM$500,3,0),0)</f>
        <v>0</v>
      </c>
      <c r="Q137" s="50">
        <f>IFERROR(VLOOKUP(E137,'BD - E - Mvto Cx'!$CT$15:$CV$500,3,0),0)</f>
        <v>0</v>
      </c>
      <c r="R137" s="50">
        <f>IFERROR(VLOOKUP(E137,'BD - E - Mvto Cx'!$DC$15:$DE$500,3,0),0)</f>
        <v>0</v>
      </c>
    </row>
    <row r="138" spans="1:996">
      <c r="A138" s="37"/>
      <c r="B138" t="str">
        <f t="shared" si="8"/>
        <v>S213102</v>
      </c>
      <c r="C138" s="7" t="s">
        <v>361</v>
      </c>
      <c r="D138" s="27" t="s">
        <v>128</v>
      </c>
      <c r="E138" s="7">
        <v>213102</v>
      </c>
      <c r="F138" s="48" t="s">
        <v>143</v>
      </c>
      <c r="G138" s="49">
        <f>IFERROR(VLOOKUP(E138,'BD - E - Mvto Cx'!$E$15:$G$500,3,0),0)</f>
        <v>320333.34000000003</v>
      </c>
      <c r="H138" s="51">
        <f>IFERROR(VLOOKUP(E138,'BD - E - Mvto Cx'!$N$15:$P$500,3,0),0)</f>
        <v>319550</v>
      </c>
      <c r="I138" s="50">
        <f>IFERROR(VLOOKUP(E138,'BD - E - Mvto Cx'!$W$15:$Y$497,3,0),0)</f>
        <v>318159.53000000003</v>
      </c>
      <c r="J138" s="50">
        <f>IFERROR(VLOOKUP(E138,'BD - E - Mvto Cx'!$AF$15:$AI$500,3,0),0)</f>
        <v>317983.34000000003</v>
      </c>
      <c r="K138" s="50">
        <f>IFERROR(VLOOKUP(E138,'BD - E - Mvto Cx'!$AO$15:$AQ$500,3,0),0)</f>
        <v>0</v>
      </c>
      <c r="L138" s="50">
        <f>IFERROR(VLOOKUP(E138,'BD - E - Mvto Cx'!$AX$15:$AZ$500,3,0),0)</f>
        <v>0</v>
      </c>
      <c r="M138" s="50">
        <f>IFERROR(VLOOKUP(E138,'BD - E - Mvto Cx'!$BJ$15:$BL$500,3,0),0)</f>
        <v>0</v>
      </c>
      <c r="N138" s="50">
        <f>IFERROR(VLOOKUP(E138,'BD - E - Mvto Cx'!$BS$15:$BU$500,3,0),0)</f>
        <v>0</v>
      </c>
      <c r="O138" s="50">
        <f>IFERROR(VLOOKUP(E138,'BD - E - Mvto Cx'!$CB$15:$CD$500,3,0),0)</f>
        <v>0</v>
      </c>
      <c r="P138" s="50">
        <f>IFERROR(VLOOKUP(E138,'BD - E - Mvto Cx'!$CK$15:$CM$500,3,0),0)</f>
        <v>0</v>
      </c>
      <c r="Q138" s="50">
        <f>IFERROR(VLOOKUP(E138,'BD - E - Mvto Cx'!$CT$15:$CV$500,3,0),0)</f>
        <v>0</v>
      </c>
      <c r="R138" s="50">
        <f>IFERROR(VLOOKUP(E138,'BD - E - Mvto Cx'!$DC$15:$DE$500,3,0),0)</f>
        <v>0</v>
      </c>
    </row>
    <row r="139" spans="1:996">
      <c r="A139" s="37"/>
      <c r="B139" t="str">
        <f t="shared" si="8"/>
        <v>S213103</v>
      </c>
      <c r="C139" s="29" t="s">
        <v>361</v>
      </c>
      <c r="D139" s="27" t="s">
        <v>128</v>
      </c>
      <c r="E139" s="7">
        <v>213103</v>
      </c>
      <c r="F139" s="48" t="s">
        <v>476</v>
      </c>
      <c r="G139" s="49">
        <f>IFERROR(VLOOKUP(E139,'BD - E - Mvto Cx'!$E$15:$G$500,3,0),0)</f>
        <v>137495.87</v>
      </c>
      <c r="H139" s="51">
        <f>IFERROR(VLOOKUP(E139,'BD - E - Mvto Cx'!$N$15:$P$500,3,0),0)</f>
        <v>137495.87</v>
      </c>
      <c r="I139" s="50">
        <f>IFERROR(VLOOKUP(E139,'BD - E - Mvto Cx'!$W$15:$Y$497,3,0),0)</f>
        <v>137495.87</v>
      </c>
      <c r="J139" s="50">
        <f>IFERROR(VLOOKUP(E139,'BD - E - Mvto Cx'!$AF$15:$AI$500,3,0),0)</f>
        <v>137495.87</v>
      </c>
      <c r="K139" s="50">
        <f>IFERROR(VLOOKUP(E139,'BD - E - Mvto Cx'!$AO$15:$AQ$500,3,0),0)</f>
        <v>0</v>
      </c>
      <c r="L139" s="50">
        <f>IFERROR(VLOOKUP(E139,'BD - E - Mvto Cx'!$AX$15:$AZ$500,3,0),0)</f>
        <v>0</v>
      </c>
      <c r="M139" s="50">
        <f>IFERROR(VLOOKUP(E139,'BD - E - Mvto Cx'!$BJ$15:$BL$500,3,0),0)</f>
        <v>0</v>
      </c>
      <c r="N139" s="50">
        <f>IFERROR(VLOOKUP(E139,'BD - E - Mvto Cx'!$BS$15:$BU$500,3,0),0)</f>
        <v>0</v>
      </c>
      <c r="O139" s="50">
        <f>IFERROR(VLOOKUP(E139,'BD - E - Mvto Cx'!$CB$15:$CD$500,3,0),0)</f>
        <v>0</v>
      </c>
      <c r="P139" s="50">
        <f>IFERROR(VLOOKUP(E139,'BD - E - Mvto Cx'!$CK$15:$CM$500,3,0),0)</f>
        <v>0</v>
      </c>
      <c r="Q139" s="50">
        <f>IFERROR(VLOOKUP(E139,'BD - E - Mvto Cx'!$CT$15:$CV$500,3,0),0)</f>
        <v>0</v>
      </c>
      <c r="R139" s="50">
        <f>IFERROR(VLOOKUP(E139,'BD - E - Mvto Cx'!$DC$15:$DE$500,3,0),0)</f>
        <v>0</v>
      </c>
    </row>
    <row r="140" spans="1:996">
      <c r="A140" s="37"/>
      <c r="B140" t="str">
        <f t="shared" si="8"/>
        <v>S213105</v>
      </c>
      <c r="C140" s="7" t="s">
        <v>361</v>
      </c>
      <c r="D140" s="27" t="s">
        <v>128</v>
      </c>
      <c r="E140" s="7">
        <v>213105</v>
      </c>
      <c r="F140" s="48" t="s">
        <v>144</v>
      </c>
      <c r="G140" s="49">
        <f>IFERROR(VLOOKUP(E140,'BD - E - Mvto Cx'!$E$15:$G$500,3,0),0)</f>
        <v>195051.38</v>
      </c>
      <c r="H140" s="51">
        <f>IFERROR(VLOOKUP(E140,'BD - E - Mvto Cx'!$N$15:$P$500,3,0),0)</f>
        <v>174857.43</v>
      </c>
      <c r="I140" s="50">
        <f>IFERROR(VLOOKUP(E140,'BD - E - Mvto Cx'!$W$15:$Y$497,3,0),0)</f>
        <v>305380.03000000003</v>
      </c>
      <c r="J140" s="50">
        <f>IFERROR(VLOOKUP(E140,'BD - E - Mvto Cx'!$AF$15:$AI$500,3,0),0)</f>
        <v>240004.15</v>
      </c>
      <c r="K140" s="50">
        <f>IFERROR(VLOOKUP(E140,'BD - E - Mvto Cx'!$AO$15:$AQ$500,3,0),0)</f>
        <v>0</v>
      </c>
      <c r="L140" s="50">
        <f>IFERROR(VLOOKUP(E140,'BD - E - Mvto Cx'!$AX$15:$AZ$500,3,0),0)</f>
        <v>0</v>
      </c>
      <c r="M140" s="50">
        <f>IFERROR(VLOOKUP(E140,'BD - E - Mvto Cx'!$BJ$15:$BL$500,3,0),0)</f>
        <v>0</v>
      </c>
      <c r="N140" s="50">
        <f>IFERROR(VLOOKUP(E140,'BD - E - Mvto Cx'!$BS$15:$BU$500,3,0),0)</f>
        <v>0</v>
      </c>
      <c r="O140" s="50">
        <f>IFERROR(VLOOKUP(E140,'BD - E - Mvto Cx'!$CB$15:$CD$500,3,0),0)</f>
        <v>0</v>
      </c>
      <c r="P140" s="50">
        <f>IFERROR(VLOOKUP(E140,'BD - E - Mvto Cx'!$CK$15:$CM$500,3,0),0)</f>
        <v>0</v>
      </c>
      <c r="Q140" s="50">
        <f>IFERROR(VLOOKUP(E140,'BD - E - Mvto Cx'!$CT$15:$CV$500,3,0),0)</f>
        <v>0</v>
      </c>
      <c r="R140" s="50">
        <f>IFERROR(VLOOKUP(E140,'BD - E - Mvto Cx'!$DC$15:$DE$500,3,0),0)</f>
        <v>0</v>
      </c>
    </row>
    <row r="141" spans="1:996">
      <c r="A141" s="37"/>
      <c r="B141" t="str">
        <f t="shared" si="8"/>
        <v>S213106</v>
      </c>
      <c r="C141" s="7" t="s">
        <v>361</v>
      </c>
      <c r="D141" s="27" t="s">
        <v>128</v>
      </c>
      <c r="E141" s="7">
        <v>213106</v>
      </c>
      <c r="F141" s="48" t="s">
        <v>145</v>
      </c>
      <c r="G141" s="49">
        <f>IFERROR(VLOOKUP(E141,'BD - E - Mvto Cx'!$E$15:$G$500,3,0),0)</f>
        <v>139266.99</v>
      </c>
      <c r="H141" s="51">
        <f>IFERROR(VLOOKUP(E141,'BD - E - Mvto Cx'!$N$15:$P$500,3,0),0)</f>
        <v>158619.21</v>
      </c>
      <c r="I141" s="50">
        <f>IFERROR(VLOOKUP(E141,'BD - E - Mvto Cx'!$W$15:$Y$497,3,0),0)</f>
        <v>138167.04999999999</v>
      </c>
      <c r="J141" s="50">
        <f>IFERROR(VLOOKUP(E141,'BD - E - Mvto Cx'!$AF$15:$AI$500,3,0),0)</f>
        <v>138794.73000000001</v>
      </c>
      <c r="K141" s="50">
        <f>IFERROR(VLOOKUP(E141,'BD - E - Mvto Cx'!$AO$15:$AQ$500,3,0),0)</f>
        <v>0</v>
      </c>
      <c r="L141" s="50">
        <f>IFERROR(VLOOKUP(E141,'BD - E - Mvto Cx'!$AX$15:$AZ$500,3,0),0)</f>
        <v>0</v>
      </c>
      <c r="M141" s="50">
        <f>IFERROR(VLOOKUP(E141,'BD - E - Mvto Cx'!$BJ$15:$BL$500,3,0),0)</f>
        <v>0</v>
      </c>
      <c r="N141" s="50">
        <f>IFERROR(VLOOKUP(E141,'BD - E - Mvto Cx'!$BS$15:$BU$500,3,0),0)</f>
        <v>0</v>
      </c>
      <c r="O141" s="50">
        <f>IFERROR(VLOOKUP(E141,'BD - E - Mvto Cx'!$CB$15:$CD$500,3,0),0)</f>
        <v>0</v>
      </c>
      <c r="P141" s="50">
        <f>IFERROR(VLOOKUP(E141,'BD - E - Mvto Cx'!$CK$15:$CM$500,3,0),0)</f>
        <v>0</v>
      </c>
      <c r="Q141" s="50">
        <f>IFERROR(VLOOKUP(E141,'BD - E - Mvto Cx'!$CT$15:$CV$500,3,0),0)</f>
        <v>0</v>
      </c>
      <c r="R141" s="50">
        <f>IFERROR(VLOOKUP(E141,'BD - E - Mvto Cx'!$DC$15:$DE$500,3,0),0)</f>
        <v>0</v>
      </c>
    </row>
    <row r="142" spans="1:996">
      <c r="A142" s="37"/>
      <c r="B142" t="str">
        <f t="shared" si="8"/>
        <v>S213111</v>
      </c>
      <c r="C142" s="7" t="s">
        <v>361</v>
      </c>
      <c r="D142" s="27" t="s">
        <v>128</v>
      </c>
      <c r="E142" s="7">
        <v>213111</v>
      </c>
      <c r="F142" s="48" t="s">
        <v>146</v>
      </c>
      <c r="G142" s="49">
        <f>IFERROR(VLOOKUP(E142,'BD - E - Mvto Cx'!$E$15:$G$500,3,0),0)</f>
        <v>2599302.06</v>
      </c>
      <c r="H142" s="51">
        <f>IFERROR(VLOOKUP(E142,'BD - E - Mvto Cx'!$N$15:$P$500,3,0),0)</f>
        <v>797070.82</v>
      </c>
      <c r="I142" s="50">
        <f>IFERROR(VLOOKUP(E142,'BD - E - Mvto Cx'!$W$15:$Y$497,3,0),0)</f>
        <v>1425201.57</v>
      </c>
      <c r="J142" s="50">
        <f>IFERROR(VLOOKUP(E142,'BD - E - Mvto Cx'!$AF$15:$AI$500,3,0),0)</f>
        <v>1117537.92</v>
      </c>
      <c r="K142" s="50">
        <f>IFERROR(VLOOKUP(E142,'BD - E - Mvto Cx'!$AO$15:$AQ$500,3,0),0)</f>
        <v>0</v>
      </c>
      <c r="L142" s="50">
        <f>IFERROR(VLOOKUP(E142,'BD - E - Mvto Cx'!$AX$15:$AZ$500,3,0),0)</f>
        <v>0</v>
      </c>
      <c r="M142" s="50">
        <f>IFERROR(VLOOKUP(E142,'BD - E - Mvto Cx'!$BJ$15:$BL$500,3,0),0)</f>
        <v>0</v>
      </c>
      <c r="N142" s="50">
        <f>IFERROR(VLOOKUP(E142,'BD - E - Mvto Cx'!$BS$15:$BU$500,3,0),0)</f>
        <v>0</v>
      </c>
      <c r="O142" s="50">
        <f>IFERROR(VLOOKUP(E142,'BD - E - Mvto Cx'!$CB$15:$CD$500,3,0),0)</f>
        <v>0</v>
      </c>
      <c r="P142" s="50">
        <f>IFERROR(VLOOKUP(E142,'BD - E - Mvto Cx'!$CK$15:$CM$500,3,0),0)</f>
        <v>0</v>
      </c>
      <c r="Q142" s="50">
        <f>IFERROR(VLOOKUP(E142,'BD - E - Mvto Cx'!$CT$15:$CV$500,3,0),0)</f>
        <v>0</v>
      </c>
      <c r="R142" s="50">
        <f>IFERROR(VLOOKUP(E142,'BD - E - Mvto Cx'!$DC$15:$DE$500,3,0),0)</f>
        <v>0</v>
      </c>
    </row>
    <row r="143" spans="1:996">
      <c r="A143" s="37"/>
      <c r="B143" t="str">
        <f t="shared" si="8"/>
        <v>S213112</v>
      </c>
      <c r="C143" s="7" t="s">
        <v>361</v>
      </c>
      <c r="D143" s="27" t="s">
        <v>128</v>
      </c>
      <c r="E143" s="7">
        <v>213112</v>
      </c>
      <c r="F143" s="48" t="s">
        <v>147</v>
      </c>
      <c r="G143" s="49">
        <f>IFERROR(VLOOKUP(E143,'BD - E - Mvto Cx'!$E$15:$G$500,3,0),0)</f>
        <v>152102.49</v>
      </c>
      <c r="H143" s="51">
        <f>IFERROR(VLOOKUP(E143,'BD - E - Mvto Cx'!$N$15:$P$500,3,0),0)</f>
        <v>151710.67000000001</v>
      </c>
      <c r="I143" s="50">
        <f>IFERROR(VLOOKUP(E143,'BD - E - Mvto Cx'!$W$15:$Y$497,3,0),0)</f>
        <v>150787.35</v>
      </c>
      <c r="J143" s="50">
        <f>IFERROR(VLOOKUP(E143,'BD - E - Mvto Cx'!$AF$15:$AI$500,3,0),0)</f>
        <v>150927.03</v>
      </c>
      <c r="K143" s="50">
        <f>IFERROR(VLOOKUP(E143,'BD - E - Mvto Cx'!$AO$15:$AQ$500,3,0),0)</f>
        <v>0</v>
      </c>
      <c r="L143" s="50">
        <f>IFERROR(VLOOKUP(E143,'BD - E - Mvto Cx'!$AX$15:$AZ$500,3,0),0)</f>
        <v>0</v>
      </c>
      <c r="M143" s="50">
        <f>IFERROR(VLOOKUP(E143,'BD - E - Mvto Cx'!$BJ$15:$BL$500,3,0),0)</f>
        <v>0</v>
      </c>
      <c r="N143" s="50">
        <f>IFERROR(VLOOKUP(E143,'BD - E - Mvto Cx'!$BS$15:$BU$500,3,0),0)</f>
        <v>0</v>
      </c>
      <c r="O143" s="50">
        <f>IFERROR(VLOOKUP(E143,'BD - E - Mvto Cx'!$CB$15:$CD$500,3,0),0)</f>
        <v>0</v>
      </c>
      <c r="P143" s="50">
        <f>IFERROR(VLOOKUP(E143,'BD - E - Mvto Cx'!$CK$15:$CM$500,3,0),0)</f>
        <v>0</v>
      </c>
      <c r="Q143" s="50">
        <f>IFERROR(VLOOKUP(E143,'BD - E - Mvto Cx'!$CT$15:$CV$500,3,0),0)</f>
        <v>0</v>
      </c>
      <c r="R143" s="50">
        <f>IFERROR(VLOOKUP(E143,'BD - E - Mvto Cx'!$DC$15:$DE$500,3,0),0)</f>
        <v>0</v>
      </c>
    </row>
    <row r="144" spans="1:996">
      <c r="A144" s="37"/>
      <c r="B144" t="str">
        <f t="shared" si="8"/>
        <v>S213113</v>
      </c>
      <c r="C144" s="7" t="s">
        <v>361</v>
      </c>
      <c r="D144" s="27" t="s">
        <v>128</v>
      </c>
      <c r="E144" s="7">
        <v>213113</v>
      </c>
      <c r="F144" s="48" t="s">
        <v>148</v>
      </c>
      <c r="G144" s="49">
        <f>IFERROR(VLOOKUP(E144,'BD - E - Mvto Cx'!$E$15:$G$500,3,0),0)</f>
        <v>77593.98</v>
      </c>
      <c r="H144" s="51">
        <f>IFERROR(VLOOKUP(E144,'BD - E - Mvto Cx'!$N$15:$P$500,3,0),0)</f>
        <v>76685.14</v>
      </c>
      <c r="I144" s="50">
        <f>IFERROR(VLOOKUP(E144,'BD - E - Mvto Cx'!$W$15:$Y$497,3,0),0)</f>
        <v>73827.210000000006</v>
      </c>
      <c r="J144" s="50">
        <f>IFERROR(VLOOKUP(E144,'BD - E - Mvto Cx'!$AF$15:$AI$500,3,0),0)</f>
        <v>75488.28</v>
      </c>
      <c r="K144" s="50">
        <f>IFERROR(VLOOKUP(E144,'BD - E - Mvto Cx'!$AO$15:$AQ$500,3,0),0)</f>
        <v>0</v>
      </c>
      <c r="L144" s="50">
        <f>IFERROR(VLOOKUP(E144,'BD - E - Mvto Cx'!$AX$15:$AZ$500,3,0),0)</f>
        <v>0</v>
      </c>
      <c r="M144" s="50">
        <f>IFERROR(VLOOKUP(E144,'BD - E - Mvto Cx'!$BJ$15:$BL$500,3,0),0)</f>
        <v>0</v>
      </c>
      <c r="N144" s="50">
        <f>IFERROR(VLOOKUP(E144,'BD - E - Mvto Cx'!$BS$15:$BU$500,3,0),0)</f>
        <v>0</v>
      </c>
      <c r="O144" s="50">
        <f>IFERROR(VLOOKUP(E144,'BD - E - Mvto Cx'!$CB$15:$CD$500,3,0),0)</f>
        <v>0</v>
      </c>
      <c r="P144" s="50">
        <f>IFERROR(VLOOKUP(E144,'BD - E - Mvto Cx'!$CK$15:$CM$500,3,0),0)</f>
        <v>0</v>
      </c>
      <c r="Q144" s="50">
        <f>IFERROR(VLOOKUP(E144,'BD - E - Mvto Cx'!$CT$15:$CV$500,3,0),0)</f>
        <v>0</v>
      </c>
      <c r="R144" s="50">
        <f>IFERROR(VLOOKUP(E144,'BD - E - Mvto Cx'!$DC$15:$DE$500,3,0),0)</f>
        <v>0</v>
      </c>
    </row>
    <row r="145" spans="1:996">
      <c r="A145" s="37"/>
      <c r="B145" t="str">
        <f t="shared" si="8"/>
        <v>S213303</v>
      </c>
      <c r="C145" s="7" t="s">
        <v>361</v>
      </c>
      <c r="D145" s="27" t="s">
        <v>128</v>
      </c>
      <c r="E145" s="7">
        <v>213303</v>
      </c>
      <c r="F145" s="48" t="s">
        <v>149</v>
      </c>
      <c r="G145" s="49">
        <f>IFERROR(VLOOKUP(E145,'BD - E - Mvto Cx'!$E$15:$G$500,3,0),0)</f>
        <v>0</v>
      </c>
      <c r="H145" s="51">
        <f>IFERROR(VLOOKUP(E145,'BD - E - Mvto Cx'!$N$15:$P$500,3,0),0)</f>
        <v>0</v>
      </c>
      <c r="I145" s="50">
        <f>IFERROR(VLOOKUP(E145,'BD - E - Mvto Cx'!$W$15:$Y$497,3,0),0)</f>
        <v>0</v>
      </c>
      <c r="J145" s="50">
        <f>IFERROR(VLOOKUP(E145,'BD - E - Mvto Cx'!$AF$15:$AI$500,3,0),0)</f>
        <v>0</v>
      </c>
      <c r="K145" s="50">
        <f>IFERROR(VLOOKUP(E145,'BD - E - Mvto Cx'!$AO$15:$AQ$500,3,0),0)</f>
        <v>0</v>
      </c>
      <c r="L145" s="50">
        <f>IFERROR(VLOOKUP(E145,'BD - E - Mvto Cx'!$AX$15:$AZ$500,3,0),0)</f>
        <v>0</v>
      </c>
      <c r="M145" s="50">
        <f>IFERROR(VLOOKUP(E145,'BD - E - Mvto Cx'!$BJ$15:$BL$500,3,0),0)</f>
        <v>0</v>
      </c>
      <c r="N145" s="50">
        <f>IFERROR(VLOOKUP(E145,'BD - E - Mvto Cx'!$BS$15:$BU$500,3,0),0)</f>
        <v>0</v>
      </c>
      <c r="O145" s="50">
        <f>IFERROR(VLOOKUP(E145,'BD - E - Mvto Cx'!$CB$15:$CD$500,3,0),0)</f>
        <v>0</v>
      </c>
      <c r="P145" s="50">
        <f>IFERROR(VLOOKUP(E145,'BD - E - Mvto Cx'!$CK$15:$CM$500,3,0),0)</f>
        <v>0</v>
      </c>
      <c r="Q145" s="50">
        <f>IFERROR(VLOOKUP(E145,'BD - E - Mvto Cx'!$CT$15:$CV$500,3,0),0)</f>
        <v>0</v>
      </c>
      <c r="R145" s="50">
        <f>IFERROR(VLOOKUP(E145,'BD - E - Mvto Cx'!$DC$15:$DE$500,3,0),0)</f>
        <v>0</v>
      </c>
    </row>
    <row r="146" spans="1:996">
      <c r="A146" s="37"/>
      <c r="B146" t="str">
        <f t="shared" si="8"/>
        <v>S213306</v>
      </c>
      <c r="C146" s="7" t="s">
        <v>361</v>
      </c>
      <c r="D146" s="27" t="s">
        <v>128</v>
      </c>
      <c r="E146" s="7">
        <v>213306</v>
      </c>
      <c r="F146" s="48" t="s">
        <v>150</v>
      </c>
      <c r="G146" s="49">
        <f>IFERROR(VLOOKUP(E146,'BD - E - Mvto Cx'!$E$15:$G$500,3,0),0)</f>
        <v>461711.5</v>
      </c>
      <c r="H146" s="51">
        <f>IFERROR(VLOOKUP(E146,'BD - E - Mvto Cx'!$N$15:$P$500,3,0),0)</f>
        <v>458017.76</v>
      </c>
      <c r="I146" s="50">
        <f>IFERROR(VLOOKUP(E146,'BD - E - Mvto Cx'!$W$15:$Y$497,3,0),0)</f>
        <v>467732.47</v>
      </c>
      <c r="J146" s="50">
        <f>IFERROR(VLOOKUP(E146,'BD - E - Mvto Cx'!$AF$15:$AI$500,3,0),0)</f>
        <v>462845.86</v>
      </c>
      <c r="K146" s="50">
        <f>IFERROR(VLOOKUP(E146,'BD - E - Mvto Cx'!$AO$15:$AQ$500,3,0),0)</f>
        <v>0</v>
      </c>
      <c r="L146" s="50">
        <f>IFERROR(VLOOKUP(E146,'BD - E - Mvto Cx'!$AX$15:$AZ$500,3,0),0)</f>
        <v>0</v>
      </c>
      <c r="M146" s="50">
        <f>IFERROR(VLOOKUP(E146,'BD - E - Mvto Cx'!$BJ$15:$BL$500,3,0),0)</f>
        <v>0</v>
      </c>
      <c r="N146" s="50">
        <f>IFERROR(VLOOKUP(E146,'BD - E - Mvto Cx'!$BS$15:$BU$500,3,0),0)</f>
        <v>0</v>
      </c>
      <c r="O146" s="50">
        <f>IFERROR(VLOOKUP(E146,'BD - E - Mvto Cx'!$CB$15:$CD$500,3,0),0)</f>
        <v>0</v>
      </c>
      <c r="P146" s="50">
        <f>IFERROR(VLOOKUP(E146,'BD - E - Mvto Cx'!$CK$15:$CM$500,3,0),0)</f>
        <v>0</v>
      </c>
      <c r="Q146" s="50">
        <f>IFERROR(VLOOKUP(E146,'BD - E - Mvto Cx'!$CT$15:$CV$500,3,0),0)</f>
        <v>0</v>
      </c>
      <c r="R146" s="50">
        <f>IFERROR(VLOOKUP(E146,'BD - E - Mvto Cx'!$DC$15:$DE$500,3,0),0)</f>
        <v>0</v>
      </c>
    </row>
    <row r="147" spans="1:996">
      <c r="A147" s="37"/>
      <c r="B147" t="str">
        <f t="shared" si="8"/>
        <v>S213324</v>
      </c>
      <c r="C147" s="7" t="s">
        <v>361</v>
      </c>
      <c r="D147" s="27" t="s">
        <v>128</v>
      </c>
      <c r="E147" s="7">
        <v>213324</v>
      </c>
      <c r="F147" s="48" t="s">
        <v>151</v>
      </c>
      <c r="G147" s="49">
        <f>IFERROR(VLOOKUP(E147,'BD - E - Mvto Cx'!$E$15:$G$500,3,0),0)</f>
        <v>0.02</v>
      </c>
      <c r="H147" s="51">
        <f>IFERROR(VLOOKUP(E147,'BD - E - Mvto Cx'!$N$15:$P$500,3,0),0)</f>
        <v>0</v>
      </c>
      <c r="I147" s="50">
        <f>IFERROR(VLOOKUP(E147,'BD - E - Mvto Cx'!$W$15:$Y$497,3,0),0)</f>
        <v>1626390</v>
      </c>
      <c r="J147" s="50">
        <f>IFERROR(VLOOKUP(E147,'BD - E - Mvto Cx'!$AF$15:$AI$500,3,0),0)</f>
        <v>0</v>
      </c>
      <c r="K147" s="50">
        <f>IFERROR(VLOOKUP(E147,'BD - E - Mvto Cx'!$AO$15:$AQ$500,3,0),0)</f>
        <v>0</v>
      </c>
      <c r="L147" s="50">
        <f>IFERROR(VLOOKUP(E147,'BD - E - Mvto Cx'!$AX$15:$AZ$500,3,0),0)</f>
        <v>0</v>
      </c>
      <c r="M147" s="50">
        <f>IFERROR(VLOOKUP(E147,'BD - E - Mvto Cx'!$BJ$15:$BL$500,3,0),0)</f>
        <v>0</v>
      </c>
      <c r="N147" s="50">
        <f>IFERROR(VLOOKUP(E147,'BD - E - Mvto Cx'!$BS$15:$BU$500,3,0),0)</f>
        <v>0</v>
      </c>
      <c r="O147" s="50">
        <f>IFERROR(VLOOKUP(E147,'BD - E - Mvto Cx'!$CB$15:$CD$500,3,0),0)</f>
        <v>0</v>
      </c>
      <c r="P147" s="50">
        <f>IFERROR(VLOOKUP(E147,'BD - E - Mvto Cx'!$CK$15:$CM$500,3,0),0)</f>
        <v>0</v>
      </c>
      <c r="Q147" s="50">
        <f>IFERROR(VLOOKUP(E147,'BD - E - Mvto Cx'!$CT$15:$CV$500,3,0),0)</f>
        <v>0</v>
      </c>
      <c r="R147" s="50">
        <f>IFERROR(VLOOKUP(E147,'BD - E - Mvto Cx'!$DC$15:$DE$500,3,0),0)</f>
        <v>0</v>
      </c>
    </row>
    <row r="148" spans="1:996">
      <c r="A148" s="37"/>
      <c r="B148" t="str">
        <f t="shared" si="8"/>
        <v>S213326</v>
      </c>
      <c r="C148" s="7" t="s">
        <v>361</v>
      </c>
      <c r="D148" s="27" t="s">
        <v>128</v>
      </c>
      <c r="E148" s="7">
        <v>213326</v>
      </c>
      <c r="F148" s="48" t="s">
        <v>152</v>
      </c>
      <c r="G148" s="49">
        <f>IFERROR(VLOOKUP(E148,'BD - E - Mvto Cx'!$E$15:$G$500,3,0),0)</f>
        <v>0</v>
      </c>
      <c r="H148" s="51">
        <f>IFERROR(VLOOKUP(E148,'BD - E - Mvto Cx'!$N$15:$P$500,3,0),0)</f>
        <v>0</v>
      </c>
      <c r="I148" s="50">
        <f>IFERROR(VLOOKUP(E148,'BD - E - Mvto Cx'!$W$15:$Y$497,3,0),0)</f>
        <v>586817.24</v>
      </c>
      <c r="J148" s="50">
        <f>IFERROR(VLOOKUP(E148,'BD - E - Mvto Cx'!$AF$15:$AI$500,3,0),0)</f>
        <v>0</v>
      </c>
      <c r="K148" s="50">
        <f>IFERROR(VLOOKUP(E148,'BD - E - Mvto Cx'!$AO$15:$AQ$500,3,0),0)</f>
        <v>0</v>
      </c>
      <c r="L148" s="50">
        <f>IFERROR(VLOOKUP(E148,'BD - E - Mvto Cx'!$AX$15:$AZ$500,3,0),0)</f>
        <v>0</v>
      </c>
      <c r="M148" s="50">
        <f>IFERROR(VLOOKUP(E148,'BD - E - Mvto Cx'!$BJ$15:$BL$500,3,0),0)</f>
        <v>0</v>
      </c>
      <c r="N148" s="50">
        <f>IFERROR(VLOOKUP(E148,'BD - E - Mvto Cx'!$BS$15:$BU$500,3,0),0)</f>
        <v>0</v>
      </c>
      <c r="O148" s="50">
        <f>IFERROR(VLOOKUP(E148,'BD - E - Mvto Cx'!$CB$15:$CD$500,3,0),0)</f>
        <v>0</v>
      </c>
      <c r="P148" s="50">
        <f>IFERROR(VLOOKUP(E148,'BD - E - Mvto Cx'!$CK$15:$CM$500,3,0),0)</f>
        <v>0</v>
      </c>
      <c r="Q148" s="50">
        <f>IFERROR(VLOOKUP(E148,'BD - E - Mvto Cx'!$CT$15:$CV$500,3,0),0)</f>
        <v>0</v>
      </c>
      <c r="R148" s="50">
        <f>IFERROR(VLOOKUP(E148,'BD - E - Mvto Cx'!$DC$15:$DE$500,3,0),0)</f>
        <v>0</v>
      </c>
    </row>
    <row r="149" spans="1:996">
      <c r="A149" s="37"/>
      <c r="B149" t="str">
        <f t="shared" si="8"/>
        <v>S213901</v>
      </c>
      <c r="C149" s="7" t="s">
        <v>361</v>
      </c>
      <c r="D149" s="27" t="s">
        <v>128</v>
      </c>
      <c r="E149" s="7">
        <v>213901</v>
      </c>
      <c r="F149" s="48" t="s">
        <v>117</v>
      </c>
      <c r="G149" s="49">
        <f>IFERROR(VLOOKUP(E149,'BD - E - Mvto Cx'!$E$15:$G$500,3,0),0)</f>
        <v>0</v>
      </c>
      <c r="H149" s="51">
        <f>IFERROR(VLOOKUP(E149,'BD - E - Mvto Cx'!$N$15:$P$500,3,0),0)</f>
        <v>0</v>
      </c>
      <c r="I149" s="50">
        <f>IFERROR(VLOOKUP(E149,'BD - E - Mvto Cx'!$W$15:$Y$497,3,0),0)</f>
        <v>0</v>
      </c>
      <c r="J149" s="50">
        <f>IFERROR(VLOOKUP(E149,'BD - E - Mvto Cx'!$AF$15:$AI$500,3,0),0)</f>
        <v>330000</v>
      </c>
      <c r="K149" s="50">
        <f>IFERROR(VLOOKUP(E149,'BD - E - Mvto Cx'!$AO$15:$AQ$500,3,0),0)</f>
        <v>0</v>
      </c>
      <c r="L149" s="50">
        <f>IFERROR(VLOOKUP(E149,'BD - E - Mvto Cx'!$AX$15:$AZ$500,3,0),0)</f>
        <v>0</v>
      </c>
      <c r="M149" s="50">
        <f>IFERROR(VLOOKUP(E149,'BD - E - Mvto Cx'!$BJ$15:$BL$500,3,0),0)</f>
        <v>0</v>
      </c>
      <c r="N149" s="50">
        <f>IFERROR(VLOOKUP(E149,'BD - E - Mvto Cx'!$BS$15:$BU$500,3,0),0)</f>
        <v>0</v>
      </c>
      <c r="O149" s="50">
        <f>IFERROR(VLOOKUP(E149,'BD - E - Mvto Cx'!$CB$15:$CD$500,3,0),0)</f>
        <v>0</v>
      </c>
      <c r="P149" s="50">
        <f>IFERROR(VLOOKUP(E149,'BD - E - Mvto Cx'!$CK$15:$CM$500,3,0),0)</f>
        <v>0</v>
      </c>
      <c r="Q149" s="50">
        <f>IFERROR(VLOOKUP(E149,'BD - E - Mvto Cx'!$CT$15:$CV$500,3,0),0)</f>
        <v>0</v>
      </c>
      <c r="R149" s="50">
        <f>IFERROR(VLOOKUP(E149,'BD - E - Mvto Cx'!$DC$15:$DE$500,3,0),0)</f>
        <v>0</v>
      </c>
    </row>
    <row r="150" spans="1:996">
      <c r="A150" s="37"/>
      <c r="B150" t="str">
        <f t="shared" si="8"/>
        <v>S214102</v>
      </c>
      <c r="C150" s="29" t="s">
        <v>235</v>
      </c>
      <c r="D150" s="27" t="s">
        <v>128</v>
      </c>
      <c r="E150" s="7">
        <v>214102</v>
      </c>
      <c r="F150" s="48" t="s">
        <v>153</v>
      </c>
      <c r="G150" s="49">
        <f>IFERROR(VLOOKUP(E150,'BD - E - Mvto Cx'!$E$15:$G$500,3,0),0)</f>
        <v>889438.53</v>
      </c>
      <c r="H150" s="51">
        <f>IFERROR(VLOOKUP(E150,'BD - E - Mvto Cx'!$N$15:$P$500,3,0),0)</f>
        <v>568284.41</v>
      </c>
      <c r="I150" s="50">
        <f>IFERROR(VLOOKUP(E150,'BD - E - Mvto Cx'!$W$15:$Y$497,3,0),0)</f>
        <v>666443.93999999994</v>
      </c>
      <c r="J150" s="50">
        <f>IFERROR(VLOOKUP(E150,'BD - E - Mvto Cx'!$AF$15:$AI$500,3,0),0)</f>
        <v>914740.66</v>
      </c>
      <c r="K150" s="50">
        <f>IFERROR(VLOOKUP(E150,'BD - E - Mvto Cx'!$AO$15:$AQ$500,3,0),0)</f>
        <v>0</v>
      </c>
      <c r="L150" s="50">
        <f>IFERROR(VLOOKUP(E150,'BD - E - Mvto Cx'!$AX$15:$AZ$500,3,0),0)</f>
        <v>0</v>
      </c>
      <c r="M150" s="50">
        <f>IFERROR(VLOOKUP(E150,'BD - E - Mvto Cx'!$BJ$15:$BL$500,3,0),0)</f>
        <v>0</v>
      </c>
      <c r="N150" s="50">
        <f>IFERROR(VLOOKUP(E150,'BD - E - Mvto Cx'!$BS$15:$BU$500,3,0),0)</f>
        <v>0</v>
      </c>
      <c r="O150" s="50">
        <f>IFERROR(VLOOKUP(E150,'BD - E - Mvto Cx'!$CB$15:$CD$500,3,0),0)</f>
        <v>0</v>
      </c>
      <c r="P150" s="50">
        <f>IFERROR(VLOOKUP(E150,'BD - E - Mvto Cx'!$CK$15:$CM$500,3,0),0)</f>
        <v>0</v>
      </c>
      <c r="Q150" s="50">
        <f>IFERROR(VLOOKUP(E150,'BD - E - Mvto Cx'!$CT$15:$CV$500,3,0),0)</f>
        <v>0</v>
      </c>
      <c r="R150" s="50">
        <f>IFERROR(VLOOKUP(E150,'BD - E - Mvto Cx'!$DC$15:$DE$500,3,0),0)</f>
        <v>0</v>
      </c>
    </row>
    <row r="151" spans="1:996">
      <c r="A151" s="37"/>
      <c r="B151" t="str">
        <f t="shared" si="8"/>
        <v>S214110</v>
      </c>
      <c r="C151" s="29" t="s">
        <v>338</v>
      </c>
      <c r="D151" s="27" t="s">
        <v>128</v>
      </c>
      <c r="E151" s="7">
        <v>214110</v>
      </c>
      <c r="F151" s="48" t="s">
        <v>154</v>
      </c>
      <c r="G151" s="49">
        <f>IFERROR(VLOOKUP(E151,'BD - E - Mvto Cx'!$E$15:$G$500,3,0),0)</f>
        <v>1634.08</v>
      </c>
      <c r="H151" s="51">
        <f>IFERROR(VLOOKUP(E151,'BD - E - Mvto Cx'!$N$15:$P$500,3,0),0)</f>
        <v>1912.87</v>
      </c>
      <c r="I151" s="50">
        <f>IFERROR(VLOOKUP(E151,'BD - E - Mvto Cx'!$W$15:$Y$497,3,0),0)</f>
        <v>1704.19</v>
      </c>
      <c r="J151" s="50">
        <f>IFERROR(VLOOKUP(E151,'BD - E - Mvto Cx'!$AF$15:$AI$500,3,0),0)</f>
        <v>0</v>
      </c>
      <c r="K151" s="50">
        <f>IFERROR(VLOOKUP(E151,'BD - E - Mvto Cx'!$AO$15:$AQ$500,3,0),0)</f>
        <v>0</v>
      </c>
      <c r="L151" s="50">
        <f>IFERROR(VLOOKUP(E151,'BD - E - Mvto Cx'!$AX$15:$AZ$500,3,0),0)</f>
        <v>0</v>
      </c>
      <c r="M151" s="50">
        <f>IFERROR(VLOOKUP(E151,'BD - E - Mvto Cx'!$BJ$15:$BL$500,3,0),0)</f>
        <v>0</v>
      </c>
      <c r="N151" s="50">
        <f>IFERROR(VLOOKUP(E151,'BD - E - Mvto Cx'!$BS$15:$BU$500,3,0),0)</f>
        <v>0</v>
      </c>
      <c r="O151" s="50">
        <f>IFERROR(VLOOKUP(E151,'BD - E - Mvto Cx'!$CB$15:$CD$500,3,0),0)</f>
        <v>0</v>
      </c>
      <c r="P151" s="50">
        <f>IFERROR(VLOOKUP(E151,'BD - E - Mvto Cx'!$CK$15:$CM$500,3,0),0)</f>
        <v>0</v>
      </c>
      <c r="Q151" s="50">
        <f>IFERROR(VLOOKUP(E151,'BD - E - Mvto Cx'!$CT$15:$CV$500,3,0),0)</f>
        <v>0</v>
      </c>
      <c r="R151" s="50">
        <f>IFERROR(VLOOKUP(E151,'BD - E - Mvto Cx'!$DC$15:$DE$500,3,0),0)</f>
        <v>0</v>
      </c>
    </row>
    <row r="152" spans="1:996">
      <c r="A152" s="37"/>
      <c r="B152" t="str">
        <f t="shared" si="8"/>
        <v>S214111</v>
      </c>
      <c r="C152" s="29" t="s">
        <v>258</v>
      </c>
      <c r="D152" s="27" t="s">
        <v>128</v>
      </c>
      <c r="E152" s="7">
        <v>214111</v>
      </c>
      <c r="F152" s="48" t="s">
        <v>155</v>
      </c>
      <c r="G152" s="49">
        <f>IFERROR(VLOOKUP(E152,'BD - E - Mvto Cx'!$E$15:$G$500,3,0),0)</f>
        <v>13963.66</v>
      </c>
      <c r="H152" s="51">
        <f>IFERROR(VLOOKUP(E152,'BD - E - Mvto Cx'!$N$15:$P$500,3,0),0)</f>
        <v>6109.65</v>
      </c>
      <c r="I152" s="50">
        <f>IFERROR(VLOOKUP(E152,'BD - E - Mvto Cx'!$W$15:$Y$497,3,0),0)</f>
        <v>6109.65</v>
      </c>
      <c r="J152" s="50">
        <f>IFERROR(VLOOKUP(E152,'BD - E - Mvto Cx'!$AF$15:$AI$500,3,0),0)</f>
        <v>0</v>
      </c>
      <c r="K152" s="50">
        <f>IFERROR(VLOOKUP(E152,'BD - E - Mvto Cx'!$AO$15:$AQ$500,3,0),0)</f>
        <v>0</v>
      </c>
      <c r="L152" s="50">
        <f>IFERROR(VLOOKUP(E152,'BD - E - Mvto Cx'!$AX$15:$AZ$500,3,0),0)</f>
        <v>0</v>
      </c>
      <c r="M152" s="50">
        <f>IFERROR(VLOOKUP(E152,'BD - E - Mvto Cx'!$BJ$15:$BL$500,3,0),0)</f>
        <v>0</v>
      </c>
      <c r="N152" s="50">
        <f>IFERROR(VLOOKUP(E152,'BD - E - Mvto Cx'!$BS$15:$BU$500,3,0),0)</f>
        <v>0</v>
      </c>
      <c r="O152" s="50">
        <f>IFERROR(VLOOKUP(E152,'BD - E - Mvto Cx'!$CB$15:$CD$500,3,0),0)</f>
        <v>0</v>
      </c>
      <c r="P152" s="50">
        <f>IFERROR(VLOOKUP(E152,'BD - E - Mvto Cx'!$CK$15:$CM$500,3,0),0)</f>
        <v>0</v>
      </c>
      <c r="Q152" s="50">
        <f>IFERROR(VLOOKUP(E152,'BD - E - Mvto Cx'!$CT$15:$CV$500,3,0),0)</f>
        <v>0</v>
      </c>
      <c r="R152" s="50">
        <f>IFERROR(VLOOKUP(E152,'BD - E - Mvto Cx'!$DC$15:$DE$500,3,0),0)</f>
        <v>0</v>
      </c>
    </row>
    <row r="153" spans="1:996">
      <c r="A153" s="37"/>
      <c r="B153" t="str">
        <f t="shared" si="8"/>
        <v>S214112</v>
      </c>
      <c r="C153" s="29" t="s">
        <v>338</v>
      </c>
      <c r="D153" s="27" t="s">
        <v>128</v>
      </c>
      <c r="E153" s="7">
        <v>214112</v>
      </c>
      <c r="F153" s="48" t="s">
        <v>400</v>
      </c>
      <c r="G153" s="49">
        <f>IFERROR(VLOOKUP(E153,'BD - E - Mvto Cx'!$E$15:$G$500,3,0),0)</f>
        <v>1827.8</v>
      </c>
      <c r="H153" s="51">
        <f>IFERROR(VLOOKUP(E153,'BD - E - Mvto Cx'!$N$15:$P$500,3,0),0)</f>
        <v>926.4</v>
      </c>
      <c r="I153" s="50">
        <f>IFERROR(VLOOKUP(E153,'BD - E - Mvto Cx'!$W$15:$Y$497,3,0),0)</f>
        <v>1065.3800000000001</v>
      </c>
      <c r="J153" s="50">
        <f>IFERROR(VLOOKUP(E153,'BD - E - Mvto Cx'!$AF$15:$AI$500,3,0),0)</f>
        <v>995.89</v>
      </c>
      <c r="K153" s="50">
        <f>IFERROR(VLOOKUP(E153,'BD - E - Mvto Cx'!$AO$15:$AQ$500,3,0),0)</f>
        <v>0</v>
      </c>
      <c r="L153" s="50">
        <f>IFERROR(VLOOKUP(E153,'BD - E - Mvto Cx'!$AX$15:$AZ$500,3,0),0)</f>
        <v>0</v>
      </c>
      <c r="M153" s="50">
        <f>IFERROR(VLOOKUP(E153,'BD - E - Mvto Cx'!$BJ$15:$BL$500,3,0),0)</f>
        <v>0</v>
      </c>
      <c r="N153" s="50">
        <f>IFERROR(VLOOKUP(E153,'BD - E - Mvto Cx'!$BS$15:$BU$500,3,0),0)</f>
        <v>0</v>
      </c>
      <c r="O153" s="50">
        <f>IFERROR(VLOOKUP(E153,'BD - E - Mvto Cx'!$CB$15:$CD$500,3,0),0)</f>
        <v>0</v>
      </c>
      <c r="P153" s="50">
        <f>IFERROR(VLOOKUP(E153,'BD - E - Mvto Cx'!$CK$15:$CM$500,3,0),0)</f>
        <v>0</v>
      </c>
      <c r="Q153" s="50">
        <f>IFERROR(VLOOKUP(E153,'BD - E - Mvto Cx'!$CT$15:$CV$500,3,0),0)</f>
        <v>0</v>
      </c>
      <c r="R153" s="50">
        <f>IFERROR(VLOOKUP(E153,'BD - E - Mvto Cx'!$DC$15:$DE$500,3,0),0)</f>
        <v>0</v>
      </c>
    </row>
    <row r="154" spans="1:996">
      <c r="A154" s="37"/>
      <c r="B154" t="str">
        <f t="shared" si="8"/>
        <v>S214113</v>
      </c>
      <c r="C154" s="29" t="s">
        <v>338</v>
      </c>
      <c r="D154" s="27" t="s">
        <v>128</v>
      </c>
      <c r="E154" s="7">
        <v>214113</v>
      </c>
      <c r="F154" s="48" t="s">
        <v>156</v>
      </c>
      <c r="G154" s="49">
        <f>IFERROR(VLOOKUP(E154,'BD - E - Mvto Cx'!$E$15:$G$500,3,0),0)</f>
        <v>6782.13</v>
      </c>
      <c r="H154" s="51">
        <f>IFERROR(VLOOKUP(E154,'BD - E - Mvto Cx'!$N$15:$P$500,3,0),0)</f>
        <v>7379.67</v>
      </c>
      <c r="I154" s="50">
        <f>IFERROR(VLOOKUP(E154,'BD - E - Mvto Cx'!$W$15:$Y$497,3,0),0)</f>
        <v>6705.23</v>
      </c>
      <c r="J154" s="50">
        <f>IFERROR(VLOOKUP(E154,'BD - E - Mvto Cx'!$AF$15:$AI$500,3,0),0)</f>
        <v>0</v>
      </c>
      <c r="K154" s="50">
        <f>IFERROR(VLOOKUP(E154,'BD - E - Mvto Cx'!$AO$15:$AQ$500,3,0),0)</f>
        <v>0</v>
      </c>
      <c r="L154" s="50">
        <f>IFERROR(VLOOKUP(E154,'BD - E - Mvto Cx'!$AX$15:$AZ$500,3,0),0)</f>
        <v>0</v>
      </c>
      <c r="M154" s="50">
        <f>IFERROR(VLOOKUP(E154,'BD - E - Mvto Cx'!$BJ$15:$BL$500,3,0),0)</f>
        <v>0</v>
      </c>
      <c r="N154" s="50">
        <f>IFERROR(VLOOKUP(E154,'BD - E - Mvto Cx'!$BS$15:$BU$500,3,0),0)</f>
        <v>0</v>
      </c>
      <c r="O154" s="50">
        <f>IFERROR(VLOOKUP(E154,'BD - E - Mvto Cx'!$CB$15:$CD$500,3,0),0)</f>
        <v>0</v>
      </c>
      <c r="P154" s="50">
        <f>IFERROR(VLOOKUP(E154,'BD - E - Mvto Cx'!$CK$15:$CM$500,3,0),0)</f>
        <v>0</v>
      </c>
      <c r="Q154" s="50">
        <f>IFERROR(VLOOKUP(E154,'BD - E - Mvto Cx'!$CT$15:$CV$500,3,0),0)</f>
        <v>0</v>
      </c>
      <c r="R154" s="50">
        <f>IFERROR(VLOOKUP(E154,'BD - E - Mvto Cx'!$DC$15:$DE$500,3,0),0)</f>
        <v>0</v>
      </c>
    </row>
    <row r="155" spans="1:996">
      <c r="A155" s="37"/>
      <c r="B155" t="str">
        <f t="shared" si="8"/>
        <v>S214114</v>
      </c>
      <c r="C155" s="29" t="s">
        <v>338</v>
      </c>
      <c r="D155" s="27" t="s">
        <v>128</v>
      </c>
      <c r="E155" s="7">
        <v>214114</v>
      </c>
      <c r="F155" s="48" t="s">
        <v>157</v>
      </c>
      <c r="G155" s="49">
        <f>IFERROR(VLOOKUP(E155,'BD - E - Mvto Cx'!$E$15:$G$500,3,0),0)</f>
        <v>1758.44</v>
      </c>
      <c r="H155" s="51">
        <f>IFERROR(VLOOKUP(E155,'BD - E - Mvto Cx'!$N$15:$P$500,3,0),0)</f>
        <v>1671.81</v>
      </c>
      <c r="I155" s="50">
        <f>IFERROR(VLOOKUP(E155,'BD - E - Mvto Cx'!$W$15:$Y$497,3,0),0)</f>
        <v>1606.41</v>
      </c>
      <c r="J155" s="50">
        <f>IFERROR(VLOOKUP(E155,'BD - E - Mvto Cx'!$AF$15:$AI$500,3,0),0)</f>
        <v>0</v>
      </c>
      <c r="K155" s="50">
        <f>IFERROR(VLOOKUP(E155,'BD - E - Mvto Cx'!$AO$15:$AQ$500,3,0),0)</f>
        <v>0</v>
      </c>
      <c r="L155" s="50">
        <f>IFERROR(VLOOKUP(E155,'BD - E - Mvto Cx'!$AX$15:$AZ$500,3,0),0)</f>
        <v>0</v>
      </c>
      <c r="M155" s="50">
        <f>IFERROR(VLOOKUP(E155,'BD - E - Mvto Cx'!$BJ$15:$BL$500,3,0),0)</f>
        <v>0</v>
      </c>
      <c r="N155" s="50">
        <f>IFERROR(VLOOKUP(E155,'BD - E - Mvto Cx'!$BS$15:$BU$500,3,0),0)</f>
        <v>0</v>
      </c>
      <c r="O155" s="50">
        <f>IFERROR(VLOOKUP(E155,'BD - E - Mvto Cx'!$CB$15:$CD$500,3,0),0)</f>
        <v>0</v>
      </c>
      <c r="P155" s="50">
        <f>IFERROR(VLOOKUP(E155,'BD - E - Mvto Cx'!$CK$15:$CM$500,3,0),0)</f>
        <v>0</v>
      </c>
      <c r="Q155" s="50">
        <f>IFERROR(VLOOKUP(E155,'BD - E - Mvto Cx'!$CT$15:$CV$500,3,0),0)</f>
        <v>0</v>
      </c>
      <c r="R155" s="50">
        <f>IFERROR(VLOOKUP(E155,'BD - E - Mvto Cx'!$DC$15:$DE$500,3,0),0)</f>
        <v>0</v>
      </c>
    </row>
    <row r="156" spans="1:996">
      <c r="A156" s="37"/>
      <c r="B156" t="str">
        <f t="shared" si="8"/>
        <v>S214119</v>
      </c>
      <c r="C156" s="29" t="s">
        <v>235</v>
      </c>
      <c r="D156" s="27" t="s">
        <v>128</v>
      </c>
      <c r="E156" s="7">
        <v>214119</v>
      </c>
      <c r="F156" s="48" t="s">
        <v>158</v>
      </c>
      <c r="G156" s="49">
        <f>IFERROR(VLOOKUP(E156,'BD - E - Mvto Cx'!$E$15:$G$500,3,0),0)</f>
        <v>140933.82999999999</v>
      </c>
      <c r="H156" s="51">
        <f>IFERROR(VLOOKUP(E156,'BD - E - Mvto Cx'!$N$15:$P$500,3,0),0)</f>
        <v>79967.600000000006</v>
      </c>
      <c r="I156" s="50">
        <f>IFERROR(VLOOKUP(E156,'BD - E - Mvto Cx'!$W$15:$Y$497,3,0),0)</f>
        <v>100662.54</v>
      </c>
      <c r="J156" s="50">
        <f>IFERROR(VLOOKUP(E156,'BD - E - Mvto Cx'!$AF$15:$AI$500,3,0),0)</f>
        <v>70914.179999999993</v>
      </c>
      <c r="K156" s="50">
        <f>IFERROR(VLOOKUP(E156,'BD - E - Mvto Cx'!$AO$15:$AQ$500,3,0),0)</f>
        <v>0</v>
      </c>
      <c r="L156" s="50">
        <f>IFERROR(VLOOKUP(E156,'BD - E - Mvto Cx'!$AX$15:$AZ$500,3,0),0)</f>
        <v>0</v>
      </c>
      <c r="M156" s="50">
        <f>IFERROR(VLOOKUP(E156,'BD - E - Mvto Cx'!$BJ$15:$BL$500,3,0),0)</f>
        <v>0</v>
      </c>
      <c r="N156" s="50">
        <f>IFERROR(VLOOKUP(E156,'BD - E - Mvto Cx'!$BS$15:$BU$500,3,0),0)</f>
        <v>0</v>
      </c>
      <c r="O156" s="50">
        <f>IFERROR(VLOOKUP(E156,'BD - E - Mvto Cx'!$CB$15:$CD$500,3,0),0)</f>
        <v>0</v>
      </c>
      <c r="P156" s="50">
        <f>IFERROR(VLOOKUP(E156,'BD - E - Mvto Cx'!$CK$15:$CM$500,3,0),0)</f>
        <v>0</v>
      </c>
      <c r="Q156" s="50">
        <f>IFERROR(VLOOKUP(E156,'BD - E - Mvto Cx'!$CT$15:$CV$500,3,0),0)</f>
        <v>0</v>
      </c>
      <c r="R156" s="50">
        <f>IFERROR(VLOOKUP(E156,'BD - E - Mvto Cx'!$DC$15:$DE$500,3,0),0)</f>
        <v>0</v>
      </c>
    </row>
    <row r="157" spans="1:996">
      <c r="A157" s="37"/>
      <c r="B157" t="str">
        <f t="shared" si="8"/>
        <v>S214120</v>
      </c>
      <c r="C157" s="29" t="s">
        <v>235</v>
      </c>
      <c r="D157" s="27" t="s">
        <v>128</v>
      </c>
      <c r="E157" s="7">
        <v>214120</v>
      </c>
      <c r="F157" s="48" t="s">
        <v>159</v>
      </c>
      <c r="G157" s="49">
        <f>IFERROR(VLOOKUP(E157,'BD - E - Mvto Cx'!$E$15:$G$500,3,0),0)</f>
        <v>47308.78</v>
      </c>
      <c r="H157" s="51">
        <f>IFERROR(VLOOKUP(E157,'BD - E - Mvto Cx'!$N$15:$P$500,3,0),0)</f>
        <v>27005.55</v>
      </c>
      <c r="I157" s="50">
        <f>IFERROR(VLOOKUP(E157,'BD - E - Mvto Cx'!$W$15:$Y$497,3,0),0)</f>
        <v>33585.910000000003</v>
      </c>
      <c r="J157" s="50">
        <f>IFERROR(VLOOKUP(E157,'BD - E - Mvto Cx'!$AF$15:$AI$500,3,0),0)</f>
        <v>54581.79</v>
      </c>
      <c r="K157" s="50">
        <f>IFERROR(VLOOKUP(E157,'BD - E - Mvto Cx'!$AO$15:$AQ$500,3,0),0)</f>
        <v>0</v>
      </c>
      <c r="L157" s="50">
        <f>IFERROR(VLOOKUP(E157,'BD - E - Mvto Cx'!$AX$15:$AZ$500,3,0),0)</f>
        <v>0</v>
      </c>
      <c r="M157" s="50">
        <f>IFERROR(VLOOKUP(E157,'BD - E - Mvto Cx'!$BJ$15:$BL$500,3,0),0)</f>
        <v>0</v>
      </c>
      <c r="N157" s="50">
        <f>IFERROR(VLOOKUP(E157,'BD - E - Mvto Cx'!$BS$15:$BU$500,3,0),0)</f>
        <v>0</v>
      </c>
      <c r="O157" s="50">
        <f>IFERROR(VLOOKUP(E157,'BD - E - Mvto Cx'!$CB$15:$CD$500,3,0),0)</f>
        <v>0</v>
      </c>
      <c r="P157" s="50">
        <f>IFERROR(VLOOKUP(E157,'BD - E - Mvto Cx'!$CK$15:$CM$500,3,0),0)</f>
        <v>0</v>
      </c>
      <c r="Q157" s="50">
        <f>IFERROR(VLOOKUP(E157,'BD - E - Mvto Cx'!$CT$15:$CV$500,3,0),0)</f>
        <v>0</v>
      </c>
      <c r="R157" s="50">
        <f>IFERROR(VLOOKUP(E157,'BD - E - Mvto Cx'!$DC$15:$DE$500,3,0),0)</f>
        <v>0</v>
      </c>
    </row>
    <row r="158" spans="1:996" s="35" customFormat="1">
      <c r="A158" s="68"/>
      <c r="B158" s="28" t="str">
        <f t="shared" si="8"/>
        <v>S214197</v>
      </c>
      <c r="C158" s="35" t="s">
        <v>236</v>
      </c>
      <c r="D158" s="69" t="s">
        <v>128</v>
      </c>
      <c r="E158" s="35">
        <v>214197</v>
      </c>
      <c r="F158" s="52" t="s">
        <v>160</v>
      </c>
      <c r="G158" s="53">
        <f>IFERROR(VLOOKUP(E158,'BD - E - Mvto Cx'!$E$15:$G$500,3,0),0)</f>
        <v>1256608.72</v>
      </c>
      <c r="H158" s="54">
        <f>IFERROR(VLOOKUP(E158,'BD - E - Mvto Cx'!$N$15:$P$500,3,0),0)</f>
        <v>493167.64</v>
      </c>
      <c r="I158" s="70">
        <f>IFERROR(VLOOKUP(E158,'BD - E - Mvto Cx'!$W$15:$Y$497,3,0),0)</f>
        <v>313340.36</v>
      </c>
      <c r="J158" s="70">
        <f>IFERROR(VLOOKUP(E158,'BD - E - Mvto Cx'!$AF$15:$AI$500,3,0),0)</f>
        <v>150329.96</v>
      </c>
      <c r="K158" s="70">
        <f>IFERROR(VLOOKUP(E158,'BD - E - Mvto Cx'!$AO$15:$AQ$500,3,0),0)</f>
        <v>0</v>
      </c>
      <c r="L158" s="70">
        <f>IFERROR(VLOOKUP(E158,'BD - E - Mvto Cx'!$AX$15:$AZ$500,3,0),0)</f>
        <v>0</v>
      </c>
      <c r="M158" s="70">
        <f>IFERROR(VLOOKUP(E158,'BD - E - Mvto Cx'!$BJ$15:$BL$500,3,0),0)</f>
        <v>0</v>
      </c>
      <c r="N158" s="70">
        <f>IFERROR(VLOOKUP(E158,'BD - E - Mvto Cx'!$BS$15:$BU$500,3,0),0)</f>
        <v>0</v>
      </c>
      <c r="O158" s="70">
        <f>IFERROR(VLOOKUP(E158,'BD - E - Mvto Cx'!$CB$15:$CD$500,3,0),0)</f>
        <v>0</v>
      </c>
      <c r="P158" s="70">
        <f>IFERROR(VLOOKUP(E158,'BD - E - Mvto Cx'!$CK$15:$CM$500,3,0),0)</f>
        <v>0</v>
      </c>
      <c r="Q158" s="70">
        <f>IFERROR(VLOOKUP(E158,'BD - E - Mvto Cx'!$CT$15:$CV$500,3,0),0)</f>
        <v>0</v>
      </c>
      <c r="R158" s="70">
        <f>IFERROR(VLOOKUP(E158,'BD - E - Mvto Cx'!$DC$15:$DE$500,3,0),0)</f>
        <v>0</v>
      </c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D158" s="71"/>
      <c r="CE158" s="71"/>
      <c r="CF158" s="71"/>
      <c r="CG158" s="71"/>
      <c r="CH158" s="71"/>
      <c r="CI158" s="71"/>
      <c r="CJ158" s="71"/>
      <c r="CK158" s="71"/>
      <c r="CL158" s="71"/>
      <c r="CM158" s="71"/>
      <c r="CN158" s="71"/>
      <c r="CO158" s="71"/>
      <c r="CP158" s="71"/>
      <c r="CQ158" s="71"/>
      <c r="CR158" s="71"/>
      <c r="CS158" s="71"/>
      <c r="CT158" s="71"/>
      <c r="CU158" s="71"/>
      <c r="CV158" s="71"/>
      <c r="CW158" s="71"/>
      <c r="CX158" s="71"/>
      <c r="CY158" s="71"/>
      <c r="CZ158" s="71"/>
      <c r="DA158" s="71"/>
      <c r="DB158" s="71"/>
      <c r="DC158" s="71"/>
      <c r="DD158" s="71"/>
      <c r="DE158" s="71"/>
      <c r="DF158" s="71"/>
      <c r="DG158" s="71"/>
      <c r="DH158" s="71"/>
      <c r="DI158" s="71"/>
      <c r="DJ158" s="71"/>
      <c r="DK158" s="71"/>
      <c r="DL158" s="71"/>
      <c r="DM158" s="71"/>
      <c r="DN158" s="71"/>
      <c r="DO158" s="71"/>
      <c r="DP158" s="71"/>
      <c r="DQ158" s="71"/>
      <c r="DR158" s="71"/>
      <c r="DS158" s="71"/>
      <c r="DT158" s="71"/>
      <c r="DU158" s="71"/>
      <c r="DV158" s="71"/>
      <c r="DW158" s="71"/>
      <c r="DX158" s="71"/>
      <c r="DY158" s="71"/>
      <c r="DZ158" s="71"/>
      <c r="EA158" s="71"/>
      <c r="EB158" s="71"/>
      <c r="EC158" s="71"/>
      <c r="ED158" s="71"/>
      <c r="EE158" s="71"/>
      <c r="EF158" s="71"/>
      <c r="EG158" s="71"/>
      <c r="EH158" s="71"/>
      <c r="EI158" s="71"/>
      <c r="EJ158" s="71"/>
      <c r="EK158" s="71"/>
      <c r="EL158" s="71"/>
      <c r="EM158" s="71"/>
      <c r="EN158" s="71"/>
      <c r="EO158" s="71"/>
      <c r="EP158" s="71"/>
      <c r="EQ158" s="71"/>
      <c r="ER158" s="71"/>
      <c r="ES158" s="71"/>
      <c r="ET158" s="71"/>
      <c r="EU158" s="71"/>
      <c r="EV158" s="71"/>
      <c r="EW158" s="71"/>
      <c r="EX158" s="71"/>
      <c r="EY158" s="71"/>
      <c r="EZ158" s="71"/>
      <c r="FA158" s="71"/>
      <c r="FB158" s="71"/>
      <c r="FC158" s="71"/>
      <c r="FD158" s="71"/>
      <c r="FE158" s="71"/>
      <c r="FF158" s="71"/>
      <c r="FG158" s="71"/>
      <c r="FH158" s="71"/>
      <c r="FI158" s="71"/>
      <c r="FJ158" s="71"/>
      <c r="FK158" s="71"/>
      <c r="FL158" s="71"/>
      <c r="FM158" s="71"/>
      <c r="FN158" s="71"/>
      <c r="FO158" s="71"/>
      <c r="FP158" s="71"/>
      <c r="FQ158" s="71"/>
      <c r="FR158" s="71"/>
      <c r="FS158" s="71"/>
      <c r="FT158" s="71"/>
      <c r="FU158" s="71"/>
      <c r="FV158" s="71"/>
      <c r="FW158" s="71"/>
      <c r="FX158" s="71"/>
      <c r="FY158" s="71"/>
      <c r="FZ158" s="71"/>
      <c r="GA158" s="71"/>
      <c r="GB158" s="71"/>
      <c r="GC158" s="71"/>
      <c r="GD158" s="71"/>
      <c r="GE158" s="71"/>
      <c r="GF158" s="71"/>
      <c r="GG158" s="71"/>
      <c r="GH158" s="71"/>
      <c r="GI158" s="71"/>
      <c r="GJ158" s="71"/>
      <c r="GK158" s="71"/>
      <c r="GL158" s="71"/>
      <c r="GM158" s="71"/>
      <c r="GN158" s="71"/>
      <c r="GO158" s="71"/>
      <c r="GP158" s="71"/>
      <c r="GQ158" s="71"/>
      <c r="GR158" s="71"/>
      <c r="GS158" s="71"/>
      <c r="GT158" s="71"/>
      <c r="GU158" s="71"/>
      <c r="GV158" s="71"/>
      <c r="GW158" s="71"/>
      <c r="GX158" s="71"/>
      <c r="GY158" s="71"/>
      <c r="GZ158" s="71"/>
      <c r="HA158" s="71"/>
      <c r="HB158" s="71"/>
      <c r="HC158" s="71"/>
      <c r="HD158" s="71"/>
      <c r="HE158" s="71"/>
      <c r="HF158" s="71"/>
      <c r="HG158" s="71"/>
      <c r="HH158" s="71"/>
      <c r="HI158" s="71"/>
      <c r="HJ158" s="71"/>
      <c r="HK158" s="71"/>
      <c r="HL158" s="71"/>
      <c r="HM158" s="71"/>
      <c r="HN158" s="71"/>
      <c r="HO158" s="71"/>
      <c r="HP158" s="71"/>
      <c r="HQ158" s="71"/>
      <c r="HR158" s="71"/>
      <c r="HS158" s="71"/>
      <c r="HT158" s="71"/>
      <c r="HU158" s="71"/>
      <c r="HV158" s="71"/>
      <c r="HW158" s="71"/>
      <c r="HX158" s="71"/>
      <c r="HY158" s="71"/>
      <c r="HZ158" s="71"/>
      <c r="IA158" s="71"/>
      <c r="IB158" s="71"/>
      <c r="IC158" s="71"/>
      <c r="ID158" s="71"/>
      <c r="IE158" s="71"/>
      <c r="IF158" s="71"/>
      <c r="IG158" s="71"/>
      <c r="IH158" s="71"/>
      <c r="II158" s="71"/>
      <c r="IJ158" s="71"/>
      <c r="IK158" s="71"/>
      <c r="IL158" s="71"/>
      <c r="IM158" s="71"/>
      <c r="IN158" s="71"/>
      <c r="IO158" s="71"/>
      <c r="IP158" s="71"/>
      <c r="IQ158" s="71"/>
      <c r="IR158" s="71"/>
      <c r="IS158" s="71"/>
      <c r="IT158" s="71"/>
      <c r="IU158" s="71"/>
      <c r="IV158" s="71"/>
      <c r="IW158" s="71"/>
      <c r="IX158" s="71"/>
      <c r="IY158" s="71"/>
      <c r="IZ158" s="71"/>
      <c r="JA158" s="71"/>
      <c r="JB158" s="71"/>
      <c r="JC158" s="71"/>
      <c r="JD158" s="71"/>
      <c r="JE158" s="71"/>
      <c r="JF158" s="71"/>
      <c r="JG158" s="71"/>
      <c r="JH158" s="71"/>
      <c r="JI158" s="71"/>
      <c r="JJ158" s="71"/>
      <c r="JK158" s="71"/>
      <c r="JL158" s="71"/>
      <c r="JM158" s="71"/>
      <c r="JN158" s="71"/>
      <c r="JO158" s="71"/>
      <c r="JP158" s="71"/>
      <c r="JQ158" s="71"/>
      <c r="JR158" s="71"/>
      <c r="JS158" s="71"/>
      <c r="JT158" s="71"/>
      <c r="JU158" s="71"/>
      <c r="JV158" s="71"/>
      <c r="JW158" s="71"/>
      <c r="JX158" s="71"/>
      <c r="JY158" s="71"/>
      <c r="JZ158" s="71"/>
      <c r="KA158" s="71"/>
      <c r="KB158" s="71"/>
      <c r="KC158" s="71"/>
      <c r="KD158" s="71"/>
      <c r="KE158" s="71"/>
      <c r="KF158" s="71"/>
      <c r="KG158" s="71"/>
      <c r="KH158" s="71"/>
      <c r="KI158" s="71"/>
      <c r="KJ158" s="71"/>
      <c r="KK158" s="71"/>
      <c r="KL158" s="71"/>
      <c r="KM158" s="71"/>
      <c r="KN158" s="71"/>
      <c r="KO158" s="71"/>
      <c r="KP158" s="71"/>
      <c r="KQ158" s="71"/>
      <c r="KR158" s="71"/>
      <c r="KS158" s="71"/>
      <c r="KT158" s="71"/>
      <c r="KU158" s="71"/>
      <c r="KV158" s="71"/>
      <c r="KW158" s="71"/>
      <c r="KX158" s="71"/>
      <c r="KY158" s="71"/>
      <c r="KZ158" s="71"/>
      <c r="LA158" s="71"/>
      <c r="LB158" s="71"/>
      <c r="LC158" s="71"/>
      <c r="LD158" s="71"/>
      <c r="LE158" s="71"/>
      <c r="LF158" s="71"/>
      <c r="LG158" s="71"/>
      <c r="LH158" s="71"/>
      <c r="LI158" s="71"/>
      <c r="LJ158" s="71"/>
      <c r="LK158" s="71"/>
      <c r="LL158" s="71"/>
      <c r="LM158" s="71"/>
      <c r="LN158" s="71"/>
      <c r="LO158" s="71"/>
      <c r="LP158" s="71"/>
      <c r="LQ158" s="71"/>
      <c r="LR158" s="71"/>
      <c r="LS158" s="71"/>
      <c r="LT158" s="71"/>
      <c r="LU158" s="71"/>
      <c r="LV158" s="71"/>
      <c r="LW158" s="71"/>
      <c r="LX158" s="71"/>
      <c r="LY158" s="71"/>
      <c r="LZ158" s="71"/>
      <c r="MA158" s="71"/>
      <c r="MB158" s="71"/>
      <c r="MC158" s="71"/>
      <c r="MD158" s="71"/>
      <c r="ME158" s="71"/>
      <c r="MF158" s="71"/>
      <c r="MG158" s="71"/>
      <c r="MH158" s="71"/>
      <c r="MI158" s="71"/>
      <c r="MJ158" s="71"/>
      <c r="MK158" s="71"/>
      <c r="ML158" s="71"/>
      <c r="MM158" s="71"/>
      <c r="MN158" s="71"/>
      <c r="MO158" s="71"/>
      <c r="MP158" s="71"/>
      <c r="MQ158" s="71"/>
      <c r="MR158" s="71"/>
      <c r="MS158" s="71"/>
      <c r="MT158" s="71"/>
      <c r="MU158" s="71"/>
      <c r="MV158" s="71"/>
      <c r="MW158" s="71"/>
      <c r="MX158" s="71"/>
      <c r="MY158" s="71"/>
      <c r="MZ158" s="71"/>
      <c r="NA158" s="71"/>
      <c r="NB158" s="71"/>
      <c r="NC158" s="71"/>
      <c r="ND158" s="71"/>
      <c r="NE158" s="71"/>
      <c r="NF158" s="71"/>
      <c r="NG158" s="71"/>
      <c r="NH158" s="71"/>
      <c r="NI158" s="71"/>
      <c r="NJ158" s="71"/>
      <c r="NK158" s="71"/>
      <c r="NL158" s="71"/>
      <c r="NM158" s="71"/>
      <c r="NN158" s="71"/>
      <c r="NO158" s="71"/>
      <c r="NP158" s="71"/>
      <c r="NQ158" s="71"/>
      <c r="NR158" s="71"/>
      <c r="NS158" s="71"/>
      <c r="NT158" s="71"/>
      <c r="NU158" s="71"/>
      <c r="NV158" s="71"/>
      <c r="NW158" s="71"/>
      <c r="NX158" s="71"/>
      <c r="NY158" s="71"/>
      <c r="NZ158" s="71"/>
      <c r="OA158" s="71"/>
      <c r="OB158" s="71"/>
      <c r="OC158" s="71"/>
      <c r="OD158" s="71"/>
      <c r="OE158" s="71"/>
      <c r="OF158" s="71"/>
      <c r="OG158" s="71"/>
      <c r="OH158" s="71"/>
      <c r="OI158" s="71"/>
      <c r="OJ158" s="71"/>
      <c r="OK158" s="71"/>
      <c r="OL158" s="71"/>
      <c r="OM158" s="71"/>
      <c r="ON158" s="71"/>
      <c r="OO158" s="71"/>
      <c r="OP158" s="71"/>
      <c r="OQ158" s="71"/>
      <c r="OR158" s="71"/>
      <c r="OS158" s="71"/>
      <c r="OT158" s="71"/>
      <c r="OU158" s="71"/>
      <c r="OV158" s="71"/>
      <c r="OW158" s="71"/>
      <c r="OX158" s="71"/>
      <c r="OY158" s="71"/>
      <c r="OZ158" s="71"/>
      <c r="PA158" s="71"/>
      <c r="PB158" s="71"/>
      <c r="PC158" s="71"/>
      <c r="PD158" s="71"/>
      <c r="PE158" s="71"/>
      <c r="PF158" s="71"/>
      <c r="PG158" s="71"/>
      <c r="PH158" s="71"/>
      <c r="PI158" s="71"/>
      <c r="PJ158" s="71"/>
      <c r="PK158" s="71"/>
      <c r="PL158" s="71"/>
      <c r="PM158" s="71"/>
      <c r="PN158" s="71"/>
      <c r="PO158" s="71"/>
      <c r="PP158" s="71"/>
      <c r="PQ158" s="71"/>
      <c r="PR158" s="71"/>
      <c r="PS158" s="71"/>
      <c r="PT158" s="71"/>
      <c r="PU158" s="71"/>
      <c r="PV158" s="71"/>
      <c r="PW158" s="71"/>
      <c r="PX158" s="71"/>
      <c r="PY158" s="71"/>
      <c r="PZ158" s="71"/>
      <c r="QA158" s="71"/>
      <c r="QB158" s="71"/>
      <c r="QC158" s="71"/>
      <c r="QD158" s="71"/>
      <c r="QE158" s="71"/>
      <c r="QF158" s="71"/>
      <c r="QG158" s="71"/>
      <c r="QH158" s="71"/>
      <c r="QI158" s="71"/>
      <c r="QJ158" s="71"/>
      <c r="QK158" s="71"/>
      <c r="QL158" s="71"/>
      <c r="QM158" s="71"/>
      <c r="QN158" s="71"/>
      <c r="QO158" s="71"/>
      <c r="QP158" s="71"/>
      <c r="QQ158" s="71"/>
      <c r="QR158" s="71"/>
      <c r="QS158" s="71"/>
      <c r="QT158" s="71"/>
      <c r="QU158" s="71"/>
      <c r="QV158" s="71"/>
      <c r="QW158" s="71"/>
      <c r="QX158" s="71"/>
      <c r="QY158" s="71"/>
      <c r="QZ158" s="71"/>
      <c r="RA158" s="71"/>
      <c r="RB158" s="71"/>
      <c r="RC158" s="71"/>
      <c r="RD158" s="71"/>
      <c r="RE158" s="71"/>
      <c r="RF158" s="71"/>
      <c r="RG158" s="71"/>
      <c r="RH158" s="71"/>
      <c r="RI158" s="71"/>
      <c r="RJ158" s="71"/>
      <c r="RK158" s="71"/>
      <c r="RL158" s="71"/>
      <c r="RM158" s="71"/>
      <c r="RN158" s="71"/>
      <c r="RO158" s="71"/>
      <c r="RP158" s="71"/>
      <c r="RQ158" s="71"/>
      <c r="RR158" s="71"/>
      <c r="RS158" s="71"/>
      <c r="RT158" s="71"/>
      <c r="RU158" s="71"/>
      <c r="RV158" s="71"/>
      <c r="RW158" s="71"/>
      <c r="RX158" s="71"/>
      <c r="RY158" s="71"/>
      <c r="RZ158" s="71"/>
      <c r="SA158" s="71"/>
      <c r="SB158" s="71"/>
      <c r="SC158" s="71"/>
      <c r="SD158" s="71"/>
      <c r="SE158" s="71"/>
      <c r="SF158" s="71"/>
      <c r="SG158" s="71"/>
      <c r="SH158" s="71"/>
      <c r="SI158" s="71"/>
      <c r="SJ158" s="71"/>
      <c r="SK158" s="71"/>
      <c r="SL158" s="71"/>
      <c r="SM158" s="71"/>
      <c r="SN158" s="71"/>
      <c r="SO158" s="71"/>
      <c r="SP158" s="71"/>
      <c r="SQ158" s="71"/>
      <c r="SR158" s="71"/>
      <c r="SS158" s="71"/>
      <c r="ST158" s="71"/>
      <c r="SU158" s="71"/>
      <c r="SV158" s="71"/>
      <c r="SW158" s="71"/>
      <c r="SX158" s="71"/>
      <c r="SY158" s="71"/>
      <c r="SZ158" s="71"/>
      <c r="TA158" s="71"/>
      <c r="TB158" s="71"/>
      <c r="TC158" s="71"/>
      <c r="TD158" s="71"/>
      <c r="TE158" s="71"/>
      <c r="TF158" s="71"/>
      <c r="TG158" s="71"/>
      <c r="TH158" s="71"/>
      <c r="TI158" s="71"/>
      <c r="TJ158" s="71"/>
      <c r="TK158" s="71"/>
      <c r="TL158" s="71"/>
      <c r="TM158" s="71"/>
      <c r="TN158" s="71"/>
      <c r="TO158" s="71"/>
      <c r="TP158" s="71"/>
      <c r="TQ158" s="71"/>
      <c r="TR158" s="71"/>
      <c r="TS158" s="71"/>
      <c r="TT158" s="71"/>
      <c r="TU158" s="71"/>
      <c r="TV158" s="71"/>
      <c r="TW158" s="71"/>
      <c r="TX158" s="71"/>
      <c r="TY158" s="71"/>
      <c r="TZ158" s="71"/>
      <c r="UA158" s="71"/>
      <c r="UB158" s="71"/>
      <c r="UC158" s="71"/>
      <c r="UD158" s="71"/>
      <c r="UE158" s="71"/>
      <c r="UF158" s="71"/>
      <c r="UG158" s="71"/>
      <c r="UH158" s="71"/>
      <c r="UI158" s="71"/>
      <c r="UJ158" s="71"/>
      <c r="UK158" s="71"/>
      <c r="UL158" s="71"/>
      <c r="UM158" s="71"/>
      <c r="UN158" s="71"/>
      <c r="UO158" s="71"/>
      <c r="UP158" s="71"/>
      <c r="UQ158" s="71"/>
      <c r="UR158" s="71"/>
      <c r="US158" s="71"/>
      <c r="UT158" s="71"/>
      <c r="UU158" s="71"/>
      <c r="UV158" s="71"/>
      <c r="UW158" s="71"/>
      <c r="UX158" s="71"/>
      <c r="UY158" s="71"/>
      <c r="UZ158" s="71"/>
      <c r="VA158" s="71"/>
      <c r="VB158" s="71"/>
      <c r="VC158" s="71"/>
      <c r="VD158" s="71"/>
      <c r="VE158" s="71"/>
      <c r="VF158" s="71"/>
      <c r="VG158" s="71"/>
      <c r="VH158" s="71"/>
      <c r="VI158" s="71"/>
      <c r="VJ158" s="71"/>
      <c r="VK158" s="71"/>
      <c r="VL158" s="71"/>
      <c r="VM158" s="71"/>
      <c r="VN158" s="71"/>
      <c r="VO158" s="71"/>
      <c r="VP158" s="71"/>
      <c r="VQ158" s="71"/>
      <c r="VR158" s="71"/>
      <c r="VS158" s="71"/>
      <c r="VT158" s="71"/>
      <c r="VU158" s="71"/>
      <c r="VV158" s="71"/>
      <c r="VW158" s="71"/>
      <c r="VX158" s="71"/>
      <c r="VY158" s="71"/>
      <c r="VZ158" s="71"/>
      <c r="WA158" s="71"/>
      <c r="WB158" s="71"/>
      <c r="WC158" s="71"/>
      <c r="WD158" s="71"/>
      <c r="WE158" s="71"/>
      <c r="WF158" s="71"/>
      <c r="WG158" s="71"/>
      <c r="WH158" s="71"/>
      <c r="WI158" s="71"/>
      <c r="WJ158" s="71"/>
      <c r="WK158" s="71"/>
      <c r="WL158" s="71"/>
      <c r="WM158" s="71"/>
      <c r="WN158" s="71"/>
      <c r="WO158" s="71"/>
      <c r="WP158" s="71"/>
      <c r="WQ158" s="71"/>
      <c r="WR158" s="71"/>
      <c r="WS158" s="71"/>
      <c r="WT158" s="71"/>
      <c r="WU158" s="71"/>
      <c r="WV158" s="71"/>
      <c r="WW158" s="71"/>
      <c r="WX158" s="71"/>
      <c r="WY158" s="71"/>
      <c r="WZ158" s="71"/>
      <c r="XA158" s="71"/>
      <c r="XB158" s="71"/>
      <c r="XC158" s="71"/>
      <c r="XD158" s="71"/>
      <c r="XE158" s="71"/>
      <c r="XF158" s="71"/>
      <c r="XG158" s="71"/>
      <c r="XH158" s="71"/>
      <c r="XI158" s="71"/>
      <c r="XJ158" s="71"/>
      <c r="XK158" s="71"/>
      <c r="XL158" s="71"/>
      <c r="XM158" s="71"/>
      <c r="XN158" s="71"/>
      <c r="XO158" s="71"/>
      <c r="XP158" s="71"/>
      <c r="XQ158" s="71"/>
      <c r="XR158" s="71"/>
      <c r="XS158" s="71"/>
      <c r="XT158" s="71"/>
      <c r="XU158" s="71"/>
      <c r="XV158" s="71"/>
      <c r="XW158" s="71"/>
      <c r="XX158" s="71"/>
      <c r="XY158" s="71"/>
      <c r="XZ158" s="71"/>
      <c r="YA158" s="71"/>
      <c r="YB158" s="71"/>
      <c r="YC158" s="71"/>
      <c r="YD158" s="71"/>
      <c r="YE158" s="71"/>
      <c r="YF158" s="71"/>
      <c r="YG158" s="71"/>
      <c r="YH158" s="71"/>
      <c r="YI158" s="71"/>
      <c r="YJ158" s="71"/>
      <c r="YK158" s="71"/>
      <c r="YL158" s="71"/>
      <c r="YM158" s="71"/>
      <c r="YN158" s="71"/>
      <c r="YO158" s="71"/>
      <c r="YP158" s="71"/>
      <c r="YQ158" s="71"/>
      <c r="YR158" s="71"/>
      <c r="YS158" s="71"/>
      <c r="YT158" s="71"/>
      <c r="YU158" s="71"/>
      <c r="YV158" s="71"/>
      <c r="YW158" s="71"/>
      <c r="YX158" s="71"/>
      <c r="YY158" s="71"/>
      <c r="YZ158" s="71"/>
      <c r="ZA158" s="71"/>
      <c r="ZB158" s="71"/>
      <c r="ZC158" s="71"/>
      <c r="ZD158" s="71"/>
      <c r="ZE158" s="71"/>
      <c r="ZF158" s="71"/>
      <c r="ZG158" s="71"/>
      <c r="ZH158" s="71"/>
      <c r="ZI158" s="71"/>
      <c r="ZJ158" s="71"/>
      <c r="ZK158" s="71"/>
      <c r="ZL158" s="71"/>
      <c r="ZM158" s="71"/>
      <c r="ZN158" s="71"/>
      <c r="ZO158" s="71"/>
      <c r="ZP158" s="71"/>
      <c r="ZQ158" s="71"/>
      <c r="ZR158" s="71"/>
      <c r="ZS158" s="71"/>
      <c r="ZT158" s="71"/>
      <c r="ZU158" s="71"/>
      <c r="ZV158" s="71"/>
      <c r="ZW158" s="71"/>
      <c r="ZX158" s="71"/>
      <c r="ZY158" s="71"/>
      <c r="ZZ158" s="71"/>
      <c r="AAA158" s="71"/>
      <c r="AAB158" s="71"/>
      <c r="AAC158" s="71"/>
      <c r="AAD158" s="71"/>
      <c r="AAE158" s="71"/>
      <c r="AAF158" s="71"/>
      <c r="AAG158" s="71"/>
      <c r="AAH158" s="71"/>
      <c r="AAI158" s="71"/>
      <c r="AAJ158" s="71"/>
      <c r="AAK158" s="71"/>
      <c r="AAL158" s="71"/>
      <c r="AAM158" s="71"/>
      <c r="AAN158" s="71"/>
      <c r="AAO158" s="71"/>
      <c r="AAP158" s="71"/>
      <c r="AAQ158" s="71"/>
      <c r="AAR158" s="71"/>
      <c r="AAS158" s="71"/>
      <c r="AAT158" s="71"/>
      <c r="AAU158" s="71"/>
      <c r="AAV158" s="71"/>
      <c r="AAW158" s="71"/>
      <c r="AAX158" s="71"/>
      <c r="AAY158" s="71"/>
      <c r="AAZ158" s="71"/>
      <c r="ABA158" s="71"/>
      <c r="ABB158" s="71"/>
      <c r="ABC158" s="71"/>
      <c r="ABD158" s="71"/>
      <c r="ABE158" s="71"/>
      <c r="ABF158" s="71"/>
      <c r="ABG158" s="71"/>
      <c r="ABH158" s="71"/>
      <c r="ABI158" s="71"/>
      <c r="ABJ158" s="71"/>
      <c r="ABK158" s="71"/>
      <c r="ABL158" s="71"/>
      <c r="ABM158" s="71"/>
      <c r="ABN158" s="71"/>
      <c r="ABO158" s="71"/>
      <c r="ABP158" s="71"/>
      <c r="ABQ158" s="71"/>
      <c r="ABR158" s="71"/>
      <c r="ABS158" s="71"/>
      <c r="ABT158" s="71"/>
      <c r="ABU158" s="71"/>
      <c r="ABV158" s="71"/>
      <c r="ABW158" s="71"/>
      <c r="ABX158" s="71"/>
      <c r="ABY158" s="71"/>
      <c r="ABZ158" s="71"/>
      <c r="ACA158" s="71"/>
      <c r="ACB158" s="71"/>
      <c r="ACC158" s="71"/>
      <c r="ACD158" s="71"/>
      <c r="ACE158" s="71"/>
      <c r="ACF158" s="71"/>
      <c r="ACG158" s="71"/>
      <c r="ACH158" s="71"/>
      <c r="ACI158" s="71"/>
      <c r="ACJ158" s="71"/>
      <c r="ACK158" s="71"/>
      <c r="ACL158" s="71"/>
      <c r="ACM158" s="71"/>
      <c r="ACN158" s="71"/>
      <c r="ACO158" s="71"/>
      <c r="ACP158" s="71"/>
      <c r="ACQ158" s="71"/>
      <c r="ACR158" s="71"/>
      <c r="ACS158" s="71"/>
      <c r="ACT158" s="71"/>
      <c r="ACU158" s="71"/>
      <c r="ACV158" s="71"/>
      <c r="ACW158" s="71"/>
      <c r="ACX158" s="71"/>
      <c r="ACY158" s="71"/>
      <c r="ACZ158" s="71"/>
      <c r="ADA158" s="71"/>
      <c r="ADB158" s="71"/>
      <c r="ADC158" s="71"/>
      <c r="ADD158" s="71"/>
      <c r="ADE158" s="71"/>
      <c r="ADF158" s="71"/>
      <c r="ADG158" s="71"/>
      <c r="ADH158" s="71"/>
      <c r="ADI158" s="71"/>
      <c r="ADJ158" s="71"/>
      <c r="ADK158" s="71"/>
      <c r="ADL158" s="71"/>
      <c r="ADM158" s="71"/>
      <c r="ADN158" s="71"/>
      <c r="ADO158" s="71"/>
      <c r="ADP158" s="71"/>
      <c r="ADQ158" s="71"/>
      <c r="ADR158" s="71"/>
      <c r="ADS158" s="71"/>
      <c r="ADT158" s="71"/>
      <c r="ADU158" s="71"/>
      <c r="ADV158" s="71"/>
      <c r="ADW158" s="71"/>
      <c r="ADX158" s="71"/>
      <c r="ADY158" s="71"/>
      <c r="ADZ158" s="71"/>
      <c r="AEA158" s="71"/>
      <c r="AEB158" s="71"/>
      <c r="AEC158" s="71"/>
      <c r="AED158" s="71"/>
      <c r="AEE158" s="71"/>
      <c r="AEF158" s="71"/>
      <c r="AEG158" s="71"/>
      <c r="AEH158" s="71"/>
      <c r="AEI158" s="71"/>
      <c r="AEJ158" s="71"/>
      <c r="AEK158" s="71"/>
      <c r="AEL158" s="71"/>
      <c r="AEM158" s="71"/>
      <c r="AEN158" s="71"/>
      <c r="AEO158" s="71"/>
      <c r="AEP158" s="71"/>
      <c r="AEQ158" s="71"/>
      <c r="AER158" s="71"/>
      <c r="AES158" s="71"/>
      <c r="AET158" s="71"/>
      <c r="AEU158" s="71"/>
      <c r="AEV158" s="71"/>
      <c r="AEW158" s="71"/>
      <c r="AEX158" s="71"/>
      <c r="AEY158" s="71"/>
      <c r="AEZ158" s="71"/>
      <c r="AFA158" s="71"/>
      <c r="AFB158" s="71"/>
      <c r="AFC158" s="71"/>
      <c r="AFD158" s="71"/>
      <c r="AFE158" s="71"/>
      <c r="AFF158" s="71"/>
      <c r="AFG158" s="71"/>
      <c r="AFH158" s="71"/>
      <c r="AFI158" s="71"/>
      <c r="AFJ158" s="71"/>
      <c r="AFK158" s="71"/>
      <c r="AFL158" s="71"/>
      <c r="AFM158" s="71"/>
      <c r="AFN158" s="71"/>
      <c r="AFO158" s="71"/>
      <c r="AFP158" s="71"/>
      <c r="AFQ158" s="71"/>
      <c r="AFR158" s="71"/>
      <c r="AFS158" s="71"/>
      <c r="AFT158" s="71"/>
      <c r="AFU158" s="71"/>
      <c r="AFV158" s="71"/>
      <c r="AFW158" s="71"/>
      <c r="AFX158" s="71"/>
      <c r="AFY158" s="71"/>
      <c r="AFZ158" s="71"/>
      <c r="AGA158" s="71"/>
      <c r="AGB158" s="71"/>
      <c r="AGC158" s="71"/>
      <c r="AGD158" s="71"/>
      <c r="AGE158" s="71"/>
      <c r="AGF158" s="71"/>
      <c r="AGG158" s="71"/>
      <c r="AGH158" s="71"/>
      <c r="AGI158" s="71"/>
      <c r="AGJ158" s="71"/>
      <c r="AGK158" s="71"/>
      <c r="AGL158" s="71"/>
      <c r="AGM158" s="71"/>
      <c r="AGN158" s="71"/>
      <c r="AGO158" s="71"/>
      <c r="AGP158" s="71"/>
      <c r="AGQ158" s="71"/>
      <c r="AGR158" s="71"/>
      <c r="AGS158" s="71"/>
      <c r="AGT158" s="71"/>
      <c r="AGU158" s="71"/>
      <c r="AGV158" s="71"/>
      <c r="AGW158" s="71"/>
      <c r="AGX158" s="71"/>
      <c r="AGY158" s="71"/>
      <c r="AGZ158" s="71"/>
      <c r="AHA158" s="71"/>
      <c r="AHB158" s="71"/>
      <c r="AHC158" s="71"/>
      <c r="AHD158" s="71"/>
      <c r="AHE158" s="71"/>
      <c r="AHF158" s="71"/>
      <c r="AHG158" s="71"/>
      <c r="AHH158" s="71"/>
      <c r="AHI158" s="71"/>
      <c r="AHJ158" s="71"/>
      <c r="AHK158" s="71"/>
      <c r="AHL158" s="71"/>
      <c r="AHM158" s="71"/>
      <c r="AHN158" s="71"/>
      <c r="AHO158" s="71"/>
      <c r="AHP158" s="71"/>
      <c r="AHQ158" s="71"/>
      <c r="AHR158" s="71"/>
      <c r="AHS158" s="71"/>
      <c r="AHT158" s="71"/>
      <c r="AHU158" s="71"/>
      <c r="AHV158" s="71"/>
      <c r="AHW158" s="71"/>
      <c r="AHX158" s="71"/>
      <c r="AHY158" s="71"/>
      <c r="AHZ158" s="71"/>
      <c r="AIA158" s="71"/>
      <c r="AIB158" s="71"/>
      <c r="AIC158" s="71"/>
      <c r="AID158" s="71"/>
      <c r="AIE158" s="71"/>
      <c r="AIF158" s="71"/>
      <c r="AIG158" s="71"/>
      <c r="AIH158" s="71"/>
      <c r="AII158" s="71"/>
      <c r="AIJ158" s="71"/>
      <c r="AIK158" s="71"/>
      <c r="AIL158" s="71"/>
      <c r="AIM158" s="71"/>
      <c r="AIN158" s="71"/>
      <c r="AIO158" s="71"/>
      <c r="AIP158" s="71"/>
      <c r="AIQ158" s="71"/>
      <c r="AIR158" s="71"/>
      <c r="AIS158" s="71"/>
      <c r="AIT158" s="71"/>
      <c r="AIU158" s="71"/>
      <c r="AIV158" s="71"/>
      <c r="AIW158" s="71"/>
      <c r="AIX158" s="71"/>
      <c r="AIY158" s="71"/>
      <c r="AIZ158" s="71"/>
      <c r="AJA158" s="71"/>
      <c r="AJB158" s="71"/>
      <c r="AJC158" s="71"/>
      <c r="AJD158" s="71"/>
      <c r="AJE158" s="71"/>
      <c r="AJF158" s="71"/>
      <c r="AJG158" s="71"/>
      <c r="AJH158" s="71"/>
      <c r="AJI158" s="71"/>
      <c r="AJJ158" s="71"/>
      <c r="AJK158" s="71"/>
      <c r="AJL158" s="71"/>
      <c r="AJM158" s="71"/>
      <c r="AJN158" s="71"/>
      <c r="AJO158" s="71"/>
      <c r="AJP158" s="71"/>
      <c r="AJQ158" s="71"/>
      <c r="AJR158" s="71"/>
      <c r="AJS158" s="71"/>
      <c r="AJT158" s="71"/>
      <c r="AJU158" s="71"/>
      <c r="AJV158" s="71"/>
      <c r="AJW158" s="71"/>
      <c r="AJX158" s="71"/>
      <c r="AJY158" s="71"/>
      <c r="AJZ158" s="71"/>
      <c r="AKA158" s="71"/>
      <c r="AKB158" s="71"/>
      <c r="AKC158" s="71"/>
      <c r="AKD158" s="71"/>
      <c r="AKE158" s="71"/>
      <c r="AKF158" s="71"/>
      <c r="AKG158" s="71"/>
      <c r="AKH158" s="71"/>
      <c r="AKI158" s="71"/>
      <c r="AKJ158" s="71"/>
      <c r="AKK158" s="71"/>
      <c r="AKL158" s="71"/>
      <c r="AKM158" s="71"/>
      <c r="AKN158" s="71"/>
      <c r="AKO158" s="71"/>
      <c r="AKP158" s="71"/>
      <c r="AKQ158" s="71"/>
      <c r="AKR158" s="71"/>
      <c r="AKS158" s="71"/>
      <c r="AKT158" s="71"/>
      <c r="AKU158" s="71"/>
      <c r="AKV158" s="71"/>
      <c r="AKW158" s="71"/>
      <c r="AKX158" s="71"/>
      <c r="AKY158" s="71"/>
      <c r="AKZ158" s="71"/>
      <c r="ALA158" s="71"/>
      <c r="ALB158" s="71"/>
      <c r="ALC158" s="71"/>
      <c r="ALD158" s="71"/>
      <c r="ALE158" s="71"/>
      <c r="ALF158" s="71"/>
      <c r="ALG158" s="71"/>
      <c r="ALH158" s="71"/>
    </row>
    <row r="159" spans="1:996">
      <c r="A159" s="37"/>
      <c r="B159" t="str">
        <f t="shared" si="8"/>
        <v>214197/0702</v>
      </c>
      <c r="C159" s="29" t="s">
        <v>235</v>
      </c>
      <c r="D159" s="27"/>
      <c r="E159" s="55" t="s">
        <v>254</v>
      </c>
      <c r="F159" s="48" t="s">
        <v>232</v>
      </c>
      <c r="G159" s="74">
        <v>1020896.36</v>
      </c>
      <c r="H159" s="72">
        <v>365248.55</v>
      </c>
      <c r="I159" s="73">
        <v>257255.87</v>
      </c>
      <c r="J159" s="73">
        <v>124053.58</v>
      </c>
      <c r="K159" s="73"/>
      <c r="L159" s="73"/>
      <c r="M159" s="73"/>
      <c r="N159" s="73"/>
      <c r="O159" s="73"/>
      <c r="P159" s="73"/>
      <c r="Q159" s="73"/>
      <c r="R159" s="73"/>
    </row>
    <row r="160" spans="1:996">
      <c r="A160" s="37"/>
      <c r="B160" t="str">
        <f t="shared" si="8"/>
        <v>214197/0703</v>
      </c>
      <c r="C160" s="29" t="s">
        <v>235</v>
      </c>
      <c r="D160" s="27"/>
      <c r="E160" s="55" t="s">
        <v>255</v>
      </c>
      <c r="F160" s="48" t="s">
        <v>233</v>
      </c>
      <c r="G160" s="74">
        <v>221325.96</v>
      </c>
      <c r="H160" s="72">
        <v>78314.09</v>
      </c>
      <c r="I160" s="73">
        <v>54612.54</v>
      </c>
      <c r="J160" s="73">
        <v>26153.24</v>
      </c>
      <c r="K160" s="73"/>
      <c r="L160" s="73"/>
      <c r="M160" s="73"/>
      <c r="N160" s="73"/>
      <c r="O160" s="73"/>
      <c r="P160" s="73"/>
      <c r="Q160" s="73"/>
      <c r="R160" s="73"/>
    </row>
    <row r="161" spans="1:996">
      <c r="A161" s="37"/>
      <c r="B161" t="str">
        <f t="shared" si="8"/>
        <v>214197/0710</v>
      </c>
      <c r="C161" s="29" t="s">
        <v>338</v>
      </c>
      <c r="D161" s="27"/>
      <c r="E161" s="55" t="s">
        <v>256</v>
      </c>
      <c r="F161" s="48" t="s">
        <v>234</v>
      </c>
      <c r="G161" s="74">
        <f>13650+736.4</f>
        <v>14386.4</v>
      </c>
      <c r="H161" s="72">
        <f>47730+1875</f>
        <v>49605</v>
      </c>
      <c r="I161" s="73">
        <v>1471.95</v>
      </c>
      <c r="J161" s="73">
        <v>123.14</v>
      </c>
      <c r="K161" s="73"/>
      <c r="L161" s="73"/>
      <c r="M161" s="73"/>
      <c r="N161" s="73"/>
      <c r="O161" s="73"/>
      <c r="P161" s="73"/>
      <c r="Q161" s="73"/>
      <c r="R161" s="73"/>
    </row>
    <row r="162" spans="1:996" s="35" customFormat="1">
      <c r="A162" s="68"/>
      <c r="B162" s="28" t="str">
        <f t="shared" si="8"/>
        <v>S214198</v>
      </c>
      <c r="C162" s="35" t="s">
        <v>236</v>
      </c>
      <c r="D162" s="69" t="s">
        <v>128</v>
      </c>
      <c r="E162" s="35">
        <v>214198</v>
      </c>
      <c r="F162" s="52" t="s">
        <v>161</v>
      </c>
      <c r="G162" s="53">
        <f>IFERROR(VLOOKUP(E162,'BD - E - Mvto Cx'!$E$15:$G$500,3,0),0)</f>
        <v>2217564.31</v>
      </c>
      <c r="H162" s="54">
        <f>IFERROR(VLOOKUP(E162,'BD - E - Mvto Cx'!$N$15:$P$500,3,0),0)</f>
        <v>1110565.3999999999</v>
      </c>
      <c r="I162" s="70">
        <f>IFERROR(VLOOKUP(E162,'BD - E - Mvto Cx'!$W$15:$Y$497,3,0),0)</f>
        <v>1268982.44</v>
      </c>
      <c r="J162" s="70">
        <f>IFERROR(VLOOKUP(E162,'BD - E - Mvto Cx'!$AF$15:$AI$500,3,0),0)</f>
        <v>1015070.25</v>
      </c>
      <c r="K162" s="70">
        <f>IFERROR(VLOOKUP(E162,'BD - E - Mvto Cx'!$AO$15:$AQ$500,3,0),0)</f>
        <v>0</v>
      </c>
      <c r="L162" s="70">
        <f>IFERROR(VLOOKUP(E162,'BD - E - Mvto Cx'!$AX$15:$AZ$500,3,0),0)</f>
        <v>0</v>
      </c>
      <c r="M162" s="70">
        <f>IFERROR(VLOOKUP(E162,'BD - E - Mvto Cx'!$BJ$15:$BL$500,3,0),0)</f>
        <v>0</v>
      </c>
      <c r="N162" s="70">
        <f>IFERROR(VLOOKUP(E162,'BD - E - Mvto Cx'!$BS$15:$BU$500,3,0),0)</f>
        <v>0</v>
      </c>
      <c r="O162" s="70">
        <f>IFERROR(VLOOKUP(E162,'BD - E - Mvto Cx'!$CB$15:$CD$500,3,0),0)</f>
        <v>0</v>
      </c>
      <c r="P162" s="70">
        <f>IFERROR(VLOOKUP(E162,'BD - E - Mvto Cx'!$CK$15:$CM$500,3,0),0)</f>
        <v>0</v>
      </c>
      <c r="Q162" s="394">
        <f>IFERROR(VLOOKUP(E162,'BD - E - Mvto Cx'!$CT$15:$CV$500,3,0),0)</f>
        <v>0</v>
      </c>
      <c r="R162" s="70">
        <f>IFERROR(VLOOKUP(E162,'BD - E - Mvto Cx'!$DC$15:$DE$500,3,0),0)</f>
        <v>0</v>
      </c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/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D162" s="71"/>
      <c r="CE162" s="71"/>
      <c r="CF162" s="71"/>
      <c r="CG162" s="71"/>
      <c r="CH162" s="71"/>
      <c r="CI162" s="71"/>
      <c r="CJ162" s="71"/>
      <c r="CK162" s="71"/>
      <c r="CL162" s="71"/>
      <c r="CM162" s="71"/>
      <c r="CN162" s="71"/>
      <c r="CO162" s="71"/>
      <c r="CP162" s="71"/>
      <c r="CQ162" s="71"/>
      <c r="CR162" s="71"/>
      <c r="CS162" s="71"/>
      <c r="CT162" s="71"/>
      <c r="CU162" s="71"/>
      <c r="CV162" s="71"/>
      <c r="CW162" s="71"/>
      <c r="CX162" s="71"/>
      <c r="CY162" s="71"/>
      <c r="CZ162" s="71"/>
      <c r="DA162" s="71"/>
      <c r="DB162" s="71"/>
      <c r="DC162" s="71"/>
      <c r="DD162" s="71"/>
      <c r="DE162" s="71"/>
      <c r="DF162" s="71"/>
      <c r="DG162" s="71"/>
      <c r="DH162" s="71"/>
      <c r="DI162" s="71"/>
      <c r="DJ162" s="71"/>
      <c r="DK162" s="71"/>
      <c r="DL162" s="71"/>
      <c r="DM162" s="71"/>
      <c r="DN162" s="71"/>
      <c r="DO162" s="71"/>
      <c r="DP162" s="71"/>
      <c r="DQ162" s="71"/>
      <c r="DR162" s="71"/>
      <c r="DS162" s="71"/>
      <c r="DT162" s="71"/>
      <c r="DU162" s="71"/>
      <c r="DV162" s="71"/>
      <c r="DW162" s="71"/>
      <c r="DX162" s="71"/>
      <c r="DY162" s="71"/>
      <c r="DZ162" s="71"/>
      <c r="EA162" s="71"/>
      <c r="EB162" s="71"/>
      <c r="EC162" s="71"/>
      <c r="ED162" s="71"/>
      <c r="EE162" s="71"/>
      <c r="EF162" s="71"/>
      <c r="EG162" s="71"/>
      <c r="EH162" s="71"/>
      <c r="EI162" s="71"/>
      <c r="EJ162" s="71"/>
      <c r="EK162" s="71"/>
      <c r="EL162" s="71"/>
      <c r="EM162" s="71"/>
      <c r="EN162" s="71"/>
      <c r="EO162" s="71"/>
      <c r="EP162" s="71"/>
      <c r="EQ162" s="71"/>
      <c r="ER162" s="71"/>
      <c r="ES162" s="71"/>
      <c r="ET162" s="71"/>
      <c r="EU162" s="71"/>
      <c r="EV162" s="71"/>
      <c r="EW162" s="71"/>
      <c r="EX162" s="71"/>
      <c r="EY162" s="71"/>
      <c r="EZ162" s="71"/>
      <c r="FA162" s="71"/>
      <c r="FB162" s="71"/>
      <c r="FC162" s="71"/>
      <c r="FD162" s="71"/>
      <c r="FE162" s="71"/>
      <c r="FF162" s="71"/>
      <c r="FG162" s="71"/>
      <c r="FH162" s="71"/>
      <c r="FI162" s="71"/>
      <c r="FJ162" s="71"/>
      <c r="FK162" s="71"/>
      <c r="FL162" s="71"/>
      <c r="FM162" s="71"/>
      <c r="FN162" s="71"/>
      <c r="FO162" s="71"/>
      <c r="FP162" s="71"/>
      <c r="FQ162" s="71"/>
      <c r="FR162" s="71"/>
      <c r="FS162" s="71"/>
      <c r="FT162" s="71"/>
      <c r="FU162" s="71"/>
      <c r="FV162" s="71"/>
      <c r="FW162" s="71"/>
      <c r="FX162" s="71"/>
      <c r="FY162" s="71"/>
      <c r="FZ162" s="71"/>
      <c r="GA162" s="71"/>
      <c r="GB162" s="71"/>
      <c r="GC162" s="71"/>
      <c r="GD162" s="71"/>
      <c r="GE162" s="71"/>
      <c r="GF162" s="71"/>
      <c r="GG162" s="71"/>
      <c r="GH162" s="71"/>
      <c r="GI162" s="71"/>
      <c r="GJ162" s="71"/>
      <c r="GK162" s="71"/>
      <c r="GL162" s="71"/>
      <c r="GM162" s="71"/>
      <c r="GN162" s="71"/>
      <c r="GO162" s="71"/>
      <c r="GP162" s="71"/>
      <c r="GQ162" s="71"/>
      <c r="GR162" s="71"/>
      <c r="GS162" s="71"/>
      <c r="GT162" s="71"/>
      <c r="GU162" s="71"/>
      <c r="GV162" s="71"/>
      <c r="GW162" s="71"/>
      <c r="GX162" s="71"/>
      <c r="GY162" s="71"/>
      <c r="GZ162" s="71"/>
      <c r="HA162" s="71"/>
      <c r="HB162" s="71"/>
      <c r="HC162" s="71"/>
      <c r="HD162" s="71"/>
      <c r="HE162" s="71"/>
      <c r="HF162" s="71"/>
      <c r="HG162" s="71"/>
      <c r="HH162" s="71"/>
      <c r="HI162" s="71"/>
      <c r="HJ162" s="71"/>
      <c r="HK162" s="71"/>
      <c r="HL162" s="71"/>
      <c r="HM162" s="71"/>
      <c r="HN162" s="71"/>
      <c r="HO162" s="71"/>
      <c r="HP162" s="71"/>
      <c r="HQ162" s="71"/>
      <c r="HR162" s="71"/>
      <c r="HS162" s="71"/>
      <c r="HT162" s="71"/>
      <c r="HU162" s="71"/>
      <c r="HV162" s="71"/>
      <c r="HW162" s="71"/>
      <c r="HX162" s="71"/>
      <c r="HY162" s="71"/>
      <c r="HZ162" s="71"/>
      <c r="IA162" s="71"/>
      <c r="IB162" s="71"/>
      <c r="IC162" s="71"/>
      <c r="ID162" s="71"/>
      <c r="IE162" s="71"/>
      <c r="IF162" s="71"/>
      <c r="IG162" s="71"/>
      <c r="IH162" s="71"/>
      <c r="II162" s="71"/>
      <c r="IJ162" s="71"/>
      <c r="IK162" s="71"/>
      <c r="IL162" s="71"/>
      <c r="IM162" s="71"/>
      <c r="IN162" s="71"/>
      <c r="IO162" s="71"/>
      <c r="IP162" s="71"/>
      <c r="IQ162" s="71"/>
      <c r="IR162" s="71"/>
      <c r="IS162" s="71"/>
      <c r="IT162" s="71"/>
      <c r="IU162" s="71"/>
      <c r="IV162" s="71"/>
      <c r="IW162" s="71"/>
      <c r="IX162" s="71"/>
      <c r="IY162" s="71"/>
      <c r="IZ162" s="71"/>
      <c r="JA162" s="71"/>
      <c r="JB162" s="71"/>
      <c r="JC162" s="71"/>
      <c r="JD162" s="71"/>
      <c r="JE162" s="71"/>
      <c r="JF162" s="71"/>
      <c r="JG162" s="71"/>
      <c r="JH162" s="71"/>
      <c r="JI162" s="71"/>
      <c r="JJ162" s="71"/>
      <c r="JK162" s="71"/>
      <c r="JL162" s="71"/>
      <c r="JM162" s="71"/>
      <c r="JN162" s="71"/>
      <c r="JO162" s="71"/>
      <c r="JP162" s="71"/>
      <c r="JQ162" s="71"/>
      <c r="JR162" s="71"/>
      <c r="JS162" s="71"/>
      <c r="JT162" s="71"/>
      <c r="JU162" s="71"/>
      <c r="JV162" s="71"/>
      <c r="JW162" s="71"/>
      <c r="JX162" s="71"/>
      <c r="JY162" s="71"/>
      <c r="JZ162" s="71"/>
      <c r="KA162" s="71"/>
      <c r="KB162" s="71"/>
      <c r="KC162" s="71"/>
      <c r="KD162" s="71"/>
      <c r="KE162" s="71"/>
      <c r="KF162" s="71"/>
      <c r="KG162" s="71"/>
      <c r="KH162" s="71"/>
      <c r="KI162" s="71"/>
      <c r="KJ162" s="71"/>
      <c r="KK162" s="71"/>
      <c r="KL162" s="71"/>
      <c r="KM162" s="71"/>
      <c r="KN162" s="71"/>
      <c r="KO162" s="71"/>
      <c r="KP162" s="71"/>
      <c r="KQ162" s="71"/>
      <c r="KR162" s="71"/>
      <c r="KS162" s="71"/>
      <c r="KT162" s="71"/>
      <c r="KU162" s="71"/>
      <c r="KV162" s="71"/>
      <c r="KW162" s="71"/>
      <c r="KX162" s="71"/>
      <c r="KY162" s="71"/>
      <c r="KZ162" s="71"/>
      <c r="LA162" s="71"/>
      <c r="LB162" s="71"/>
      <c r="LC162" s="71"/>
      <c r="LD162" s="71"/>
      <c r="LE162" s="71"/>
      <c r="LF162" s="71"/>
      <c r="LG162" s="71"/>
      <c r="LH162" s="71"/>
      <c r="LI162" s="71"/>
      <c r="LJ162" s="71"/>
      <c r="LK162" s="71"/>
      <c r="LL162" s="71"/>
      <c r="LM162" s="71"/>
      <c r="LN162" s="71"/>
      <c r="LO162" s="71"/>
      <c r="LP162" s="71"/>
      <c r="LQ162" s="71"/>
      <c r="LR162" s="71"/>
      <c r="LS162" s="71"/>
      <c r="LT162" s="71"/>
      <c r="LU162" s="71"/>
      <c r="LV162" s="71"/>
      <c r="LW162" s="71"/>
      <c r="LX162" s="71"/>
      <c r="LY162" s="71"/>
      <c r="LZ162" s="71"/>
      <c r="MA162" s="71"/>
      <c r="MB162" s="71"/>
      <c r="MC162" s="71"/>
      <c r="MD162" s="71"/>
      <c r="ME162" s="71"/>
      <c r="MF162" s="71"/>
      <c r="MG162" s="71"/>
      <c r="MH162" s="71"/>
      <c r="MI162" s="71"/>
      <c r="MJ162" s="71"/>
      <c r="MK162" s="71"/>
      <c r="ML162" s="71"/>
      <c r="MM162" s="71"/>
      <c r="MN162" s="71"/>
      <c r="MO162" s="71"/>
      <c r="MP162" s="71"/>
      <c r="MQ162" s="71"/>
      <c r="MR162" s="71"/>
      <c r="MS162" s="71"/>
      <c r="MT162" s="71"/>
      <c r="MU162" s="71"/>
      <c r="MV162" s="71"/>
      <c r="MW162" s="71"/>
      <c r="MX162" s="71"/>
      <c r="MY162" s="71"/>
      <c r="MZ162" s="71"/>
      <c r="NA162" s="71"/>
      <c r="NB162" s="71"/>
      <c r="NC162" s="71"/>
      <c r="ND162" s="71"/>
      <c r="NE162" s="71"/>
      <c r="NF162" s="71"/>
      <c r="NG162" s="71"/>
      <c r="NH162" s="71"/>
      <c r="NI162" s="71"/>
      <c r="NJ162" s="71"/>
      <c r="NK162" s="71"/>
      <c r="NL162" s="71"/>
      <c r="NM162" s="71"/>
      <c r="NN162" s="71"/>
      <c r="NO162" s="71"/>
      <c r="NP162" s="71"/>
      <c r="NQ162" s="71"/>
      <c r="NR162" s="71"/>
      <c r="NS162" s="71"/>
      <c r="NT162" s="71"/>
      <c r="NU162" s="71"/>
      <c r="NV162" s="71"/>
      <c r="NW162" s="71"/>
      <c r="NX162" s="71"/>
      <c r="NY162" s="71"/>
      <c r="NZ162" s="71"/>
      <c r="OA162" s="71"/>
      <c r="OB162" s="71"/>
      <c r="OC162" s="71"/>
      <c r="OD162" s="71"/>
      <c r="OE162" s="71"/>
      <c r="OF162" s="71"/>
      <c r="OG162" s="71"/>
      <c r="OH162" s="71"/>
      <c r="OI162" s="71"/>
      <c r="OJ162" s="71"/>
      <c r="OK162" s="71"/>
      <c r="OL162" s="71"/>
      <c r="OM162" s="71"/>
      <c r="ON162" s="71"/>
      <c r="OO162" s="71"/>
      <c r="OP162" s="71"/>
      <c r="OQ162" s="71"/>
      <c r="OR162" s="71"/>
      <c r="OS162" s="71"/>
      <c r="OT162" s="71"/>
      <c r="OU162" s="71"/>
      <c r="OV162" s="71"/>
      <c r="OW162" s="71"/>
      <c r="OX162" s="71"/>
      <c r="OY162" s="71"/>
      <c r="OZ162" s="71"/>
      <c r="PA162" s="71"/>
      <c r="PB162" s="71"/>
      <c r="PC162" s="71"/>
      <c r="PD162" s="71"/>
      <c r="PE162" s="71"/>
      <c r="PF162" s="71"/>
      <c r="PG162" s="71"/>
      <c r="PH162" s="71"/>
      <c r="PI162" s="71"/>
      <c r="PJ162" s="71"/>
      <c r="PK162" s="71"/>
      <c r="PL162" s="71"/>
      <c r="PM162" s="71"/>
      <c r="PN162" s="71"/>
      <c r="PO162" s="71"/>
      <c r="PP162" s="71"/>
      <c r="PQ162" s="71"/>
      <c r="PR162" s="71"/>
      <c r="PS162" s="71"/>
      <c r="PT162" s="71"/>
      <c r="PU162" s="71"/>
      <c r="PV162" s="71"/>
      <c r="PW162" s="71"/>
      <c r="PX162" s="71"/>
      <c r="PY162" s="71"/>
      <c r="PZ162" s="71"/>
      <c r="QA162" s="71"/>
      <c r="QB162" s="71"/>
      <c r="QC162" s="71"/>
      <c r="QD162" s="71"/>
      <c r="QE162" s="71"/>
      <c r="QF162" s="71"/>
      <c r="QG162" s="71"/>
      <c r="QH162" s="71"/>
      <c r="QI162" s="71"/>
      <c r="QJ162" s="71"/>
      <c r="QK162" s="71"/>
      <c r="QL162" s="71"/>
      <c r="QM162" s="71"/>
      <c r="QN162" s="71"/>
      <c r="QO162" s="71"/>
      <c r="QP162" s="71"/>
      <c r="QQ162" s="71"/>
      <c r="QR162" s="71"/>
      <c r="QS162" s="71"/>
      <c r="QT162" s="71"/>
      <c r="QU162" s="71"/>
      <c r="QV162" s="71"/>
      <c r="QW162" s="71"/>
      <c r="QX162" s="71"/>
      <c r="QY162" s="71"/>
      <c r="QZ162" s="71"/>
      <c r="RA162" s="71"/>
      <c r="RB162" s="71"/>
      <c r="RC162" s="71"/>
      <c r="RD162" s="71"/>
      <c r="RE162" s="71"/>
      <c r="RF162" s="71"/>
      <c r="RG162" s="71"/>
      <c r="RH162" s="71"/>
      <c r="RI162" s="71"/>
      <c r="RJ162" s="71"/>
      <c r="RK162" s="71"/>
      <c r="RL162" s="71"/>
      <c r="RM162" s="71"/>
      <c r="RN162" s="71"/>
      <c r="RO162" s="71"/>
      <c r="RP162" s="71"/>
      <c r="RQ162" s="71"/>
      <c r="RR162" s="71"/>
      <c r="RS162" s="71"/>
      <c r="RT162" s="71"/>
      <c r="RU162" s="71"/>
      <c r="RV162" s="71"/>
      <c r="RW162" s="71"/>
      <c r="RX162" s="71"/>
      <c r="RY162" s="71"/>
      <c r="RZ162" s="71"/>
      <c r="SA162" s="71"/>
      <c r="SB162" s="71"/>
      <c r="SC162" s="71"/>
      <c r="SD162" s="71"/>
      <c r="SE162" s="71"/>
      <c r="SF162" s="71"/>
      <c r="SG162" s="71"/>
      <c r="SH162" s="71"/>
      <c r="SI162" s="71"/>
      <c r="SJ162" s="71"/>
      <c r="SK162" s="71"/>
      <c r="SL162" s="71"/>
      <c r="SM162" s="71"/>
      <c r="SN162" s="71"/>
      <c r="SO162" s="71"/>
      <c r="SP162" s="71"/>
      <c r="SQ162" s="71"/>
      <c r="SR162" s="71"/>
      <c r="SS162" s="71"/>
      <c r="ST162" s="71"/>
      <c r="SU162" s="71"/>
      <c r="SV162" s="71"/>
      <c r="SW162" s="71"/>
      <c r="SX162" s="71"/>
      <c r="SY162" s="71"/>
      <c r="SZ162" s="71"/>
      <c r="TA162" s="71"/>
      <c r="TB162" s="71"/>
      <c r="TC162" s="71"/>
      <c r="TD162" s="71"/>
      <c r="TE162" s="71"/>
      <c r="TF162" s="71"/>
      <c r="TG162" s="71"/>
      <c r="TH162" s="71"/>
      <c r="TI162" s="71"/>
      <c r="TJ162" s="71"/>
      <c r="TK162" s="71"/>
      <c r="TL162" s="71"/>
      <c r="TM162" s="71"/>
      <c r="TN162" s="71"/>
      <c r="TO162" s="71"/>
      <c r="TP162" s="71"/>
      <c r="TQ162" s="71"/>
      <c r="TR162" s="71"/>
      <c r="TS162" s="71"/>
      <c r="TT162" s="71"/>
      <c r="TU162" s="71"/>
      <c r="TV162" s="71"/>
      <c r="TW162" s="71"/>
      <c r="TX162" s="71"/>
      <c r="TY162" s="71"/>
      <c r="TZ162" s="71"/>
      <c r="UA162" s="71"/>
      <c r="UB162" s="71"/>
      <c r="UC162" s="71"/>
      <c r="UD162" s="71"/>
      <c r="UE162" s="71"/>
      <c r="UF162" s="71"/>
      <c r="UG162" s="71"/>
      <c r="UH162" s="71"/>
      <c r="UI162" s="71"/>
      <c r="UJ162" s="71"/>
      <c r="UK162" s="71"/>
      <c r="UL162" s="71"/>
      <c r="UM162" s="71"/>
      <c r="UN162" s="71"/>
      <c r="UO162" s="71"/>
      <c r="UP162" s="71"/>
      <c r="UQ162" s="71"/>
      <c r="UR162" s="71"/>
      <c r="US162" s="71"/>
      <c r="UT162" s="71"/>
      <c r="UU162" s="71"/>
      <c r="UV162" s="71"/>
      <c r="UW162" s="71"/>
      <c r="UX162" s="71"/>
      <c r="UY162" s="71"/>
      <c r="UZ162" s="71"/>
      <c r="VA162" s="71"/>
      <c r="VB162" s="71"/>
      <c r="VC162" s="71"/>
      <c r="VD162" s="71"/>
      <c r="VE162" s="71"/>
      <c r="VF162" s="71"/>
      <c r="VG162" s="71"/>
      <c r="VH162" s="71"/>
      <c r="VI162" s="71"/>
      <c r="VJ162" s="71"/>
      <c r="VK162" s="71"/>
      <c r="VL162" s="71"/>
      <c r="VM162" s="71"/>
      <c r="VN162" s="71"/>
      <c r="VO162" s="71"/>
      <c r="VP162" s="71"/>
      <c r="VQ162" s="71"/>
      <c r="VR162" s="71"/>
      <c r="VS162" s="71"/>
      <c r="VT162" s="71"/>
      <c r="VU162" s="71"/>
      <c r="VV162" s="71"/>
      <c r="VW162" s="71"/>
      <c r="VX162" s="71"/>
      <c r="VY162" s="71"/>
      <c r="VZ162" s="71"/>
      <c r="WA162" s="71"/>
      <c r="WB162" s="71"/>
      <c r="WC162" s="71"/>
      <c r="WD162" s="71"/>
      <c r="WE162" s="71"/>
      <c r="WF162" s="71"/>
      <c r="WG162" s="71"/>
      <c r="WH162" s="71"/>
      <c r="WI162" s="71"/>
      <c r="WJ162" s="71"/>
      <c r="WK162" s="71"/>
      <c r="WL162" s="71"/>
      <c r="WM162" s="71"/>
      <c r="WN162" s="71"/>
      <c r="WO162" s="71"/>
      <c r="WP162" s="71"/>
      <c r="WQ162" s="71"/>
      <c r="WR162" s="71"/>
      <c r="WS162" s="71"/>
      <c r="WT162" s="71"/>
      <c r="WU162" s="71"/>
      <c r="WV162" s="71"/>
      <c r="WW162" s="71"/>
      <c r="WX162" s="71"/>
      <c r="WY162" s="71"/>
      <c r="WZ162" s="71"/>
      <c r="XA162" s="71"/>
      <c r="XB162" s="71"/>
      <c r="XC162" s="71"/>
      <c r="XD162" s="71"/>
      <c r="XE162" s="71"/>
      <c r="XF162" s="71"/>
      <c r="XG162" s="71"/>
      <c r="XH162" s="71"/>
      <c r="XI162" s="71"/>
      <c r="XJ162" s="71"/>
      <c r="XK162" s="71"/>
      <c r="XL162" s="71"/>
      <c r="XM162" s="71"/>
      <c r="XN162" s="71"/>
      <c r="XO162" s="71"/>
      <c r="XP162" s="71"/>
      <c r="XQ162" s="71"/>
      <c r="XR162" s="71"/>
      <c r="XS162" s="71"/>
      <c r="XT162" s="71"/>
      <c r="XU162" s="71"/>
      <c r="XV162" s="71"/>
      <c r="XW162" s="71"/>
      <c r="XX162" s="71"/>
      <c r="XY162" s="71"/>
      <c r="XZ162" s="71"/>
      <c r="YA162" s="71"/>
      <c r="YB162" s="71"/>
      <c r="YC162" s="71"/>
      <c r="YD162" s="71"/>
      <c r="YE162" s="71"/>
      <c r="YF162" s="71"/>
      <c r="YG162" s="71"/>
      <c r="YH162" s="71"/>
      <c r="YI162" s="71"/>
      <c r="YJ162" s="71"/>
      <c r="YK162" s="71"/>
      <c r="YL162" s="71"/>
      <c r="YM162" s="71"/>
      <c r="YN162" s="71"/>
      <c r="YO162" s="71"/>
      <c r="YP162" s="71"/>
      <c r="YQ162" s="71"/>
      <c r="YR162" s="71"/>
      <c r="YS162" s="71"/>
      <c r="YT162" s="71"/>
      <c r="YU162" s="71"/>
      <c r="YV162" s="71"/>
      <c r="YW162" s="71"/>
      <c r="YX162" s="71"/>
      <c r="YY162" s="71"/>
      <c r="YZ162" s="71"/>
      <c r="ZA162" s="71"/>
      <c r="ZB162" s="71"/>
      <c r="ZC162" s="71"/>
      <c r="ZD162" s="71"/>
      <c r="ZE162" s="71"/>
      <c r="ZF162" s="71"/>
      <c r="ZG162" s="71"/>
      <c r="ZH162" s="71"/>
      <c r="ZI162" s="71"/>
      <c r="ZJ162" s="71"/>
      <c r="ZK162" s="71"/>
      <c r="ZL162" s="71"/>
      <c r="ZM162" s="71"/>
      <c r="ZN162" s="71"/>
      <c r="ZO162" s="71"/>
      <c r="ZP162" s="71"/>
      <c r="ZQ162" s="71"/>
      <c r="ZR162" s="71"/>
      <c r="ZS162" s="71"/>
      <c r="ZT162" s="71"/>
      <c r="ZU162" s="71"/>
      <c r="ZV162" s="71"/>
      <c r="ZW162" s="71"/>
      <c r="ZX162" s="71"/>
      <c r="ZY162" s="71"/>
      <c r="ZZ162" s="71"/>
      <c r="AAA162" s="71"/>
      <c r="AAB162" s="71"/>
      <c r="AAC162" s="71"/>
      <c r="AAD162" s="71"/>
      <c r="AAE162" s="71"/>
      <c r="AAF162" s="71"/>
      <c r="AAG162" s="71"/>
      <c r="AAH162" s="71"/>
      <c r="AAI162" s="71"/>
      <c r="AAJ162" s="71"/>
      <c r="AAK162" s="71"/>
      <c r="AAL162" s="71"/>
      <c r="AAM162" s="71"/>
      <c r="AAN162" s="71"/>
      <c r="AAO162" s="71"/>
      <c r="AAP162" s="71"/>
      <c r="AAQ162" s="71"/>
      <c r="AAR162" s="71"/>
      <c r="AAS162" s="71"/>
      <c r="AAT162" s="71"/>
      <c r="AAU162" s="71"/>
      <c r="AAV162" s="71"/>
      <c r="AAW162" s="71"/>
      <c r="AAX162" s="71"/>
      <c r="AAY162" s="71"/>
      <c r="AAZ162" s="71"/>
      <c r="ABA162" s="71"/>
      <c r="ABB162" s="71"/>
      <c r="ABC162" s="71"/>
      <c r="ABD162" s="71"/>
      <c r="ABE162" s="71"/>
      <c r="ABF162" s="71"/>
      <c r="ABG162" s="71"/>
      <c r="ABH162" s="71"/>
      <c r="ABI162" s="71"/>
      <c r="ABJ162" s="71"/>
      <c r="ABK162" s="71"/>
      <c r="ABL162" s="71"/>
      <c r="ABM162" s="71"/>
      <c r="ABN162" s="71"/>
      <c r="ABO162" s="71"/>
      <c r="ABP162" s="71"/>
      <c r="ABQ162" s="71"/>
      <c r="ABR162" s="71"/>
      <c r="ABS162" s="71"/>
      <c r="ABT162" s="71"/>
      <c r="ABU162" s="71"/>
      <c r="ABV162" s="71"/>
      <c r="ABW162" s="71"/>
      <c r="ABX162" s="71"/>
      <c r="ABY162" s="71"/>
      <c r="ABZ162" s="71"/>
      <c r="ACA162" s="71"/>
      <c r="ACB162" s="71"/>
      <c r="ACC162" s="71"/>
      <c r="ACD162" s="71"/>
      <c r="ACE162" s="71"/>
      <c r="ACF162" s="71"/>
      <c r="ACG162" s="71"/>
      <c r="ACH162" s="71"/>
      <c r="ACI162" s="71"/>
      <c r="ACJ162" s="71"/>
      <c r="ACK162" s="71"/>
      <c r="ACL162" s="71"/>
      <c r="ACM162" s="71"/>
      <c r="ACN162" s="71"/>
      <c r="ACO162" s="71"/>
      <c r="ACP162" s="71"/>
      <c r="ACQ162" s="71"/>
      <c r="ACR162" s="71"/>
      <c r="ACS162" s="71"/>
      <c r="ACT162" s="71"/>
      <c r="ACU162" s="71"/>
      <c r="ACV162" s="71"/>
      <c r="ACW162" s="71"/>
      <c r="ACX162" s="71"/>
      <c r="ACY162" s="71"/>
      <c r="ACZ162" s="71"/>
      <c r="ADA162" s="71"/>
      <c r="ADB162" s="71"/>
      <c r="ADC162" s="71"/>
      <c r="ADD162" s="71"/>
      <c r="ADE162" s="71"/>
      <c r="ADF162" s="71"/>
      <c r="ADG162" s="71"/>
      <c r="ADH162" s="71"/>
      <c r="ADI162" s="71"/>
      <c r="ADJ162" s="71"/>
      <c r="ADK162" s="71"/>
      <c r="ADL162" s="71"/>
      <c r="ADM162" s="71"/>
      <c r="ADN162" s="71"/>
      <c r="ADO162" s="71"/>
      <c r="ADP162" s="71"/>
      <c r="ADQ162" s="71"/>
      <c r="ADR162" s="71"/>
      <c r="ADS162" s="71"/>
      <c r="ADT162" s="71"/>
      <c r="ADU162" s="71"/>
      <c r="ADV162" s="71"/>
      <c r="ADW162" s="71"/>
      <c r="ADX162" s="71"/>
      <c r="ADY162" s="71"/>
      <c r="ADZ162" s="71"/>
      <c r="AEA162" s="71"/>
      <c r="AEB162" s="71"/>
      <c r="AEC162" s="71"/>
      <c r="AED162" s="71"/>
      <c r="AEE162" s="71"/>
      <c r="AEF162" s="71"/>
      <c r="AEG162" s="71"/>
      <c r="AEH162" s="71"/>
      <c r="AEI162" s="71"/>
      <c r="AEJ162" s="71"/>
      <c r="AEK162" s="71"/>
      <c r="AEL162" s="71"/>
      <c r="AEM162" s="71"/>
      <c r="AEN162" s="71"/>
      <c r="AEO162" s="71"/>
      <c r="AEP162" s="71"/>
      <c r="AEQ162" s="71"/>
      <c r="AER162" s="71"/>
      <c r="AES162" s="71"/>
      <c r="AET162" s="71"/>
      <c r="AEU162" s="71"/>
      <c r="AEV162" s="71"/>
      <c r="AEW162" s="71"/>
      <c r="AEX162" s="71"/>
      <c r="AEY162" s="71"/>
      <c r="AEZ162" s="71"/>
      <c r="AFA162" s="71"/>
      <c r="AFB162" s="71"/>
      <c r="AFC162" s="71"/>
      <c r="AFD162" s="71"/>
      <c r="AFE162" s="71"/>
      <c r="AFF162" s="71"/>
      <c r="AFG162" s="71"/>
      <c r="AFH162" s="71"/>
      <c r="AFI162" s="71"/>
      <c r="AFJ162" s="71"/>
      <c r="AFK162" s="71"/>
      <c r="AFL162" s="71"/>
      <c r="AFM162" s="71"/>
      <c r="AFN162" s="71"/>
      <c r="AFO162" s="71"/>
      <c r="AFP162" s="71"/>
      <c r="AFQ162" s="71"/>
      <c r="AFR162" s="71"/>
      <c r="AFS162" s="71"/>
      <c r="AFT162" s="71"/>
      <c r="AFU162" s="71"/>
      <c r="AFV162" s="71"/>
      <c r="AFW162" s="71"/>
      <c r="AFX162" s="71"/>
      <c r="AFY162" s="71"/>
      <c r="AFZ162" s="71"/>
      <c r="AGA162" s="71"/>
      <c r="AGB162" s="71"/>
      <c r="AGC162" s="71"/>
      <c r="AGD162" s="71"/>
      <c r="AGE162" s="71"/>
      <c r="AGF162" s="71"/>
      <c r="AGG162" s="71"/>
      <c r="AGH162" s="71"/>
      <c r="AGI162" s="71"/>
      <c r="AGJ162" s="71"/>
      <c r="AGK162" s="71"/>
      <c r="AGL162" s="71"/>
      <c r="AGM162" s="71"/>
      <c r="AGN162" s="71"/>
      <c r="AGO162" s="71"/>
      <c r="AGP162" s="71"/>
      <c r="AGQ162" s="71"/>
      <c r="AGR162" s="71"/>
      <c r="AGS162" s="71"/>
      <c r="AGT162" s="71"/>
      <c r="AGU162" s="71"/>
      <c r="AGV162" s="71"/>
      <c r="AGW162" s="71"/>
      <c r="AGX162" s="71"/>
      <c r="AGY162" s="71"/>
      <c r="AGZ162" s="71"/>
      <c r="AHA162" s="71"/>
      <c r="AHB162" s="71"/>
      <c r="AHC162" s="71"/>
      <c r="AHD162" s="71"/>
      <c r="AHE162" s="71"/>
      <c r="AHF162" s="71"/>
      <c r="AHG162" s="71"/>
      <c r="AHH162" s="71"/>
      <c r="AHI162" s="71"/>
      <c r="AHJ162" s="71"/>
      <c r="AHK162" s="71"/>
      <c r="AHL162" s="71"/>
      <c r="AHM162" s="71"/>
      <c r="AHN162" s="71"/>
      <c r="AHO162" s="71"/>
      <c r="AHP162" s="71"/>
      <c r="AHQ162" s="71"/>
      <c r="AHR162" s="71"/>
      <c r="AHS162" s="71"/>
      <c r="AHT162" s="71"/>
      <c r="AHU162" s="71"/>
      <c r="AHV162" s="71"/>
      <c r="AHW162" s="71"/>
      <c r="AHX162" s="71"/>
      <c r="AHY162" s="71"/>
      <c r="AHZ162" s="71"/>
      <c r="AIA162" s="71"/>
      <c r="AIB162" s="71"/>
      <c r="AIC162" s="71"/>
      <c r="AID162" s="71"/>
      <c r="AIE162" s="71"/>
      <c r="AIF162" s="71"/>
      <c r="AIG162" s="71"/>
      <c r="AIH162" s="71"/>
      <c r="AII162" s="71"/>
      <c r="AIJ162" s="71"/>
      <c r="AIK162" s="71"/>
      <c r="AIL162" s="71"/>
      <c r="AIM162" s="71"/>
      <c r="AIN162" s="71"/>
      <c r="AIO162" s="71"/>
      <c r="AIP162" s="71"/>
      <c r="AIQ162" s="71"/>
      <c r="AIR162" s="71"/>
      <c r="AIS162" s="71"/>
      <c r="AIT162" s="71"/>
      <c r="AIU162" s="71"/>
      <c r="AIV162" s="71"/>
      <c r="AIW162" s="71"/>
      <c r="AIX162" s="71"/>
      <c r="AIY162" s="71"/>
      <c r="AIZ162" s="71"/>
      <c r="AJA162" s="71"/>
      <c r="AJB162" s="71"/>
      <c r="AJC162" s="71"/>
      <c r="AJD162" s="71"/>
      <c r="AJE162" s="71"/>
      <c r="AJF162" s="71"/>
      <c r="AJG162" s="71"/>
      <c r="AJH162" s="71"/>
      <c r="AJI162" s="71"/>
      <c r="AJJ162" s="71"/>
      <c r="AJK162" s="71"/>
      <c r="AJL162" s="71"/>
      <c r="AJM162" s="71"/>
      <c r="AJN162" s="71"/>
      <c r="AJO162" s="71"/>
      <c r="AJP162" s="71"/>
      <c r="AJQ162" s="71"/>
      <c r="AJR162" s="71"/>
      <c r="AJS162" s="71"/>
      <c r="AJT162" s="71"/>
      <c r="AJU162" s="71"/>
      <c r="AJV162" s="71"/>
      <c r="AJW162" s="71"/>
      <c r="AJX162" s="71"/>
      <c r="AJY162" s="71"/>
      <c r="AJZ162" s="71"/>
      <c r="AKA162" s="71"/>
      <c r="AKB162" s="71"/>
      <c r="AKC162" s="71"/>
      <c r="AKD162" s="71"/>
      <c r="AKE162" s="71"/>
      <c r="AKF162" s="71"/>
      <c r="AKG162" s="71"/>
      <c r="AKH162" s="71"/>
      <c r="AKI162" s="71"/>
      <c r="AKJ162" s="71"/>
      <c r="AKK162" s="71"/>
      <c r="AKL162" s="71"/>
      <c r="AKM162" s="71"/>
      <c r="AKN162" s="71"/>
      <c r="AKO162" s="71"/>
      <c r="AKP162" s="71"/>
      <c r="AKQ162" s="71"/>
      <c r="AKR162" s="71"/>
      <c r="AKS162" s="71"/>
      <c r="AKT162" s="71"/>
      <c r="AKU162" s="71"/>
      <c r="AKV162" s="71"/>
      <c r="AKW162" s="71"/>
      <c r="AKX162" s="71"/>
      <c r="AKY162" s="71"/>
      <c r="AKZ162" s="71"/>
      <c r="ALA162" s="71"/>
      <c r="ALB162" s="71"/>
      <c r="ALC162" s="71"/>
      <c r="ALD162" s="71"/>
      <c r="ALE162" s="71"/>
      <c r="ALF162" s="71"/>
      <c r="ALG162" s="71"/>
      <c r="ALH162" s="71"/>
    </row>
    <row r="163" spans="1:996">
      <c r="A163" s="37"/>
      <c r="B163" t="str">
        <f t="shared" si="8"/>
        <v>214198/0721</v>
      </c>
      <c r="C163" s="29" t="s">
        <v>235</v>
      </c>
      <c r="D163" s="27"/>
      <c r="E163" s="55" t="s">
        <v>246</v>
      </c>
      <c r="F163" s="48" t="s">
        <v>238</v>
      </c>
      <c r="G163" s="74">
        <v>1109477.5900000001</v>
      </c>
      <c r="H163" s="72">
        <v>380981.22</v>
      </c>
      <c r="I163" s="73">
        <v>475860.25</v>
      </c>
      <c r="J163" s="73">
        <v>412470.8</v>
      </c>
      <c r="K163" s="73"/>
      <c r="L163" s="73"/>
      <c r="M163" s="73"/>
      <c r="N163" s="73"/>
      <c r="O163" s="73"/>
      <c r="P163" s="73"/>
      <c r="Q163" s="73"/>
      <c r="R163" s="73"/>
    </row>
    <row r="164" spans="1:996">
      <c r="A164" s="37"/>
      <c r="B164" t="str">
        <f t="shared" si="8"/>
        <v>214198/0722</v>
      </c>
      <c r="C164" s="29" t="s">
        <v>338</v>
      </c>
      <c r="D164" s="27"/>
      <c r="E164" s="55" t="s">
        <v>247</v>
      </c>
      <c r="F164" s="48" t="s">
        <v>239</v>
      </c>
      <c r="G164" s="74">
        <v>21680.25</v>
      </c>
      <c r="H164" s="72">
        <v>10984.15</v>
      </c>
      <c r="I164" s="73">
        <v>6645.49</v>
      </c>
      <c r="J164" s="73"/>
      <c r="K164" s="73"/>
      <c r="L164" s="73"/>
      <c r="M164" s="73"/>
      <c r="N164" s="73"/>
      <c r="O164" s="73"/>
      <c r="P164" s="73"/>
      <c r="Q164" s="73"/>
      <c r="R164" s="73"/>
    </row>
    <row r="165" spans="1:996">
      <c r="A165" s="37"/>
      <c r="B165" t="str">
        <f t="shared" si="8"/>
        <v>214198/0723</v>
      </c>
      <c r="C165" s="29" t="s">
        <v>235</v>
      </c>
      <c r="D165" s="27"/>
      <c r="E165" s="55" t="s">
        <v>248</v>
      </c>
      <c r="F165" s="48" t="s">
        <v>240</v>
      </c>
      <c r="G165" s="74">
        <v>223396.2</v>
      </c>
      <c r="H165" s="72">
        <v>18645.47</v>
      </c>
      <c r="I165" s="73">
        <v>40918.82</v>
      </c>
      <c r="J165" s="73"/>
      <c r="K165" s="73"/>
      <c r="L165" s="73"/>
      <c r="M165" s="73"/>
      <c r="N165" s="73"/>
      <c r="O165" s="73"/>
      <c r="P165" s="73"/>
      <c r="Q165" s="73"/>
      <c r="R165" s="73"/>
    </row>
    <row r="166" spans="1:996">
      <c r="A166" s="37"/>
      <c r="B166" t="str">
        <f t="shared" si="8"/>
        <v>214198/0724</v>
      </c>
      <c r="C166" s="29" t="s">
        <v>235</v>
      </c>
      <c r="D166" s="27"/>
      <c r="E166" s="55" t="s">
        <v>249</v>
      </c>
      <c r="F166" s="48" t="s">
        <v>241</v>
      </c>
      <c r="G166" s="74">
        <v>859081.88</v>
      </c>
      <c r="H166" s="72">
        <v>694907.74</v>
      </c>
      <c r="I166" s="73">
        <v>657176.92000000004</v>
      </c>
      <c r="J166" s="73">
        <v>600352.6</v>
      </c>
      <c r="K166" s="73"/>
      <c r="L166" s="73"/>
      <c r="M166" s="73"/>
      <c r="N166" s="73"/>
      <c r="O166" s="73"/>
      <c r="P166" s="73"/>
      <c r="Q166" s="73"/>
      <c r="R166" s="73"/>
    </row>
    <row r="167" spans="1:996">
      <c r="A167" s="37"/>
      <c r="B167" t="str">
        <f t="shared" si="8"/>
        <v>214198/0725</v>
      </c>
      <c r="C167" s="29" t="s">
        <v>235</v>
      </c>
      <c r="D167" s="27"/>
      <c r="E167" s="55" t="s">
        <v>250</v>
      </c>
      <c r="F167" s="48" t="s">
        <v>242</v>
      </c>
      <c r="G167" s="74"/>
      <c r="H167" s="72"/>
      <c r="I167" s="73"/>
      <c r="J167" s="73"/>
      <c r="K167" s="73"/>
      <c r="L167" s="73"/>
      <c r="M167" s="73"/>
      <c r="N167" s="73"/>
      <c r="O167" s="73"/>
      <c r="P167" s="73"/>
      <c r="Q167" s="73"/>
      <c r="R167" s="73"/>
    </row>
    <row r="168" spans="1:996">
      <c r="A168" s="37"/>
      <c r="B168" t="str">
        <f t="shared" si="8"/>
        <v>214198/0727</v>
      </c>
      <c r="C168" s="29" t="s">
        <v>235</v>
      </c>
      <c r="D168" s="27"/>
      <c r="E168" s="55" t="s">
        <v>251</v>
      </c>
      <c r="F168" s="48" t="s">
        <v>243</v>
      </c>
      <c r="G168" s="74"/>
      <c r="H168" s="72"/>
      <c r="I168" s="73">
        <v>84263.62</v>
      </c>
      <c r="J168" s="73"/>
      <c r="K168" s="73"/>
      <c r="L168" s="73"/>
      <c r="M168" s="73"/>
      <c r="N168" s="73"/>
      <c r="O168" s="73"/>
      <c r="P168" s="73"/>
      <c r="Q168" s="73"/>
      <c r="R168" s="73"/>
    </row>
    <row r="169" spans="1:996">
      <c r="A169" s="37"/>
      <c r="B169" t="str">
        <f t="shared" si="8"/>
        <v>214198/0728</v>
      </c>
      <c r="C169" s="29" t="s">
        <v>235</v>
      </c>
      <c r="D169" s="27"/>
      <c r="E169" s="55" t="s">
        <v>252</v>
      </c>
      <c r="F169" s="48" t="s">
        <v>244</v>
      </c>
      <c r="G169" s="74"/>
      <c r="H169" s="72"/>
      <c r="I169" s="73"/>
      <c r="J169" s="73"/>
      <c r="K169" s="73"/>
      <c r="L169" s="73"/>
      <c r="M169" s="73"/>
      <c r="N169" s="73"/>
      <c r="O169" s="73"/>
      <c r="P169" s="73"/>
      <c r="Q169" s="73"/>
      <c r="R169" s="73"/>
    </row>
    <row r="170" spans="1:996">
      <c r="A170" s="37"/>
      <c r="B170" t="str">
        <f t="shared" si="8"/>
        <v>214198/0730</v>
      </c>
      <c r="C170" s="29" t="s">
        <v>338</v>
      </c>
      <c r="D170" s="27"/>
      <c r="E170" s="55" t="s">
        <v>253</v>
      </c>
      <c r="F170" s="48" t="s">
        <v>245</v>
      </c>
      <c r="G170" s="74">
        <v>3928.39</v>
      </c>
      <c r="H170" s="72">
        <v>5046.82</v>
      </c>
      <c r="I170" s="73">
        <v>4117.34</v>
      </c>
      <c r="J170" s="73">
        <v>2246.85</v>
      </c>
      <c r="K170" s="73"/>
      <c r="L170" s="73"/>
      <c r="M170" s="73"/>
      <c r="N170" s="73"/>
      <c r="O170" s="73"/>
      <c r="P170" s="73"/>
      <c r="Q170" s="73"/>
      <c r="R170" s="73"/>
    </row>
    <row r="171" spans="1:996" s="35" customFormat="1">
      <c r="A171" s="68"/>
      <c r="B171" s="28" t="str">
        <f t="shared" si="8"/>
        <v>S214199</v>
      </c>
      <c r="C171" s="35" t="s">
        <v>236</v>
      </c>
      <c r="D171" s="69" t="s">
        <v>128</v>
      </c>
      <c r="E171" s="35">
        <v>214199</v>
      </c>
      <c r="F171" s="52" t="s">
        <v>162</v>
      </c>
      <c r="G171" s="53">
        <f>IFERROR(VLOOKUP(E171,'BD - E - Mvto Cx'!$E$15:$G$500,3,0),0)</f>
        <v>399982</v>
      </c>
      <c r="H171" s="54">
        <f>IFERROR(VLOOKUP(E171,'BD - E - Mvto Cx'!$N$15:$P$500,3,0),0)</f>
        <v>94548.87</v>
      </c>
      <c r="I171" s="70">
        <f>IFERROR(VLOOKUP(E171,'BD - E - Mvto Cx'!$W$15:$Y$497,3,0),0)</f>
        <v>145095.32999999999</v>
      </c>
      <c r="J171" s="70">
        <f>IFERROR(VLOOKUP(E171,'BD - E - Mvto Cx'!$AF$15:$AI$500,3,0),0)</f>
        <v>103245.38</v>
      </c>
      <c r="K171" s="70">
        <f>IFERROR(VLOOKUP(E171,'BD - E - Mvto Cx'!$AO$15:$AQ$500,3,0),0)</f>
        <v>0</v>
      </c>
      <c r="L171" s="70">
        <f>IFERROR(VLOOKUP(E171,'BD - E - Mvto Cx'!$AX$15:$AZ$500,3,0),0)</f>
        <v>0</v>
      </c>
      <c r="M171" s="70">
        <f>IFERROR(VLOOKUP(E171,'BD - E - Mvto Cx'!$BJ$15:$BL$500,3,0),0)</f>
        <v>0</v>
      </c>
      <c r="N171" s="70">
        <f>IFERROR(VLOOKUP(E171,'BD - E - Mvto Cx'!$BS$15:$BU$500,3,0),0)</f>
        <v>0</v>
      </c>
      <c r="O171" s="70">
        <f>IFERROR(VLOOKUP(E171,'BD - E - Mvto Cx'!$CB$15:$CD$500,3,0),0)</f>
        <v>0</v>
      </c>
      <c r="P171" s="70">
        <f>IFERROR(VLOOKUP(E171,'BD - E - Mvto Cx'!$CK$15:$CM$500,3,0),0)</f>
        <v>0</v>
      </c>
      <c r="Q171" s="70">
        <f>IFERROR(VLOOKUP(E171,'BD - E - Mvto Cx'!$CT$15:$CV$500,3,0),0)</f>
        <v>0</v>
      </c>
      <c r="R171" s="70">
        <f>IFERROR(VLOOKUP(E171,'BD - E - Mvto Cx'!$DC$15:$DE$500,3,0),0)</f>
        <v>0</v>
      </c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71"/>
      <c r="CD171" s="71"/>
      <c r="CE171" s="71"/>
      <c r="CF171" s="71"/>
      <c r="CG171" s="71"/>
      <c r="CH171" s="71"/>
      <c r="CI171" s="71"/>
      <c r="CJ171" s="71"/>
      <c r="CK171" s="71"/>
      <c r="CL171" s="71"/>
      <c r="CM171" s="71"/>
      <c r="CN171" s="71"/>
      <c r="CO171" s="71"/>
      <c r="CP171" s="71"/>
      <c r="CQ171" s="71"/>
      <c r="CR171" s="71"/>
      <c r="CS171" s="71"/>
      <c r="CT171" s="71"/>
      <c r="CU171" s="71"/>
      <c r="CV171" s="71"/>
      <c r="CW171" s="71"/>
      <c r="CX171" s="71"/>
      <c r="CY171" s="71"/>
      <c r="CZ171" s="71"/>
      <c r="DA171" s="71"/>
      <c r="DB171" s="71"/>
      <c r="DC171" s="71"/>
      <c r="DD171" s="71"/>
      <c r="DE171" s="71"/>
      <c r="DF171" s="71"/>
      <c r="DG171" s="71"/>
      <c r="DH171" s="71"/>
      <c r="DI171" s="71"/>
      <c r="DJ171" s="71"/>
      <c r="DK171" s="71"/>
      <c r="DL171" s="71"/>
      <c r="DM171" s="71"/>
      <c r="DN171" s="71"/>
      <c r="DO171" s="71"/>
      <c r="DP171" s="71"/>
      <c r="DQ171" s="71"/>
      <c r="DR171" s="71"/>
      <c r="DS171" s="71"/>
      <c r="DT171" s="71"/>
      <c r="DU171" s="71"/>
      <c r="DV171" s="71"/>
      <c r="DW171" s="71"/>
      <c r="DX171" s="71"/>
      <c r="DY171" s="71"/>
      <c r="DZ171" s="71"/>
      <c r="EA171" s="71"/>
      <c r="EB171" s="71"/>
      <c r="EC171" s="71"/>
      <c r="ED171" s="71"/>
      <c r="EE171" s="71"/>
      <c r="EF171" s="71"/>
      <c r="EG171" s="71"/>
      <c r="EH171" s="71"/>
      <c r="EI171" s="71"/>
      <c r="EJ171" s="71"/>
      <c r="EK171" s="71"/>
      <c r="EL171" s="71"/>
      <c r="EM171" s="71"/>
      <c r="EN171" s="71"/>
      <c r="EO171" s="71"/>
      <c r="EP171" s="71"/>
      <c r="EQ171" s="71"/>
      <c r="ER171" s="71"/>
      <c r="ES171" s="71"/>
      <c r="ET171" s="71"/>
      <c r="EU171" s="71"/>
      <c r="EV171" s="71"/>
      <c r="EW171" s="71"/>
      <c r="EX171" s="71"/>
      <c r="EY171" s="71"/>
      <c r="EZ171" s="71"/>
      <c r="FA171" s="71"/>
      <c r="FB171" s="71"/>
      <c r="FC171" s="71"/>
      <c r="FD171" s="71"/>
      <c r="FE171" s="71"/>
      <c r="FF171" s="71"/>
      <c r="FG171" s="71"/>
      <c r="FH171" s="71"/>
      <c r="FI171" s="71"/>
      <c r="FJ171" s="71"/>
      <c r="FK171" s="71"/>
      <c r="FL171" s="71"/>
      <c r="FM171" s="71"/>
      <c r="FN171" s="71"/>
      <c r="FO171" s="71"/>
      <c r="FP171" s="71"/>
      <c r="FQ171" s="71"/>
      <c r="FR171" s="71"/>
      <c r="FS171" s="71"/>
      <c r="FT171" s="71"/>
      <c r="FU171" s="71"/>
      <c r="FV171" s="71"/>
      <c r="FW171" s="71"/>
      <c r="FX171" s="71"/>
      <c r="FY171" s="71"/>
      <c r="FZ171" s="71"/>
      <c r="GA171" s="71"/>
      <c r="GB171" s="71"/>
      <c r="GC171" s="71"/>
      <c r="GD171" s="71"/>
      <c r="GE171" s="71"/>
      <c r="GF171" s="71"/>
      <c r="GG171" s="71"/>
      <c r="GH171" s="71"/>
      <c r="GI171" s="71"/>
      <c r="GJ171" s="71"/>
      <c r="GK171" s="71"/>
      <c r="GL171" s="71"/>
      <c r="GM171" s="71"/>
      <c r="GN171" s="71"/>
      <c r="GO171" s="71"/>
      <c r="GP171" s="71"/>
      <c r="GQ171" s="71"/>
      <c r="GR171" s="71"/>
      <c r="GS171" s="71"/>
      <c r="GT171" s="71"/>
      <c r="GU171" s="71"/>
      <c r="GV171" s="71"/>
      <c r="GW171" s="71"/>
      <c r="GX171" s="71"/>
      <c r="GY171" s="71"/>
      <c r="GZ171" s="71"/>
      <c r="HA171" s="71"/>
      <c r="HB171" s="71"/>
      <c r="HC171" s="71"/>
      <c r="HD171" s="71"/>
      <c r="HE171" s="71"/>
      <c r="HF171" s="71"/>
      <c r="HG171" s="71"/>
      <c r="HH171" s="71"/>
      <c r="HI171" s="71"/>
      <c r="HJ171" s="71"/>
      <c r="HK171" s="71"/>
      <c r="HL171" s="71"/>
      <c r="HM171" s="71"/>
      <c r="HN171" s="71"/>
      <c r="HO171" s="71"/>
      <c r="HP171" s="71"/>
      <c r="HQ171" s="71"/>
      <c r="HR171" s="71"/>
      <c r="HS171" s="71"/>
      <c r="HT171" s="71"/>
      <c r="HU171" s="71"/>
      <c r="HV171" s="71"/>
      <c r="HW171" s="71"/>
      <c r="HX171" s="71"/>
      <c r="HY171" s="71"/>
      <c r="HZ171" s="71"/>
      <c r="IA171" s="71"/>
      <c r="IB171" s="71"/>
      <c r="IC171" s="71"/>
      <c r="ID171" s="71"/>
      <c r="IE171" s="71"/>
      <c r="IF171" s="71"/>
      <c r="IG171" s="71"/>
      <c r="IH171" s="71"/>
      <c r="II171" s="71"/>
      <c r="IJ171" s="71"/>
      <c r="IK171" s="71"/>
      <c r="IL171" s="71"/>
      <c r="IM171" s="71"/>
      <c r="IN171" s="71"/>
      <c r="IO171" s="71"/>
      <c r="IP171" s="71"/>
      <c r="IQ171" s="71"/>
      <c r="IR171" s="71"/>
      <c r="IS171" s="71"/>
      <c r="IT171" s="71"/>
      <c r="IU171" s="71"/>
      <c r="IV171" s="71"/>
      <c r="IW171" s="71"/>
      <c r="IX171" s="71"/>
      <c r="IY171" s="71"/>
      <c r="IZ171" s="71"/>
      <c r="JA171" s="71"/>
      <c r="JB171" s="71"/>
      <c r="JC171" s="71"/>
      <c r="JD171" s="71"/>
      <c r="JE171" s="71"/>
      <c r="JF171" s="71"/>
      <c r="JG171" s="71"/>
      <c r="JH171" s="71"/>
      <c r="JI171" s="71"/>
      <c r="JJ171" s="71"/>
      <c r="JK171" s="71"/>
      <c r="JL171" s="71"/>
      <c r="JM171" s="71"/>
      <c r="JN171" s="71"/>
      <c r="JO171" s="71"/>
      <c r="JP171" s="71"/>
      <c r="JQ171" s="71"/>
      <c r="JR171" s="71"/>
      <c r="JS171" s="71"/>
      <c r="JT171" s="71"/>
      <c r="JU171" s="71"/>
      <c r="JV171" s="71"/>
      <c r="JW171" s="71"/>
      <c r="JX171" s="71"/>
      <c r="JY171" s="71"/>
      <c r="JZ171" s="71"/>
      <c r="KA171" s="71"/>
      <c r="KB171" s="71"/>
      <c r="KC171" s="71"/>
      <c r="KD171" s="71"/>
      <c r="KE171" s="71"/>
      <c r="KF171" s="71"/>
      <c r="KG171" s="71"/>
      <c r="KH171" s="71"/>
      <c r="KI171" s="71"/>
      <c r="KJ171" s="71"/>
      <c r="KK171" s="71"/>
      <c r="KL171" s="71"/>
      <c r="KM171" s="71"/>
      <c r="KN171" s="71"/>
      <c r="KO171" s="71"/>
      <c r="KP171" s="71"/>
      <c r="KQ171" s="71"/>
      <c r="KR171" s="71"/>
      <c r="KS171" s="71"/>
      <c r="KT171" s="71"/>
      <c r="KU171" s="71"/>
      <c r="KV171" s="71"/>
      <c r="KW171" s="71"/>
      <c r="KX171" s="71"/>
      <c r="KY171" s="71"/>
      <c r="KZ171" s="71"/>
      <c r="LA171" s="71"/>
      <c r="LB171" s="71"/>
      <c r="LC171" s="71"/>
      <c r="LD171" s="71"/>
      <c r="LE171" s="71"/>
      <c r="LF171" s="71"/>
      <c r="LG171" s="71"/>
      <c r="LH171" s="71"/>
      <c r="LI171" s="71"/>
      <c r="LJ171" s="71"/>
      <c r="LK171" s="71"/>
      <c r="LL171" s="71"/>
      <c r="LM171" s="71"/>
      <c r="LN171" s="71"/>
      <c r="LO171" s="71"/>
      <c r="LP171" s="71"/>
      <c r="LQ171" s="71"/>
      <c r="LR171" s="71"/>
      <c r="LS171" s="71"/>
      <c r="LT171" s="71"/>
      <c r="LU171" s="71"/>
      <c r="LV171" s="71"/>
      <c r="LW171" s="71"/>
      <c r="LX171" s="71"/>
      <c r="LY171" s="71"/>
      <c r="LZ171" s="71"/>
      <c r="MA171" s="71"/>
      <c r="MB171" s="71"/>
      <c r="MC171" s="71"/>
      <c r="MD171" s="71"/>
      <c r="ME171" s="71"/>
      <c r="MF171" s="71"/>
      <c r="MG171" s="71"/>
      <c r="MH171" s="71"/>
      <c r="MI171" s="71"/>
      <c r="MJ171" s="71"/>
      <c r="MK171" s="71"/>
      <c r="ML171" s="71"/>
      <c r="MM171" s="71"/>
      <c r="MN171" s="71"/>
      <c r="MO171" s="71"/>
      <c r="MP171" s="71"/>
      <c r="MQ171" s="71"/>
      <c r="MR171" s="71"/>
      <c r="MS171" s="71"/>
      <c r="MT171" s="71"/>
      <c r="MU171" s="71"/>
      <c r="MV171" s="71"/>
      <c r="MW171" s="71"/>
      <c r="MX171" s="71"/>
      <c r="MY171" s="71"/>
      <c r="MZ171" s="71"/>
      <c r="NA171" s="71"/>
      <c r="NB171" s="71"/>
      <c r="NC171" s="71"/>
      <c r="ND171" s="71"/>
      <c r="NE171" s="71"/>
      <c r="NF171" s="71"/>
      <c r="NG171" s="71"/>
      <c r="NH171" s="71"/>
      <c r="NI171" s="71"/>
      <c r="NJ171" s="71"/>
      <c r="NK171" s="71"/>
      <c r="NL171" s="71"/>
      <c r="NM171" s="71"/>
      <c r="NN171" s="71"/>
      <c r="NO171" s="71"/>
      <c r="NP171" s="71"/>
      <c r="NQ171" s="71"/>
      <c r="NR171" s="71"/>
      <c r="NS171" s="71"/>
      <c r="NT171" s="71"/>
      <c r="NU171" s="71"/>
      <c r="NV171" s="71"/>
      <c r="NW171" s="71"/>
      <c r="NX171" s="71"/>
      <c r="NY171" s="71"/>
      <c r="NZ171" s="71"/>
      <c r="OA171" s="71"/>
      <c r="OB171" s="71"/>
      <c r="OC171" s="71"/>
      <c r="OD171" s="71"/>
      <c r="OE171" s="71"/>
      <c r="OF171" s="71"/>
      <c r="OG171" s="71"/>
      <c r="OH171" s="71"/>
      <c r="OI171" s="71"/>
      <c r="OJ171" s="71"/>
      <c r="OK171" s="71"/>
      <c r="OL171" s="71"/>
      <c r="OM171" s="71"/>
      <c r="ON171" s="71"/>
      <c r="OO171" s="71"/>
      <c r="OP171" s="71"/>
      <c r="OQ171" s="71"/>
      <c r="OR171" s="71"/>
      <c r="OS171" s="71"/>
      <c r="OT171" s="71"/>
      <c r="OU171" s="71"/>
      <c r="OV171" s="71"/>
      <c r="OW171" s="71"/>
      <c r="OX171" s="71"/>
      <c r="OY171" s="71"/>
      <c r="OZ171" s="71"/>
      <c r="PA171" s="71"/>
      <c r="PB171" s="71"/>
      <c r="PC171" s="71"/>
      <c r="PD171" s="71"/>
      <c r="PE171" s="71"/>
      <c r="PF171" s="71"/>
      <c r="PG171" s="71"/>
      <c r="PH171" s="71"/>
      <c r="PI171" s="71"/>
      <c r="PJ171" s="71"/>
      <c r="PK171" s="71"/>
      <c r="PL171" s="71"/>
      <c r="PM171" s="71"/>
      <c r="PN171" s="71"/>
      <c r="PO171" s="71"/>
      <c r="PP171" s="71"/>
      <c r="PQ171" s="71"/>
      <c r="PR171" s="71"/>
      <c r="PS171" s="71"/>
      <c r="PT171" s="71"/>
      <c r="PU171" s="71"/>
      <c r="PV171" s="71"/>
      <c r="PW171" s="71"/>
      <c r="PX171" s="71"/>
      <c r="PY171" s="71"/>
      <c r="PZ171" s="71"/>
      <c r="QA171" s="71"/>
      <c r="QB171" s="71"/>
      <c r="QC171" s="71"/>
      <c r="QD171" s="71"/>
      <c r="QE171" s="71"/>
      <c r="QF171" s="71"/>
      <c r="QG171" s="71"/>
      <c r="QH171" s="71"/>
      <c r="QI171" s="71"/>
      <c r="QJ171" s="71"/>
      <c r="QK171" s="71"/>
      <c r="QL171" s="71"/>
      <c r="QM171" s="71"/>
      <c r="QN171" s="71"/>
      <c r="QO171" s="71"/>
      <c r="QP171" s="71"/>
      <c r="QQ171" s="71"/>
      <c r="QR171" s="71"/>
      <c r="QS171" s="71"/>
      <c r="QT171" s="71"/>
      <c r="QU171" s="71"/>
      <c r="QV171" s="71"/>
      <c r="QW171" s="71"/>
      <c r="QX171" s="71"/>
      <c r="QY171" s="71"/>
      <c r="QZ171" s="71"/>
      <c r="RA171" s="71"/>
      <c r="RB171" s="71"/>
      <c r="RC171" s="71"/>
      <c r="RD171" s="71"/>
      <c r="RE171" s="71"/>
      <c r="RF171" s="71"/>
      <c r="RG171" s="71"/>
      <c r="RH171" s="71"/>
      <c r="RI171" s="71"/>
      <c r="RJ171" s="71"/>
      <c r="RK171" s="71"/>
      <c r="RL171" s="71"/>
      <c r="RM171" s="71"/>
      <c r="RN171" s="71"/>
      <c r="RO171" s="71"/>
      <c r="RP171" s="71"/>
      <c r="RQ171" s="71"/>
      <c r="RR171" s="71"/>
      <c r="RS171" s="71"/>
      <c r="RT171" s="71"/>
      <c r="RU171" s="71"/>
      <c r="RV171" s="71"/>
      <c r="RW171" s="71"/>
      <c r="RX171" s="71"/>
      <c r="RY171" s="71"/>
      <c r="RZ171" s="71"/>
      <c r="SA171" s="71"/>
      <c r="SB171" s="71"/>
      <c r="SC171" s="71"/>
      <c r="SD171" s="71"/>
      <c r="SE171" s="71"/>
      <c r="SF171" s="71"/>
      <c r="SG171" s="71"/>
      <c r="SH171" s="71"/>
      <c r="SI171" s="71"/>
      <c r="SJ171" s="71"/>
      <c r="SK171" s="71"/>
      <c r="SL171" s="71"/>
      <c r="SM171" s="71"/>
      <c r="SN171" s="71"/>
      <c r="SO171" s="71"/>
      <c r="SP171" s="71"/>
      <c r="SQ171" s="71"/>
      <c r="SR171" s="71"/>
      <c r="SS171" s="71"/>
      <c r="ST171" s="71"/>
      <c r="SU171" s="71"/>
      <c r="SV171" s="71"/>
      <c r="SW171" s="71"/>
      <c r="SX171" s="71"/>
      <c r="SY171" s="71"/>
      <c r="SZ171" s="71"/>
      <c r="TA171" s="71"/>
      <c r="TB171" s="71"/>
      <c r="TC171" s="71"/>
      <c r="TD171" s="71"/>
      <c r="TE171" s="71"/>
      <c r="TF171" s="71"/>
      <c r="TG171" s="71"/>
      <c r="TH171" s="71"/>
      <c r="TI171" s="71"/>
      <c r="TJ171" s="71"/>
      <c r="TK171" s="71"/>
      <c r="TL171" s="71"/>
      <c r="TM171" s="71"/>
      <c r="TN171" s="71"/>
      <c r="TO171" s="71"/>
      <c r="TP171" s="71"/>
      <c r="TQ171" s="71"/>
      <c r="TR171" s="71"/>
      <c r="TS171" s="71"/>
      <c r="TT171" s="71"/>
      <c r="TU171" s="71"/>
      <c r="TV171" s="71"/>
      <c r="TW171" s="71"/>
      <c r="TX171" s="71"/>
      <c r="TY171" s="71"/>
      <c r="TZ171" s="71"/>
      <c r="UA171" s="71"/>
      <c r="UB171" s="71"/>
      <c r="UC171" s="71"/>
      <c r="UD171" s="71"/>
      <c r="UE171" s="71"/>
      <c r="UF171" s="71"/>
      <c r="UG171" s="71"/>
      <c r="UH171" s="71"/>
      <c r="UI171" s="71"/>
      <c r="UJ171" s="71"/>
      <c r="UK171" s="71"/>
      <c r="UL171" s="71"/>
      <c r="UM171" s="71"/>
      <c r="UN171" s="71"/>
      <c r="UO171" s="71"/>
      <c r="UP171" s="71"/>
      <c r="UQ171" s="71"/>
      <c r="UR171" s="71"/>
      <c r="US171" s="71"/>
      <c r="UT171" s="71"/>
      <c r="UU171" s="71"/>
      <c r="UV171" s="71"/>
      <c r="UW171" s="71"/>
      <c r="UX171" s="71"/>
      <c r="UY171" s="71"/>
      <c r="UZ171" s="71"/>
      <c r="VA171" s="71"/>
      <c r="VB171" s="71"/>
      <c r="VC171" s="71"/>
      <c r="VD171" s="71"/>
      <c r="VE171" s="71"/>
      <c r="VF171" s="71"/>
      <c r="VG171" s="71"/>
      <c r="VH171" s="71"/>
      <c r="VI171" s="71"/>
      <c r="VJ171" s="71"/>
      <c r="VK171" s="71"/>
      <c r="VL171" s="71"/>
      <c r="VM171" s="71"/>
      <c r="VN171" s="71"/>
      <c r="VO171" s="71"/>
      <c r="VP171" s="71"/>
      <c r="VQ171" s="71"/>
      <c r="VR171" s="71"/>
      <c r="VS171" s="71"/>
      <c r="VT171" s="71"/>
      <c r="VU171" s="71"/>
      <c r="VV171" s="71"/>
      <c r="VW171" s="71"/>
      <c r="VX171" s="71"/>
      <c r="VY171" s="71"/>
      <c r="VZ171" s="71"/>
      <c r="WA171" s="71"/>
      <c r="WB171" s="71"/>
      <c r="WC171" s="71"/>
      <c r="WD171" s="71"/>
      <c r="WE171" s="71"/>
      <c r="WF171" s="71"/>
      <c r="WG171" s="71"/>
      <c r="WH171" s="71"/>
      <c r="WI171" s="71"/>
      <c r="WJ171" s="71"/>
      <c r="WK171" s="71"/>
      <c r="WL171" s="71"/>
      <c r="WM171" s="71"/>
      <c r="WN171" s="71"/>
      <c r="WO171" s="71"/>
      <c r="WP171" s="71"/>
      <c r="WQ171" s="71"/>
      <c r="WR171" s="71"/>
      <c r="WS171" s="71"/>
      <c r="WT171" s="71"/>
      <c r="WU171" s="71"/>
      <c r="WV171" s="71"/>
      <c r="WW171" s="71"/>
      <c r="WX171" s="71"/>
      <c r="WY171" s="71"/>
      <c r="WZ171" s="71"/>
      <c r="XA171" s="71"/>
      <c r="XB171" s="71"/>
      <c r="XC171" s="71"/>
      <c r="XD171" s="71"/>
      <c r="XE171" s="71"/>
      <c r="XF171" s="71"/>
      <c r="XG171" s="71"/>
      <c r="XH171" s="71"/>
      <c r="XI171" s="71"/>
      <c r="XJ171" s="71"/>
      <c r="XK171" s="71"/>
      <c r="XL171" s="71"/>
      <c r="XM171" s="71"/>
      <c r="XN171" s="71"/>
      <c r="XO171" s="71"/>
      <c r="XP171" s="71"/>
      <c r="XQ171" s="71"/>
      <c r="XR171" s="71"/>
      <c r="XS171" s="71"/>
      <c r="XT171" s="71"/>
      <c r="XU171" s="71"/>
      <c r="XV171" s="71"/>
      <c r="XW171" s="71"/>
      <c r="XX171" s="71"/>
      <c r="XY171" s="71"/>
      <c r="XZ171" s="71"/>
      <c r="YA171" s="71"/>
      <c r="YB171" s="71"/>
      <c r="YC171" s="71"/>
      <c r="YD171" s="71"/>
      <c r="YE171" s="71"/>
      <c r="YF171" s="71"/>
      <c r="YG171" s="71"/>
      <c r="YH171" s="71"/>
      <c r="YI171" s="71"/>
      <c r="YJ171" s="71"/>
      <c r="YK171" s="71"/>
      <c r="YL171" s="71"/>
      <c r="YM171" s="71"/>
      <c r="YN171" s="71"/>
      <c r="YO171" s="71"/>
      <c r="YP171" s="71"/>
      <c r="YQ171" s="71"/>
      <c r="YR171" s="71"/>
      <c r="YS171" s="71"/>
      <c r="YT171" s="71"/>
      <c r="YU171" s="71"/>
      <c r="YV171" s="71"/>
      <c r="YW171" s="71"/>
      <c r="YX171" s="71"/>
      <c r="YY171" s="71"/>
      <c r="YZ171" s="71"/>
      <c r="ZA171" s="71"/>
      <c r="ZB171" s="71"/>
      <c r="ZC171" s="71"/>
      <c r="ZD171" s="71"/>
      <c r="ZE171" s="71"/>
      <c r="ZF171" s="71"/>
      <c r="ZG171" s="71"/>
      <c r="ZH171" s="71"/>
      <c r="ZI171" s="71"/>
      <c r="ZJ171" s="71"/>
      <c r="ZK171" s="71"/>
      <c r="ZL171" s="71"/>
      <c r="ZM171" s="71"/>
      <c r="ZN171" s="71"/>
      <c r="ZO171" s="71"/>
      <c r="ZP171" s="71"/>
      <c r="ZQ171" s="71"/>
      <c r="ZR171" s="71"/>
      <c r="ZS171" s="71"/>
      <c r="ZT171" s="71"/>
      <c r="ZU171" s="71"/>
      <c r="ZV171" s="71"/>
      <c r="ZW171" s="71"/>
      <c r="ZX171" s="71"/>
      <c r="ZY171" s="71"/>
      <c r="ZZ171" s="71"/>
      <c r="AAA171" s="71"/>
      <c r="AAB171" s="71"/>
      <c r="AAC171" s="71"/>
      <c r="AAD171" s="71"/>
      <c r="AAE171" s="71"/>
      <c r="AAF171" s="71"/>
      <c r="AAG171" s="71"/>
      <c r="AAH171" s="71"/>
      <c r="AAI171" s="71"/>
      <c r="AAJ171" s="71"/>
      <c r="AAK171" s="71"/>
      <c r="AAL171" s="71"/>
      <c r="AAM171" s="71"/>
      <c r="AAN171" s="71"/>
      <c r="AAO171" s="71"/>
      <c r="AAP171" s="71"/>
      <c r="AAQ171" s="71"/>
      <c r="AAR171" s="71"/>
      <c r="AAS171" s="71"/>
      <c r="AAT171" s="71"/>
      <c r="AAU171" s="71"/>
      <c r="AAV171" s="71"/>
      <c r="AAW171" s="71"/>
      <c r="AAX171" s="71"/>
      <c r="AAY171" s="71"/>
      <c r="AAZ171" s="71"/>
      <c r="ABA171" s="71"/>
      <c r="ABB171" s="71"/>
      <c r="ABC171" s="71"/>
      <c r="ABD171" s="71"/>
      <c r="ABE171" s="71"/>
      <c r="ABF171" s="71"/>
      <c r="ABG171" s="71"/>
      <c r="ABH171" s="71"/>
      <c r="ABI171" s="71"/>
      <c r="ABJ171" s="71"/>
      <c r="ABK171" s="71"/>
      <c r="ABL171" s="71"/>
      <c r="ABM171" s="71"/>
      <c r="ABN171" s="71"/>
      <c r="ABO171" s="71"/>
      <c r="ABP171" s="71"/>
      <c r="ABQ171" s="71"/>
      <c r="ABR171" s="71"/>
      <c r="ABS171" s="71"/>
      <c r="ABT171" s="71"/>
      <c r="ABU171" s="71"/>
      <c r="ABV171" s="71"/>
      <c r="ABW171" s="71"/>
      <c r="ABX171" s="71"/>
      <c r="ABY171" s="71"/>
      <c r="ABZ171" s="71"/>
      <c r="ACA171" s="71"/>
      <c r="ACB171" s="71"/>
      <c r="ACC171" s="71"/>
      <c r="ACD171" s="71"/>
      <c r="ACE171" s="71"/>
      <c r="ACF171" s="71"/>
      <c r="ACG171" s="71"/>
      <c r="ACH171" s="71"/>
      <c r="ACI171" s="71"/>
      <c r="ACJ171" s="71"/>
      <c r="ACK171" s="71"/>
      <c r="ACL171" s="71"/>
      <c r="ACM171" s="71"/>
      <c r="ACN171" s="71"/>
      <c r="ACO171" s="71"/>
      <c r="ACP171" s="71"/>
      <c r="ACQ171" s="71"/>
      <c r="ACR171" s="71"/>
      <c r="ACS171" s="71"/>
      <c r="ACT171" s="71"/>
      <c r="ACU171" s="71"/>
      <c r="ACV171" s="71"/>
      <c r="ACW171" s="71"/>
      <c r="ACX171" s="71"/>
      <c r="ACY171" s="71"/>
      <c r="ACZ171" s="71"/>
      <c r="ADA171" s="71"/>
      <c r="ADB171" s="71"/>
      <c r="ADC171" s="71"/>
      <c r="ADD171" s="71"/>
      <c r="ADE171" s="71"/>
      <c r="ADF171" s="71"/>
      <c r="ADG171" s="71"/>
      <c r="ADH171" s="71"/>
      <c r="ADI171" s="71"/>
      <c r="ADJ171" s="71"/>
      <c r="ADK171" s="71"/>
      <c r="ADL171" s="71"/>
      <c r="ADM171" s="71"/>
      <c r="ADN171" s="71"/>
      <c r="ADO171" s="71"/>
      <c r="ADP171" s="71"/>
      <c r="ADQ171" s="71"/>
      <c r="ADR171" s="71"/>
      <c r="ADS171" s="71"/>
      <c r="ADT171" s="71"/>
      <c r="ADU171" s="71"/>
      <c r="ADV171" s="71"/>
      <c r="ADW171" s="71"/>
      <c r="ADX171" s="71"/>
      <c r="ADY171" s="71"/>
      <c r="ADZ171" s="71"/>
      <c r="AEA171" s="71"/>
      <c r="AEB171" s="71"/>
      <c r="AEC171" s="71"/>
      <c r="AED171" s="71"/>
      <c r="AEE171" s="71"/>
      <c r="AEF171" s="71"/>
      <c r="AEG171" s="71"/>
      <c r="AEH171" s="71"/>
      <c r="AEI171" s="71"/>
      <c r="AEJ171" s="71"/>
      <c r="AEK171" s="71"/>
      <c r="AEL171" s="71"/>
      <c r="AEM171" s="71"/>
      <c r="AEN171" s="71"/>
      <c r="AEO171" s="71"/>
      <c r="AEP171" s="71"/>
      <c r="AEQ171" s="71"/>
      <c r="AER171" s="71"/>
      <c r="AES171" s="71"/>
      <c r="AET171" s="71"/>
      <c r="AEU171" s="71"/>
      <c r="AEV171" s="71"/>
      <c r="AEW171" s="71"/>
      <c r="AEX171" s="71"/>
      <c r="AEY171" s="71"/>
      <c r="AEZ171" s="71"/>
      <c r="AFA171" s="71"/>
      <c r="AFB171" s="71"/>
      <c r="AFC171" s="71"/>
      <c r="AFD171" s="71"/>
      <c r="AFE171" s="71"/>
      <c r="AFF171" s="71"/>
      <c r="AFG171" s="71"/>
      <c r="AFH171" s="71"/>
      <c r="AFI171" s="71"/>
      <c r="AFJ171" s="71"/>
      <c r="AFK171" s="71"/>
      <c r="AFL171" s="71"/>
      <c r="AFM171" s="71"/>
      <c r="AFN171" s="71"/>
      <c r="AFO171" s="71"/>
      <c r="AFP171" s="71"/>
      <c r="AFQ171" s="71"/>
      <c r="AFR171" s="71"/>
      <c r="AFS171" s="71"/>
      <c r="AFT171" s="71"/>
      <c r="AFU171" s="71"/>
      <c r="AFV171" s="71"/>
      <c r="AFW171" s="71"/>
      <c r="AFX171" s="71"/>
      <c r="AFY171" s="71"/>
      <c r="AFZ171" s="71"/>
      <c r="AGA171" s="71"/>
      <c r="AGB171" s="71"/>
      <c r="AGC171" s="71"/>
      <c r="AGD171" s="71"/>
      <c r="AGE171" s="71"/>
      <c r="AGF171" s="71"/>
      <c r="AGG171" s="71"/>
      <c r="AGH171" s="71"/>
      <c r="AGI171" s="71"/>
      <c r="AGJ171" s="71"/>
      <c r="AGK171" s="71"/>
      <c r="AGL171" s="71"/>
      <c r="AGM171" s="71"/>
      <c r="AGN171" s="71"/>
      <c r="AGO171" s="71"/>
      <c r="AGP171" s="71"/>
      <c r="AGQ171" s="71"/>
      <c r="AGR171" s="71"/>
      <c r="AGS171" s="71"/>
      <c r="AGT171" s="71"/>
      <c r="AGU171" s="71"/>
      <c r="AGV171" s="71"/>
      <c r="AGW171" s="71"/>
      <c r="AGX171" s="71"/>
      <c r="AGY171" s="71"/>
      <c r="AGZ171" s="71"/>
      <c r="AHA171" s="71"/>
      <c r="AHB171" s="71"/>
      <c r="AHC171" s="71"/>
      <c r="AHD171" s="71"/>
      <c r="AHE171" s="71"/>
      <c r="AHF171" s="71"/>
      <c r="AHG171" s="71"/>
      <c r="AHH171" s="71"/>
      <c r="AHI171" s="71"/>
      <c r="AHJ171" s="71"/>
      <c r="AHK171" s="71"/>
      <c r="AHL171" s="71"/>
      <c r="AHM171" s="71"/>
      <c r="AHN171" s="71"/>
      <c r="AHO171" s="71"/>
      <c r="AHP171" s="71"/>
      <c r="AHQ171" s="71"/>
      <c r="AHR171" s="71"/>
      <c r="AHS171" s="71"/>
      <c r="AHT171" s="71"/>
      <c r="AHU171" s="71"/>
      <c r="AHV171" s="71"/>
      <c r="AHW171" s="71"/>
      <c r="AHX171" s="71"/>
      <c r="AHY171" s="71"/>
      <c r="AHZ171" s="71"/>
      <c r="AIA171" s="71"/>
      <c r="AIB171" s="71"/>
      <c r="AIC171" s="71"/>
      <c r="AID171" s="71"/>
      <c r="AIE171" s="71"/>
      <c r="AIF171" s="71"/>
      <c r="AIG171" s="71"/>
      <c r="AIH171" s="71"/>
      <c r="AII171" s="71"/>
      <c r="AIJ171" s="71"/>
      <c r="AIK171" s="71"/>
      <c r="AIL171" s="71"/>
      <c r="AIM171" s="71"/>
      <c r="AIN171" s="71"/>
      <c r="AIO171" s="71"/>
      <c r="AIP171" s="71"/>
      <c r="AIQ171" s="71"/>
      <c r="AIR171" s="71"/>
      <c r="AIS171" s="71"/>
      <c r="AIT171" s="71"/>
      <c r="AIU171" s="71"/>
      <c r="AIV171" s="71"/>
      <c r="AIW171" s="71"/>
      <c r="AIX171" s="71"/>
      <c r="AIY171" s="71"/>
      <c r="AIZ171" s="71"/>
      <c r="AJA171" s="71"/>
      <c r="AJB171" s="71"/>
      <c r="AJC171" s="71"/>
      <c r="AJD171" s="71"/>
      <c r="AJE171" s="71"/>
      <c r="AJF171" s="71"/>
      <c r="AJG171" s="71"/>
      <c r="AJH171" s="71"/>
      <c r="AJI171" s="71"/>
      <c r="AJJ171" s="71"/>
      <c r="AJK171" s="71"/>
      <c r="AJL171" s="71"/>
      <c r="AJM171" s="71"/>
      <c r="AJN171" s="71"/>
      <c r="AJO171" s="71"/>
      <c r="AJP171" s="71"/>
      <c r="AJQ171" s="71"/>
      <c r="AJR171" s="71"/>
      <c r="AJS171" s="71"/>
      <c r="AJT171" s="71"/>
      <c r="AJU171" s="71"/>
      <c r="AJV171" s="71"/>
      <c r="AJW171" s="71"/>
      <c r="AJX171" s="71"/>
      <c r="AJY171" s="71"/>
      <c r="AJZ171" s="71"/>
      <c r="AKA171" s="71"/>
      <c r="AKB171" s="71"/>
      <c r="AKC171" s="71"/>
      <c r="AKD171" s="71"/>
      <c r="AKE171" s="71"/>
      <c r="AKF171" s="71"/>
      <c r="AKG171" s="71"/>
      <c r="AKH171" s="71"/>
      <c r="AKI171" s="71"/>
      <c r="AKJ171" s="71"/>
      <c r="AKK171" s="71"/>
      <c r="AKL171" s="71"/>
      <c r="AKM171" s="71"/>
      <c r="AKN171" s="71"/>
      <c r="AKO171" s="71"/>
      <c r="AKP171" s="71"/>
      <c r="AKQ171" s="71"/>
      <c r="AKR171" s="71"/>
      <c r="AKS171" s="71"/>
      <c r="AKT171" s="71"/>
      <c r="AKU171" s="71"/>
      <c r="AKV171" s="71"/>
      <c r="AKW171" s="71"/>
      <c r="AKX171" s="71"/>
      <c r="AKY171" s="71"/>
      <c r="AKZ171" s="71"/>
      <c r="ALA171" s="71"/>
      <c r="ALB171" s="71"/>
      <c r="ALC171" s="71"/>
      <c r="ALD171" s="71"/>
      <c r="ALE171" s="71"/>
      <c r="ALF171" s="71"/>
      <c r="ALG171" s="71"/>
      <c r="ALH171" s="71"/>
    </row>
    <row r="172" spans="1:996">
      <c r="A172" s="37"/>
      <c r="B172" t="str">
        <f t="shared" si="8"/>
        <v>214199/0731</v>
      </c>
      <c r="C172" s="29" t="s">
        <v>338</v>
      </c>
      <c r="D172" s="27"/>
      <c r="E172" s="55" t="s">
        <v>257</v>
      </c>
      <c r="F172" s="55" t="s">
        <v>5</v>
      </c>
      <c r="G172" s="74">
        <v>398744.13</v>
      </c>
      <c r="H172" s="72">
        <v>91335.63</v>
      </c>
      <c r="I172" s="73">
        <v>112901.9</v>
      </c>
      <c r="J172" s="73">
        <v>92565.14</v>
      </c>
      <c r="K172" s="73"/>
      <c r="L172" s="73"/>
      <c r="M172" s="73"/>
      <c r="N172" s="73"/>
      <c r="O172" s="73"/>
      <c r="P172" s="73"/>
      <c r="Q172" s="73"/>
      <c r="R172" s="73"/>
    </row>
    <row r="173" spans="1:996">
      <c r="A173" s="37"/>
      <c r="B173" t="str">
        <f>D173&amp;E173</f>
        <v>214199/0733</v>
      </c>
      <c r="C173" s="29" t="s">
        <v>338</v>
      </c>
      <c r="D173" s="27"/>
      <c r="E173" s="55" t="s">
        <v>402</v>
      </c>
      <c r="F173" s="55" t="s">
        <v>404</v>
      </c>
      <c r="G173" s="74">
        <v>1237.8699999999999</v>
      </c>
      <c r="H173" s="72">
        <v>1606.62</v>
      </c>
      <c r="I173" s="73">
        <v>12791.21</v>
      </c>
      <c r="J173" s="73"/>
      <c r="K173" s="73"/>
      <c r="L173" s="73"/>
      <c r="M173" s="73"/>
      <c r="N173" s="73"/>
      <c r="O173" s="73"/>
      <c r="P173" s="73"/>
      <c r="Q173" s="73"/>
      <c r="R173" s="73"/>
    </row>
    <row r="174" spans="1:996">
      <c r="A174" s="37"/>
      <c r="B174" t="str">
        <f>D174&amp;E174</f>
        <v>214199/0735</v>
      </c>
      <c r="C174" s="29" t="s">
        <v>338</v>
      </c>
      <c r="D174" s="27"/>
      <c r="E174" s="55" t="s">
        <v>1231</v>
      </c>
      <c r="F174" s="55" t="s">
        <v>1232</v>
      </c>
      <c r="G174" s="74"/>
      <c r="H174" s="72"/>
      <c r="I174" s="73"/>
      <c r="J174" s="73">
        <v>10680.24</v>
      </c>
      <c r="K174" s="73"/>
      <c r="L174" s="73"/>
      <c r="M174" s="73"/>
      <c r="N174" s="73"/>
      <c r="O174" s="73"/>
      <c r="P174" s="73"/>
      <c r="Q174" s="73"/>
      <c r="R174" s="73"/>
    </row>
    <row r="175" spans="1:996">
      <c r="A175" s="37"/>
      <c r="B175" t="str">
        <f>D175&amp;E175</f>
        <v>214199/0736</v>
      </c>
      <c r="C175" s="29" t="s">
        <v>338</v>
      </c>
      <c r="D175" s="27"/>
      <c r="E175" s="55" t="s">
        <v>403</v>
      </c>
      <c r="F175" s="55" t="s">
        <v>405</v>
      </c>
      <c r="G175" s="74"/>
      <c r="H175" s="72">
        <v>1606.62</v>
      </c>
      <c r="I175" s="73">
        <v>19402.22</v>
      </c>
      <c r="J175" s="73"/>
      <c r="K175" s="73"/>
      <c r="L175" s="73"/>
      <c r="M175" s="73"/>
      <c r="N175" s="73"/>
      <c r="O175" s="73"/>
      <c r="P175" s="73"/>
      <c r="Q175" s="73"/>
      <c r="R175" s="73"/>
    </row>
    <row r="176" spans="1:996">
      <c r="A176" s="37"/>
      <c r="B176" t="str">
        <f t="shared" si="8"/>
        <v>S214201</v>
      </c>
      <c r="C176" s="7" t="s">
        <v>362</v>
      </c>
      <c r="D176" s="27" t="s">
        <v>128</v>
      </c>
      <c r="E176" s="7">
        <v>214201</v>
      </c>
      <c r="F176" s="48" t="s">
        <v>163</v>
      </c>
      <c r="G176" s="49">
        <f>IFERROR(VLOOKUP(E176,'BD - E - Mvto Cx'!$E$15:$G$500,3,0),0)</f>
        <v>36867.83</v>
      </c>
      <c r="H176" s="51">
        <f>IFERROR(VLOOKUP(E176,'BD - E - Mvto Cx'!$N$15:$P$500,3,0),0)</f>
        <v>41815.120000000003</v>
      </c>
      <c r="I176" s="50">
        <f>IFERROR(VLOOKUP(E176,'BD - E - Mvto Cx'!$W$15:$Y$497,3,0),0)</f>
        <v>41815.120000000003</v>
      </c>
      <c r="J176" s="50">
        <f>IFERROR(VLOOKUP(E176,'BD - E - Mvto Cx'!$AF$15:$AI$500,3,0),0)</f>
        <v>41815.120000000003</v>
      </c>
      <c r="K176" s="50">
        <f>IFERROR(VLOOKUP(E176,'BD - E - Mvto Cx'!$AO$15:$AQ$500,3,0),0)</f>
        <v>0</v>
      </c>
      <c r="L176" s="50">
        <f>IFERROR(VLOOKUP(E176,'BD - E - Mvto Cx'!$AX$15:$AZ$500,3,0),0)</f>
        <v>0</v>
      </c>
      <c r="M176" s="50">
        <f>IFERROR(VLOOKUP(E176,'BD - E - Mvto Cx'!$BJ$15:$BL$500,3,0),0)</f>
        <v>0</v>
      </c>
      <c r="N176" s="50">
        <f>IFERROR(VLOOKUP(E176,'BD - E - Mvto Cx'!$BS$15:$BU$500,3,0),0)</f>
        <v>0</v>
      </c>
      <c r="O176" s="50">
        <f>IFERROR(VLOOKUP(E176,'BD - E - Mvto Cx'!$CB$15:$CD$500,3,0),0)</f>
        <v>0</v>
      </c>
      <c r="P176" s="50">
        <f>IFERROR(VLOOKUP(E176,'BD - E - Mvto Cx'!$CK$15:$CM$500,3,0),0)</f>
        <v>0</v>
      </c>
      <c r="Q176" s="50">
        <f>IFERROR(VLOOKUP(E176,'BD - E - Mvto Cx'!$CT$15:$CV$500,3,0),0)</f>
        <v>0</v>
      </c>
      <c r="R176" s="50">
        <f>IFERROR(VLOOKUP(E176,'BD - E - Mvto Cx'!$DC$15:$DE$500,3,0),0)</f>
        <v>0</v>
      </c>
    </row>
    <row r="177" spans="1:996">
      <c r="A177" s="37"/>
      <c r="B177" t="str">
        <f t="shared" si="8"/>
        <v>S214202</v>
      </c>
      <c r="C177" s="7" t="s">
        <v>362</v>
      </c>
      <c r="D177" s="27" t="s">
        <v>128</v>
      </c>
      <c r="E177" s="7">
        <v>214202</v>
      </c>
      <c r="F177" s="48" t="s">
        <v>164</v>
      </c>
      <c r="G177" s="49">
        <f>IFERROR(VLOOKUP(E177,'BD - E - Mvto Cx'!$E$15:$G$500,3,0),0)</f>
        <v>148330.06</v>
      </c>
      <c r="H177" s="51">
        <f>IFERROR(VLOOKUP(E177,'BD - E - Mvto Cx'!$N$15:$P$500,3,0),0)</f>
        <v>136118.43</v>
      </c>
      <c r="I177" s="50">
        <f>IFERROR(VLOOKUP(E177,'BD - E - Mvto Cx'!$W$15:$Y$497,3,0),0)</f>
        <v>111695.19</v>
      </c>
      <c r="J177" s="50">
        <f>IFERROR(VLOOKUP(E177,'BD - E - Mvto Cx'!$AF$15:$AI$500,3,0),0)</f>
        <v>111695.19</v>
      </c>
      <c r="K177" s="50">
        <f>IFERROR(VLOOKUP(E177,'BD - E - Mvto Cx'!$AO$15:$AQ$500,3,0),0)</f>
        <v>0</v>
      </c>
      <c r="L177" s="50">
        <f>IFERROR(VLOOKUP(E177,'BD - E - Mvto Cx'!$AX$15:$AZ$500,3,0),0)</f>
        <v>0</v>
      </c>
      <c r="M177" s="50">
        <f>IFERROR(VLOOKUP(E177,'BD - E - Mvto Cx'!$BJ$15:$BL$500,3,0),0)</f>
        <v>0</v>
      </c>
      <c r="N177" s="50">
        <f>IFERROR(VLOOKUP(E177,'BD - E - Mvto Cx'!$BS$15:$BU$500,3,0),0)</f>
        <v>0</v>
      </c>
      <c r="O177" s="50">
        <f>IFERROR(VLOOKUP(E177,'BD - E - Mvto Cx'!$CB$15:$CD$500,3,0),0)</f>
        <v>0</v>
      </c>
      <c r="P177" s="50">
        <f>IFERROR(VLOOKUP(E177,'BD - E - Mvto Cx'!$CK$15:$CM$500,3,0),0)</f>
        <v>0</v>
      </c>
      <c r="Q177" s="50">
        <f>IFERROR(VLOOKUP(E177,'BD - E - Mvto Cx'!$CT$15:$CV$500,3,0),0)</f>
        <v>0</v>
      </c>
      <c r="R177" s="50">
        <f>IFERROR(VLOOKUP(E177,'BD - E - Mvto Cx'!$DC$15:$DE$500,3,0),0)</f>
        <v>0</v>
      </c>
    </row>
    <row r="178" spans="1:996" s="445" customFormat="1">
      <c r="A178" s="444"/>
      <c r="B178" s="445" t="str">
        <f t="shared" si="8"/>
        <v>S215101</v>
      </c>
      <c r="C178" s="445" t="s">
        <v>347</v>
      </c>
      <c r="D178" s="446" t="s">
        <v>128</v>
      </c>
      <c r="E178" s="445">
        <v>215101</v>
      </c>
      <c r="F178" s="447" t="s">
        <v>165</v>
      </c>
      <c r="G178" s="448">
        <f>IFERROR(VLOOKUP(E178,'BD - E - Mvto Cx'!$E$15:$G$500,3,0),0)</f>
        <v>129610.75</v>
      </c>
      <c r="H178" s="449">
        <f>IFERROR(VLOOKUP(E178,'BD - E - Mvto Cx'!$N$15:$P$500,3,0),0)</f>
        <v>91962.23</v>
      </c>
      <c r="I178" s="450">
        <f>IFERROR(VLOOKUP(E178,'BD - E - Mvto Cx'!$W$15:$Y$497,3,0),0)</f>
        <v>204150.76</v>
      </c>
      <c r="J178" s="450">
        <f>IFERROR(VLOOKUP(E178,'BD - E - Mvto Cx'!$AF$15:$AI$500,3,0),0)</f>
        <v>121590.48</v>
      </c>
      <c r="K178" s="450">
        <f>IFERROR(VLOOKUP(E178,'BD - E - Mvto Cx'!$AO$15:$AQ$500,3,0),0)</f>
        <v>0</v>
      </c>
      <c r="L178" s="450">
        <f>IFERROR(VLOOKUP(E178,'BD - E - Mvto Cx'!$AX$15:$AZ$500,3,0),0)</f>
        <v>0</v>
      </c>
      <c r="M178" s="450">
        <f>IFERROR(VLOOKUP(E178,'BD - E - Mvto Cx'!$BJ$15:$BL$500,3,0),0)</f>
        <v>0</v>
      </c>
      <c r="N178" s="450">
        <f>IFERROR(VLOOKUP(E178,'BD - E - Mvto Cx'!$BS$15:$BU$500,3,0),0)</f>
        <v>0</v>
      </c>
      <c r="O178" s="450">
        <f>IFERROR(VLOOKUP(E178,'BD - E - Mvto Cx'!$CB$15:$CD$500,3,0),0)</f>
        <v>0</v>
      </c>
      <c r="P178" s="450">
        <f>IFERROR(VLOOKUP(E178,'BD - E - Mvto Cx'!$CK$15:$CM$500,3,0),0)</f>
        <v>0</v>
      </c>
      <c r="Q178" s="450">
        <f>IFERROR(VLOOKUP(E178,'BD - E - Mvto Cx'!$CT$15:$CV$500,3,0),0)</f>
        <v>0</v>
      </c>
      <c r="R178" s="450">
        <f>IFERROR(VLOOKUP(E178,'BD - E - Mvto Cx'!$DC$15:$DE$500,3,0),0)</f>
        <v>0</v>
      </c>
      <c r="S178" s="451"/>
      <c r="T178" s="451"/>
      <c r="U178" s="451"/>
      <c r="V178" s="451"/>
      <c r="W178" s="451"/>
      <c r="X178" s="451"/>
      <c r="Y178" s="451"/>
      <c r="Z178" s="451"/>
      <c r="AA178" s="451"/>
      <c r="AB178" s="451"/>
      <c r="AC178" s="451"/>
      <c r="AD178" s="451"/>
      <c r="AE178" s="451"/>
      <c r="AF178" s="451"/>
      <c r="AG178" s="451"/>
      <c r="AH178" s="451"/>
      <c r="AI178" s="451"/>
      <c r="AJ178" s="451"/>
      <c r="AK178" s="451"/>
      <c r="AL178" s="451"/>
      <c r="AM178" s="451"/>
      <c r="AN178" s="451"/>
      <c r="AO178" s="451"/>
      <c r="AP178" s="451"/>
      <c r="AQ178" s="451"/>
      <c r="AR178" s="451"/>
      <c r="AS178" s="451"/>
      <c r="AT178" s="451"/>
      <c r="AU178" s="451"/>
      <c r="AV178" s="451"/>
      <c r="AW178" s="451"/>
      <c r="AX178" s="451"/>
      <c r="AY178" s="451"/>
      <c r="AZ178" s="451"/>
      <c r="BA178" s="451"/>
      <c r="BB178" s="451"/>
      <c r="BC178" s="451"/>
      <c r="BD178" s="451"/>
      <c r="BE178" s="451"/>
      <c r="BF178" s="451"/>
      <c r="BG178" s="451"/>
      <c r="BH178" s="451"/>
      <c r="BI178" s="451"/>
      <c r="BJ178" s="451"/>
      <c r="BK178" s="451"/>
      <c r="BL178" s="451"/>
      <c r="BM178" s="451"/>
      <c r="BN178" s="451"/>
      <c r="BO178" s="451"/>
      <c r="BP178" s="451"/>
      <c r="BQ178" s="451"/>
      <c r="BR178" s="451"/>
      <c r="BS178" s="451"/>
      <c r="BT178" s="451"/>
      <c r="BU178" s="451"/>
      <c r="BV178" s="451"/>
      <c r="BW178" s="451"/>
      <c r="BX178" s="451"/>
      <c r="BY178" s="451"/>
      <c r="BZ178" s="451"/>
      <c r="CA178" s="451"/>
      <c r="CB178" s="451"/>
      <c r="CC178" s="451"/>
      <c r="CD178" s="451"/>
      <c r="CE178" s="451"/>
      <c r="CF178" s="451"/>
      <c r="CG178" s="451"/>
      <c r="CH178" s="451"/>
      <c r="CI178" s="451"/>
      <c r="CJ178" s="451"/>
      <c r="CK178" s="451"/>
      <c r="CL178" s="451"/>
      <c r="CM178" s="451"/>
      <c r="CN178" s="451"/>
      <c r="CO178" s="451"/>
      <c r="CP178" s="451"/>
      <c r="CQ178" s="451"/>
      <c r="CR178" s="451"/>
      <c r="CS178" s="451"/>
      <c r="CT178" s="451"/>
      <c r="CU178" s="451"/>
      <c r="CV178" s="451"/>
      <c r="CW178" s="451"/>
      <c r="CX178" s="451"/>
      <c r="CY178" s="451"/>
      <c r="CZ178" s="451"/>
      <c r="DA178" s="451"/>
      <c r="DB178" s="451"/>
      <c r="DC178" s="451"/>
      <c r="DD178" s="451"/>
      <c r="DE178" s="451"/>
      <c r="DF178" s="451"/>
      <c r="DG178" s="451"/>
      <c r="DH178" s="451"/>
      <c r="DI178" s="451"/>
      <c r="DJ178" s="451"/>
      <c r="DK178" s="451"/>
      <c r="DL178" s="451"/>
      <c r="DM178" s="451"/>
      <c r="DN178" s="451"/>
      <c r="DO178" s="451"/>
      <c r="DP178" s="451"/>
      <c r="DQ178" s="451"/>
      <c r="DR178" s="451"/>
      <c r="DS178" s="451"/>
      <c r="DT178" s="451"/>
      <c r="DU178" s="451"/>
      <c r="DV178" s="451"/>
      <c r="DW178" s="451"/>
      <c r="DX178" s="451"/>
      <c r="DY178" s="451"/>
      <c r="DZ178" s="451"/>
      <c r="EA178" s="451"/>
      <c r="EB178" s="451"/>
      <c r="EC178" s="451"/>
      <c r="ED178" s="451"/>
      <c r="EE178" s="451"/>
      <c r="EF178" s="451"/>
      <c r="EG178" s="451"/>
      <c r="EH178" s="451"/>
      <c r="EI178" s="451"/>
      <c r="EJ178" s="451"/>
      <c r="EK178" s="451"/>
      <c r="EL178" s="451"/>
      <c r="EM178" s="451"/>
      <c r="EN178" s="451"/>
      <c r="EO178" s="451"/>
      <c r="EP178" s="451"/>
      <c r="EQ178" s="451"/>
      <c r="ER178" s="451"/>
      <c r="ES178" s="451"/>
      <c r="ET178" s="451"/>
      <c r="EU178" s="451"/>
      <c r="EV178" s="451"/>
      <c r="EW178" s="451"/>
      <c r="EX178" s="451"/>
      <c r="EY178" s="451"/>
      <c r="EZ178" s="451"/>
      <c r="FA178" s="451"/>
      <c r="FB178" s="451"/>
      <c r="FC178" s="451"/>
      <c r="FD178" s="451"/>
      <c r="FE178" s="451"/>
      <c r="FF178" s="451"/>
      <c r="FG178" s="451"/>
      <c r="FH178" s="451"/>
      <c r="FI178" s="451"/>
      <c r="FJ178" s="451"/>
      <c r="FK178" s="451"/>
      <c r="FL178" s="451"/>
      <c r="FM178" s="451"/>
      <c r="FN178" s="451"/>
      <c r="FO178" s="451"/>
      <c r="FP178" s="451"/>
      <c r="FQ178" s="451"/>
      <c r="FR178" s="451"/>
      <c r="FS178" s="451"/>
      <c r="FT178" s="451"/>
      <c r="FU178" s="451"/>
      <c r="FV178" s="451"/>
      <c r="FW178" s="451"/>
      <c r="FX178" s="451"/>
      <c r="FY178" s="451"/>
      <c r="FZ178" s="451"/>
      <c r="GA178" s="451"/>
      <c r="GB178" s="451"/>
      <c r="GC178" s="451"/>
      <c r="GD178" s="451"/>
      <c r="GE178" s="451"/>
      <c r="GF178" s="451"/>
      <c r="GG178" s="451"/>
      <c r="GH178" s="451"/>
      <c r="GI178" s="451"/>
      <c r="GJ178" s="451"/>
      <c r="GK178" s="451"/>
      <c r="GL178" s="451"/>
      <c r="GM178" s="451"/>
      <c r="GN178" s="451"/>
      <c r="GO178" s="451"/>
      <c r="GP178" s="451"/>
      <c r="GQ178" s="451"/>
      <c r="GR178" s="451"/>
      <c r="GS178" s="451"/>
      <c r="GT178" s="451"/>
      <c r="GU178" s="451"/>
      <c r="GV178" s="451"/>
      <c r="GW178" s="451"/>
      <c r="GX178" s="451"/>
      <c r="GY178" s="451"/>
      <c r="GZ178" s="451"/>
      <c r="HA178" s="451"/>
      <c r="HB178" s="451"/>
      <c r="HC178" s="451"/>
      <c r="HD178" s="451"/>
      <c r="HE178" s="451"/>
      <c r="HF178" s="451"/>
      <c r="HG178" s="451"/>
      <c r="HH178" s="451"/>
      <c r="HI178" s="451"/>
      <c r="HJ178" s="451"/>
      <c r="HK178" s="451"/>
      <c r="HL178" s="451"/>
      <c r="HM178" s="451"/>
      <c r="HN178" s="451"/>
      <c r="HO178" s="451"/>
      <c r="HP178" s="451"/>
      <c r="HQ178" s="451"/>
      <c r="HR178" s="451"/>
      <c r="HS178" s="451"/>
      <c r="HT178" s="451"/>
      <c r="HU178" s="451"/>
      <c r="HV178" s="451"/>
      <c r="HW178" s="451"/>
      <c r="HX178" s="451"/>
      <c r="HY178" s="451"/>
      <c r="HZ178" s="451"/>
      <c r="IA178" s="451"/>
      <c r="IB178" s="451"/>
      <c r="IC178" s="451"/>
      <c r="ID178" s="451"/>
      <c r="IE178" s="451"/>
      <c r="IF178" s="451"/>
      <c r="IG178" s="451"/>
      <c r="IH178" s="451"/>
      <c r="II178" s="451"/>
      <c r="IJ178" s="451"/>
      <c r="IK178" s="451"/>
      <c r="IL178" s="451"/>
      <c r="IM178" s="451"/>
      <c r="IN178" s="451"/>
      <c r="IO178" s="451"/>
      <c r="IP178" s="451"/>
      <c r="IQ178" s="451"/>
      <c r="IR178" s="451"/>
      <c r="IS178" s="451"/>
      <c r="IT178" s="451"/>
      <c r="IU178" s="451"/>
      <c r="IV178" s="451"/>
      <c r="IW178" s="451"/>
      <c r="IX178" s="451"/>
      <c r="IY178" s="451"/>
      <c r="IZ178" s="451"/>
      <c r="JA178" s="451"/>
      <c r="JB178" s="451"/>
      <c r="JC178" s="451"/>
      <c r="JD178" s="451"/>
      <c r="JE178" s="451"/>
      <c r="JF178" s="451"/>
      <c r="JG178" s="451"/>
      <c r="JH178" s="451"/>
      <c r="JI178" s="451"/>
      <c r="JJ178" s="451"/>
      <c r="JK178" s="451"/>
      <c r="JL178" s="451"/>
      <c r="JM178" s="451"/>
      <c r="JN178" s="451"/>
      <c r="JO178" s="451"/>
      <c r="JP178" s="451"/>
      <c r="JQ178" s="451"/>
      <c r="JR178" s="451"/>
      <c r="JS178" s="451"/>
      <c r="JT178" s="451"/>
      <c r="JU178" s="451"/>
      <c r="JV178" s="451"/>
      <c r="JW178" s="451"/>
      <c r="JX178" s="451"/>
      <c r="JY178" s="451"/>
      <c r="JZ178" s="451"/>
      <c r="KA178" s="451"/>
      <c r="KB178" s="451"/>
      <c r="KC178" s="451"/>
      <c r="KD178" s="451"/>
      <c r="KE178" s="451"/>
      <c r="KF178" s="451"/>
      <c r="KG178" s="451"/>
      <c r="KH178" s="451"/>
      <c r="KI178" s="451"/>
      <c r="KJ178" s="451"/>
      <c r="KK178" s="451"/>
      <c r="KL178" s="451"/>
      <c r="KM178" s="451"/>
      <c r="KN178" s="451"/>
      <c r="KO178" s="451"/>
      <c r="KP178" s="451"/>
      <c r="KQ178" s="451"/>
      <c r="KR178" s="451"/>
      <c r="KS178" s="451"/>
      <c r="KT178" s="451"/>
      <c r="KU178" s="451"/>
      <c r="KV178" s="451"/>
      <c r="KW178" s="451"/>
      <c r="KX178" s="451"/>
      <c r="KY178" s="451"/>
      <c r="KZ178" s="451"/>
      <c r="LA178" s="451"/>
      <c r="LB178" s="451"/>
      <c r="LC178" s="451"/>
      <c r="LD178" s="451"/>
      <c r="LE178" s="451"/>
      <c r="LF178" s="451"/>
      <c r="LG178" s="451"/>
      <c r="LH178" s="451"/>
      <c r="LI178" s="451"/>
      <c r="LJ178" s="451"/>
      <c r="LK178" s="451"/>
      <c r="LL178" s="451"/>
      <c r="LM178" s="451"/>
      <c r="LN178" s="451"/>
      <c r="LO178" s="451"/>
      <c r="LP178" s="451"/>
      <c r="LQ178" s="451"/>
      <c r="LR178" s="451"/>
      <c r="LS178" s="451"/>
      <c r="LT178" s="451"/>
      <c r="LU178" s="451"/>
      <c r="LV178" s="451"/>
      <c r="LW178" s="451"/>
      <c r="LX178" s="451"/>
      <c r="LY178" s="451"/>
      <c r="LZ178" s="451"/>
      <c r="MA178" s="451"/>
      <c r="MB178" s="451"/>
      <c r="MC178" s="451"/>
      <c r="MD178" s="451"/>
      <c r="ME178" s="451"/>
      <c r="MF178" s="451"/>
      <c r="MG178" s="451"/>
      <c r="MH178" s="451"/>
      <c r="MI178" s="451"/>
      <c r="MJ178" s="451"/>
      <c r="MK178" s="451"/>
      <c r="ML178" s="451"/>
      <c r="MM178" s="451"/>
      <c r="MN178" s="451"/>
      <c r="MO178" s="451"/>
      <c r="MP178" s="451"/>
      <c r="MQ178" s="451"/>
      <c r="MR178" s="451"/>
      <c r="MS178" s="451"/>
      <c r="MT178" s="451"/>
      <c r="MU178" s="451"/>
      <c r="MV178" s="451"/>
      <c r="MW178" s="451"/>
      <c r="MX178" s="451"/>
      <c r="MY178" s="451"/>
      <c r="MZ178" s="451"/>
      <c r="NA178" s="451"/>
      <c r="NB178" s="451"/>
      <c r="NC178" s="451"/>
      <c r="ND178" s="451"/>
      <c r="NE178" s="451"/>
      <c r="NF178" s="451"/>
      <c r="NG178" s="451"/>
      <c r="NH178" s="451"/>
      <c r="NI178" s="451"/>
      <c r="NJ178" s="451"/>
      <c r="NK178" s="451"/>
      <c r="NL178" s="451"/>
      <c r="NM178" s="451"/>
      <c r="NN178" s="451"/>
      <c r="NO178" s="451"/>
      <c r="NP178" s="451"/>
      <c r="NQ178" s="451"/>
      <c r="NR178" s="451"/>
      <c r="NS178" s="451"/>
      <c r="NT178" s="451"/>
      <c r="NU178" s="451"/>
      <c r="NV178" s="451"/>
      <c r="NW178" s="451"/>
      <c r="NX178" s="451"/>
      <c r="NY178" s="451"/>
      <c r="NZ178" s="451"/>
      <c r="OA178" s="451"/>
      <c r="OB178" s="451"/>
      <c r="OC178" s="451"/>
      <c r="OD178" s="451"/>
      <c r="OE178" s="451"/>
      <c r="OF178" s="451"/>
      <c r="OG178" s="451"/>
      <c r="OH178" s="451"/>
      <c r="OI178" s="451"/>
      <c r="OJ178" s="451"/>
      <c r="OK178" s="451"/>
      <c r="OL178" s="451"/>
      <c r="OM178" s="451"/>
      <c r="ON178" s="451"/>
      <c r="OO178" s="451"/>
      <c r="OP178" s="451"/>
      <c r="OQ178" s="451"/>
      <c r="OR178" s="451"/>
      <c r="OS178" s="451"/>
      <c r="OT178" s="451"/>
      <c r="OU178" s="451"/>
      <c r="OV178" s="451"/>
      <c r="OW178" s="451"/>
      <c r="OX178" s="451"/>
      <c r="OY178" s="451"/>
      <c r="OZ178" s="451"/>
      <c r="PA178" s="451"/>
      <c r="PB178" s="451"/>
      <c r="PC178" s="451"/>
      <c r="PD178" s="451"/>
      <c r="PE178" s="451"/>
      <c r="PF178" s="451"/>
      <c r="PG178" s="451"/>
      <c r="PH178" s="451"/>
      <c r="PI178" s="451"/>
      <c r="PJ178" s="451"/>
      <c r="PK178" s="451"/>
      <c r="PL178" s="451"/>
      <c r="PM178" s="451"/>
      <c r="PN178" s="451"/>
      <c r="PO178" s="451"/>
      <c r="PP178" s="451"/>
      <c r="PQ178" s="451"/>
      <c r="PR178" s="451"/>
      <c r="PS178" s="451"/>
      <c r="PT178" s="451"/>
      <c r="PU178" s="451"/>
      <c r="PV178" s="451"/>
      <c r="PW178" s="451"/>
      <c r="PX178" s="451"/>
      <c r="PY178" s="451"/>
      <c r="PZ178" s="451"/>
      <c r="QA178" s="451"/>
      <c r="QB178" s="451"/>
      <c r="QC178" s="451"/>
      <c r="QD178" s="451"/>
      <c r="QE178" s="451"/>
      <c r="QF178" s="451"/>
      <c r="QG178" s="451"/>
      <c r="QH178" s="451"/>
      <c r="QI178" s="451"/>
      <c r="QJ178" s="451"/>
      <c r="QK178" s="451"/>
      <c r="QL178" s="451"/>
      <c r="QM178" s="451"/>
      <c r="QN178" s="451"/>
      <c r="QO178" s="451"/>
      <c r="QP178" s="451"/>
      <c r="QQ178" s="451"/>
      <c r="QR178" s="451"/>
      <c r="QS178" s="451"/>
      <c r="QT178" s="451"/>
      <c r="QU178" s="451"/>
      <c r="QV178" s="451"/>
      <c r="QW178" s="451"/>
      <c r="QX178" s="451"/>
      <c r="QY178" s="451"/>
      <c r="QZ178" s="451"/>
      <c r="RA178" s="451"/>
      <c r="RB178" s="451"/>
      <c r="RC178" s="451"/>
      <c r="RD178" s="451"/>
      <c r="RE178" s="451"/>
      <c r="RF178" s="451"/>
      <c r="RG178" s="451"/>
      <c r="RH178" s="451"/>
      <c r="RI178" s="451"/>
      <c r="RJ178" s="451"/>
      <c r="RK178" s="451"/>
      <c r="RL178" s="451"/>
      <c r="RM178" s="451"/>
      <c r="RN178" s="451"/>
      <c r="RO178" s="451"/>
      <c r="RP178" s="451"/>
      <c r="RQ178" s="451"/>
      <c r="RR178" s="451"/>
      <c r="RS178" s="451"/>
      <c r="RT178" s="451"/>
      <c r="RU178" s="451"/>
      <c r="RV178" s="451"/>
      <c r="RW178" s="451"/>
      <c r="RX178" s="451"/>
      <c r="RY178" s="451"/>
      <c r="RZ178" s="451"/>
      <c r="SA178" s="451"/>
      <c r="SB178" s="451"/>
      <c r="SC178" s="451"/>
      <c r="SD178" s="451"/>
      <c r="SE178" s="451"/>
      <c r="SF178" s="451"/>
      <c r="SG178" s="451"/>
      <c r="SH178" s="451"/>
      <c r="SI178" s="451"/>
      <c r="SJ178" s="451"/>
      <c r="SK178" s="451"/>
      <c r="SL178" s="451"/>
      <c r="SM178" s="451"/>
      <c r="SN178" s="451"/>
      <c r="SO178" s="451"/>
      <c r="SP178" s="451"/>
      <c r="SQ178" s="451"/>
      <c r="SR178" s="451"/>
      <c r="SS178" s="451"/>
      <c r="ST178" s="451"/>
      <c r="SU178" s="451"/>
      <c r="SV178" s="451"/>
      <c r="SW178" s="451"/>
      <c r="SX178" s="451"/>
      <c r="SY178" s="451"/>
      <c r="SZ178" s="451"/>
      <c r="TA178" s="451"/>
      <c r="TB178" s="451"/>
      <c r="TC178" s="451"/>
      <c r="TD178" s="451"/>
      <c r="TE178" s="451"/>
      <c r="TF178" s="451"/>
      <c r="TG178" s="451"/>
      <c r="TH178" s="451"/>
      <c r="TI178" s="451"/>
      <c r="TJ178" s="451"/>
      <c r="TK178" s="451"/>
      <c r="TL178" s="451"/>
      <c r="TM178" s="451"/>
      <c r="TN178" s="451"/>
      <c r="TO178" s="451"/>
      <c r="TP178" s="451"/>
      <c r="TQ178" s="451"/>
      <c r="TR178" s="451"/>
      <c r="TS178" s="451"/>
      <c r="TT178" s="451"/>
      <c r="TU178" s="451"/>
      <c r="TV178" s="451"/>
      <c r="TW178" s="451"/>
      <c r="TX178" s="451"/>
      <c r="TY178" s="451"/>
      <c r="TZ178" s="451"/>
      <c r="UA178" s="451"/>
      <c r="UB178" s="451"/>
      <c r="UC178" s="451"/>
      <c r="UD178" s="451"/>
      <c r="UE178" s="451"/>
      <c r="UF178" s="451"/>
      <c r="UG178" s="451"/>
      <c r="UH178" s="451"/>
      <c r="UI178" s="451"/>
      <c r="UJ178" s="451"/>
      <c r="UK178" s="451"/>
      <c r="UL178" s="451"/>
      <c r="UM178" s="451"/>
      <c r="UN178" s="451"/>
      <c r="UO178" s="451"/>
      <c r="UP178" s="451"/>
      <c r="UQ178" s="451"/>
      <c r="UR178" s="451"/>
      <c r="US178" s="451"/>
      <c r="UT178" s="451"/>
      <c r="UU178" s="451"/>
      <c r="UV178" s="451"/>
      <c r="UW178" s="451"/>
      <c r="UX178" s="451"/>
      <c r="UY178" s="451"/>
      <c r="UZ178" s="451"/>
      <c r="VA178" s="451"/>
      <c r="VB178" s="451"/>
      <c r="VC178" s="451"/>
      <c r="VD178" s="451"/>
      <c r="VE178" s="451"/>
      <c r="VF178" s="451"/>
      <c r="VG178" s="451"/>
      <c r="VH178" s="451"/>
      <c r="VI178" s="451"/>
      <c r="VJ178" s="451"/>
      <c r="VK178" s="451"/>
      <c r="VL178" s="451"/>
      <c r="VM178" s="451"/>
      <c r="VN178" s="451"/>
      <c r="VO178" s="451"/>
      <c r="VP178" s="451"/>
      <c r="VQ178" s="451"/>
      <c r="VR178" s="451"/>
      <c r="VS178" s="451"/>
      <c r="VT178" s="451"/>
      <c r="VU178" s="451"/>
      <c r="VV178" s="451"/>
      <c r="VW178" s="451"/>
      <c r="VX178" s="451"/>
      <c r="VY178" s="451"/>
      <c r="VZ178" s="451"/>
      <c r="WA178" s="451"/>
      <c r="WB178" s="451"/>
      <c r="WC178" s="451"/>
      <c r="WD178" s="451"/>
      <c r="WE178" s="451"/>
      <c r="WF178" s="451"/>
      <c r="WG178" s="451"/>
      <c r="WH178" s="451"/>
      <c r="WI178" s="451"/>
      <c r="WJ178" s="451"/>
      <c r="WK178" s="451"/>
      <c r="WL178" s="451"/>
      <c r="WM178" s="451"/>
      <c r="WN178" s="451"/>
      <c r="WO178" s="451"/>
      <c r="WP178" s="451"/>
      <c r="WQ178" s="451"/>
      <c r="WR178" s="451"/>
      <c r="WS178" s="451"/>
      <c r="WT178" s="451"/>
      <c r="WU178" s="451"/>
      <c r="WV178" s="451"/>
      <c r="WW178" s="451"/>
      <c r="WX178" s="451"/>
      <c r="WY178" s="451"/>
      <c r="WZ178" s="451"/>
      <c r="XA178" s="451"/>
      <c r="XB178" s="451"/>
      <c r="XC178" s="451"/>
      <c r="XD178" s="451"/>
      <c r="XE178" s="451"/>
      <c r="XF178" s="451"/>
      <c r="XG178" s="451"/>
      <c r="XH178" s="451"/>
      <c r="XI178" s="451"/>
      <c r="XJ178" s="451"/>
      <c r="XK178" s="451"/>
      <c r="XL178" s="451"/>
      <c r="XM178" s="451"/>
      <c r="XN178" s="451"/>
      <c r="XO178" s="451"/>
      <c r="XP178" s="451"/>
      <c r="XQ178" s="451"/>
      <c r="XR178" s="451"/>
      <c r="XS178" s="451"/>
      <c r="XT178" s="451"/>
      <c r="XU178" s="451"/>
      <c r="XV178" s="451"/>
      <c r="XW178" s="451"/>
      <c r="XX178" s="451"/>
      <c r="XY178" s="451"/>
      <c r="XZ178" s="451"/>
      <c r="YA178" s="451"/>
      <c r="YB178" s="451"/>
      <c r="YC178" s="451"/>
      <c r="YD178" s="451"/>
      <c r="YE178" s="451"/>
      <c r="YF178" s="451"/>
      <c r="YG178" s="451"/>
      <c r="YH178" s="451"/>
      <c r="YI178" s="451"/>
      <c r="YJ178" s="451"/>
      <c r="YK178" s="451"/>
      <c r="YL178" s="451"/>
      <c r="YM178" s="451"/>
      <c r="YN178" s="451"/>
      <c r="YO178" s="451"/>
      <c r="YP178" s="451"/>
      <c r="YQ178" s="451"/>
      <c r="YR178" s="451"/>
      <c r="YS178" s="451"/>
      <c r="YT178" s="451"/>
      <c r="YU178" s="451"/>
      <c r="YV178" s="451"/>
      <c r="YW178" s="451"/>
      <c r="YX178" s="451"/>
      <c r="YY178" s="451"/>
      <c r="YZ178" s="451"/>
      <c r="ZA178" s="451"/>
      <c r="ZB178" s="451"/>
      <c r="ZC178" s="451"/>
      <c r="ZD178" s="451"/>
      <c r="ZE178" s="451"/>
      <c r="ZF178" s="451"/>
      <c r="ZG178" s="451"/>
      <c r="ZH178" s="451"/>
      <c r="ZI178" s="451"/>
      <c r="ZJ178" s="451"/>
      <c r="ZK178" s="451"/>
      <c r="ZL178" s="451"/>
      <c r="ZM178" s="451"/>
      <c r="ZN178" s="451"/>
      <c r="ZO178" s="451"/>
      <c r="ZP178" s="451"/>
      <c r="ZQ178" s="451"/>
      <c r="ZR178" s="451"/>
      <c r="ZS178" s="451"/>
      <c r="ZT178" s="451"/>
      <c r="ZU178" s="451"/>
      <c r="ZV178" s="451"/>
      <c r="ZW178" s="451"/>
      <c r="ZX178" s="451"/>
      <c r="ZY178" s="451"/>
      <c r="ZZ178" s="451"/>
      <c r="AAA178" s="451"/>
      <c r="AAB178" s="451"/>
      <c r="AAC178" s="451"/>
      <c r="AAD178" s="451"/>
      <c r="AAE178" s="451"/>
      <c r="AAF178" s="451"/>
      <c r="AAG178" s="451"/>
      <c r="AAH178" s="451"/>
      <c r="AAI178" s="451"/>
      <c r="AAJ178" s="451"/>
      <c r="AAK178" s="451"/>
      <c r="AAL178" s="451"/>
      <c r="AAM178" s="451"/>
      <c r="AAN178" s="451"/>
      <c r="AAO178" s="451"/>
      <c r="AAP178" s="451"/>
      <c r="AAQ178" s="451"/>
      <c r="AAR178" s="451"/>
      <c r="AAS178" s="451"/>
      <c r="AAT178" s="451"/>
      <c r="AAU178" s="451"/>
      <c r="AAV178" s="451"/>
      <c r="AAW178" s="451"/>
      <c r="AAX178" s="451"/>
      <c r="AAY178" s="451"/>
      <c r="AAZ178" s="451"/>
      <c r="ABA178" s="451"/>
      <c r="ABB178" s="451"/>
      <c r="ABC178" s="451"/>
      <c r="ABD178" s="451"/>
      <c r="ABE178" s="451"/>
      <c r="ABF178" s="451"/>
      <c r="ABG178" s="451"/>
      <c r="ABH178" s="451"/>
      <c r="ABI178" s="451"/>
      <c r="ABJ178" s="451"/>
      <c r="ABK178" s="451"/>
      <c r="ABL178" s="451"/>
      <c r="ABM178" s="451"/>
      <c r="ABN178" s="451"/>
      <c r="ABO178" s="451"/>
      <c r="ABP178" s="451"/>
      <c r="ABQ178" s="451"/>
      <c r="ABR178" s="451"/>
      <c r="ABS178" s="451"/>
      <c r="ABT178" s="451"/>
      <c r="ABU178" s="451"/>
      <c r="ABV178" s="451"/>
      <c r="ABW178" s="451"/>
      <c r="ABX178" s="451"/>
      <c r="ABY178" s="451"/>
      <c r="ABZ178" s="451"/>
      <c r="ACA178" s="451"/>
      <c r="ACB178" s="451"/>
      <c r="ACC178" s="451"/>
      <c r="ACD178" s="451"/>
      <c r="ACE178" s="451"/>
      <c r="ACF178" s="451"/>
      <c r="ACG178" s="451"/>
      <c r="ACH178" s="451"/>
      <c r="ACI178" s="451"/>
      <c r="ACJ178" s="451"/>
      <c r="ACK178" s="451"/>
      <c r="ACL178" s="451"/>
      <c r="ACM178" s="451"/>
      <c r="ACN178" s="451"/>
      <c r="ACO178" s="451"/>
      <c r="ACP178" s="451"/>
      <c r="ACQ178" s="451"/>
      <c r="ACR178" s="451"/>
      <c r="ACS178" s="451"/>
      <c r="ACT178" s="451"/>
      <c r="ACU178" s="451"/>
      <c r="ACV178" s="451"/>
      <c r="ACW178" s="451"/>
      <c r="ACX178" s="451"/>
      <c r="ACY178" s="451"/>
      <c r="ACZ178" s="451"/>
      <c r="ADA178" s="451"/>
      <c r="ADB178" s="451"/>
      <c r="ADC178" s="451"/>
      <c r="ADD178" s="451"/>
      <c r="ADE178" s="451"/>
      <c r="ADF178" s="451"/>
      <c r="ADG178" s="451"/>
      <c r="ADH178" s="451"/>
      <c r="ADI178" s="451"/>
      <c r="ADJ178" s="451"/>
      <c r="ADK178" s="451"/>
      <c r="ADL178" s="451"/>
      <c r="ADM178" s="451"/>
      <c r="ADN178" s="451"/>
      <c r="ADO178" s="451"/>
      <c r="ADP178" s="451"/>
      <c r="ADQ178" s="451"/>
      <c r="ADR178" s="451"/>
      <c r="ADS178" s="451"/>
      <c r="ADT178" s="451"/>
      <c r="ADU178" s="451"/>
      <c r="ADV178" s="451"/>
      <c r="ADW178" s="451"/>
      <c r="ADX178" s="451"/>
      <c r="ADY178" s="451"/>
      <c r="ADZ178" s="451"/>
      <c r="AEA178" s="451"/>
      <c r="AEB178" s="451"/>
      <c r="AEC178" s="451"/>
      <c r="AED178" s="451"/>
      <c r="AEE178" s="451"/>
      <c r="AEF178" s="451"/>
      <c r="AEG178" s="451"/>
      <c r="AEH178" s="451"/>
      <c r="AEI178" s="451"/>
      <c r="AEJ178" s="451"/>
      <c r="AEK178" s="451"/>
      <c r="AEL178" s="451"/>
      <c r="AEM178" s="451"/>
      <c r="AEN178" s="451"/>
      <c r="AEO178" s="451"/>
      <c r="AEP178" s="451"/>
      <c r="AEQ178" s="451"/>
      <c r="AER178" s="451"/>
      <c r="AES178" s="451"/>
      <c r="AET178" s="451"/>
      <c r="AEU178" s="451"/>
      <c r="AEV178" s="451"/>
      <c r="AEW178" s="451"/>
      <c r="AEX178" s="451"/>
      <c r="AEY178" s="451"/>
      <c r="AEZ178" s="451"/>
      <c r="AFA178" s="451"/>
      <c r="AFB178" s="451"/>
      <c r="AFC178" s="451"/>
      <c r="AFD178" s="451"/>
      <c r="AFE178" s="451"/>
      <c r="AFF178" s="451"/>
      <c r="AFG178" s="451"/>
      <c r="AFH178" s="451"/>
      <c r="AFI178" s="451"/>
      <c r="AFJ178" s="451"/>
      <c r="AFK178" s="451"/>
      <c r="AFL178" s="451"/>
      <c r="AFM178" s="451"/>
      <c r="AFN178" s="451"/>
      <c r="AFO178" s="451"/>
      <c r="AFP178" s="451"/>
      <c r="AFQ178" s="451"/>
      <c r="AFR178" s="451"/>
      <c r="AFS178" s="451"/>
      <c r="AFT178" s="451"/>
      <c r="AFU178" s="451"/>
      <c r="AFV178" s="451"/>
      <c r="AFW178" s="451"/>
      <c r="AFX178" s="451"/>
      <c r="AFY178" s="451"/>
      <c r="AFZ178" s="451"/>
      <c r="AGA178" s="451"/>
      <c r="AGB178" s="451"/>
      <c r="AGC178" s="451"/>
      <c r="AGD178" s="451"/>
      <c r="AGE178" s="451"/>
      <c r="AGF178" s="451"/>
      <c r="AGG178" s="451"/>
      <c r="AGH178" s="451"/>
      <c r="AGI178" s="451"/>
      <c r="AGJ178" s="451"/>
      <c r="AGK178" s="451"/>
      <c r="AGL178" s="451"/>
      <c r="AGM178" s="451"/>
      <c r="AGN178" s="451"/>
      <c r="AGO178" s="451"/>
      <c r="AGP178" s="451"/>
      <c r="AGQ178" s="451"/>
      <c r="AGR178" s="451"/>
      <c r="AGS178" s="451"/>
      <c r="AGT178" s="451"/>
      <c r="AGU178" s="451"/>
      <c r="AGV178" s="451"/>
      <c r="AGW178" s="451"/>
      <c r="AGX178" s="451"/>
      <c r="AGY178" s="451"/>
      <c r="AGZ178" s="451"/>
      <c r="AHA178" s="451"/>
      <c r="AHB178" s="451"/>
      <c r="AHC178" s="451"/>
      <c r="AHD178" s="451"/>
      <c r="AHE178" s="451"/>
      <c r="AHF178" s="451"/>
      <c r="AHG178" s="451"/>
      <c r="AHH178" s="451"/>
      <c r="AHI178" s="451"/>
      <c r="AHJ178" s="451"/>
      <c r="AHK178" s="451"/>
      <c r="AHL178" s="451"/>
      <c r="AHM178" s="451"/>
      <c r="AHN178" s="451"/>
      <c r="AHO178" s="451"/>
      <c r="AHP178" s="451"/>
      <c r="AHQ178" s="451"/>
      <c r="AHR178" s="451"/>
      <c r="AHS178" s="451"/>
      <c r="AHT178" s="451"/>
      <c r="AHU178" s="451"/>
      <c r="AHV178" s="451"/>
      <c r="AHW178" s="451"/>
      <c r="AHX178" s="451"/>
      <c r="AHY178" s="451"/>
      <c r="AHZ178" s="451"/>
      <c r="AIA178" s="451"/>
      <c r="AIB178" s="451"/>
      <c r="AIC178" s="451"/>
      <c r="AID178" s="451"/>
      <c r="AIE178" s="451"/>
      <c r="AIF178" s="451"/>
      <c r="AIG178" s="451"/>
      <c r="AIH178" s="451"/>
      <c r="AII178" s="451"/>
      <c r="AIJ178" s="451"/>
      <c r="AIK178" s="451"/>
      <c r="AIL178" s="451"/>
      <c r="AIM178" s="451"/>
      <c r="AIN178" s="451"/>
      <c r="AIO178" s="451"/>
      <c r="AIP178" s="451"/>
      <c r="AIQ178" s="451"/>
      <c r="AIR178" s="451"/>
      <c r="AIS178" s="451"/>
      <c r="AIT178" s="451"/>
      <c r="AIU178" s="451"/>
      <c r="AIV178" s="451"/>
      <c r="AIW178" s="451"/>
      <c r="AIX178" s="451"/>
      <c r="AIY178" s="451"/>
      <c r="AIZ178" s="451"/>
      <c r="AJA178" s="451"/>
      <c r="AJB178" s="451"/>
      <c r="AJC178" s="451"/>
      <c r="AJD178" s="451"/>
      <c r="AJE178" s="451"/>
      <c r="AJF178" s="451"/>
      <c r="AJG178" s="451"/>
      <c r="AJH178" s="451"/>
      <c r="AJI178" s="451"/>
      <c r="AJJ178" s="451"/>
      <c r="AJK178" s="451"/>
      <c r="AJL178" s="451"/>
      <c r="AJM178" s="451"/>
      <c r="AJN178" s="451"/>
      <c r="AJO178" s="451"/>
      <c r="AJP178" s="451"/>
      <c r="AJQ178" s="451"/>
      <c r="AJR178" s="451"/>
      <c r="AJS178" s="451"/>
      <c r="AJT178" s="451"/>
      <c r="AJU178" s="451"/>
      <c r="AJV178" s="451"/>
      <c r="AJW178" s="451"/>
      <c r="AJX178" s="451"/>
      <c r="AJY178" s="451"/>
      <c r="AJZ178" s="451"/>
      <c r="AKA178" s="451"/>
      <c r="AKB178" s="451"/>
      <c r="AKC178" s="451"/>
      <c r="AKD178" s="451"/>
      <c r="AKE178" s="451"/>
      <c r="AKF178" s="451"/>
      <c r="AKG178" s="451"/>
      <c r="AKH178" s="451"/>
      <c r="AKI178" s="451"/>
      <c r="AKJ178" s="451"/>
      <c r="AKK178" s="451"/>
      <c r="AKL178" s="451"/>
      <c r="AKM178" s="451"/>
      <c r="AKN178" s="451"/>
      <c r="AKO178" s="451"/>
      <c r="AKP178" s="451"/>
      <c r="AKQ178" s="451"/>
      <c r="AKR178" s="451"/>
      <c r="AKS178" s="451"/>
      <c r="AKT178" s="451"/>
      <c r="AKU178" s="451"/>
      <c r="AKV178" s="451"/>
      <c r="AKW178" s="451"/>
      <c r="AKX178" s="451"/>
      <c r="AKY178" s="451"/>
      <c r="AKZ178" s="451"/>
      <c r="ALA178" s="451"/>
      <c r="ALB178" s="451"/>
      <c r="ALC178" s="451"/>
      <c r="ALD178" s="451"/>
      <c r="ALE178" s="451"/>
      <c r="ALF178" s="451"/>
      <c r="ALG178" s="451"/>
      <c r="ALH178" s="451"/>
    </row>
    <row r="179" spans="1:996">
      <c r="A179" s="37"/>
      <c r="B179" t="str">
        <f t="shared" si="8"/>
        <v>S215102</v>
      </c>
      <c r="C179" s="29" t="s">
        <v>259</v>
      </c>
      <c r="D179" s="27" t="s">
        <v>128</v>
      </c>
      <c r="E179" s="7">
        <v>215102</v>
      </c>
      <c r="F179" s="48" t="s">
        <v>166</v>
      </c>
      <c r="G179" s="49">
        <f>IFERROR(VLOOKUP(E179,'BD - E - Mvto Cx'!$E$15:$G$500,3,0),0)</f>
        <v>43169.59</v>
      </c>
      <c r="H179" s="51">
        <f>IFERROR(VLOOKUP(E179,'BD - E - Mvto Cx'!$N$15:$P$500,3,0),0)</f>
        <v>9843.09</v>
      </c>
      <c r="I179" s="50">
        <f>IFERROR(VLOOKUP(E179,'BD - E - Mvto Cx'!$W$15:$Y$497,3,0),0)</f>
        <v>10158.49</v>
      </c>
      <c r="J179" s="50">
        <f>IFERROR(VLOOKUP(E179,'BD - E - Mvto Cx'!$AF$15:$AI$500,3,0),0)</f>
        <v>10036.08</v>
      </c>
      <c r="K179" s="50">
        <f>IFERROR(VLOOKUP(E179,'BD - E - Mvto Cx'!$AO$15:$AQ$500,3,0),0)</f>
        <v>0</v>
      </c>
      <c r="L179" s="50">
        <f>IFERROR(VLOOKUP(E179,'BD - E - Mvto Cx'!$AX$15:$AZ$500,3,0),0)</f>
        <v>0</v>
      </c>
      <c r="M179" s="50">
        <f>IFERROR(VLOOKUP(E179,'BD - E - Mvto Cx'!$BJ$15:$BL$500,3,0),0)</f>
        <v>0</v>
      </c>
      <c r="N179" s="50">
        <f>IFERROR(VLOOKUP(E179,'BD - E - Mvto Cx'!$BS$15:$BU$500,3,0),0)</f>
        <v>0</v>
      </c>
      <c r="O179" s="50">
        <f>IFERROR(VLOOKUP(E179,'BD - E - Mvto Cx'!$CB$15:$CD$500,3,0),0)</f>
        <v>0</v>
      </c>
      <c r="P179" s="50">
        <f>IFERROR(VLOOKUP(E179,'BD - E - Mvto Cx'!$CK$15:$CM$500,3,0),0)</f>
        <v>0</v>
      </c>
      <c r="Q179" s="50">
        <f>IFERROR(VLOOKUP(E179,'BD - E - Mvto Cx'!$CT$15:$CV$500,3,0),0)</f>
        <v>0</v>
      </c>
      <c r="R179" s="50">
        <f>IFERROR(VLOOKUP(E179,'BD - E - Mvto Cx'!$DC$15:$DE$500,3,0),0)</f>
        <v>0</v>
      </c>
    </row>
    <row r="180" spans="1:996">
      <c r="A180" s="37"/>
      <c r="B180" t="str">
        <f t="shared" si="8"/>
        <v>S215103</v>
      </c>
      <c r="C180" s="29" t="s">
        <v>258</v>
      </c>
      <c r="D180" s="27" t="s">
        <v>128</v>
      </c>
      <c r="E180" s="7">
        <v>215103</v>
      </c>
      <c r="F180" s="48" t="s">
        <v>167</v>
      </c>
      <c r="G180" s="49">
        <f>IFERROR(VLOOKUP(E180,'BD - E - Mvto Cx'!$E$15:$G$500,3,0),0)</f>
        <v>515714.74</v>
      </c>
      <c r="H180" s="51">
        <f>IFERROR(VLOOKUP(E180,'BD - E - Mvto Cx'!$N$15:$P$500,3,0),0)</f>
        <v>559101.99</v>
      </c>
      <c r="I180" s="50">
        <f>IFERROR(VLOOKUP(E180,'BD - E - Mvto Cx'!$W$15:$Y$497,3,0),0)</f>
        <v>514485.24</v>
      </c>
      <c r="J180" s="50">
        <f>IFERROR(VLOOKUP(E180,'BD - E - Mvto Cx'!$AF$15:$AI$500,3,0),0)</f>
        <v>542205.63</v>
      </c>
      <c r="K180" s="50">
        <f>IFERROR(VLOOKUP(E180,'BD - E - Mvto Cx'!$AO$15:$AQ$500,3,0),0)</f>
        <v>0</v>
      </c>
      <c r="L180" s="50">
        <f>IFERROR(VLOOKUP(E180,'BD - E - Mvto Cx'!$AX$15:$AZ$500,3,0),0)</f>
        <v>0</v>
      </c>
      <c r="M180" s="50">
        <f>IFERROR(VLOOKUP(E180,'BD - E - Mvto Cx'!$BJ$15:$BL$500,3,0),0)</f>
        <v>0</v>
      </c>
      <c r="N180" s="50">
        <f>IFERROR(VLOOKUP(E180,'BD - E - Mvto Cx'!$BS$15:$BU$500,3,0),0)</f>
        <v>0</v>
      </c>
      <c r="O180" s="50">
        <f>IFERROR(VLOOKUP(E180,'BD - E - Mvto Cx'!$CB$15:$CD$500,3,0),0)</f>
        <v>0</v>
      </c>
      <c r="P180" s="50">
        <f>IFERROR(VLOOKUP(E180,'BD - E - Mvto Cx'!$CK$15:$CM$500,3,0),0)</f>
        <v>0</v>
      </c>
      <c r="Q180" s="50">
        <f>IFERROR(VLOOKUP(E180,'BD - E - Mvto Cx'!$CT$15:$CV$500,3,0),0)</f>
        <v>0</v>
      </c>
      <c r="R180" s="50">
        <f>IFERROR(VLOOKUP(E180,'BD - E - Mvto Cx'!$DC$15:$DE$500,3,0),0)</f>
        <v>0</v>
      </c>
    </row>
    <row r="181" spans="1:996">
      <c r="A181" s="37"/>
      <c r="B181" t="str">
        <f t="shared" si="8"/>
        <v>S215108</v>
      </c>
      <c r="C181" s="29" t="s">
        <v>380</v>
      </c>
      <c r="D181" s="27" t="s">
        <v>128</v>
      </c>
      <c r="E181" s="7">
        <v>215108</v>
      </c>
      <c r="F181" s="48" t="s">
        <v>401</v>
      </c>
      <c r="G181" s="49">
        <f>IFERROR(VLOOKUP(E181,'BD - E - Mvto Cx'!$E$15:$G$500,3,0),0)</f>
        <v>404600</v>
      </c>
      <c r="H181" s="51">
        <f>IFERROR(VLOOKUP(E181,'BD - E - Mvto Cx'!$N$15:$P$500,3,0),0)</f>
        <v>260010</v>
      </c>
      <c r="I181" s="50">
        <f>IFERROR(VLOOKUP(E181,'BD - E - Mvto Cx'!$W$15:$Y$497,3,0),0)</f>
        <v>113000</v>
      </c>
      <c r="J181" s="50">
        <f>IFERROR(VLOOKUP(E181,'BD - E - Mvto Cx'!$AF$15:$AI$500,3,0),0)</f>
        <v>77000</v>
      </c>
      <c r="K181" s="50">
        <f>IFERROR(VLOOKUP(E181,'BD - E - Mvto Cx'!$AO$15:$AQ$500,3,0),0)</f>
        <v>0</v>
      </c>
      <c r="L181" s="50">
        <f>IFERROR(VLOOKUP(E181,'BD - E - Mvto Cx'!$AX$15:$AZ$500,3,0),0)</f>
        <v>0</v>
      </c>
      <c r="M181" s="50">
        <f>IFERROR(VLOOKUP(E181,'BD - E - Mvto Cx'!$BJ$15:$BL$500,3,0),0)</f>
        <v>0</v>
      </c>
      <c r="N181" s="50">
        <f>IFERROR(VLOOKUP(E181,'BD - E - Mvto Cx'!$BS$15:$BU$500,3,0),0)</f>
        <v>0</v>
      </c>
      <c r="O181" s="50">
        <f>IFERROR(VLOOKUP(E181,'BD - E - Mvto Cx'!$CB$15:$CD$500,3,0),0)</f>
        <v>0</v>
      </c>
      <c r="P181" s="50">
        <f>IFERROR(VLOOKUP(E181,'BD - E - Mvto Cx'!$CK$15:$CM$500,3,0),0)</f>
        <v>0</v>
      </c>
      <c r="Q181" s="50">
        <f>IFERROR(VLOOKUP(E181,'BD - E - Mvto Cx'!$CT$15:$CV$500,3,0),0)</f>
        <v>0</v>
      </c>
      <c r="R181" s="50">
        <f>IFERROR(VLOOKUP(E181,'BD - E - Mvto Cx'!$DC$15:$DE$500,3,0),0)</f>
        <v>0</v>
      </c>
    </row>
    <row r="182" spans="1:996">
      <c r="A182" s="37"/>
      <c r="B182" t="str">
        <f t="shared" si="8"/>
        <v>S215109</v>
      </c>
      <c r="C182" s="29" t="s">
        <v>340</v>
      </c>
      <c r="D182" s="27" t="s">
        <v>128</v>
      </c>
      <c r="E182" s="7">
        <v>215109</v>
      </c>
      <c r="F182" s="48" t="s">
        <v>168</v>
      </c>
      <c r="G182" s="49">
        <f>IFERROR(VLOOKUP(E182,'BD - E - Mvto Cx'!$E$15:$G$500,3,0),0)</f>
        <v>2916.59</v>
      </c>
      <c r="H182" s="51">
        <f>IFERROR(VLOOKUP(E182,'BD - E - Mvto Cx'!$N$15:$P$500,3,0),0)</f>
        <v>3372.95</v>
      </c>
      <c r="I182" s="50">
        <f>IFERROR(VLOOKUP(E182,'BD - E - Mvto Cx'!$W$15:$Y$497,3,0),0)</f>
        <v>1630.57</v>
      </c>
      <c r="J182" s="50">
        <f>IFERROR(VLOOKUP(E182,'BD - E - Mvto Cx'!$AF$15:$AI$500,3,0),0)</f>
        <v>759.18</v>
      </c>
      <c r="K182" s="50">
        <f>IFERROR(VLOOKUP(E182,'BD - E - Mvto Cx'!$AO$15:$AQ$500,3,0),0)</f>
        <v>0</v>
      </c>
      <c r="L182" s="50">
        <f>IFERROR(VLOOKUP(E182,'BD - E - Mvto Cx'!$AX$15:$AZ$500,3,0),0)</f>
        <v>0</v>
      </c>
      <c r="M182" s="50">
        <f>IFERROR(VLOOKUP(E182,'BD - E - Mvto Cx'!$BJ$15:$BL$500,3,0),0)</f>
        <v>0</v>
      </c>
      <c r="N182" s="50">
        <f>IFERROR(VLOOKUP(E182,'BD - E - Mvto Cx'!$BS$15:$BU$500,3,0),0)</f>
        <v>0</v>
      </c>
      <c r="O182" s="50">
        <f>IFERROR(VLOOKUP(E182,'BD - E - Mvto Cx'!$CB$15:$CD$500,3,0),0)</f>
        <v>0</v>
      </c>
      <c r="P182" s="50">
        <f>IFERROR(VLOOKUP(E182,'BD - E - Mvto Cx'!$CK$15:$CM$500,3,0),0)</f>
        <v>0</v>
      </c>
      <c r="Q182" s="50">
        <f>IFERROR(VLOOKUP(E182,'BD - E - Mvto Cx'!$CT$15:$CV$500,3,0),0)</f>
        <v>0</v>
      </c>
      <c r="R182" s="50">
        <f>IFERROR(VLOOKUP(E182,'BD - E - Mvto Cx'!$DC$15:$DE$500,3,0),0)</f>
        <v>0</v>
      </c>
    </row>
    <row r="183" spans="1:996">
      <c r="A183" s="37"/>
      <c r="B183" t="str">
        <f t="shared" si="8"/>
        <v>S215110</v>
      </c>
      <c r="C183" s="29" t="s">
        <v>421</v>
      </c>
      <c r="D183" s="27" t="s">
        <v>128</v>
      </c>
      <c r="E183" s="7">
        <v>215110</v>
      </c>
      <c r="F183" s="48" t="s">
        <v>169</v>
      </c>
      <c r="G183" s="49">
        <f>IFERROR(VLOOKUP(E183,'BD - E - Mvto Cx'!$E$15:$G$500,3,0),0)</f>
        <v>1373.61</v>
      </c>
      <c r="H183" s="51">
        <f>IFERROR(VLOOKUP(E183,'BD - E - Mvto Cx'!$N$15:$P$500,3,0),0)</f>
        <v>0</v>
      </c>
      <c r="I183" s="50">
        <f>IFERROR(VLOOKUP(E183,'BD - E - Mvto Cx'!$W$15:$Y$497,3,0),0)</f>
        <v>0</v>
      </c>
      <c r="J183" s="50">
        <f>IFERROR(VLOOKUP(E183,'BD - E - Mvto Cx'!$AF$15:$AI$500,3,0),0)</f>
        <v>0</v>
      </c>
      <c r="K183" s="50">
        <f>IFERROR(VLOOKUP(E183,'BD - E - Mvto Cx'!$AO$15:$AQ$500,3,0),0)</f>
        <v>0</v>
      </c>
      <c r="L183" s="50">
        <f>IFERROR(VLOOKUP(E183,'BD - E - Mvto Cx'!$AX$15:$AZ$500,3,0),0)</f>
        <v>0</v>
      </c>
      <c r="M183" s="50">
        <f>IFERROR(VLOOKUP(E183,'BD - E - Mvto Cx'!$BJ$15:$BL$500,3,0),0)</f>
        <v>0</v>
      </c>
      <c r="N183" s="50">
        <f>IFERROR(VLOOKUP(E183,'BD - E - Mvto Cx'!$BS$15:$BU$500,3,0),0)</f>
        <v>0</v>
      </c>
      <c r="O183" s="50">
        <f>IFERROR(VLOOKUP(E183,'BD - E - Mvto Cx'!$CB$15:$CD$500,3,0),0)</f>
        <v>0</v>
      </c>
      <c r="P183" s="50">
        <f>IFERROR(VLOOKUP(E183,'BD - E - Mvto Cx'!$CK$15:$CM$500,3,0),0)</f>
        <v>0</v>
      </c>
      <c r="Q183" s="50">
        <f>IFERROR(VLOOKUP(E183,'BD - E - Mvto Cx'!$CT$15:$CV$500,3,0),0)</f>
        <v>0</v>
      </c>
      <c r="R183" s="50">
        <f>IFERROR(VLOOKUP(E183,'BD - E - Mvto Cx'!$DC$15:$DE$500,3,0),0)</f>
        <v>0</v>
      </c>
    </row>
    <row r="184" spans="1:996">
      <c r="A184" s="37"/>
      <c r="B184" t="str">
        <f t="shared" si="8"/>
        <v>S215111</v>
      </c>
      <c r="C184" s="29" t="s">
        <v>356</v>
      </c>
      <c r="D184" s="27" t="s">
        <v>128</v>
      </c>
      <c r="E184" s="7">
        <v>215111</v>
      </c>
      <c r="F184" s="48" t="s">
        <v>464</v>
      </c>
      <c r="G184" s="49">
        <f>IFERROR(VLOOKUP(E184,'BD - E - Mvto Cx'!$E$15:$G$500,3,0),0)</f>
        <v>0</v>
      </c>
      <c r="H184" s="51">
        <f>IFERROR(VLOOKUP(E184,'BD - E - Mvto Cx'!$N$15:$P$500,3,0),0)</f>
        <v>0</v>
      </c>
      <c r="I184" s="50">
        <f>IFERROR(VLOOKUP(E184,'BD - E - Mvto Cx'!$W$15:$Y$497,3,0),0)</f>
        <v>0</v>
      </c>
      <c r="J184" s="50">
        <f>IFERROR(VLOOKUP(E184,'BD - E - Mvto Cx'!$AF$15:$AI$500,3,0),0)</f>
        <v>0</v>
      </c>
      <c r="K184" s="50">
        <f>IFERROR(VLOOKUP(E184,'BD - E - Mvto Cx'!$AO$15:$AQ$500,3,0),0)</f>
        <v>0</v>
      </c>
      <c r="L184" s="50">
        <f>IFERROR(VLOOKUP(E184,'BD - E - Mvto Cx'!$AX$15:$AZ$500,3,0),0)</f>
        <v>0</v>
      </c>
      <c r="M184" s="50">
        <f>IFERROR(VLOOKUP(E184,'BD - E - Mvto Cx'!$BJ$15:$BL$500,3,0),0)</f>
        <v>0</v>
      </c>
      <c r="N184" s="50">
        <f>IFERROR(VLOOKUP(E184,'BD - E - Mvto Cx'!$BS$15:$BU$500,3,0),0)</f>
        <v>0</v>
      </c>
      <c r="O184" s="50">
        <f>IFERROR(VLOOKUP(E184,'BD - E - Mvto Cx'!$CB$15:$CD$500,3,0),0)</f>
        <v>0</v>
      </c>
      <c r="P184" s="50">
        <f>IFERROR(VLOOKUP(E184,'BD - E - Mvto Cx'!$CK$15:$CM$500,3,0),0)</f>
        <v>0</v>
      </c>
      <c r="Q184" s="50">
        <f>IFERROR(VLOOKUP(E184,'BD - E - Mvto Cx'!$CT$15:$CV$500,3,0),0)</f>
        <v>0</v>
      </c>
      <c r="R184" s="50">
        <f>IFERROR(VLOOKUP(E184,'BD - E - Mvto Cx'!$DC$15:$DE$500,3,0),0)</f>
        <v>0</v>
      </c>
    </row>
    <row r="185" spans="1:996">
      <c r="A185" s="37"/>
      <c r="B185" t="str">
        <f t="shared" si="8"/>
        <v>S215302</v>
      </c>
      <c r="C185" s="29" t="s">
        <v>356</v>
      </c>
      <c r="D185" s="27" t="s">
        <v>128</v>
      </c>
      <c r="E185" s="7">
        <v>215302</v>
      </c>
      <c r="F185" s="48" t="s">
        <v>170</v>
      </c>
      <c r="G185" s="49">
        <f>IFERROR(VLOOKUP(E185,'BD - E - Mvto Cx'!$E$15:$G$500,3,0),0)</f>
        <v>1280.29</v>
      </c>
      <c r="H185" s="51">
        <f>IFERROR(VLOOKUP(E185,'BD - E - Mvto Cx'!$N$15:$P$500,3,0),0)</f>
        <v>688.64</v>
      </c>
      <c r="I185" s="50">
        <f>IFERROR(VLOOKUP(E185,'BD - E - Mvto Cx'!$W$15:$Y$497,3,0),0)</f>
        <v>234.92</v>
      </c>
      <c r="J185" s="50">
        <f>IFERROR(VLOOKUP(E185,'BD - E - Mvto Cx'!$AF$15:$AI$500,3,0),0)</f>
        <v>216.79</v>
      </c>
      <c r="K185" s="50">
        <f>IFERROR(VLOOKUP(E185,'BD - E - Mvto Cx'!$AO$15:$AQ$500,3,0),0)</f>
        <v>0</v>
      </c>
      <c r="L185" s="50">
        <f>IFERROR(VLOOKUP(E185,'BD - E - Mvto Cx'!$AX$15:$AZ$500,3,0),0)</f>
        <v>0</v>
      </c>
      <c r="M185" s="50">
        <f>IFERROR(VLOOKUP(E185,'BD - E - Mvto Cx'!$BJ$15:$BL$500,3,0),0)</f>
        <v>0</v>
      </c>
      <c r="N185" s="50">
        <f>IFERROR(VLOOKUP(E185,'BD - E - Mvto Cx'!$BS$15:$BU$500,3,0),0)</f>
        <v>0</v>
      </c>
      <c r="O185" s="50">
        <f>IFERROR(VLOOKUP(E185,'BD - E - Mvto Cx'!$CB$15:$CD$500,3,0),0)</f>
        <v>0</v>
      </c>
      <c r="P185" s="50">
        <f>IFERROR(VLOOKUP(E185,'BD - E - Mvto Cx'!$CK$15:$CM$500,3,0),0)</f>
        <v>0</v>
      </c>
      <c r="Q185" s="50">
        <f>IFERROR(VLOOKUP(E185,'BD - E - Mvto Cx'!$CT$15:$CV$500,3,0),0)</f>
        <v>0</v>
      </c>
      <c r="R185" s="50">
        <f>IFERROR(VLOOKUP(E185,'BD - E - Mvto Cx'!$DC$15:$DE$500,3,0),0)</f>
        <v>0</v>
      </c>
    </row>
    <row r="186" spans="1:996" ht="15.75" customHeight="1">
      <c r="A186" s="37"/>
      <c r="B186" t="str">
        <f t="shared" si="8"/>
        <v>S215304</v>
      </c>
      <c r="C186" s="29" t="s">
        <v>228</v>
      </c>
      <c r="D186" s="27" t="s">
        <v>128</v>
      </c>
      <c r="E186" s="7">
        <v>215304</v>
      </c>
      <c r="F186" s="48" t="s">
        <v>171</v>
      </c>
      <c r="G186" s="49">
        <f>IFERROR(VLOOKUP(E186,'BD - E - Mvto Cx'!$E$15:$G$500,3,0),0)</f>
        <v>410.32</v>
      </c>
      <c r="H186" s="51">
        <f>IFERROR(VLOOKUP(E186,'BD - E - Mvto Cx'!$N$15:$P$500,3,0),0)</f>
        <v>395.51</v>
      </c>
      <c r="I186" s="50">
        <f>IFERROR(VLOOKUP(E186,'BD - E - Mvto Cx'!$W$15:$Y$497,3,0),0)</f>
        <v>83.5</v>
      </c>
      <c r="J186" s="50">
        <f>IFERROR(VLOOKUP(E186,'BD - E - Mvto Cx'!$AF$15:$AI$500,3,0),0)</f>
        <v>0</v>
      </c>
      <c r="K186" s="50">
        <f>IFERROR(VLOOKUP(E186,'BD - E - Mvto Cx'!$AO$15:$AQ$500,3,0),0)</f>
        <v>0</v>
      </c>
      <c r="L186" s="50">
        <f>IFERROR(VLOOKUP(E186,'BD - E - Mvto Cx'!$AX$15:$AZ$500,3,0),0)</f>
        <v>0</v>
      </c>
      <c r="M186" s="50">
        <f>IFERROR(VLOOKUP(E186,'BD - E - Mvto Cx'!$BJ$15:$BL$500,3,0),0)</f>
        <v>0</v>
      </c>
      <c r="N186" s="50">
        <f>IFERROR(VLOOKUP(E186,'BD - E - Mvto Cx'!$BS$15:$BU$500,3,0),0)</f>
        <v>0</v>
      </c>
      <c r="O186" s="50">
        <f>IFERROR(VLOOKUP(E186,'BD - E - Mvto Cx'!$CB$15:$CD$500,3,0),0)</f>
        <v>0</v>
      </c>
      <c r="P186" s="50">
        <f>IFERROR(VLOOKUP(E186,'BD - E - Mvto Cx'!$CK$15:$CM$500,3,0),0)</f>
        <v>0</v>
      </c>
      <c r="Q186" s="50">
        <f>IFERROR(VLOOKUP(E186,'BD - E - Mvto Cx'!$CT$15:$CV$500,3,0),0)</f>
        <v>0</v>
      </c>
      <c r="R186" s="50">
        <f>IFERROR(VLOOKUP(E186,'BD - E - Mvto Cx'!$DC$15:$DE$500,3,0),0)</f>
        <v>0</v>
      </c>
    </row>
    <row r="187" spans="1:996">
      <c r="A187" s="37"/>
      <c r="B187" t="str">
        <f t="shared" si="8"/>
        <v>S215323</v>
      </c>
      <c r="C187" s="29" t="s">
        <v>228</v>
      </c>
      <c r="D187" s="27" t="s">
        <v>128</v>
      </c>
      <c r="E187" s="7">
        <v>215323</v>
      </c>
      <c r="F187" s="48" t="s">
        <v>272</v>
      </c>
      <c r="G187" s="49">
        <f>IFERROR(VLOOKUP(E187,'BD - E - Mvto Cx'!$E$15:$G$500,3,0),0)</f>
        <v>0</v>
      </c>
      <c r="H187" s="51">
        <f>IFERROR(VLOOKUP(E187,'BD - E - Mvto Cx'!$N$15:$P$500,3,0),0)</f>
        <v>0</v>
      </c>
      <c r="I187" s="50">
        <f>IFERROR(VLOOKUP(E187,'BD - E - Mvto Cx'!$W$15:$Y$497,3,0),0)</f>
        <v>316436.84999999998</v>
      </c>
      <c r="J187" s="50">
        <f>IFERROR(VLOOKUP(E187,'BD - E - Mvto Cx'!$AF$15:$AI$500,3,0),0)</f>
        <v>0</v>
      </c>
      <c r="K187" s="50">
        <f>IFERROR(VLOOKUP(E187,'BD - E - Mvto Cx'!$AO$15:$AQ$500,3,0),0)</f>
        <v>0</v>
      </c>
      <c r="L187" s="50">
        <f>IFERROR(VLOOKUP(E187,'BD - E - Mvto Cx'!$AX$15:$AZ$500,3,0),0)</f>
        <v>0</v>
      </c>
      <c r="M187" s="50">
        <f>IFERROR(VLOOKUP(E187,'BD - E - Mvto Cx'!$BJ$15:$BL$500,3,0),0)</f>
        <v>0</v>
      </c>
      <c r="N187" s="50">
        <f>IFERROR(VLOOKUP(E187,'BD - E - Mvto Cx'!$BS$15:$BU$500,3,0),0)</f>
        <v>0</v>
      </c>
      <c r="O187" s="50">
        <f>IFERROR(VLOOKUP(E187,'BD - E - Mvto Cx'!$CB$15:$CD$500,3,0),0)</f>
        <v>0</v>
      </c>
      <c r="P187" s="50">
        <f>IFERROR(VLOOKUP(E187,'BD - E - Mvto Cx'!$CK$15:$CM$500,3,0),0)</f>
        <v>0</v>
      </c>
      <c r="Q187" s="50">
        <f>IFERROR(VLOOKUP(E187,'BD - E - Mvto Cx'!$CT$15:$CV$500,3,0),0)</f>
        <v>0</v>
      </c>
      <c r="R187" s="50">
        <f>IFERROR(VLOOKUP(E187,'BD - E - Mvto Cx'!$DC$15:$DE$500,3,0),0)</f>
        <v>0</v>
      </c>
    </row>
    <row r="188" spans="1:996">
      <c r="A188" s="37"/>
      <c r="B188" t="str">
        <f t="shared" si="8"/>
        <v>S215326</v>
      </c>
      <c r="C188" s="29" t="s">
        <v>228</v>
      </c>
      <c r="D188" s="27" t="s">
        <v>128</v>
      </c>
      <c r="E188" s="7">
        <v>215326</v>
      </c>
      <c r="F188" s="48" t="s">
        <v>465</v>
      </c>
      <c r="G188" s="49">
        <f>IFERROR(VLOOKUP(E188,'BD - E - Mvto Cx'!$E$15:$G$500,3,0),0)</f>
        <v>0</v>
      </c>
      <c r="H188" s="51">
        <f>IFERROR(VLOOKUP(E188,'BD - E - Mvto Cx'!$N$15:$P$500,3,0),0)</f>
        <v>0</v>
      </c>
      <c r="I188" s="50">
        <f>IFERROR(VLOOKUP(E188,'BD - E - Mvto Cx'!$W$15:$Y$497,3,0),0)</f>
        <v>0</v>
      </c>
      <c r="J188" s="50">
        <f>IFERROR(VLOOKUP(E188,'BD - E - Mvto Cx'!$AF$15:$AI$500,3,0),0)</f>
        <v>0</v>
      </c>
      <c r="K188" s="50">
        <f>IFERROR(VLOOKUP(E188,'BD - E - Mvto Cx'!$AO$15:$AQ$500,3,0),0)</f>
        <v>0</v>
      </c>
      <c r="L188" s="50">
        <f>IFERROR(VLOOKUP(E188,'BD - E - Mvto Cx'!$AX$15:$AZ$500,3,0),0)</f>
        <v>0</v>
      </c>
      <c r="M188" s="50">
        <f>IFERROR(VLOOKUP(E188,'BD - E - Mvto Cx'!$BJ$15:$BL$500,3,0),0)</f>
        <v>0</v>
      </c>
      <c r="N188" s="50">
        <f>IFERROR(VLOOKUP(E188,'BD - E - Mvto Cx'!$BS$15:$BU$500,3,0),0)</f>
        <v>0</v>
      </c>
      <c r="O188" s="50">
        <f>IFERROR(VLOOKUP(E188,'BD - E - Mvto Cx'!$CB$15:$CD$500,3,0),0)</f>
        <v>0</v>
      </c>
      <c r="P188" s="50">
        <f>IFERROR(VLOOKUP(E188,'BD - E - Mvto Cx'!$CK$15:$CM$500,3,0),0)</f>
        <v>0</v>
      </c>
      <c r="Q188" s="50">
        <f>IFERROR(VLOOKUP(E188,'BD - E - Mvto Cx'!$CT$15:$CV$500,3,0),0)</f>
        <v>0</v>
      </c>
      <c r="R188" s="50">
        <f>IFERROR(VLOOKUP(E188,'BD - E - Mvto Cx'!$DC$15:$DE$500,3,0),0)</f>
        <v>0</v>
      </c>
    </row>
    <row r="189" spans="1:996">
      <c r="A189" s="37"/>
      <c r="B189" t="str">
        <f t="shared" si="8"/>
        <v>S215331</v>
      </c>
      <c r="C189" s="29" t="s">
        <v>228</v>
      </c>
      <c r="D189" s="27" t="s">
        <v>128</v>
      </c>
      <c r="E189" s="7">
        <v>215331</v>
      </c>
      <c r="F189" s="48" t="s">
        <v>172</v>
      </c>
      <c r="G189" s="49">
        <f>IFERROR(VLOOKUP(E189,'BD - E - Mvto Cx'!$E$15:$G$500,3,0),0)</f>
        <v>0</v>
      </c>
      <c r="H189" s="51">
        <f>IFERROR(VLOOKUP(E189,'BD - E - Mvto Cx'!$N$15:$P$500,3,0),0)</f>
        <v>0</v>
      </c>
      <c r="I189" s="50">
        <f>IFERROR(VLOOKUP(E189,'BD - E - Mvto Cx'!$W$15:$Y$497,3,0),0)</f>
        <v>285.42</v>
      </c>
      <c r="J189" s="50">
        <f>IFERROR(VLOOKUP(E189,'BD - E - Mvto Cx'!$AF$15:$AI$500,3,0),0)</f>
        <v>0</v>
      </c>
      <c r="K189" s="50">
        <f>IFERROR(VLOOKUP(E189,'BD - E - Mvto Cx'!$AO$15:$AQ$500,3,0),0)</f>
        <v>0</v>
      </c>
      <c r="L189" s="50">
        <f>IFERROR(VLOOKUP(E189,'BD - E - Mvto Cx'!$AX$15:$AZ$500,3,0),0)</f>
        <v>0</v>
      </c>
      <c r="M189" s="50">
        <f>IFERROR(VLOOKUP(E189,'BD - E - Mvto Cx'!$BJ$15:$BL$500,3,0),0)</f>
        <v>0</v>
      </c>
      <c r="N189" s="50">
        <f>IFERROR(VLOOKUP(E189,'BD - E - Mvto Cx'!$BS$15:$BU$500,3,0),0)</f>
        <v>0</v>
      </c>
      <c r="O189" s="50">
        <f>IFERROR(VLOOKUP(E189,'BD - E - Mvto Cx'!$CB$15:$CD$500,3,0),0)</f>
        <v>0</v>
      </c>
      <c r="P189" s="50">
        <f>IFERROR(VLOOKUP(E189,'BD - E - Mvto Cx'!$CK$15:$CM$500,3,0),0)</f>
        <v>0</v>
      </c>
      <c r="Q189" s="50">
        <f>IFERROR(VLOOKUP(E189,'BD - E - Mvto Cx'!$CT$15:$CV$500,3,0),0)</f>
        <v>0</v>
      </c>
      <c r="R189" s="50">
        <f>IFERROR(VLOOKUP(E189,'BD - E - Mvto Cx'!$DC$15:$DE$500,3,0),0)</f>
        <v>0</v>
      </c>
    </row>
    <row r="190" spans="1:996">
      <c r="A190" s="37"/>
      <c r="B190" t="str">
        <f t="shared" si="8"/>
        <v>S215332</v>
      </c>
      <c r="C190" s="29" t="s">
        <v>228</v>
      </c>
      <c r="D190" s="27" t="s">
        <v>128</v>
      </c>
      <c r="E190" s="7">
        <v>215332</v>
      </c>
      <c r="F190" s="48" t="s">
        <v>173</v>
      </c>
      <c r="G190" s="49">
        <f>IFERROR(VLOOKUP(E190,'BD - E - Mvto Cx'!$E$15:$G$500,3,0),0)</f>
        <v>803.16</v>
      </c>
      <c r="H190" s="51">
        <f>IFERROR(VLOOKUP(E190,'BD - E - Mvto Cx'!$N$15:$P$500,3,0),0)</f>
        <v>340.7</v>
      </c>
      <c r="I190" s="50">
        <f>IFERROR(VLOOKUP(E190,'BD - E - Mvto Cx'!$W$15:$Y$497,3,0),0)</f>
        <v>1072.81</v>
      </c>
      <c r="J190" s="50">
        <f>IFERROR(VLOOKUP(E190,'BD - E - Mvto Cx'!$AF$15:$AI$500,3,0),0)</f>
        <v>927.46</v>
      </c>
      <c r="K190" s="50">
        <f>IFERROR(VLOOKUP(E190,'BD - E - Mvto Cx'!$AO$15:$AQ$500,3,0),0)</f>
        <v>0</v>
      </c>
      <c r="L190" s="50">
        <f>IFERROR(VLOOKUP(E190,'BD - E - Mvto Cx'!$AX$15:$AZ$500,3,0),0)</f>
        <v>0</v>
      </c>
      <c r="M190" s="50">
        <f>IFERROR(VLOOKUP(E190,'BD - E - Mvto Cx'!$BJ$15:$BL$500,3,0),0)</f>
        <v>0</v>
      </c>
      <c r="N190" s="50">
        <f>IFERROR(VLOOKUP(E190,'BD - E - Mvto Cx'!$BS$15:$BU$500,3,0),0)</f>
        <v>0</v>
      </c>
      <c r="O190" s="50">
        <f>IFERROR(VLOOKUP(E190,'BD - E - Mvto Cx'!$CB$15:$CD$500,3,0),0)</f>
        <v>0</v>
      </c>
      <c r="P190" s="50">
        <f>IFERROR(VLOOKUP(E190,'BD - E - Mvto Cx'!$CK$15:$CM$500,3,0),0)</f>
        <v>0</v>
      </c>
      <c r="Q190" s="50">
        <f>IFERROR(VLOOKUP(E190,'BD - E - Mvto Cx'!$CT$15:$CV$500,3,0),0)</f>
        <v>0</v>
      </c>
      <c r="R190" s="50">
        <f>IFERROR(VLOOKUP(E190,'BD - E - Mvto Cx'!$DC$15:$DE$500,3,0),0)</f>
        <v>0</v>
      </c>
    </row>
    <row r="191" spans="1:996">
      <c r="A191" s="37"/>
      <c r="B191" t="str">
        <f t="shared" si="8"/>
        <v>S215390</v>
      </c>
      <c r="C191" s="7" t="s">
        <v>378</v>
      </c>
      <c r="D191" s="27" t="s">
        <v>128</v>
      </c>
      <c r="E191" s="7">
        <v>215390</v>
      </c>
      <c r="F191" s="48" t="s">
        <v>174</v>
      </c>
      <c r="G191" s="49">
        <f>IFERROR(VLOOKUP(E191,'BD - E - Mvto Cx'!$E$15:$G$500,3,0),0)</f>
        <v>294089.14</v>
      </c>
      <c r="H191" s="51">
        <f>IFERROR(VLOOKUP(E191,'BD - E - Mvto Cx'!$N$15:$P$500,3,0),0)</f>
        <v>589071.96</v>
      </c>
      <c r="I191" s="50">
        <f>IFERROR(VLOOKUP(E191,'BD - E - Mvto Cx'!$W$15:$Y$497,3,0),0)</f>
        <v>529551.65</v>
      </c>
      <c r="J191" s="50">
        <f>IFERROR(VLOOKUP(E191,'BD - E - Mvto Cx'!$AF$15:$AI$500,3,0),0)</f>
        <v>301091.51</v>
      </c>
      <c r="K191" s="50">
        <f>IFERROR(VLOOKUP(E191,'BD - E - Mvto Cx'!$AO$15:$AQ$500,3,0),0)</f>
        <v>0</v>
      </c>
      <c r="L191" s="50">
        <f>IFERROR(VLOOKUP(E191,'BD - E - Mvto Cx'!$AX$15:$AZ$500,3,0),0)</f>
        <v>0</v>
      </c>
      <c r="M191" s="50">
        <f>IFERROR(VLOOKUP(E191,'BD - E - Mvto Cx'!$BJ$15:$BL$500,3,0),0)</f>
        <v>0</v>
      </c>
      <c r="N191" s="50">
        <f>IFERROR(VLOOKUP(E191,'BD - E - Mvto Cx'!$BS$15:$BU$500,3,0),0)</f>
        <v>0</v>
      </c>
      <c r="O191" s="50">
        <f>IFERROR(VLOOKUP(E191,'BD - E - Mvto Cx'!$CB$15:$CD$500,3,0),0)</f>
        <v>0</v>
      </c>
      <c r="P191" s="50">
        <f>IFERROR(VLOOKUP(E191,'BD - E - Mvto Cx'!$CK$15:$CM$500,3,0),0)</f>
        <v>0</v>
      </c>
      <c r="Q191" s="50">
        <f>IFERROR(VLOOKUP(E191,'BD - E - Mvto Cx'!$CT$15:$CV$500,3,0),0)</f>
        <v>0</v>
      </c>
      <c r="R191" s="50">
        <f>IFERROR(VLOOKUP(E191,'BD - E - Mvto Cx'!$DC$15:$DE$500,3,0),0)</f>
        <v>0</v>
      </c>
    </row>
    <row r="192" spans="1:996">
      <c r="A192" s="37"/>
      <c r="B192" t="str">
        <f t="shared" si="8"/>
        <v>S215391</v>
      </c>
      <c r="C192" s="7" t="s">
        <v>378</v>
      </c>
      <c r="D192" s="27" t="s">
        <v>128</v>
      </c>
      <c r="E192" s="7">
        <v>215391</v>
      </c>
      <c r="F192" s="48" t="s">
        <v>175</v>
      </c>
      <c r="G192" s="49">
        <f>IFERROR(VLOOKUP(E192,'BD - E - Mvto Cx'!$E$15:$G$500,3,0),0)</f>
        <v>114661.99</v>
      </c>
      <c r="H192" s="51">
        <f>IFERROR(VLOOKUP(E192,'BD - E - Mvto Cx'!$N$15:$P$500,3,0),0)</f>
        <v>115860.54</v>
      </c>
      <c r="I192" s="50">
        <f>IFERROR(VLOOKUP(E192,'BD - E - Mvto Cx'!$W$15:$Y$497,3,0),0)</f>
        <v>112229.37</v>
      </c>
      <c r="J192" s="50">
        <f>IFERROR(VLOOKUP(E192,'BD - E - Mvto Cx'!$AF$15:$AI$500,3,0),0)</f>
        <v>160351.53</v>
      </c>
      <c r="K192" s="50">
        <f>IFERROR(VLOOKUP(E192,'BD - E - Mvto Cx'!$AO$15:$AQ$500,3,0),0)</f>
        <v>0</v>
      </c>
      <c r="L192" s="50">
        <f>IFERROR(VLOOKUP(E192,'BD - E - Mvto Cx'!$AX$15:$AZ$500,3,0),0)</f>
        <v>0</v>
      </c>
      <c r="M192" s="50">
        <f>IFERROR(VLOOKUP(E192,'BD - E - Mvto Cx'!$BJ$15:$BL$500,3,0),0)</f>
        <v>0</v>
      </c>
      <c r="N192" s="50">
        <f>IFERROR(VLOOKUP(E192,'BD - E - Mvto Cx'!$BS$15:$BU$500,3,0),0)</f>
        <v>0</v>
      </c>
      <c r="O192" s="50">
        <f>IFERROR(VLOOKUP(E192,'BD - E - Mvto Cx'!$CB$15:$CD$500,3,0),0)</f>
        <v>0</v>
      </c>
      <c r="P192" s="50">
        <f>IFERROR(VLOOKUP(E192,'BD - E - Mvto Cx'!$CK$15:$CM$500,3,0),0)</f>
        <v>0</v>
      </c>
      <c r="Q192" s="50">
        <f>IFERROR(VLOOKUP(E192,'BD - E - Mvto Cx'!$CT$15:$CV$500,3,0),0)</f>
        <v>0</v>
      </c>
      <c r="R192" s="50">
        <f>IFERROR(VLOOKUP(E192,'BD - E - Mvto Cx'!$DC$15:$DE$500,3,0),0)</f>
        <v>0</v>
      </c>
    </row>
    <row r="193" spans="1:996">
      <c r="A193" s="37"/>
      <c r="B193" t="str">
        <f t="shared" si="8"/>
        <v>S215392</v>
      </c>
      <c r="C193" s="7" t="s">
        <v>378</v>
      </c>
      <c r="D193" s="27" t="s">
        <v>128</v>
      </c>
      <c r="E193" s="7">
        <v>215392</v>
      </c>
      <c r="F193" s="48" t="s">
        <v>176</v>
      </c>
      <c r="G193" s="49">
        <f>IFERROR(VLOOKUP(E193,'BD - E - Mvto Cx'!$E$15:$G$500,3,0),0)</f>
        <v>409853.06</v>
      </c>
      <c r="H193" s="51">
        <f>IFERROR(VLOOKUP(E193,'BD - E - Mvto Cx'!$N$15:$P$500,3,0),0)</f>
        <v>846455.96</v>
      </c>
      <c r="I193" s="50">
        <f>IFERROR(VLOOKUP(E193,'BD - E - Mvto Cx'!$W$15:$Y$497,3,0),0)</f>
        <v>373003.69</v>
      </c>
      <c r="J193" s="50">
        <f>IFERROR(VLOOKUP(E193,'BD - E - Mvto Cx'!$AF$15:$AI$500,3,0),0)</f>
        <v>465817.29</v>
      </c>
      <c r="K193" s="50">
        <f>IFERROR(VLOOKUP(E193,'BD - E - Mvto Cx'!$AO$15:$AQ$500,3,0),0)</f>
        <v>0</v>
      </c>
      <c r="L193" s="50">
        <f>IFERROR(VLOOKUP(E193,'BD - E - Mvto Cx'!$AX$15:$AZ$500,3,0),0)</f>
        <v>0</v>
      </c>
      <c r="M193" s="50">
        <f>IFERROR(VLOOKUP(E193,'BD - E - Mvto Cx'!$BJ$15:$BL$500,3,0),0)</f>
        <v>0</v>
      </c>
      <c r="N193" s="50">
        <f>IFERROR(VLOOKUP(E193,'BD - E - Mvto Cx'!$BS$15:$BU$500,3,0),0)</f>
        <v>0</v>
      </c>
      <c r="O193" s="50">
        <f>IFERROR(VLOOKUP(E193,'BD - E - Mvto Cx'!$CB$15:$CD$500,3,0),0)</f>
        <v>0</v>
      </c>
      <c r="P193" s="50">
        <f>IFERROR(VLOOKUP(E193,'BD - E - Mvto Cx'!$CK$15:$CM$500,3,0),0)</f>
        <v>0</v>
      </c>
      <c r="Q193" s="50">
        <f>IFERROR(VLOOKUP(E193,'BD - E - Mvto Cx'!$CT$15:$CV$500,3,0),0)</f>
        <v>0</v>
      </c>
      <c r="R193" s="50">
        <f>IFERROR(VLOOKUP(E193,'BD - E - Mvto Cx'!$DC$15:$DE$500,3,0),0)</f>
        <v>0</v>
      </c>
    </row>
    <row r="194" spans="1:996" s="75" customFormat="1">
      <c r="A194" s="104"/>
      <c r="B194" s="75" t="str">
        <f t="shared" si="8"/>
        <v>S215393</v>
      </c>
      <c r="C194" s="75" t="s">
        <v>378</v>
      </c>
      <c r="D194" s="27" t="s">
        <v>128</v>
      </c>
      <c r="E194" s="75">
        <v>215393</v>
      </c>
      <c r="F194" s="105" t="s">
        <v>535</v>
      </c>
      <c r="G194" s="74">
        <f>IFERROR(VLOOKUP(E194,'BD - E - Mvto Cx'!$E$15:$G$500,3,0),0)</f>
        <v>23000</v>
      </c>
      <c r="H194" s="72">
        <f>IFERROR(VLOOKUP(E194,'BD - E - Mvto Cx'!$N$15:$P$500,3,0),0)</f>
        <v>0</v>
      </c>
      <c r="I194" s="73">
        <f>IFERROR(VLOOKUP(E194,'BD - E - Mvto Cx'!$W$15:$Y$497,3,0),0)</f>
        <v>46000</v>
      </c>
      <c r="J194" s="73">
        <f>IFERROR(VLOOKUP(E194,'BD - E - Mvto Cx'!$AF$15:$AI$500,3,0),0)</f>
        <v>876920.2</v>
      </c>
      <c r="K194" s="73">
        <f>IFERROR(VLOOKUP(E194,'BD - E - Mvto Cx'!$AO$15:$AQ$500,3,0),0)</f>
        <v>0</v>
      </c>
      <c r="L194" s="73">
        <f>IFERROR(VLOOKUP(E194,'BD - E - Mvto Cx'!$AX$15:$AZ$500,3,0),0)</f>
        <v>0</v>
      </c>
      <c r="M194" s="73">
        <f>IFERROR(VLOOKUP(E194,'BD - E - Mvto Cx'!$BJ$15:$BL$500,3,0),0)</f>
        <v>0</v>
      </c>
      <c r="N194" s="73">
        <f>IFERROR(VLOOKUP(E194,'BD - E - Mvto Cx'!$BS$15:$BU$500,3,0),0)</f>
        <v>0</v>
      </c>
      <c r="O194" s="73">
        <f>IFERROR(VLOOKUP(E194,'BD - E - Mvto Cx'!$CB$15:$CD$500,3,0),0)</f>
        <v>0</v>
      </c>
      <c r="P194" s="73">
        <f>IFERROR(VLOOKUP(E194,'BD - E - Mvto Cx'!$CK$15:$CM$500,3,0),0)</f>
        <v>0</v>
      </c>
      <c r="Q194" s="73">
        <f>IFERROR(VLOOKUP(E194,'BD - E - Mvto Cx'!$CT$15:$CV$500,3,0),0)</f>
        <v>0</v>
      </c>
      <c r="R194" s="73">
        <f>IFERROR(VLOOKUP(E194,'BD - E - Mvto Cx'!$DC$15:$DE$500,3,0),0)</f>
        <v>0</v>
      </c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  <c r="CH194" s="106"/>
      <c r="CI194" s="106"/>
      <c r="CJ194" s="106"/>
      <c r="CK194" s="106"/>
      <c r="CL194" s="106"/>
      <c r="CM194" s="106"/>
      <c r="CN194" s="106"/>
      <c r="CO194" s="106"/>
      <c r="CP194" s="106"/>
      <c r="CQ194" s="106"/>
      <c r="CR194" s="106"/>
      <c r="CS194" s="106"/>
      <c r="CT194" s="106"/>
      <c r="CU194" s="106"/>
      <c r="CV194" s="106"/>
      <c r="CW194" s="106"/>
      <c r="CX194" s="106"/>
      <c r="CY194" s="106"/>
      <c r="CZ194" s="106"/>
      <c r="DA194" s="106"/>
      <c r="DB194" s="106"/>
      <c r="DC194" s="106"/>
      <c r="DD194" s="106"/>
      <c r="DE194" s="106"/>
      <c r="DF194" s="106"/>
      <c r="DG194" s="106"/>
      <c r="DH194" s="106"/>
      <c r="DI194" s="106"/>
      <c r="DJ194" s="106"/>
      <c r="DK194" s="106"/>
      <c r="DL194" s="106"/>
      <c r="DM194" s="106"/>
      <c r="DN194" s="106"/>
      <c r="DO194" s="106"/>
      <c r="DP194" s="106"/>
      <c r="DQ194" s="106"/>
      <c r="DR194" s="106"/>
      <c r="DS194" s="106"/>
      <c r="DT194" s="106"/>
      <c r="DU194" s="106"/>
      <c r="DV194" s="106"/>
      <c r="DW194" s="106"/>
      <c r="DX194" s="106"/>
      <c r="DY194" s="106"/>
      <c r="DZ194" s="106"/>
      <c r="EA194" s="106"/>
      <c r="EB194" s="106"/>
      <c r="EC194" s="106"/>
      <c r="ED194" s="106"/>
      <c r="EE194" s="106"/>
      <c r="EF194" s="106"/>
      <c r="EG194" s="106"/>
      <c r="EH194" s="106"/>
      <c r="EI194" s="106"/>
      <c r="EJ194" s="106"/>
      <c r="EK194" s="106"/>
      <c r="EL194" s="106"/>
      <c r="EM194" s="106"/>
      <c r="EN194" s="106"/>
      <c r="EO194" s="106"/>
      <c r="EP194" s="106"/>
      <c r="EQ194" s="106"/>
      <c r="ER194" s="106"/>
      <c r="ES194" s="106"/>
      <c r="ET194" s="106"/>
      <c r="EU194" s="106"/>
      <c r="EV194" s="106"/>
      <c r="EW194" s="106"/>
      <c r="EX194" s="106"/>
      <c r="EY194" s="106"/>
      <c r="EZ194" s="106"/>
      <c r="FA194" s="106"/>
      <c r="FB194" s="106"/>
      <c r="FC194" s="106"/>
      <c r="FD194" s="106"/>
      <c r="FE194" s="106"/>
      <c r="FF194" s="106"/>
      <c r="FG194" s="106"/>
      <c r="FH194" s="106"/>
      <c r="FI194" s="106"/>
      <c r="FJ194" s="106"/>
      <c r="FK194" s="106"/>
      <c r="FL194" s="106"/>
      <c r="FM194" s="106"/>
      <c r="FN194" s="106"/>
      <c r="FO194" s="106"/>
      <c r="FP194" s="106"/>
      <c r="FQ194" s="106"/>
      <c r="FR194" s="106"/>
      <c r="FS194" s="106"/>
      <c r="FT194" s="106"/>
      <c r="FU194" s="106"/>
      <c r="FV194" s="106"/>
      <c r="FW194" s="106"/>
      <c r="FX194" s="106"/>
      <c r="FY194" s="106"/>
      <c r="FZ194" s="106"/>
      <c r="GA194" s="106"/>
      <c r="GB194" s="106"/>
      <c r="GC194" s="106"/>
      <c r="GD194" s="106"/>
      <c r="GE194" s="106"/>
      <c r="GF194" s="106"/>
      <c r="GG194" s="106"/>
      <c r="GH194" s="106"/>
      <c r="GI194" s="106"/>
      <c r="GJ194" s="106"/>
      <c r="GK194" s="106"/>
      <c r="GL194" s="106"/>
      <c r="GM194" s="106"/>
      <c r="GN194" s="106"/>
      <c r="GO194" s="106"/>
      <c r="GP194" s="106"/>
      <c r="GQ194" s="106"/>
      <c r="GR194" s="106"/>
      <c r="GS194" s="106"/>
      <c r="GT194" s="106"/>
      <c r="GU194" s="106"/>
      <c r="GV194" s="106"/>
      <c r="GW194" s="106"/>
      <c r="GX194" s="106"/>
      <c r="GY194" s="106"/>
      <c r="GZ194" s="106"/>
      <c r="HA194" s="106"/>
      <c r="HB194" s="106"/>
      <c r="HC194" s="106"/>
      <c r="HD194" s="106"/>
      <c r="HE194" s="106"/>
      <c r="HF194" s="106"/>
      <c r="HG194" s="106"/>
      <c r="HH194" s="106"/>
      <c r="HI194" s="106"/>
      <c r="HJ194" s="106"/>
      <c r="HK194" s="106"/>
      <c r="HL194" s="106"/>
      <c r="HM194" s="106"/>
      <c r="HN194" s="106"/>
      <c r="HO194" s="106"/>
      <c r="HP194" s="106"/>
      <c r="HQ194" s="106"/>
      <c r="HR194" s="106"/>
      <c r="HS194" s="106"/>
      <c r="HT194" s="106"/>
      <c r="HU194" s="106"/>
      <c r="HV194" s="106"/>
      <c r="HW194" s="106"/>
      <c r="HX194" s="106"/>
      <c r="HY194" s="106"/>
      <c r="HZ194" s="106"/>
      <c r="IA194" s="106"/>
      <c r="IB194" s="106"/>
      <c r="IC194" s="106"/>
      <c r="ID194" s="106"/>
      <c r="IE194" s="106"/>
      <c r="IF194" s="106"/>
      <c r="IG194" s="106"/>
      <c r="IH194" s="106"/>
      <c r="II194" s="106"/>
      <c r="IJ194" s="106"/>
      <c r="IK194" s="106"/>
      <c r="IL194" s="106"/>
      <c r="IM194" s="106"/>
      <c r="IN194" s="106"/>
      <c r="IO194" s="106"/>
      <c r="IP194" s="106"/>
      <c r="IQ194" s="106"/>
      <c r="IR194" s="106"/>
      <c r="IS194" s="106"/>
      <c r="IT194" s="106"/>
      <c r="IU194" s="106"/>
      <c r="IV194" s="106"/>
      <c r="IW194" s="106"/>
      <c r="IX194" s="106"/>
      <c r="IY194" s="106"/>
      <c r="IZ194" s="106"/>
      <c r="JA194" s="106"/>
      <c r="JB194" s="106"/>
      <c r="JC194" s="106"/>
      <c r="JD194" s="106"/>
      <c r="JE194" s="106"/>
      <c r="JF194" s="106"/>
      <c r="JG194" s="106"/>
      <c r="JH194" s="106"/>
      <c r="JI194" s="106"/>
      <c r="JJ194" s="106"/>
      <c r="JK194" s="106"/>
      <c r="JL194" s="106"/>
      <c r="JM194" s="106"/>
      <c r="JN194" s="106"/>
      <c r="JO194" s="106"/>
      <c r="JP194" s="106"/>
      <c r="JQ194" s="106"/>
      <c r="JR194" s="106"/>
      <c r="JS194" s="106"/>
      <c r="JT194" s="106"/>
      <c r="JU194" s="106"/>
      <c r="JV194" s="106"/>
      <c r="JW194" s="106"/>
      <c r="JX194" s="106"/>
      <c r="JY194" s="106"/>
      <c r="JZ194" s="106"/>
      <c r="KA194" s="106"/>
      <c r="KB194" s="106"/>
      <c r="KC194" s="106"/>
      <c r="KD194" s="106"/>
      <c r="KE194" s="106"/>
      <c r="KF194" s="106"/>
      <c r="KG194" s="106"/>
      <c r="KH194" s="106"/>
      <c r="KI194" s="106"/>
      <c r="KJ194" s="106"/>
      <c r="KK194" s="106"/>
      <c r="KL194" s="106"/>
      <c r="KM194" s="106"/>
      <c r="KN194" s="106"/>
      <c r="KO194" s="106"/>
      <c r="KP194" s="106"/>
      <c r="KQ194" s="106"/>
      <c r="KR194" s="106"/>
      <c r="KS194" s="106"/>
      <c r="KT194" s="106"/>
      <c r="KU194" s="106"/>
      <c r="KV194" s="106"/>
      <c r="KW194" s="106"/>
      <c r="KX194" s="106"/>
      <c r="KY194" s="106"/>
      <c r="KZ194" s="106"/>
      <c r="LA194" s="106"/>
      <c r="LB194" s="106"/>
      <c r="LC194" s="106"/>
      <c r="LD194" s="106"/>
      <c r="LE194" s="106"/>
      <c r="LF194" s="106"/>
      <c r="LG194" s="106"/>
      <c r="LH194" s="106"/>
      <c r="LI194" s="106"/>
      <c r="LJ194" s="106"/>
      <c r="LK194" s="106"/>
      <c r="LL194" s="106"/>
      <c r="LM194" s="106"/>
      <c r="LN194" s="106"/>
      <c r="LO194" s="106"/>
      <c r="LP194" s="106"/>
      <c r="LQ194" s="106"/>
      <c r="LR194" s="106"/>
      <c r="LS194" s="106"/>
      <c r="LT194" s="106"/>
      <c r="LU194" s="106"/>
      <c r="LV194" s="106"/>
      <c r="LW194" s="106"/>
      <c r="LX194" s="106"/>
      <c r="LY194" s="106"/>
      <c r="LZ194" s="106"/>
      <c r="MA194" s="106"/>
      <c r="MB194" s="106"/>
      <c r="MC194" s="106"/>
      <c r="MD194" s="106"/>
      <c r="ME194" s="106"/>
      <c r="MF194" s="106"/>
      <c r="MG194" s="106"/>
      <c r="MH194" s="106"/>
      <c r="MI194" s="106"/>
      <c r="MJ194" s="106"/>
      <c r="MK194" s="106"/>
      <c r="ML194" s="106"/>
      <c r="MM194" s="106"/>
      <c r="MN194" s="106"/>
      <c r="MO194" s="106"/>
      <c r="MP194" s="106"/>
      <c r="MQ194" s="106"/>
      <c r="MR194" s="106"/>
      <c r="MS194" s="106"/>
      <c r="MT194" s="106"/>
      <c r="MU194" s="106"/>
      <c r="MV194" s="106"/>
      <c r="MW194" s="106"/>
      <c r="MX194" s="106"/>
      <c r="MY194" s="106"/>
      <c r="MZ194" s="106"/>
      <c r="NA194" s="106"/>
      <c r="NB194" s="106"/>
      <c r="NC194" s="106"/>
      <c r="ND194" s="106"/>
      <c r="NE194" s="106"/>
      <c r="NF194" s="106"/>
      <c r="NG194" s="106"/>
      <c r="NH194" s="106"/>
      <c r="NI194" s="106"/>
      <c r="NJ194" s="106"/>
      <c r="NK194" s="106"/>
      <c r="NL194" s="106"/>
      <c r="NM194" s="106"/>
      <c r="NN194" s="106"/>
      <c r="NO194" s="106"/>
      <c r="NP194" s="106"/>
      <c r="NQ194" s="106"/>
      <c r="NR194" s="106"/>
      <c r="NS194" s="106"/>
      <c r="NT194" s="106"/>
      <c r="NU194" s="106"/>
      <c r="NV194" s="106"/>
      <c r="NW194" s="106"/>
      <c r="NX194" s="106"/>
      <c r="NY194" s="106"/>
      <c r="NZ194" s="106"/>
      <c r="OA194" s="106"/>
      <c r="OB194" s="106"/>
      <c r="OC194" s="106"/>
      <c r="OD194" s="106"/>
      <c r="OE194" s="106"/>
      <c r="OF194" s="106"/>
      <c r="OG194" s="106"/>
      <c r="OH194" s="106"/>
      <c r="OI194" s="106"/>
      <c r="OJ194" s="106"/>
      <c r="OK194" s="106"/>
      <c r="OL194" s="106"/>
      <c r="OM194" s="106"/>
      <c r="ON194" s="106"/>
      <c r="OO194" s="106"/>
      <c r="OP194" s="106"/>
      <c r="OQ194" s="106"/>
      <c r="OR194" s="106"/>
      <c r="OS194" s="106"/>
      <c r="OT194" s="106"/>
      <c r="OU194" s="106"/>
      <c r="OV194" s="106"/>
      <c r="OW194" s="106"/>
      <c r="OX194" s="106"/>
      <c r="OY194" s="106"/>
      <c r="OZ194" s="106"/>
      <c r="PA194" s="106"/>
      <c r="PB194" s="106"/>
      <c r="PC194" s="106"/>
      <c r="PD194" s="106"/>
      <c r="PE194" s="106"/>
      <c r="PF194" s="106"/>
      <c r="PG194" s="106"/>
      <c r="PH194" s="106"/>
      <c r="PI194" s="106"/>
      <c r="PJ194" s="106"/>
      <c r="PK194" s="106"/>
      <c r="PL194" s="106"/>
      <c r="PM194" s="106"/>
      <c r="PN194" s="106"/>
      <c r="PO194" s="106"/>
      <c r="PP194" s="106"/>
      <c r="PQ194" s="106"/>
      <c r="PR194" s="106"/>
      <c r="PS194" s="106"/>
      <c r="PT194" s="106"/>
      <c r="PU194" s="106"/>
      <c r="PV194" s="106"/>
      <c r="PW194" s="106"/>
      <c r="PX194" s="106"/>
      <c r="PY194" s="106"/>
      <c r="PZ194" s="106"/>
      <c r="QA194" s="106"/>
      <c r="QB194" s="106"/>
      <c r="QC194" s="106"/>
      <c r="QD194" s="106"/>
      <c r="QE194" s="106"/>
      <c r="QF194" s="106"/>
      <c r="QG194" s="106"/>
      <c r="QH194" s="106"/>
      <c r="QI194" s="106"/>
      <c r="QJ194" s="106"/>
      <c r="QK194" s="106"/>
      <c r="QL194" s="106"/>
      <c r="QM194" s="106"/>
      <c r="QN194" s="106"/>
      <c r="QO194" s="106"/>
      <c r="QP194" s="106"/>
      <c r="QQ194" s="106"/>
      <c r="QR194" s="106"/>
      <c r="QS194" s="106"/>
      <c r="QT194" s="106"/>
      <c r="QU194" s="106"/>
      <c r="QV194" s="106"/>
      <c r="QW194" s="106"/>
      <c r="QX194" s="106"/>
      <c r="QY194" s="106"/>
      <c r="QZ194" s="106"/>
      <c r="RA194" s="106"/>
      <c r="RB194" s="106"/>
      <c r="RC194" s="106"/>
      <c r="RD194" s="106"/>
      <c r="RE194" s="106"/>
      <c r="RF194" s="106"/>
      <c r="RG194" s="106"/>
      <c r="RH194" s="106"/>
      <c r="RI194" s="106"/>
      <c r="RJ194" s="106"/>
      <c r="RK194" s="106"/>
      <c r="RL194" s="106"/>
      <c r="RM194" s="106"/>
      <c r="RN194" s="106"/>
      <c r="RO194" s="106"/>
      <c r="RP194" s="106"/>
      <c r="RQ194" s="106"/>
      <c r="RR194" s="106"/>
      <c r="RS194" s="106"/>
      <c r="RT194" s="106"/>
      <c r="RU194" s="106"/>
      <c r="RV194" s="106"/>
      <c r="RW194" s="106"/>
      <c r="RX194" s="106"/>
      <c r="RY194" s="106"/>
      <c r="RZ194" s="106"/>
      <c r="SA194" s="106"/>
      <c r="SB194" s="106"/>
      <c r="SC194" s="106"/>
      <c r="SD194" s="106"/>
      <c r="SE194" s="106"/>
      <c r="SF194" s="106"/>
      <c r="SG194" s="106"/>
      <c r="SH194" s="106"/>
      <c r="SI194" s="106"/>
      <c r="SJ194" s="106"/>
      <c r="SK194" s="106"/>
      <c r="SL194" s="106"/>
      <c r="SM194" s="106"/>
      <c r="SN194" s="106"/>
      <c r="SO194" s="106"/>
      <c r="SP194" s="106"/>
      <c r="SQ194" s="106"/>
      <c r="SR194" s="106"/>
      <c r="SS194" s="106"/>
      <c r="ST194" s="106"/>
      <c r="SU194" s="106"/>
      <c r="SV194" s="106"/>
      <c r="SW194" s="106"/>
      <c r="SX194" s="106"/>
      <c r="SY194" s="106"/>
      <c r="SZ194" s="106"/>
      <c r="TA194" s="106"/>
      <c r="TB194" s="106"/>
      <c r="TC194" s="106"/>
      <c r="TD194" s="106"/>
      <c r="TE194" s="106"/>
      <c r="TF194" s="106"/>
      <c r="TG194" s="106"/>
      <c r="TH194" s="106"/>
      <c r="TI194" s="106"/>
      <c r="TJ194" s="106"/>
      <c r="TK194" s="106"/>
      <c r="TL194" s="106"/>
      <c r="TM194" s="106"/>
      <c r="TN194" s="106"/>
      <c r="TO194" s="106"/>
      <c r="TP194" s="106"/>
      <c r="TQ194" s="106"/>
      <c r="TR194" s="106"/>
      <c r="TS194" s="106"/>
      <c r="TT194" s="106"/>
      <c r="TU194" s="106"/>
      <c r="TV194" s="106"/>
      <c r="TW194" s="106"/>
      <c r="TX194" s="106"/>
      <c r="TY194" s="106"/>
      <c r="TZ194" s="106"/>
      <c r="UA194" s="106"/>
      <c r="UB194" s="106"/>
      <c r="UC194" s="106"/>
      <c r="UD194" s="106"/>
      <c r="UE194" s="106"/>
      <c r="UF194" s="106"/>
      <c r="UG194" s="106"/>
      <c r="UH194" s="106"/>
      <c r="UI194" s="106"/>
      <c r="UJ194" s="106"/>
      <c r="UK194" s="106"/>
      <c r="UL194" s="106"/>
      <c r="UM194" s="106"/>
      <c r="UN194" s="106"/>
      <c r="UO194" s="106"/>
      <c r="UP194" s="106"/>
      <c r="UQ194" s="106"/>
      <c r="UR194" s="106"/>
      <c r="US194" s="106"/>
      <c r="UT194" s="106"/>
      <c r="UU194" s="106"/>
      <c r="UV194" s="106"/>
      <c r="UW194" s="106"/>
      <c r="UX194" s="106"/>
      <c r="UY194" s="106"/>
      <c r="UZ194" s="106"/>
      <c r="VA194" s="106"/>
      <c r="VB194" s="106"/>
      <c r="VC194" s="106"/>
      <c r="VD194" s="106"/>
      <c r="VE194" s="106"/>
      <c r="VF194" s="106"/>
      <c r="VG194" s="106"/>
      <c r="VH194" s="106"/>
      <c r="VI194" s="106"/>
      <c r="VJ194" s="106"/>
      <c r="VK194" s="106"/>
      <c r="VL194" s="106"/>
      <c r="VM194" s="106"/>
      <c r="VN194" s="106"/>
      <c r="VO194" s="106"/>
      <c r="VP194" s="106"/>
      <c r="VQ194" s="106"/>
      <c r="VR194" s="106"/>
      <c r="VS194" s="106"/>
      <c r="VT194" s="106"/>
      <c r="VU194" s="106"/>
      <c r="VV194" s="106"/>
      <c r="VW194" s="106"/>
      <c r="VX194" s="106"/>
      <c r="VY194" s="106"/>
      <c r="VZ194" s="106"/>
      <c r="WA194" s="106"/>
      <c r="WB194" s="106"/>
      <c r="WC194" s="106"/>
      <c r="WD194" s="106"/>
      <c r="WE194" s="106"/>
      <c r="WF194" s="106"/>
      <c r="WG194" s="106"/>
      <c r="WH194" s="106"/>
      <c r="WI194" s="106"/>
      <c r="WJ194" s="106"/>
      <c r="WK194" s="106"/>
      <c r="WL194" s="106"/>
      <c r="WM194" s="106"/>
      <c r="WN194" s="106"/>
      <c r="WO194" s="106"/>
      <c r="WP194" s="106"/>
      <c r="WQ194" s="106"/>
      <c r="WR194" s="106"/>
      <c r="WS194" s="106"/>
      <c r="WT194" s="106"/>
      <c r="WU194" s="106"/>
      <c r="WV194" s="106"/>
      <c r="WW194" s="106"/>
      <c r="WX194" s="106"/>
      <c r="WY194" s="106"/>
      <c r="WZ194" s="106"/>
      <c r="XA194" s="106"/>
      <c r="XB194" s="106"/>
      <c r="XC194" s="106"/>
      <c r="XD194" s="106"/>
      <c r="XE194" s="106"/>
      <c r="XF194" s="106"/>
      <c r="XG194" s="106"/>
      <c r="XH194" s="106"/>
      <c r="XI194" s="106"/>
      <c r="XJ194" s="106"/>
      <c r="XK194" s="106"/>
      <c r="XL194" s="106"/>
      <c r="XM194" s="106"/>
      <c r="XN194" s="106"/>
      <c r="XO194" s="106"/>
      <c r="XP194" s="106"/>
      <c r="XQ194" s="106"/>
      <c r="XR194" s="106"/>
      <c r="XS194" s="106"/>
      <c r="XT194" s="106"/>
      <c r="XU194" s="106"/>
      <c r="XV194" s="106"/>
      <c r="XW194" s="106"/>
      <c r="XX194" s="106"/>
      <c r="XY194" s="106"/>
      <c r="XZ194" s="106"/>
      <c r="YA194" s="106"/>
      <c r="YB194" s="106"/>
      <c r="YC194" s="106"/>
      <c r="YD194" s="106"/>
      <c r="YE194" s="106"/>
      <c r="YF194" s="106"/>
      <c r="YG194" s="106"/>
      <c r="YH194" s="106"/>
      <c r="YI194" s="106"/>
      <c r="YJ194" s="106"/>
      <c r="YK194" s="106"/>
      <c r="YL194" s="106"/>
      <c r="YM194" s="106"/>
      <c r="YN194" s="106"/>
      <c r="YO194" s="106"/>
      <c r="YP194" s="106"/>
      <c r="YQ194" s="106"/>
      <c r="YR194" s="106"/>
      <c r="YS194" s="106"/>
      <c r="YT194" s="106"/>
      <c r="YU194" s="106"/>
      <c r="YV194" s="106"/>
      <c r="YW194" s="106"/>
      <c r="YX194" s="106"/>
      <c r="YY194" s="106"/>
      <c r="YZ194" s="106"/>
      <c r="ZA194" s="106"/>
      <c r="ZB194" s="106"/>
      <c r="ZC194" s="106"/>
      <c r="ZD194" s="106"/>
      <c r="ZE194" s="106"/>
      <c r="ZF194" s="106"/>
      <c r="ZG194" s="106"/>
      <c r="ZH194" s="106"/>
      <c r="ZI194" s="106"/>
      <c r="ZJ194" s="106"/>
      <c r="ZK194" s="106"/>
      <c r="ZL194" s="106"/>
      <c r="ZM194" s="106"/>
      <c r="ZN194" s="106"/>
      <c r="ZO194" s="106"/>
      <c r="ZP194" s="106"/>
      <c r="ZQ194" s="106"/>
      <c r="ZR194" s="106"/>
      <c r="ZS194" s="106"/>
      <c r="ZT194" s="106"/>
      <c r="ZU194" s="106"/>
      <c r="ZV194" s="106"/>
      <c r="ZW194" s="106"/>
      <c r="ZX194" s="106"/>
      <c r="ZY194" s="106"/>
      <c r="ZZ194" s="106"/>
      <c r="AAA194" s="106"/>
      <c r="AAB194" s="106"/>
      <c r="AAC194" s="106"/>
      <c r="AAD194" s="106"/>
      <c r="AAE194" s="106"/>
      <c r="AAF194" s="106"/>
      <c r="AAG194" s="106"/>
      <c r="AAH194" s="106"/>
      <c r="AAI194" s="106"/>
      <c r="AAJ194" s="106"/>
      <c r="AAK194" s="106"/>
      <c r="AAL194" s="106"/>
      <c r="AAM194" s="106"/>
      <c r="AAN194" s="106"/>
      <c r="AAO194" s="106"/>
      <c r="AAP194" s="106"/>
      <c r="AAQ194" s="106"/>
      <c r="AAR194" s="106"/>
      <c r="AAS194" s="106"/>
      <c r="AAT194" s="106"/>
      <c r="AAU194" s="106"/>
      <c r="AAV194" s="106"/>
      <c r="AAW194" s="106"/>
      <c r="AAX194" s="106"/>
      <c r="AAY194" s="106"/>
      <c r="AAZ194" s="106"/>
      <c r="ABA194" s="106"/>
      <c r="ABB194" s="106"/>
      <c r="ABC194" s="106"/>
      <c r="ABD194" s="106"/>
      <c r="ABE194" s="106"/>
      <c r="ABF194" s="106"/>
      <c r="ABG194" s="106"/>
      <c r="ABH194" s="106"/>
      <c r="ABI194" s="106"/>
      <c r="ABJ194" s="106"/>
      <c r="ABK194" s="106"/>
      <c r="ABL194" s="106"/>
      <c r="ABM194" s="106"/>
      <c r="ABN194" s="106"/>
      <c r="ABO194" s="106"/>
      <c r="ABP194" s="106"/>
      <c r="ABQ194" s="106"/>
      <c r="ABR194" s="106"/>
      <c r="ABS194" s="106"/>
      <c r="ABT194" s="106"/>
      <c r="ABU194" s="106"/>
      <c r="ABV194" s="106"/>
      <c r="ABW194" s="106"/>
      <c r="ABX194" s="106"/>
      <c r="ABY194" s="106"/>
      <c r="ABZ194" s="106"/>
      <c r="ACA194" s="106"/>
      <c r="ACB194" s="106"/>
      <c r="ACC194" s="106"/>
      <c r="ACD194" s="106"/>
      <c r="ACE194" s="106"/>
      <c r="ACF194" s="106"/>
      <c r="ACG194" s="106"/>
      <c r="ACH194" s="106"/>
      <c r="ACI194" s="106"/>
      <c r="ACJ194" s="106"/>
      <c r="ACK194" s="106"/>
      <c r="ACL194" s="106"/>
      <c r="ACM194" s="106"/>
      <c r="ACN194" s="106"/>
      <c r="ACO194" s="106"/>
      <c r="ACP194" s="106"/>
      <c r="ACQ194" s="106"/>
      <c r="ACR194" s="106"/>
      <c r="ACS194" s="106"/>
      <c r="ACT194" s="106"/>
      <c r="ACU194" s="106"/>
      <c r="ACV194" s="106"/>
      <c r="ACW194" s="106"/>
      <c r="ACX194" s="106"/>
      <c r="ACY194" s="106"/>
      <c r="ACZ194" s="106"/>
      <c r="ADA194" s="106"/>
      <c r="ADB194" s="106"/>
      <c r="ADC194" s="106"/>
      <c r="ADD194" s="106"/>
      <c r="ADE194" s="106"/>
      <c r="ADF194" s="106"/>
      <c r="ADG194" s="106"/>
      <c r="ADH194" s="106"/>
      <c r="ADI194" s="106"/>
      <c r="ADJ194" s="106"/>
      <c r="ADK194" s="106"/>
      <c r="ADL194" s="106"/>
      <c r="ADM194" s="106"/>
      <c r="ADN194" s="106"/>
      <c r="ADO194" s="106"/>
      <c r="ADP194" s="106"/>
      <c r="ADQ194" s="106"/>
      <c r="ADR194" s="106"/>
      <c r="ADS194" s="106"/>
      <c r="ADT194" s="106"/>
      <c r="ADU194" s="106"/>
      <c r="ADV194" s="106"/>
      <c r="ADW194" s="106"/>
      <c r="ADX194" s="106"/>
      <c r="ADY194" s="106"/>
      <c r="ADZ194" s="106"/>
      <c r="AEA194" s="106"/>
      <c r="AEB194" s="106"/>
      <c r="AEC194" s="106"/>
      <c r="AED194" s="106"/>
      <c r="AEE194" s="106"/>
      <c r="AEF194" s="106"/>
      <c r="AEG194" s="106"/>
      <c r="AEH194" s="106"/>
      <c r="AEI194" s="106"/>
      <c r="AEJ194" s="106"/>
      <c r="AEK194" s="106"/>
      <c r="AEL194" s="106"/>
      <c r="AEM194" s="106"/>
      <c r="AEN194" s="106"/>
      <c r="AEO194" s="106"/>
      <c r="AEP194" s="106"/>
      <c r="AEQ194" s="106"/>
      <c r="AER194" s="106"/>
      <c r="AES194" s="106"/>
      <c r="AET194" s="106"/>
      <c r="AEU194" s="106"/>
      <c r="AEV194" s="106"/>
      <c r="AEW194" s="106"/>
      <c r="AEX194" s="106"/>
      <c r="AEY194" s="106"/>
      <c r="AEZ194" s="106"/>
      <c r="AFA194" s="106"/>
      <c r="AFB194" s="106"/>
      <c r="AFC194" s="106"/>
      <c r="AFD194" s="106"/>
      <c r="AFE194" s="106"/>
      <c r="AFF194" s="106"/>
      <c r="AFG194" s="106"/>
      <c r="AFH194" s="106"/>
      <c r="AFI194" s="106"/>
      <c r="AFJ194" s="106"/>
      <c r="AFK194" s="106"/>
      <c r="AFL194" s="106"/>
      <c r="AFM194" s="106"/>
      <c r="AFN194" s="106"/>
      <c r="AFO194" s="106"/>
      <c r="AFP194" s="106"/>
      <c r="AFQ194" s="106"/>
      <c r="AFR194" s="106"/>
      <c r="AFS194" s="106"/>
      <c r="AFT194" s="106"/>
      <c r="AFU194" s="106"/>
      <c r="AFV194" s="106"/>
      <c r="AFW194" s="106"/>
      <c r="AFX194" s="106"/>
      <c r="AFY194" s="106"/>
      <c r="AFZ194" s="106"/>
      <c r="AGA194" s="106"/>
      <c r="AGB194" s="106"/>
      <c r="AGC194" s="106"/>
      <c r="AGD194" s="106"/>
      <c r="AGE194" s="106"/>
      <c r="AGF194" s="106"/>
      <c r="AGG194" s="106"/>
      <c r="AGH194" s="106"/>
      <c r="AGI194" s="106"/>
      <c r="AGJ194" s="106"/>
      <c r="AGK194" s="106"/>
      <c r="AGL194" s="106"/>
      <c r="AGM194" s="106"/>
      <c r="AGN194" s="106"/>
      <c r="AGO194" s="106"/>
      <c r="AGP194" s="106"/>
      <c r="AGQ194" s="106"/>
      <c r="AGR194" s="106"/>
      <c r="AGS194" s="106"/>
      <c r="AGT194" s="106"/>
      <c r="AGU194" s="106"/>
      <c r="AGV194" s="106"/>
      <c r="AGW194" s="106"/>
      <c r="AGX194" s="106"/>
      <c r="AGY194" s="106"/>
      <c r="AGZ194" s="106"/>
      <c r="AHA194" s="106"/>
      <c r="AHB194" s="106"/>
      <c r="AHC194" s="106"/>
      <c r="AHD194" s="106"/>
      <c r="AHE194" s="106"/>
      <c r="AHF194" s="106"/>
      <c r="AHG194" s="106"/>
      <c r="AHH194" s="106"/>
      <c r="AHI194" s="106"/>
      <c r="AHJ194" s="106"/>
      <c r="AHK194" s="106"/>
      <c r="AHL194" s="106"/>
      <c r="AHM194" s="106"/>
      <c r="AHN194" s="106"/>
      <c r="AHO194" s="106"/>
      <c r="AHP194" s="106"/>
      <c r="AHQ194" s="106"/>
      <c r="AHR194" s="106"/>
      <c r="AHS194" s="106"/>
      <c r="AHT194" s="106"/>
      <c r="AHU194" s="106"/>
      <c r="AHV194" s="106"/>
      <c r="AHW194" s="106"/>
      <c r="AHX194" s="106"/>
      <c r="AHY194" s="106"/>
      <c r="AHZ194" s="106"/>
      <c r="AIA194" s="106"/>
      <c r="AIB194" s="106"/>
      <c r="AIC194" s="106"/>
      <c r="AID194" s="106"/>
      <c r="AIE194" s="106"/>
      <c r="AIF194" s="106"/>
      <c r="AIG194" s="106"/>
      <c r="AIH194" s="106"/>
      <c r="AII194" s="106"/>
      <c r="AIJ194" s="106"/>
      <c r="AIK194" s="106"/>
      <c r="AIL194" s="106"/>
      <c r="AIM194" s="106"/>
      <c r="AIN194" s="106"/>
      <c r="AIO194" s="106"/>
      <c r="AIP194" s="106"/>
      <c r="AIQ194" s="106"/>
      <c r="AIR194" s="106"/>
      <c r="AIS194" s="106"/>
      <c r="AIT194" s="106"/>
      <c r="AIU194" s="106"/>
      <c r="AIV194" s="106"/>
      <c r="AIW194" s="106"/>
      <c r="AIX194" s="106"/>
      <c r="AIY194" s="106"/>
      <c r="AIZ194" s="106"/>
      <c r="AJA194" s="106"/>
      <c r="AJB194" s="106"/>
      <c r="AJC194" s="106"/>
      <c r="AJD194" s="106"/>
      <c r="AJE194" s="106"/>
      <c r="AJF194" s="106"/>
      <c r="AJG194" s="106"/>
      <c r="AJH194" s="106"/>
      <c r="AJI194" s="106"/>
      <c r="AJJ194" s="106"/>
      <c r="AJK194" s="106"/>
      <c r="AJL194" s="106"/>
      <c r="AJM194" s="106"/>
      <c r="AJN194" s="106"/>
      <c r="AJO194" s="106"/>
      <c r="AJP194" s="106"/>
      <c r="AJQ194" s="106"/>
      <c r="AJR194" s="106"/>
      <c r="AJS194" s="106"/>
      <c r="AJT194" s="106"/>
      <c r="AJU194" s="106"/>
      <c r="AJV194" s="106"/>
      <c r="AJW194" s="106"/>
      <c r="AJX194" s="106"/>
      <c r="AJY194" s="106"/>
      <c r="AJZ194" s="106"/>
      <c r="AKA194" s="106"/>
      <c r="AKB194" s="106"/>
      <c r="AKC194" s="106"/>
      <c r="AKD194" s="106"/>
      <c r="AKE194" s="106"/>
      <c r="AKF194" s="106"/>
      <c r="AKG194" s="106"/>
      <c r="AKH194" s="106"/>
      <c r="AKI194" s="106"/>
      <c r="AKJ194" s="106"/>
      <c r="AKK194" s="106"/>
      <c r="AKL194" s="106"/>
      <c r="AKM194" s="106"/>
      <c r="AKN194" s="106"/>
      <c r="AKO194" s="106"/>
      <c r="AKP194" s="106"/>
      <c r="AKQ194" s="106"/>
      <c r="AKR194" s="106"/>
      <c r="AKS194" s="106"/>
      <c r="AKT194" s="106"/>
      <c r="AKU194" s="106"/>
      <c r="AKV194" s="106"/>
      <c r="AKW194" s="106"/>
      <c r="AKX194" s="106"/>
      <c r="AKY194" s="106"/>
      <c r="AKZ194" s="106"/>
      <c r="ALA194" s="106"/>
      <c r="ALB194" s="106"/>
      <c r="ALC194" s="106"/>
      <c r="ALD194" s="106"/>
      <c r="ALE194" s="106"/>
      <c r="ALF194" s="106"/>
      <c r="ALG194" s="106"/>
      <c r="ALH194" s="106"/>
    </row>
    <row r="195" spans="1:996" customFormat="1">
      <c r="A195" s="37"/>
      <c r="B195" t="str">
        <f t="shared" si="8"/>
        <v>S218401</v>
      </c>
      <c r="C195" t="s">
        <v>378</v>
      </c>
      <c r="D195" s="27" t="s">
        <v>128</v>
      </c>
      <c r="E195" s="7">
        <v>218401</v>
      </c>
      <c r="F195" s="108" t="s">
        <v>1075</v>
      </c>
      <c r="G195" s="397">
        <f>IFERROR(VLOOKUP(E195,'BD - E - Mvto Cx'!$E$15:$G$500,3,0),0)</f>
        <v>0</v>
      </c>
      <c r="H195" s="109">
        <f>IFERROR(VLOOKUP(E195,'BD - E - Mvto Cx'!$N$15:$P$500,3,0),0)</f>
        <v>0</v>
      </c>
      <c r="I195" s="39">
        <f>IFERROR(VLOOKUP(E195,'BD - E - Mvto Cx'!$W$15:$Y$497,3,0),0)</f>
        <v>137077.20000000001</v>
      </c>
      <c r="J195" s="39">
        <f>IFERROR(VLOOKUP(E195,'BD - E - Mvto Cx'!$AF$15:$AI$500,3,0),0)</f>
        <v>164000</v>
      </c>
      <c r="K195" s="39">
        <f>IFERROR(VLOOKUP(E195,'BD - E - Mvto Cx'!$AO$15:$AQ$500,3,0),0)</f>
        <v>0</v>
      </c>
      <c r="L195" s="39">
        <f>IFERROR(VLOOKUP(E195,'BD - E - Mvto Cx'!$AX$15:$AZ$500,3,0),0)</f>
        <v>0</v>
      </c>
      <c r="M195" s="39">
        <f>IFERROR(VLOOKUP(E195,'BD - E - Mvto Cx'!$BJ$15:$BL$500,3,0),0)</f>
        <v>0</v>
      </c>
      <c r="N195" s="39">
        <f>IFERROR(VLOOKUP(E195,'BD - E - Mvto Cx'!$BS$15:$BU$500,3,0),0)</f>
        <v>0</v>
      </c>
      <c r="O195" s="39">
        <f>IFERROR(VLOOKUP(E195,'BD - E - Mvto Cx'!$CB$15:$CD$500,3,0),0)</f>
        <v>0</v>
      </c>
      <c r="P195" s="39">
        <f>IFERROR(VLOOKUP(E195,'BD - E - Mvto Cx'!$CK$15:$CM$500,3,0),0)</f>
        <v>0</v>
      </c>
      <c r="Q195" s="39">
        <f>IFERROR(VLOOKUP(E195,'BD - E - Mvto Cx'!$CT$15:$CV$500,3,0),0)</f>
        <v>0</v>
      </c>
      <c r="R195" s="39">
        <f>IFERROR(VLOOKUP(E195,'BD - E - Mvto Cx'!$DC$15:$DE$500,3,0),0)</f>
        <v>0</v>
      </c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37"/>
      <c r="JE195" s="37"/>
      <c r="JF195" s="37"/>
      <c r="JG195" s="37"/>
      <c r="JH195" s="37"/>
      <c r="JI195" s="37"/>
      <c r="JJ195" s="37"/>
      <c r="JK195" s="37"/>
      <c r="JL195" s="37"/>
      <c r="JM195" s="37"/>
      <c r="JN195" s="37"/>
      <c r="JO195" s="37"/>
      <c r="JP195" s="37"/>
      <c r="JQ195" s="37"/>
      <c r="JR195" s="37"/>
      <c r="JS195" s="37"/>
      <c r="JT195" s="37"/>
      <c r="JU195" s="37"/>
      <c r="JV195" s="37"/>
      <c r="JW195" s="37"/>
      <c r="JX195" s="37"/>
      <c r="JY195" s="37"/>
      <c r="JZ195" s="37"/>
      <c r="KA195" s="37"/>
      <c r="KB195" s="37"/>
      <c r="KC195" s="37"/>
      <c r="KD195" s="37"/>
      <c r="KE195" s="37"/>
      <c r="KF195" s="37"/>
      <c r="KG195" s="37"/>
      <c r="KH195" s="37"/>
      <c r="KI195" s="37"/>
      <c r="KJ195" s="37"/>
      <c r="KK195" s="37"/>
      <c r="KL195" s="37"/>
      <c r="KM195" s="37"/>
      <c r="KN195" s="37"/>
      <c r="KO195" s="37"/>
      <c r="KP195" s="37"/>
      <c r="KQ195" s="37"/>
      <c r="KR195" s="37"/>
      <c r="KS195" s="37"/>
      <c r="KT195" s="37"/>
      <c r="KU195" s="37"/>
      <c r="KV195" s="37"/>
      <c r="KW195" s="37"/>
      <c r="KX195" s="37"/>
      <c r="KY195" s="37"/>
      <c r="KZ195" s="37"/>
      <c r="LA195" s="37"/>
      <c r="LB195" s="37"/>
      <c r="LC195" s="37"/>
      <c r="LD195" s="37"/>
      <c r="LE195" s="37"/>
      <c r="LF195" s="37"/>
      <c r="LG195" s="37"/>
      <c r="LH195" s="37"/>
      <c r="LI195" s="37"/>
      <c r="LJ195" s="37"/>
      <c r="LK195" s="37"/>
      <c r="LL195" s="37"/>
      <c r="LM195" s="37"/>
      <c r="LN195" s="37"/>
      <c r="LO195" s="37"/>
      <c r="LP195" s="37"/>
      <c r="LQ195" s="37"/>
      <c r="LR195" s="37"/>
      <c r="LS195" s="37"/>
      <c r="LT195" s="37"/>
      <c r="LU195" s="37"/>
      <c r="LV195" s="37"/>
      <c r="LW195" s="37"/>
      <c r="LX195" s="37"/>
      <c r="LY195" s="37"/>
      <c r="LZ195" s="37"/>
      <c r="MA195" s="37"/>
      <c r="MB195" s="37"/>
      <c r="MC195" s="37"/>
      <c r="MD195" s="37"/>
      <c r="ME195" s="37"/>
      <c r="MF195" s="37"/>
      <c r="MG195" s="37"/>
      <c r="MH195" s="37"/>
      <c r="MI195" s="37"/>
      <c r="MJ195" s="37"/>
      <c r="MK195" s="37"/>
      <c r="ML195" s="37"/>
      <c r="MM195" s="37"/>
      <c r="MN195" s="37"/>
      <c r="MO195" s="37"/>
      <c r="MP195" s="37"/>
      <c r="MQ195" s="37"/>
      <c r="MR195" s="37"/>
      <c r="MS195" s="37"/>
      <c r="MT195" s="37"/>
      <c r="MU195" s="37"/>
      <c r="MV195" s="37"/>
      <c r="MW195" s="37"/>
      <c r="MX195" s="37"/>
      <c r="MY195" s="37"/>
      <c r="MZ195" s="37"/>
      <c r="NA195" s="37"/>
      <c r="NB195" s="37"/>
      <c r="NC195" s="37"/>
      <c r="ND195" s="37"/>
      <c r="NE195" s="37"/>
      <c r="NF195" s="37"/>
      <c r="NG195" s="37"/>
      <c r="NH195" s="37"/>
      <c r="NI195" s="37"/>
      <c r="NJ195" s="37"/>
      <c r="NK195" s="37"/>
      <c r="NL195" s="37"/>
      <c r="NM195" s="37"/>
      <c r="NN195" s="37"/>
      <c r="NO195" s="37"/>
      <c r="NP195" s="37"/>
      <c r="NQ195" s="37"/>
      <c r="NR195" s="37"/>
      <c r="NS195" s="37"/>
      <c r="NT195" s="37"/>
      <c r="NU195" s="37"/>
      <c r="NV195" s="37"/>
      <c r="NW195" s="37"/>
      <c r="NX195" s="37"/>
      <c r="NY195" s="37"/>
      <c r="NZ195" s="37"/>
      <c r="OA195" s="37"/>
      <c r="OB195" s="37"/>
      <c r="OC195" s="37"/>
      <c r="OD195" s="37"/>
      <c r="OE195" s="37"/>
      <c r="OF195" s="37"/>
      <c r="OG195" s="37"/>
      <c r="OH195" s="37"/>
      <c r="OI195" s="37"/>
      <c r="OJ195" s="37"/>
      <c r="OK195" s="37"/>
      <c r="OL195" s="37"/>
      <c r="OM195" s="37"/>
      <c r="ON195" s="37"/>
      <c r="OO195" s="37"/>
      <c r="OP195" s="37"/>
      <c r="OQ195" s="37"/>
      <c r="OR195" s="37"/>
      <c r="OS195" s="37"/>
      <c r="OT195" s="37"/>
      <c r="OU195" s="37"/>
      <c r="OV195" s="37"/>
      <c r="OW195" s="37"/>
      <c r="OX195" s="37"/>
      <c r="OY195" s="37"/>
      <c r="OZ195" s="37"/>
      <c r="PA195" s="37"/>
      <c r="PB195" s="37"/>
      <c r="PC195" s="37"/>
      <c r="PD195" s="37"/>
      <c r="PE195" s="37"/>
      <c r="PF195" s="37"/>
      <c r="PG195" s="37"/>
      <c r="PH195" s="37"/>
      <c r="PI195" s="37"/>
      <c r="PJ195" s="37"/>
      <c r="PK195" s="37"/>
      <c r="PL195" s="37"/>
      <c r="PM195" s="37"/>
      <c r="PN195" s="37"/>
      <c r="PO195" s="37"/>
      <c r="PP195" s="37"/>
      <c r="PQ195" s="37"/>
      <c r="PR195" s="37"/>
      <c r="PS195" s="37"/>
      <c r="PT195" s="37"/>
      <c r="PU195" s="37"/>
      <c r="PV195" s="37"/>
      <c r="PW195" s="37"/>
      <c r="PX195" s="37"/>
      <c r="PY195" s="37"/>
      <c r="PZ195" s="37"/>
      <c r="QA195" s="37"/>
      <c r="QB195" s="37"/>
      <c r="QC195" s="37"/>
      <c r="QD195" s="37"/>
      <c r="QE195" s="37"/>
      <c r="QF195" s="37"/>
      <c r="QG195" s="37"/>
      <c r="QH195" s="37"/>
      <c r="QI195" s="37"/>
      <c r="QJ195" s="37"/>
      <c r="QK195" s="37"/>
      <c r="QL195" s="37"/>
      <c r="QM195" s="37"/>
      <c r="QN195" s="37"/>
      <c r="QO195" s="37"/>
      <c r="QP195" s="37"/>
      <c r="QQ195" s="37"/>
      <c r="QR195" s="37"/>
      <c r="QS195" s="37"/>
      <c r="QT195" s="37"/>
      <c r="QU195" s="37"/>
      <c r="QV195" s="37"/>
      <c r="QW195" s="37"/>
      <c r="QX195" s="37"/>
      <c r="QY195" s="37"/>
      <c r="QZ195" s="37"/>
      <c r="RA195" s="37"/>
      <c r="RB195" s="37"/>
      <c r="RC195" s="37"/>
      <c r="RD195" s="37"/>
      <c r="RE195" s="37"/>
      <c r="RF195" s="37"/>
      <c r="RG195" s="37"/>
      <c r="RH195" s="37"/>
      <c r="RI195" s="37"/>
      <c r="RJ195" s="37"/>
      <c r="RK195" s="37"/>
      <c r="RL195" s="37"/>
      <c r="RM195" s="37"/>
      <c r="RN195" s="37"/>
      <c r="RO195" s="37"/>
      <c r="RP195" s="37"/>
      <c r="RQ195" s="37"/>
      <c r="RR195" s="37"/>
      <c r="RS195" s="37"/>
      <c r="RT195" s="37"/>
      <c r="RU195" s="37"/>
      <c r="RV195" s="37"/>
      <c r="RW195" s="37"/>
      <c r="RX195" s="37"/>
      <c r="RY195" s="37"/>
      <c r="RZ195" s="37"/>
      <c r="SA195" s="37"/>
      <c r="SB195" s="37"/>
      <c r="SC195" s="37"/>
      <c r="SD195" s="37"/>
      <c r="SE195" s="37"/>
      <c r="SF195" s="37"/>
      <c r="SG195" s="37"/>
      <c r="SH195" s="37"/>
      <c r="SI195" s="37"/>
      <c r="SJ195" s="37"/>
      <c r="SK195" s="37"/>
      <c r="SL195" s="37"/>
      <c r="SM195" s="37"/>
      <c r="SN195" s="37"/>
      <c r="SO195" s="37"/>
      <c r="SP195" s="37"/>
      <c r="SQ195" s="37"/>
      <c r="SR195" s="37"/>
      <c r="SS195" s="37"/>
      <c r="ST195" s="37"/>
      <c r="SU195" s="37"/>
      <c r="SV195" s="37"/>
      <c r="SW195" s="37"/>
      <c r="SX195" s="37"/>
      <c r="SY195" s="37"/>
      <c r="SZ195" s="37"/>
      <c r="TA195" s="37"/>
      <c r="TB195" s="37"/>
      <c r="TC195" s="37"/>
      <c r="TD195" s="37"/>
      <c r="TE195" s="37"/>
      <c r="TF195" s="37"/>
      <c r="TG195" s="37"/>
      <c r="TH195" s="37"/>
      <c r="TI195" s="37"/>
      <c r="TJ195" s="37"/>
      <c r="TK195" s="37"/>
      <c r="TL195" s="37"/>
      <c r="TM195" s="37"/>
      <c r="TN195" s="37"/>
      <c r="TO195" s="37"/>
      <c r="TP195" s="37"/>
      <c r="TQ195" s="37"/>
      <c r="TR195" s="37"/>
      <c r="TS195" s="37"/>
      <c r="TT195" s="37"/>
      <c r="TU195" s="37"/>
      <c r="TV195" s="37"/>
      <c r="TW195" s="37"/>
      <c r="TX195" s="37"/>
      <c r="TY195" s="37"/>
      <c r="TZ195" s="37"/>
      <c r="UA195" s="37"/>
      <c r="UB195" s="37"/>
      <c r="UC195" s="37"/>
      <c r="UD195" s="37"/>
      <c r="UE195" s="37"/>
      <c r="UF195" s="37"/>
      <c r="UG195" s="37"/>
      <c r="UH195" s="37"/>
      <c r="UI195" s="37"/>
      <c r="UJ195" s="37"/>
      <c r="UK195" s="37"/>
      <c r="UL195" s="37"/>
      <c r="UM195" s="37"/>
      <c r="UN195" s="37"/>
      <c r="UO195" s="37"/>
      <c r="UP195" s="37"/>
      <c r="UQ195" s="37"/>
      <c r="UR195" s="37"/>
      <c r="US195" s="37"/>
      <c r="UT195" s="37"/>
      <c r="UU195" s="37"/>
      <c r="UV195" s="37"/>
      <c r="UW195" s="37"/>
      <c r="UX195" s="37"/>
      <c r="UY195" s="37"/>
      <c r="UZ195" s="37"/>
      <c r="VA195" s="37"/>
      <c r="VB195" s="37"/>
      <c r="VC195" s="37"/>
      <c r="VD195" s="37"/>
      <c r="VE195" s="37"/>
      <c r="VF195" s="37"/>
      <c r="VG195" s="37"/>
      <c r="VH195" s="37"/>
      <c r="VI195" s="37"/>
      <c r="VJ195" s="37"/>
      <c r="VK195" s="37"/>
      <c r="VL195" s="37"/>
      <c r="VM195" s="37"/>
      <c r="VN195" s="37"/>
      <c r="VO195" s="37"/>
      <c r="VP195" s="37"/>
      <c r="VQ195" s="37"/>
      <c r="VR195" s="37"/>
      <c r="VS195" s="37"/>
      <c r="VT195" s="37"/>
      <c r="VU195" s="37"/>
      <c r="VV195" s="37"/>
      <c r="VW195" s="37"/>
      <c r="VX195" s="37"/>
      <c r="VY195" s="37"/>
      <c r="VZ195" s="37"/>
      <c r="WA195" s="37"/>
      <c r="WB195" s="37"/>
      <c r="WC195" s="37"/>
      <c r="WD195" s="37"/>
      <c r="WE195" s="37"/>
      <c r="WF195" s="37"/>
      <c r="WG195" s="37"/>
      <c r="WH195" s="37"/>
      <c r="WI195" s="37"/>
      <c r="WJ195" s="37"/>
      <c r="WK195" s="37"/>
      <c r="WL195" s="37"/>
      <c r="WM195" s="37"/>
      <c r="WN195" s="37"/>
      <c r="WO195" s="37"/>
      <c r="WP195" s="37"/>
      <c r="WQ195" s="37"/>
      <c r="WR195" s="37"/>
      <c r="WS195" s="37"/>
      <c r="WT195" s="37"/>
      <c r="WU195" s="37"/>
      <c r="WV195" s="37"/>
      <c r="WW195" s="37"/>
      <c r="WX195" s="37"/>
      <c r="WY195" s="37"/>
      <c r="WZ195" s="37"/>
      <c r="XA195" s="37"/>
      <c r="XB195" s="37"/>
      <c r="XC195" s="37"/>
      <c r="XD195" s="37"/>
      <c r="XE195" s="37"/>
      <c r="XF195" s="37"/>
      <c r="XG195" s="37"/>
      <c r="XH195" s="37"/>
      <c r="XI195" s="37"/>
      <c r="XJ195" s="37"/>
      <c r="XK195" s="37"/>
      <c r="XL195" s="37"/>
      <c r="XM195" s="37"/>
      <c r="XN195" s="37"/>
      <c r="XO195" s="37"/>
      <c r="XP195" s="37"/>
      <c r="XQ195" s="37"/>
      <c r="XR195" s="37"/>
      <c r="XS195" s="37"/>
      <c r="XT195" s="37"/>
      <c r="XU195" s="37"/>
      <c r="XV195" s="37"/>
      <c r="XW195" s="37"/>
      <c r="XX195" s="37"/>
      <c r="XY195" s="37"/>
      <c r="XZ195" s="37"/>
      <c r="YA195" s="37"/>
      <c r="YB195" s="37"/>
      <c r="YC195" s="37"/>
      <c r="YD195" s="37"/>
      <c r="YE195" s="37"/>
      <c r="YF195" s="37"/>
      <c r="YG195" s="37"/>
      <c r="YH195" s="37"/>
      <c r="YI195" s="37"/>
      <c r="YJ195" s="37"/>
      <c r="YK195" s="37"/>
      <c r="YL195" s="37"/>
      <c r="YM195" s="37"/>
      <c r="YN195" s="37"/>
      <c r="YO195" s="37"/>
      <c r="YP195" s="37"/>
      <c r="YQ195" s="37"/>
      <c r="YR195" s="37"/>
      <c r="YS195" s="37"/>
      <c r="YT195" s="37"/>
      <c r="YU195" s="37"/>
      <c r="YV195" s="37"/>
      <c r="YW195" s="37"/>
      <c r="YX195" s="37"/>
      <c r="YY195" s="37"/>
      <c r="YZ195" s="37"/>
      <c r="ZA195" s="37"/>
      <c r="ZB195" s="37"/>
      <c r="ZC195" s="37"/>
      <c r="ZD195" s="37"/>
      <c r="ZE195" s="37"/>
      <c r="ZF195" s="37"/>
      <c r="ZG195" s="37"/>
      <c r="ZH195" s="37"/>
      <c r="ZI195" s="37"/>
      <c r="ZJ195" s="37"/>
      <c r="ZK195" s="37"/>
      <c r="ZL195" s="37"/>
      <c r="ZM195" s="37"/>
      <c r="ZN195" s="37"/>
      <c r="ZO195" s="37"/>
      <c r="ZP195" s="37"/>
      <c r="ZQ195" s="37"/>
      <c r="ZR195" s="37"/>
      <c r="ZS195" s="37"/>
      <c r="ZT195" s="37"/>
      <c r="ZU195" s="37"/>
      <c r="ZV195" s="37"/>
      <c r="ZW195" s="37"/>
      <c r="ZX195" s="37"/>
      <c r="ZY195" s="37"/>
      <c r="ZZ195" s="37"/>
      <c r="AAA195" s="37"/>
      <c r="AAB195" s="37"/>
      <c r="AAC195" s="37"/>
      <c r="AAD195" s="37"/>
      <c r="AAE195" s="37"/>
      <c r="AAF195" s="37"/>
      <c r="AAG195" s="37"/>
      <c r="AAH195" s="37"/>
      <c r="AAI195" s="37"/>
      <c r="AAJ195" s="37"/>
      <c r="AAK195" s="37"/>
      <c r="AAL195" s="37"/>
      <c r="AAM195" s="37"/>
      <c r="AAN195" s="37"/>
      <c r="AAO195" s="37"/>
      <c r="AAP195" s="37"/>
      <c r="AAQ195" s="37"/>
      <c r="AAR195" s="37"/>
      <c r="AAS195" s="37"/>
      <c r="AAT195" s="37"/>
      <c r="AAU195" s="37"/>
      <c r="AAV195" s="37"/>
      <c r="AAW195" s="37"/>
      <c r="AAX195" s="37"/>
      <c r="AAY195" s="37"/>
      <c r="AAZ195" s="37"/>
      <c r="ABA195" s="37"/>
      <c r="ABB195" s="37"/>
      <c r="ABC195" s="37"/>
      <c r="ABD195" s="37"/>
      <c r="ABE195" s="37"/>
      <c r="ABF195" s="37"/>
      <c r="ABG195" s="37"/>
      <c r="ABH195" s="37"/>
      <c r="ABI195" s="37"/>
      <c r="ABJ195" s="37"/>
      <c r="ABK195" s="37"/>
      <c r="ABL195" s="37"/>
      <c r="ABM195" s="37"/>
      <c r="ABN195" s="37"/>
      <c r="ABO195" s="37"/>
      <c r="ABP195" s="37"/>
      <c r="ABQ195" s="37"/>
      <c r="ABR195" s="37"/>
      <c r="ABS195" s="37"/>
      <c r="ABT195" s="37"/>
      <c r="ABU195" s="37"/>
      <c r="ABV195" s="37"/>
      <c r="ABW195" s="37"/>
      <c r="ABX195" s="37"/>
      <c r="ABY195" s="37"/>
      <c r="ABZ195" s="37"/>
      <c r="ACA195" s="37"/>
      <c r="ACB195" s="37"/>
      <c r="ACC195" s="37"/>
      <c r="ACD195" s="37"/>
      <c r="ACE195" s="37"/>
      <c r="ACF195" s="37"/>
      <c r="ACG195" s="37"/>
      <c r="ACH195" s="37"/>
      <c r="ACI195" s="37"/>
      <c r="ACJ195" s="37"/>
      <c r="ACK195" s="37"/>
      <c r="ACL195" s="37"/>
      <c r="ACM195" s="37"/>
      <c r="ACN195" s="37"/>
      <c r="ACO195" s="37"/>
      <c r="ACP195" s="37"/>
      <c r="ACQ195" s="37"/>
      <c r="ACR195" s="37"/>
      <c r="ACS195" s="37"/>
      <c r="ACT195" s="37"/>
      <c r="ACU195" s="37"/>
      <c r="ACV195" s="37"/>
      <c r="ACW195" s="37"/>
      <c r="ACX195" s="37"/>
      <c r="ACY195" s="37"/>
      <c r="ACZ195" s="37"/>
      <c r="ADA195" s="37"/>
      <c r="ADB195" s="37"/>
      <c r="ADC195" s="37"/>
      <c r="ADD195" s="37"/>
      <c r="ADE195" s="37"/>
      <c r="ADF195" s="37"/>
      <c r="ADG195" s="37"/>
      <c r="ADH195" s="37"/>
      <c r="ADI195" s="37"/>
      <c r="ADJ195" s="37"/>
      <c r="ADK195" s="37"/>
      <c r="ADL195" s="37"/>
      <c r="ADM195" s="37"/>
      <c r="ADN195" s="37"/>
      <c r="ADO195" s="37"/>
      <c r="ADP195" s="37"/>
      <c r="ADQ195" s="37"/>
      <c r="ADR195" s="37"/>
      <c r="ADS195" s="37"/>
      <c r="ADT195" s="37"/>
      <c r="ADU195" s="37"/>
      <c r="ADV195" s="37"/>
      <c r="ADW195" s="37"/>
      <c r="ADX195" s="37"/>
      <c r="ADY195" s="37"/>
      <c r="ADZ195" s="37"/>
      <c r="AEA195" s="37"/>
      <c r="AEB195" s="37"/>
      <c r="AEC195" s="37"/>
      <c r="AED195" s="37"/>
      <c r="AEE195" s="37"/>
      <c r="AEF195" s="37"/>
      <c r="AEG195" s="37"/>
      <c r="AEH195" s="37"/>
      <c r="AEI195" s="37"/>
      <c r="AEJ195" s="37"/>
      <c r="AEK195" s="37"/>
      <c r="AEL195" s="37"/>
      <c r="AEM195" s="37"/>
      <c r="AEN195" s="37"/>
      <c r="AEO195" s="37"/>
      <c r="AEP195" s="37"/>
      <c r="AEQ195" s="37"/>
      <c r="AER195" s="37"/>
      <c r="AES195" s="37"/>
      <c r="AET195" s="37"/>
      <c r="AEU195" s="37"/>
      <c r="AEV195" s="37"/>
      <c r="AEW195" s="37"/>
      <c r="AEX195" s="37"/>
      <c r="AEY195" s="37"/>
      <c r="AEZ195" s="37"/>
      <c r="AFA195" s="37"/>
      <c r="AFB195" s="37"/>
      <c r="AFC195" s="37"/>
      <c r="AFD195" s="37"/>
      <c r="AFE195" s="37"/>
      <c r="AFF195" s="37"/>
      <c r="AFG195" s="37"/>
      <c r="AFH195" s="37"/>
      <c r="AFI195" s="37"/>
      <c r="AFJ195" s="37"/>
      <c r="AFK195" s="37"/>
      <c r="AFL195" s="37"/>
      <c r="AFM195" s="37"/>
      <c r="AFN195" s="37"/>
      <c r="AFO195" s="37"/>
      <c r="AFP195" s="37"/>
      <c r="AFQ195" s="37"/>
      <c r="AFR195" s="37"/>
      <c r="AFS195" s="37"/>
      <c r="AFT195" s="37"/>
      <c r="AFU195" s="37"/>
      <c r="AFV195" s="37"/>
      <c r="AFW195" s="37"/>
      <c r="AFX195" s="37"/>
      <c r="AFY195" s="37"/>
      <c r="AFZ195" s="37"/>
      <c r="AGA195" s="37"/>
      <c r="AGB195" s="37"/>
      <c r="AGC195" s="37"/>
      <c r="AGD195" s="37"/>
      <c r="AGE195" s="37"/>
      <c r="AGF195" s="37"/>
      <c r="AGG195" s="37"/>
      <c r="AGH195" s="37"/>
      <c r="AGI195" s="37"/>
      <c r="AGJ195" s="37"/>
      <c r="AGK195" s="37"/>
      <c r="AGL195" s="37"/>
      <c r="AGM195" s="37"/>
      <c r="AGN195" s="37"/>
      <c r="AGO195" s="37"/>
      <c r="AGP195" s="37"/>
      <c r="AGQ195" s="37"/>
      <c r="AGR195" s="37"/>
      <c r="AGS195" s="37"/>
      <c r="AGT195" s="37"/>
      <c r="AGU195" s="37"/>
      <c r="AGV195" s="37"/>
      <c r="AGW195" s="37"/>
      <c r="AGX195" s="37"/>
      <c r="AGY195" s="37"/>
      <c r="AGZ195" s="37"/>
      <c r="AHA195" s="37"/>
      <c r="AHB195" s="37"/>
      <c r="AHC195" s="37"/>
      <c r="AHD195" s="37"/>
      <c r="AHE195" s="37"/>
      <c r="AHF195" s="37"/>
      <c r="AHG195" s="37"/>
      <c r="AHH195" s="37"/>
      <c r="AHI195" s="37"/>
      <c r="AHJ195" s="37"/>
      <c r="AHK195" s="37"/>
      <c r="AHL195" s="37"/>
      <c r="AHM195" s="37"/>
      <c r="AHN195" s="37"/>
      <c r="AHO195" s="37"/>
      <c r="AHP195" s="37"/>
      <c r="AHQ195" s="37"/>
      <c r="AHR195" s="37"/>
      <c r="AHS195" s="37"/>
      <c r="AHT195" s="37"/>
      <c r="AHU195" s="37"/>
      <c r="AHV195" s="37"/>
      <c r="AHW195" s="37"/>
      <c r="AHX195" s="37"/>
      <c r="AHY195" s="37"/>
      <c r="AHZ195" s="37"/>
      <c r="AIA195" s="37"/>
      <c r="AIB195" s="37"/>
      <c r="AIC195" s="37"/>
      <c r="AID195" s="37"/>
      <c r="AIE195" s="37"/>
      <c r="AIF195" s="37"/>
      <c r="AIG195" s="37"/>
      <c r="AIH195" s="37"/>
      <c r="AII195" s="37"/>
      <c r="AIJ195" s="37"/>
      <c r="AIK195" s="37"/>
      <c r="AIL195" s="37"/>
      <c r="AIM195" s="37"/>
      <c r="AIN195" s="37"/>
      <c r="AIO195" s="37"/>
      <c r="AIP195" s="37"/>
      <c r="AIQ195" s="37"/>
      <c r="AIR195" s="37"/>
      <c r="AIS195" s="37"/>
      <c r="AIT195" s="37"/>
      <c r="AIU195" s="37"/>
      <c r="AIV195" s="37"/>
      <c r="AIW195" s="37"/>
      <c r="AIX195" s="37"/>
      <c r="AIY195" s="37"/>
      <c r="AIZ195" s="37"/>
      <c r="AJA195" s="37"/>
      <c r="AJB195" s="37"/>
      <c r="AJC195" s="37"/>
      <c r="AJD195" s="37"/>
      <c r="AJE195" s="37"/>
      <c r="AJF195" s="37"/>
      <c r="AJG195" s="37"/>
      <c r="AJH195" s="37"/>
      <c r="AJI195" s="37"/>
      <c r="AJJ195" s="37"/>
      <c r="AJK195" s="37"/>
      <c r="AJL195" s="37"/>
      <c r="AJM195" s="37"/>
      <c r="AJN195" s="37"/>
      <c r="AJO195" s="37"/>
      <c r="AJP195" s="37"/>
      <c r="AJQ195" s="37"/>
      <c r="AJR195" s="37"/>
      <c r="AJS195" s="37"/>
      <c r="AJT195" s="37"/>
      <c r="AJU195" s="37"/>
      <c r="AJV195" s="37"/>
      <c r="AJW195" s="37"/>
      <c r="AJX195" s="37"/>
      <c r="AJY195" s="37"/>
      <c r="AJZ195" s="37"/>
      <c r="AKA195" s="37"/>
      <c r="AKB195" s="37"/>
      <c r="AKC195" s="37"/>
      <c r="AKD195" s="37"/>
      <c r="AKE195" s="37"/>
      <c r="AKF195" s="37"/>
      <c r="AKG195" s="37"/>
      <c r="AKH195" s="37"/>
      <c r="AKI195" s="37"/>
      <c r="AKJ195" s="37"/>
      <c r="AKK195" s="37"/>
      <c r="AKL195" s="37"/>
      <c r="AKM195" s="37"/>
      <c r="AKN195" s="37"/>
      <c r="AKO195" s="37"/>
      <c r="AKP195" s="37"/>
      <c r="AKQ195" s="37"/>
      <c r="AKR195" s="37"/>
      <c r="AKS195" s="37"/>
      <c r="AKT195" s="37"/>
      <c r="AKU195" s="37"/>
      <c r="AKV195" s="37"/>
      <c r="AKW195" s="37"/>
      <c r="AKX195" s="37"/>
      <c r="AKY195" s="37"/>
      <c r="AKZ195" s="37"/>
      <c r="ALA195" s="37"/>
      <c r="ALB195" s="37"/>
      <c r="ALC195" s="37"/>
      <c r="ALD195" s="37"/>
      <c r="ALE195" s="37"/>
      <c r="ALF195" s="37"/>
      <c r="ALG195" s="37"/>
      <c r="ALH195" s="37"/>
    </row>
    <row r="196" spans="1:996" customFormat="1">
      <c r="A196" s="37"/>
      <c r="B196" t="str">
        <f t="shared" si="8"/>
        <v>S223111</v>
      </c>
      <c r="C196" s="36" t="s">
        <v>361</v>
      </c>
      <c r="D196" s="27" t="s">
        <v>128</v>
      </c>
      <c r="E196">
        <v>223111</v>
      </c>
      <c r="F196" s="108" t="s">
        <v>856</v>
      </c>
      <c r="G196" s="397">
        <f>IFERROR(VLOOKUP(E196,'BD - E - Mvto Cx'!$E$15:$G$500,3,0),0)</f>
        <v>1656672.9</v>
      </c>
      <c r="H196" s="109">
        <f>IFERROR(VLOOKUP(E196,'BD - E - Mvto Cx'!$N$15:$P$500,3,0),0)</f>
        <v>0</v>
      </c>
      <c r="I196" s="39">
        <f>IFERROR(VLOOKUP(E196,'BD - E - Mvto Cx'!$W$15:$Y$497,3,0),0)</f>
        <v>0</v>
      </c>
      <c r="J196" s="39">
        <f>IFERROR(VLOOKUP(E196,'BD - E - Mvto Cx'!$AF$15:$AI$500,3,0),0)</f>
        <v>0</v>
      </c>
      <c r="K196" s="39">
        <f>IFERROR(VLOOKUP(E196,'BD - E - Mvto Cx'!$AO$15:$AQ$500,3,0),0)</f>
        <v>0</v>
      </c>
      <c r="L196" s="39">
        <f>IFERROR(VLOOKUP(E196,'BD - E - Mvto Cx'!$AX$15:$AZ$500,3,0),0)</f>
        <v>0</v>
      </c>
      <c r="M196" s="39">
        <f>IFERROR(VLOOKUP(E196,'BD - E - Mvto Cx'!$BJ$15:$BL$500,3,0),0)</f>
        <v>0</v>
      </c>
      <c r="N196" s="39">
        <f>IFERROR(VLOOKUP(E196,'BD - E - Mvto Cx'!$BS$15:$BU$500,3,0),0)</f>
        <v>0</v>
      </c>
      <c r="O196" s="39">
        <f>IFERROR(VLOOKUP(E196,'BD - E - Mvto Cx'!$CB$15:$CD$500,3,0),0)</f>
        <v>0</v>
      </c>
      <c r="P196" s="39">
        <f>IFERROR(VLOOKUP(E196,'BD - E - Mvto Cx'!$CK$15:$CM$500,3,0),0)</f>
        <v>0</v>
      </c>
      <c r="Q196" s="39">
        <f>IFERROR(VLOOKUP(E196,'BD - E - Mvto Cx'!$CT$15:$CV$500,3,0),0)</f>
        <v>0</v>
      </c>
      <c r="R196" s="39">
        <f>IFERROR(VLOOKUP(E196,'BD - E - Mvto Cx'!$DC$15:$DE$500,3,0),0)</f>
        <v>0</v>
      </c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37"/>
      <c r="JE196" s="37"/>
      <c r="JF196" s="37"/>
      <c r="JG196" s="37"/>
      <c r="JH196" s="37"/>
      <c r="JI196" s="37"/>
      <c r="JJ196" s="37"/>
      <c r="JK196" s="37"/>
      <c r="JL196" s="37"/>
      <c r="JM196" s="37"/>
      <c r="JN196" s="37"/>
      <c r="JO196" s="37"/>
      <c r="JP196" s="37"/>
      <c r="JQ196" s="37"/>
      <c r="JR196" s="37"/>
      <c r="JS196" s="37"/>
      <c r="JT196" s="37"/>
      <c r="JU196" s="37"/>
      <c r="JV196" s="37"/>
      <c r="JW196" s="37"/>
      <c r="JX196" s="37"/>
      <c r="JY196" s="37"/>
      <c r="JZ196" s="37"/>
      <c r="KA196" s="37"/>
      <c r="KB196" s="37"/>
      <c r="KC196" s="37"/>
      <c r="KD196" s="37"/>
      <c r="KE196" s="37"/>
      <c r="KF196" s="37"/>
      <c r="KG196" s="37"/>
      <c r="KH196" s="37"/>
      <c r="KI196" s="37"/>
      <c r="KJ196" s="37"/>
      <c r="KK196" s="37"/>
      <c r="KL196" s="37"/>
      <c r="KM196" s="37"/>
      <c r="KN196" s="37"/>
      <c r="KO196" s="37"/>
      <c r="KP196" s="37"/>
      <c r="KQ196" s="37"/>
      <c r="KR196" s="37"/>
      <c r="KS196" s="37"/>
      <c r="KT196" s="37"/>
      <c r="KU196" s="37"/>
      <c r="KV196" s="37"/>
      <c r="KW196" s="37"/>
      <c r="KX196" s="37"/>
      <c r="KY196" s="37"/>
      <c r="KZ196" s="37"/>
      <c r="LA196" s="37"/>
      <c r="LB196" s="37"/>
      <c r="LC196" s="37"/>
      <c r="LD196" s="37"/>
      <c r="LE196" s="37"/>
      <c r="LF196" s="37"/>
      <c r="LG196" s="37"/>
      <c r="LH196" s="37"/>
      <c r="LI196" s="37"/>
      <c r="LJ196" s="37"/>
      <c r="LK196" s="37"/>
      <c r="LL196" s="37"/>
      <c r="LM196" s="37"/>
      <c r="LN196" s="37"/>
      <c r="LO196" s="37"/>
      <c r="LP196" s="37"/>
      <c r="LQ196" s="37"/>
      <c r="LR196" s="37"/>
      <c r="LS196" s="37"/>
      <c r="LT196" s="37"/>
      <c r="LU196" s="37"/>
      <c r="LV196" s="37"/>
      <c r="LW196" s="37"/>
      <c r="LX196" s="37"/>
      <c r="LY196" s="37"/>
      <c r="LZ196" s="37"/>
      <c r="MA196" s="37"/>
      <c r="MB196" s="37"/>
      <c r="MC196" s="37"/>
      <c r="MD196" s="37"/>
      <c r="ME196" s="37"/>
      <c r="MF196" s="37"/>
      <c r="MG196" s="37"/>
      <c r="MH196" s="37"/>
      <c r="MI196" s="37"/>
      <c r="MJ196" s="37"/>
      <c r="MK196" s="37"/>
      <c r="ML196" s="37"/>
      <c r="MM196" s="37"/>
      <c r="MN196" s="37"/>
      <c r="MO196" s="37"/>
      <c r="MP196" s="37"/>
      <c r="MQ196" s="37"/>
      <c r="MR196" s="37"/>
      <c r="MS196" s="37"/>
      <c r="MT196" s="37"/>
      <c r="MU196" s="37"/>
      <c r="MV196" s="37"/>
      <c r="MW196" s="37"/>
      <c r="MX196" s="37"/>
      <c r="MY196" s="37"/>
      <c r="MZ196" s="37"/>
      <c r="NA196" s="37"/>
      <c r="NB196" s="37"/>
      <c r="NC196" s="37"/>
      <c r="ND196" s="37"/>
      <c r="NE196" s="37"/>
      <c r="NF196" s="37"/>
      <c r="NG196" s="37"/>
      <c r="NH196" s="37"/>
      <c r="NI196" s="37"/>
      <c r="NJ196" s="37"/>
      <c r="NK196" s="37"/>
      <c r="NL196" s="37"/>
      <c r="NM196" s="37"/>
      <c r="NN196" s="37"/>
      <c r="NO196" s="37"/>
      <c r="NP196" s="37"/>
      <c r="NQ196" s="37"/>
      <c r="NR196" s="37"/>
      <c r="NS196" s="37"/>
      <c r="NT196" s="37"/>
      <c r="NU196" s="37"/>
      <c r="NV196" s="37"/>
      <c r="NW196" s="37"/>
      <c r="NX196" s="37"/>
      <c r="NY196" s="37"/>
      <c r="NZ196" s="37"/>
      <c r="OA196" s="37"/>
      <c r="OB196" s="37"/>
      <c r="OC196" s="37"/>
      <c r="OD196" s="37"/>
      <c r="OE196" s="37"/>
      <c r="OF196" s="37"/>
      <c r="OG196" s="37"/>
      <c r="OH196" s="37"/>
      <c r="OI196" s="37"/>
      <c r="OJ196" s="37"/>
      <c r="OK196" s="37"/>
      <c r="OL196" s="37"/>
      <c r="OM196" s="37"/>
      <c r="ON196" s="37"/>
      <c r="OO196" s="37"/>
      <c r="OP196" s="37"/>
      <c r="OQ196" s="37"/>
      <c r="OR196" s="37"/>
      <c r="OS196" s="37"/>
      <c r="OT196" s="37"/>
      <c r="OU196" s="37"/>
      <c r="OV196" s="37"/>
      <c r="OW196" s="37"/>
      <c r="OX196" s="37"/>
      <c r="OY196" s="37"/>
      <c r="OZ196" s="37"/>
      <c r="PA196" s="37"/>
      <c r="PB196" s="37"/>
      <c r="PC196" s="37"/>
      <c r="PD196" s="37"/>
      <c r="PE196" s="37"/>
      <c r="PF196" s="37"/>
      <c r="PG196" s="37"/>
      <c r="PH196" s="37"/>
      <c r="PI196" s="37"/>
      <c r="PJ196" s="37"/>
      <c r="PK196" s="37"/>
      <c r="PL196" s="37"/>
      <c r="PM196" s="37"/>
      <c r="PN196" s="37"/>
      <c r="PO196" s="37"/>
      <c r="PP196" s="37"/>
      <c r="PQ196" s="37"/>
      <c r="PR196" s="37"/>
      <c r="PS196" s="37"/>
      <c r="PT196" s="37"/>
      <c r="PU196" s="37"/>
      <c r="PV196" s="37"/>
      <c r="PW196" s="37"/>
      <c r="PX196" s="37"/>
      <c r="PY196" s="37"/>
      <c r="PZ196" s="37"/>
      <c r="QA196" s="37"/>
      <c r="QB196" s="37"/>
      <c r="QC196" s="37"/>
      <c r="QD196" s="37"/>
      <c r="QE196" s="37"/>
      <c r="QF196" s="37"/>
      <c r="QG196" s="37"/>
      <c r="QH196" s="37"/>
      <c r="QI196" s="37"/>
      <c r="QJ196" s="37"/>
      <c r="QK196" s="37"/>
      <c r="QL196" s="37"/>
      <c r="QM196" s="37"/>
      <c r="QN196" s="37"/>
      <c r="QO196" s="37"/>
      <c r="QP196" s="37"/>
      <c r="QQ196" s="37"/>
      <c r="QR196" s="37"/>
      <c r="QS196" s="37"/>
      <c r="QT196" s="37"/>
      <c r="QU196" s="37"/>
      <c r="QV196" s="37"/>
      <c r="QW196" s="37"/>
      <c r="QX196" s="37"/>
      <c r="QY196" s="37"/>
      <c r="QZ196" s="37"/>
      <c r="RA196" s="37"/>
      <c r="RB196" s="37"/>
      <c r="RC196" s="37"/>
      <c r="RD196" s="37"/>
      <c r="RE196" s="37"/>
      <c r="RF196" s="37"/>
      <c r="RG196" s="37"/>
      <c r="RH196" s="37"/>
      <c r="RI196" s="37"/>
      <c r="RJ196" s="37"/>
      <c r="RK196" s="37"/>
      <c r="RL196" s="37"/>
      <c r="RM196" s="37"/>
      <c r="RN196" s="37"/>
      <c r="RO196" s="37"/>
      <c r="RP196" s="37"/>
      <c r="RQ196" s="37"/>
      <c r="RR196" s="37"/>
      <c r="RS196" s="37"/>
      <c r="RT196" s="37"/>
      <c r="RU196" s="37"/>
      <c r="RV196" s="37"/>
      <c r="RW196" s="37"/>
      <c r="RX196" s="37"/>
      <c r="RY196" s="37"/>
      <c r="RZ196" s="37"/>
      <c r="SA196" s="37"/>
      <c r="SB196" s="37"/>
      <c r="SC196" s="37"/>
      <c r="SD196" s="37"/>
      <c r="SE196" s="37"/>
      <c r="SF196" s="37"/>
      <c r="SG196" s="37"/>
      <c r="SH196" s="37"/>
      <c r="SI196" s="37"/>
      <c r="SJ196" s="37"/>
      <c r="SK196" s="37"/>
      <c r="SL196" s="37"/>
      <c r="SM196" s="37"/>
      <c r="SN196" s="37"/>
      <c r="SO196" s="37"/>
      <c r="SP196" s="37"/>
      <c r="SQ196" s="37"/>
      <c r="SR196" s="37"/>
      <c r="SS196" s="37"/>
      <c r="ST196" s="37"/>
      <c r="SU196" s="37"/>
      <c r="SV196" s="37"/>
      <c r="SW196" s="37"/>
      <c r="SX196" s="37"/>
      <c r="SY196" s="37"/>
      <c r="SZ196" s="37"/>
      <c r="TA196" s="37"/>
      <c r="TB196" s="37"/>
      <c r="TC196" s="37"/>
      <c r="TD196" s="37"/>
      <c r="TE196" s="37"/>
      <c r="TF196" s="37"/>
      <c r="TG196" s="37"/>
      <c r="TH196" s="37"/>
      <c r="TI196" s="37"/>
      <c r="TJ196" s="37"/>
      <c r="TK196" s="37"/>
      <c r="TL196" s="37"/>
      <c r="TM196" s="37"/>
      <c r="TN196" s="37"/>
      <c r="TO196" s="37"/>
      <c r="TP196" s="37"/>
      <c r="TQ196" s="37"/>
      <c r="TR196" s="37"/>
      <c r="TS196" s="37"/>
      <c r="TT196" s="37"/>
      <c r="TU196" s="37"/>
      <c r="TV196" s="37"/>
      <c r="TW196" s="37"/>
      <c r="TX196" s="37"/>
      <c r="TY196" s="37"/>
      <c r="TZ196" s="37"/>
      <c r="UA196" s="37"/>
      <c r="UB196" s="37"/>
      <c r="UC196" s="37"/>
      <c r="UD196" s="37"/>
      <c r="UE196" s="37"/>
      <c r="UF196" s="37"/>
      <c r="UG196" s="37"/>
      <c r="UH196" s="37"/>
      <c r="UI196" s="37"/>
      <c r="UJ196" s="37"/>
      <c r="UK196" s="37"/>
      <c r="UL196" s="37"/>
      <c r="UM196" s="37"/>
      <c r="UN196" s="37"/>
      <c r="UO196" s="37"/>
      <c r="UP196" s="37"/>
      <c r="UQ196" s="37"/>
      <c r="UR196" s="37"/>
      <c r="US196" s="37"/>
      <c r="UT196" s="37"/>
      <c r="UU196" s="37"/>
      <c r="UV196" s="37"/>
      <c r="UW196" s="37"/>
      <c r="UX196" s="37"/>
      <c r="UY196" s="37"/>
      <c r="UZ196" s="37"/>
      <c r="VA196" s="37"/>
      <c r="VB196" s="37"/>
      <c r="VC196" s="37"/>
      <c r="VD196" s="37"/>
      <c r="VE196" s="37"/>
      <c r="VF196" s="37"/>
      <c r="VG196" s="37"/>
      <c r="VH196" s="37"/>
      <c r="VI196" s="37"/>
      <c r="VJ196" s="37"/>
      <c r="VK196" s="37"/>
      <c r="VL196" s="37"/>
      <c r="VM196" s="37"/>
      <c r="VN196" s="37"/>
      <c r="VO196" s="37"/>
      <c r="VP196" s="37"/>
      <c r="VQ196" s="37"/>
      <c r="VR196" s="37"/>
      <c r="VS196" s="37"/>
      <c r="VT196" s="37"/>
      <c r="VU196" s="37"/>
      <c r="VV196" s="37"/>
      <c r="VW196" s="37"/>
      <c r="VX196" s="37"/>
      <c r="VY196" s="37"/>
      <c r="VZ196" s="37"/>
      <c r="WA196" s="37"/>
      <c r="WB196" s="37"/>
      <c r="WC196" s="37"/>
      <c r="WD196" s="37"/>
      <c r="WE196" s="37"/>
      <c r="WF196" s="37"/>
      <c r="WG196" s="37"/>
      <c r="WH196" s="37"/>
      <c r="WI196" s="37"/>
      <c r="WJ196" s="37"/>
      <c r="WK196" s="37"/>
      <c r="WL196" s="37"/>
      <c r="WM196" s="37"/>
      <c r="WN196" s="37"/>
      <c r="WO196" s="37"/>
      <c r="WP196" s="37"/>
      <c r="WQ196" s="37"/>
      <c r="WR196" s="37"/>
      <c r="WS196" s="37"/>
      <c r="WT196" s="37"/>
      <c r="WU196" s="37"/>
      <c r="WV196" s="37"/>
      <c r="WW196" s="37"/>
      <c r="WX196" s="37"/>
      <c r="WY196" s="37"/>
      <c r="WZ196" s="37"/>
      <c r="XA196" s="37"/>
      <c r="XB196" s="37"/>
      <c r="XC196" s="37"/>
      <c r="XD196" s="37"/>
      <c r="XE196" s="37"/>
      <c r="XF196" s="37"/>
      <c r="XG196" s="37"/>
      <c r="XH196" s="37"/>
      <c r="XI196" s="37"/>
      <c r="XJ196" s="37"/>
      <c r="XK196" s="37"/>
      <c r="XL196" s="37"/>
      <c r="XM196" s="37"/>
      <c r="XN196" s="37"/>
      <c r="XO196" s="37"/>
      <c r="XP196" s="37"/>
      <c r="XQ196" s="37"/>
      <c r="XR196" s="37"/>
      <c r="XS196" s="37"/>
      <c r="XT196" s="37"/>
      <c r="XU196" s="37"/>
      <c r="XV196" s="37"/>
      <c r="XW196" s="37"/>
      <c r="XX196" s="37"/>
      <c r="XY196" s="37"/>
      <c r="XZ196" s="37"/>
      <c r="YA196" s="37"/>
      <c r="YB196" s="37"/>
      <c r="YC196" s="37"/>
      <c r="YD196" s="37"/>
      <c r="YE196" s="37"/>
      <c r="YF196" s="37"/>
      <c r="YG196" s="37"/>
      <c r="YH196" s="37"/>
      <c r="YI196" s="37"/>
      <c r="YJ196" s="37"/>
      <c r="YK196" s="37"/>
      <c r="YL196" s="37"/>
      <c r="YM196" s="37"/>
      <c r="YN196" s="37"/>
      <c r="YO196" s="37"/>
      <c r="YP196" s="37"/>
      <c r="YQ196" s="37"/>
      <c r="YR196" s="37"/>
      <c r="YS196" s="37"/>
      <c r="YT196" s="37"/>
      <c r="YU196" s="37"/>
      <c r="YV196" s="37"/>
      <c r="YW196" s="37"/>
      <c r="YX196" s="37"/>
      <c r="YY196" s="37"/>
      <c r="YZ196" s="37"/>
      <c r="ZA196" s="37"/>
      <c r="ZB196" s="37"/>
      <c r="ZC196" s="37"/>
      <c r="ZD196" s="37"/>
      <c r="ZE196" s="37"/>
      <c r="ZF196" s="37"/>
      <c r="ZG196" s="37"/>
      <c r="ZH196" s="37"/>
      <c r="ZI196" s="37"/>
      <c r="ZJ196" s="37"/>
      <c r="ZK196" s="37"/>
      <c r="ZL196" s="37"/>
      <c r="ZM196" s="37"/>
      <c r="ZN196" s="37"/>
      <c r="ZO196" s="37"/>
      <c r="ZP196" s="37"/>
      <c r="ZQ196" s="37"/>
      <c r="ZR196" s="37"/>
      <c r="ZS196" s="37"/>
      <c r="ZT196" s="37"/>
      <c r="ZU196" s="37"/>
      <c r="ZV196" s="37"/>
      <c r="ZW196" s="37"/>
      <c r="ZX196" s="37"/>
      <c r="ZY196" s="37"/>
      <c r="ZZ196" s="37"/>
      <c r="AAA196" s="37"/>
      <c r="AAB196" s="37"/>
      <c r="AAC196" s="37"/>
      <c r="AAD196" s="37"/>
      <c r="AAE196" s="37"/>
      <c r="AAF196" s="37"/>
      <c r="AAG196" s="37"/>
      <c r="AAH196" s="37"/>
      <c r="AAI196" s="37"/>
      <c r="AAJ196" s="37"/>
      <c r="AAK196" s="37"/>
      <c r="AAL196" s="37"/>
      <c r="AAM196" s="37"/>
      <c r="AAN196" s="37"/>
      <c r="AAO196" s="37"/>
      <c r="AAP196" s="37"/>
      <c r="AAQ196" s="37"/>
      <c r="AAR196" s="37"/>
      <c r="AAS196" s="37"/>
      <c r="AAT196" s="37"/>
      <c r="AAU196" s="37"/>
      <c r="AAV196" s="37"/>
      <c r="AAW196" s="37"/>
      <c r="AAX196" s="37"/>
      <c r="AAY196" s="37"/>
      <c r="AAZ196" s="37"/>
      <c r="ABA196" s="37"/>
      <c r="ABB196" s="37"/>
      <c r="ABC196" s="37"/>
      <c r="ABD196" s="37"/>
      <c r="ABE196" s="37"/>
      <c r="ABF196" s="37"/>
      <c r="ABG196" s="37"/>
      <c r="ABH196" s="37"/>
      <c r="ABI196" s="37"/>
      <c r="ABJ196" s="37"/>
      <c r="ABK196" s="37"/>
      <c r="ABL196" s="37"/>
      <c r="ABM196" s="37"/>
      <c r="ABN196" s="37"/>
      <c r="ABO196" s="37"/>
      <c r="ABP196" s="37"/>
      <c r="ABQ196" s="37"/>
      <c r="ABR196" s="37"/>
      <c r="ABS196" s="37"/>
      <c r="ABT196" s="37"/>
      <c r="ABU196" s="37"/>
      <c r="ABV196" s="37"/>
      <c r="ABW196" s="37"/>
      <c r="ABX196" s="37"/>
      <c r="ABY196" s="37"/>
      <c r="ABZ196" s="37"/>
      <c r="ACA196" s="37"/>
      <c r="ACB196" s="37"/>
      <c r="ACC196" s="37"/>
      <c r="ACD196" s="37"/>
      <c r="ACE196" s="37"/>
      <c r="ACF196" s="37"/>
      <c r="ACG196" s="37"/>
      <c r="ACH196" s="37"/>
      <c r="ACI196" s="37"/>
      <c r="ACJ196" s="37"/>
      <c r="ACK196" s="37"/>
      <c r="ACL196" s="37"/>
      <c r="ACM196" s="37"/>
      <c r="ACN196" s="37"/>
      <c r="ACO196" s="37"/>
      <c r="ACP196" s="37"/>
      <c r="ACQ196" s="37"/>
      <c r="ACR196" s="37"/>
      <c r="ACS196" s="37"/>
      <c r="ACT196" s="37"/>
      <c r="ACU196" s="37"/>
      <c r="ACV196" s="37"/>
      <c r="ACW196" s="37"/>
      <c r="ACX196" s="37"/>
      <c r="ACY196" s="37"/>
      <c r="ACZ196" s="37"/>
      <c r="ADA196" s="37"/>
      <c r="ADB196" s="37"/>
      <c r="ADC196" s="37"/>
      <c r="ADD196" s="37"/>
      <c r="ADE196" s="37"/>
      <c r="ADF196" s="37"/>
      <c r="ADG196" s="37"/>
      <c r="ADH196" s="37"/>
      <c r="ADI196" s="37"/>
      <c r="ADJ196" s="37"/>
      <c r="ADK196" s="37"/>
      <c r="ADL196" s="37"/>
      <c r="ADM196" s="37"/>
      <c r="ADN196" s="37"/>
      <c r="ADO196" s="37"/>
      <c r="ADP196" s="37"/>
      <c r="ADQ196" s="37"/>
      <c r="ADR196" s="37"/>
      <c r="ADS196" s="37"/>
      <c r="ADT196" s="37"/>
      <c r="ADU196" s="37"/>
      <c r="ADV196" s="37"/>
      <c r="ADW196" s="37"/>
      <c r="ADX196" s="37"/>
      <c r="ADY196" s="37"/>
      <c r="ADZ196" s="37"/>
      <c r="AEA196" s="37"/>
      <c r="AEB196" s="37"/>
      <c r="AEC196" s="37"/>
      <c r="AED196" s="37"/>
      <c r="AEE196" s="37"/>
      <c r="AEF196" s="37"/>
      <c r="AEG196" s="37"/>
      <c r="AEH196" s="37"/>
      <c r="AEI196" s="37"/>
      <c r="AEJ196" s="37"/>
      <c r="AEK196" s="37"/>
      <c r="AEL196" s="37"/>
      <c r="AEM196" s="37"/>
      <c r="AEN196" s="37"/>
      <c r="AEO196" s="37"/>
      <c r="AEP196" s="37"/>
      <c r="AEQ196" s="37"/>
      <c r="AER196" s="37"/>
      <c r="AES196" s="37"/>
      <c r="AET196" s="37"/>
      <c r="AEU196" s="37"/>
      <c r="AEV196" s="37"/>
      <c r="AEW196" s="37"/>
      <c r="AEX196" s="37"/>
      <c r="AEY196" s="37"/>
      <c r="AEZ196" s="37"/>
      <c r="AFA196" s="37"/>
      <c r="AFB196" s="37"/>
      <c r="AFC196" s="37"/>
      <c r="AFD196" s="37"/>
      <c r="AFE196" s="37"/>
      <c r="AFF196" s="37"/>
      <c r="AFG196" s="37"/>
      <c r="AFH196" s="37"/>
      <c r="AFI196" s="37"/>
      <c r="AFJ196" s="37"/>
      <c r="AFK196" s="37"/>
      <c r="AFL196" s="37"/>
      <c r="AFM196" s="37"/>
      <c r="AFN196" s="37"/>
      <c r="AFO196" s="37"/>
      <c r="AFP196" s="37"/>
      <c r="AFQ196" s="37"/>
      <c r="AFR196" s="37"/>
      <c r="AFS196" s="37"/>
      <c r="AFT196" s="37"/>
      <c r="AFU196" s="37"/>
      <c r="AFV196" s="37"/>
      <c r="AFW196" s="37"/>
      <c r="AFX196" s="37"/>
      <c r="AFY196" s="37"/>
      <c r="AFZ196" s="37"/>
      <c r="AGA196" s="37"/>
      <c r="AGB196" s="37"/>
      <c r="AGC196" s="37"/>
      <c r="AGD196" s="37"/>
      <c r="AGE196" s="37"/>
      <c r="AGF196" s="37"/>
      <c r="AGG196" s="37"/>
      <c r="AGH196" s="37"/>
      <c r="AGI196" s="37"/>
      <c r="AGJ196" s="37"/>
      <c r="AGK196" s="37"/>
      <c r="AGL196" s="37"/>
      <c r="AGM196" s="37"/>
      <c r="AGN196" s="37"/>
      <c r="AGO196" s="37"/>
      <c r="AGP196" s="37"/>
      <c r="AGQ196" s="37"/>
      <c r="AGR196" s="37"/>
      <c r="AGS196" s="37"/>
      <c r="AGT196" s="37"/>
      <c r="AGU196" s="37"/>
      <c r="AGV196" s="37"/>
      <c r="AGW196" s="37"/>
      <c r="AGX196" s="37"/>
      <c r="AGY196" s="37"/>
      <c r="AGZ196" s="37"/>
      <c r="AHA196" s="37"/>
      <c r="AHB196" s="37"/>
      <c r="AHC196" s="37"/>
      <c r="AHD196" s="37"/>
      <c r="AHE196" s="37"/>
      <c r="AHF196" s="37"/>
      <c r="AHG196" s="37"/>
      <c r="AHH196" s="37"/>
      <c r="AHI196" s="37"/>
      <c r="AHJ196" s="37"/>
      <c r="AHK196" s="37"/>
      <c r="AHL196" s="37"/>
      <c r="AHM196" s="37"/>
      <c r="AHN196" s="37"/>
      <c r="AHO196" s="37"/>
      <c r="AHP196" s="37"/>
      <c r="AHQ196" s="37"/>
      <c r="AHR196" s="37"/>
      <c r="AHS196" s="37"/>
      <c r="AHT196" s="37"/>
      <c r="AHU196" s="37"/>
      <c r="AHV196" s="37"/>
      <c r="AHW196" s="37"/>
      <c r="AHX196" s="37"/>
      <c r="AHY196" s="37"/>
      <c r="AHZ196" s="37"/>
      <c r="AIA196" s="37"/>
      <c r="AIB196" s="37"/>
      <c r="AIC196" s="37"/>
      <c r="AID196" s="37"/>
      <c r="AIE196" s="37"/>
      <c r="AIF196" s="37"/>
      <c r="AIG196" s="37"/>
      <c r="AIH196" s="37"/>
      <c r="AII196" s="37"/>
      <c r="AIJ196" s="37"/>
      <c r="AIK196" s="37"/>
      <c r="AIL196" s="37"/>
      <c r="AIM196" s="37"/>
      <c r="AIN196" s="37"/>
      <c r="AIO196" s="37"/>
      <c r="AIP196" s="37"/>
      <c r="AIQ196" s="37"/>
      <c r="AIR196" s="37"/>
      <c r="AIS196" s="37"/>
      <c r="AIT196" s="37"/>
      <c r="AIU196" s="37"/>
      <c r="AIV196" s="37"/>
      <c r="AIW196" s="37"/>
      <c r="AIX196" s="37"/>
      <c r="AIY196" s="37"/>
      <c r="AIZ196" s="37"/>
      <c r="AJA196" s="37"/>
      <c r="AJB196" s="37"/>
      <c r="AJC196" s="37"/>
      <c r="AJD196" s="37"/>
      <c r="AJE196" s="37"/>
      <c r="AJF196" s="37"/>
      <c r="AJG196" s="37"/>
      <c r="AJH196" s="37"/>
      <c r="AJI196" s="37"/>
      <c r="AJJ196" s="37"/>
      <c r="AJK196" s="37"/>
      <c r="AJL196" s="37"/>
      <c r="AJM196" s="37"/>
      <c r="AJN196" s="37"/>
      <c r="AJO196" s="37"/>
      <c r="AJP196" s="37"/>
      <c r="AJQ196" s="37"/>
      <c r="AJR196" s="37"/>
      <c r="AJS196" s="37"/>
      <c r="AJT196" s="37"/>
      <c r="AJU196" s="37"/>
      <c r="AJV196" s="37"/>
      <c r="AJW196" s="37"/>
      <c r="AJX196" s="37"/>
      <c r="AJY196" s="37"/>
      <c r="AJZ196" s="37"/>
      <c r="AKA196" s="37"/>
      <c r="AKB196" s="37"/>
      <c r="AKC196" s="37"/>
      <c r="AKD196" s="37"/>
      <c r="AKE196" s="37"/>
      <c r="AKF196" s="37"/>
      <c r="AKG196" s="37"/>
      <c r="AKH196" s="37"/>
      <c r="AKI196" s="37"/>
      <c r="AKJ196" s="37"/>
      <c r="AKK196" s="37"/>
      <c r="AKL196" s="37"/>
      <c r="AKM196" s="37"/>
      <c r="AKN196" s="37"/>
      <c r="AKO196" s="37"/>
      <c r="AKP196" s="37"/>
      <c r="AKQ196" s="37"/>
      <c r="AKR196" s="37"/>
      <c r="AKS196" s="37"/>
      <c r="AKT196" s="37"/>
      <c r="AKU196" s="37"/>
      <c r="AKV196" s="37"/>
      <c r="AKW196" s="37"/>
      <c r="AKX196" s="37"/>
      <c r="AKY196" s="37"/>
      <c r="AKZ196" s="37"/>
      <c r="ALA196" s="37"/>
      <c r="ALB196" s="37"/>
      <c r="ALC196" s="37"/>
      <c r="ALD196" s="37"/>
      <c r="ALE196" s="37"/>
      <c r="ALF196" s="37"/>
      <c r="ALG196" s="37"/>
      <c r="ALH196" s="37"/>
    </row>
    <row r="197" spans="1:996">
      <c r="A197" s="37"/>
      <c r="B197" t="str">
        <f t="shared" si="8"/>
        <v>S224201</v>
      </c>
      <c r="C197" s="7" t="s">
        <v>362</v>
      </c>
      <c r="D197" s="27" t="s">
        <v>128</v>
      </c>
      <c r="E197" s="7">
        <v>224201</v>
      </c>
      <c r="F197" s="48" t="s">
        <v>177</v>
      </c>
      <c r="G197" s="49">
        <f>IFERROR(VLOOKUP(E197,'BD - E - Mvto Cx'!$E$15:$G$500,3,0),0)</f>
        <v>281590.13</v>
      </c>
      <c r="H197" s="51">
        <f>IFERROR(VLOOKUP(E197,'BD - E - Mvto Cx'!$N$15:$P$500,3,0),0)</f>
        <v>284920.55</v>
      </c>
      <c r="I197" s="50">
        <f>IFERROR(VLOOKUP(E197,'BD - E - Mvto Cx'!$W$15:$Y$497,3,0),0)</f>
        <v>284920.34999999998</v>
      </c>
      <c r="J197" s="50">
        <f>IFERROR(VLOOKUP(E197,'BD - E - Mvto Cx'!$AF$15:$AI$500,3,0),0)</f>
        <v>321469.78000000003</v>
      </c>
      <c r="K197" s="50">
        <f>IFERROR(VLOOKUP(E197,'BD - E - Mvto Cx'!$AO$15:$AQ$500,3,0),0)</f>
        <v>0</v>
      </c>
      <c r="L197" s="50">
        <f>IFERROR(VLOOKUP(E197,'BD - E - Mvto Cx'!$AX$15:$AZ$500,3,0),0)</f>
        <v>0</v>
      </c>
      <c r="M197" s="50">
        <f>IFERROR(VLOOKUP(E197,'BD - E - Mvto Cx'!$BJ$15:$BL$500,3,0),0)</f>
        <v>0</v>
      </c>
      <c r="N197" s="50">
        <f>IFERROR(VLOOKUP(E197,'BD - E - Mvto Cx'!$BS$15:$BU$500,3,0),0)</f>
        <v>0</v>
      </c>
      <c r="O197" s="50">
        <f>IFERROR(VLOOKUP(E197,'BD - E - Mvto Cx'!$CB$15:$CD$500,3,0),0)</f>
        <v>0</v>
      </c>
      <c r="P197" s="50">
        <f>IFERROR(VLOOKUP(E197,'BD - E - Mvto Cx'!$CK$15:$CM$500,3,0),0)</f>
        <v>0</v>
      </c>
      <c r="Q197" s="50">
        <f>IFERROR(VLOOKUP(E197,'BD - E - Mvto Cx'!$CT$15:$CV$500,3,0),0)</f>
        <v>0</v>
      </c>
      <c r="R197" s="50">
        <f>IFERROR(VLOOKUP(E197,'BD - E - Mvto Cx'!$DC$15:$DE$500,3,0),0)</f>
        <v>0</v>
      </c>
    </row>
    <row r="198" spans="1:996">
      <c r="A198" s="37"/>
      <c r="B198" t="str">
        <f t="shared" si="8"/>
        <v>S224202</v>
      </c>
      <c r="C198" s="7" t="s">
        <v>362</v>
      </c>
      <c r="D198" s="27" t="s">
        <v>128</v>
      </c>
      <c r="E198" s="7">
        <v>224202</v>
      </c>
      <c r="F198" s="48" t="s">
        <v>178</v>
      </c>
      <c r="G198" s="49">
        <f>IFERROR(VLOOKUP(E198,'BD - E - Mvto Cx'!$E$15:$G$500,3,0),0)</f>
        <v>0</v>
      </c>
      <c r="H198" s="51">
        <f>IFERROR(VLOOKUP(E198,'BD - E - Mvto Cx'!$N$15:$P$500,3,0),0)</f>
        <v>0</v>
      </c>
      <c r="I198" s="50">
        <f>IFERROR(VLOOKUP(E198,'BD - E - Mvto Cx'!$W$15:$Y$497,3,0),0)</f>
        <v>0</v>
      </c>
      <c r="J198" s="50">
        <f>IFERROR(VLOOKUP(E198,'BD - E - Mvto Cx'!$AF$15:$AI$500,3,0),0)</f>
        <v>0</v>
      </c>
      <c r="K198" s="50">
        <f>IFERROR(VLOOKUP(E198,'BD - E - Mvto Cx'!$AO$15:$AQ$500,3,0),0)</f>
        <v>0</v>
      </c>
      <c r="L198" s="50">
        <f>IFERROR(VLOOKUP(E198,'BD - E - Mvto Cx'!$AX$15:$AZ$500,3,0),0)</f>
        <v>0</v>
      </c>
      <c r="M198" s="50">
        <f>IFERROR(VLOOKUP(E198,'BD - E - Mvto Cx'!$BJ$15:$BL$500,3,0),0)</f>
        <v>0</v>
      </c>
      <c r="N198" s="50">
        <f>IFERROR(VLOOKUP(E198,'BD - E - Mvto Cx'!$BS$15:$BU$500,3,0),0)</f>
        <v>0</v>
      </c>
      <c r="O198" s="50">
        <f>IFERROR(VLOOKUP(E198,'BD - E - Mvto Cx'!$CB$15:$CD$500,3,0),0)</f>
        <v>0</v>
      </c>
      <c r="P198" s="50">
        <f>IFERROR(VLOOKUP(E198,'BD - E - Mvto Cx'!$CK$15:$CM$500,3,0),0)</f>
        <v>0</v>
      </c>
      <c r="Q198" s="50">
        <f>IFERROR(VLOOKUP(E198,'BD - E - Mvto Cx'!$CT$15:$CV$500,3,0),0)</f>
        <v>0</v>
      </c>
      <c r="R198" s="50">
        <f>IFERROR(VLOOKUP(E198,'BD - E - Mvto Cx'!$DC$15:$DE$500,3,0),0)</f>
        <v>0</v>
      </c>
    </row>
    <row r="199" spans="1:996">
      <c r="A199" s="37"/>
      <c r="B199" t="str">
        <f t="shared" si="8"/>
        <v>S225105</v>
      </c>
      <c r="C199" s="7" t="s">
        <v>380</v>
      </c>
      <c r="D199" s="27" t="s">
        <v>128</v>
      </c>
      <c r="E199" s="7">
        <v>225105</v>
      </c>
      <c r="F199" s="48" t="s">
        <v>179</v>
      </c>
      <c r="G199" s="49">
        <f>IFERROR(VLOOKUP(E199,'BD - E - Mvto Cx'!$E$15:$G$500,3,0),0)</f>
        <v>590944.94999999995</v>
      </c>
      <c r="H199" s="51">
        <f>IFERROR(VLOOKUP(E199,'BD - E - Mvto Cx'!$N$15:$P$500,3,0),0)</f>
        <v>579200.35</v>
      </c>
      <c r="I199" s="50">
        <f>IFERROR(VLOOKUP(E199,'BD - E - Mvto Cx'!$W$15:$Y$497,3,0),0)</f>
        <v>718691.45</v>
      </c>
      <c r="J199" s="50">
        <f>IFERROR(VLOOKUP(E199,'BD - E - Mvto Cx'!$AF$15:$AI$500,3,0),0)</f>
        <v>602533.9</v>
      </c>
      <c r="K199" s="50">
        <f>IFERROR(VLOOKUP(E199,'BD - E - Mvto Cx'!$AO$15:$AQ$500,3,0),0)</f>
        <v>0</v>
      </c>
      <c r="L199" s="50">
        <f>IFERROR(VLOOKUP(E199,'BD - E - Mvto Cx'!$AX$15:$AZ$500,3,0),0)</f>
        <v>0</v>
      </c>
      <c r="M199" s="50">
        <f>IFERROR(VLOOKUP(E199,'BD - E - Mvto Cx'!$BJ$15:$BL$500,3,0),0)</f>
        <v>0</v>
      </c>
      <c r="N199" s="50">
        <f>IFERROR(VLOOKUP(E199,'BD - E - Mvto Cx'!$BS$15:$BU$500,3,0),0)</f>
        <v>0</v>
      </c>
      <c r="O199" s="50">
        <f>IFERROR(VLOOKUP(E199,'BD - E - Mvto Cx'!$CB$15:$CD$500,3,0),0)</f>
        <v>0</v>
      </c>
      <c r="P199" s="50">
        <f>IFERROR(VLOOKUP(E199,'BD - E - Mvto Cx'!$CK$15:$CM$500,3,0),0)</f>
        <v>0</v>
      </c>
      <c r="Q199" s="50">
        <f>IFERROR(VLOOKUP(E199,'BD - E - Mvto Cx'!$CT$15:$CV$500,3,0),0)</f>
        <v>0</v>
      </c>
      <c r="R199" s="50">
        <f>IFERROR(VLOOKUP(E199,'BD - E - Mvto Cx'!$DC$15:$DE$500,3,0),0)</f>
        <v>0</v>
      </c>
    </row>
    <row r="200" spans="1:996">
      <c r="A200" s="37"/>
      <c r="B200" t="str">
        <f t="shared" si="8"/>
        <v>S226101</v>
      </c>
      <c r="C200" s="7" t="s">
        <v>382</v>
      </c>
      <c r="D200" s="27" t="s">
        <v>128</v>
      </c>
      <c r="E200" s="7">
        <v>226101</v>
      </c>
      <c r="F200" s="48" t="s">
        <v>180</v>
      </c>
      <c r="G200" s="49">
        <f>IFERROR(VLOOKUP(E200,'BD - E - Mvto Cx'!$E$15:$G$500,3,0),0)</f>
        <v>143580.62</v>
      </c>
      <c r="H200" s="51">
        <f>IFERROR(VLOOKUP(E200,'BD - E - Mvto Cx'!$N$15:$P$500,3,0),0)</f>
        <v>2718.65</v>
      </c>
      <c r="I200" s="50">
        <f>IFERROR(VLOOKUP(E200,'BD - E - Mvto Cx'!$W$15:$Y$497,3,0),0)</f>
        <v>71642.8</v>
      </c>
      <c r="J200" s="50">
        <f>IFERROR(VLOOKUP(E200,'BD - E - Mvto Cx'!$AF$15:$AI$500,3,0),0)</f>
        <v>1666.49</v>
      </c>
      <c r="K200" s="50">
        <f>IFERROR(VLOOKUP(E200,'BD - E - Mvto Cx'!$AO$15:$AQ$500,3,0),0)</f>
        <v>0</v>
      </c>
      <c r="L200" s="50">
        <f>IFERROR(VLOOKUP(E200,'BD - E - Mvto Cx'!$AX$15:$AZ$500,3,0),0)</f>
        <v>0</v>
      </c>
      <c r="M200" s="50">
        <f>IFERROR(VLOOKUP(E200,'BD - E - Mvto Cx'!$BJ$15:$BL$500,3,0),0)</f>
        <v>0</v>
      </c>
      <c r="N200" s="50">
        <f>IFERROR(VLOOKUP(E200,'BD - E - Mvto Cx'!$BS$15:$BU$500,3,0),0)</f>
        <v>0</v>
      </c>
      <c r="O200" s="50">
        <f>IFERROR(VLOOKUP(E200,'BD - E - Mvto Cx'!$CB$15:$CD$500,3,0),0)</f>
        <v>0</v>
      </c>
      <c r="P200" s="50">
        <f>IFERROR(VLOOKUP(E200,'BD - E - Mvto Cx'!$CK$15:$CM$500,3,0),0)</f>
        <v>0</v>
      </c>
      <c r="Q200" s="50">
        <f>IFERROR(VLOOKUP(E200,'BD - E - Mvto Cx'!$CT$15:$CV$500,3,0),0)</f>
        <v>0</v>
      </c>
      <c r="R200" s="50">
        <f>IFERROR(VLOOKUP(E200,'BD - E - Mvto Cx'!$DC$15:$DE$500,3,0),0)</f>
        <v>0</v>
      </c>
    </row>
    <row r="201" spans="1:996">
      <c r="A201" s="37"/>
      <c r="B201" t="str">
        <f t="shared" si="8"/>
        <v>S226201</v>
      </c>
      <c r="C201" s="7" t="s">
        <v>380</v>
      </c>
      <c r="D201" s="27" t="s">
        <v>128</v>
      </c>
      <c r="E201" s="7">
        <v>226201</v>
      </c>
      <c r="F201" s="48" t="s">
        <v>181</v>
      </c>
      <c r="G201" s="49">
        <f>IFERROR(VLOOKUP(E201,'BD - E - Mvto Cx'!$E$15:$G$500,3,0),0)</f>
        <v>425948</v>
      </c>
      <c r="H201" s="51">
        <f>IFERROR(VLOOKUP(E201,'BD - E - Mvto Cx'!$N$15:$P$500,3,0),0)</f>
        <v>14088.1</v>
      </c>
      <c r="I201" s="50">
        <f>IFERROR(VLOOKUP(E201,'BD - E - Mvto Cx'!$W$15:$Y$497,3,0),0)</f>
        <v>3434445.48</v>
      </c>
      <c r="J201" s="50">
        <f>IFERROR(VLOOKUP(E201,'BD - E - Mvto Cx'!$AF$15:$AI$500,3,0),0)</f>
        <v>100000</v>
      </c>
      <c r="K201" s="50">
        <f>IFERROR(VLOOKUP(E201,'BD - E - Mvto Cx'!$AO$15:$AQ$500,3,0),0)</f>
        <v>0</v>
      </c>
      <c r="L201" s="50">
        <f>IFERROR(VLOOKUP(E201,'BD - E - Mvto Cx'!$AX$15:$AZ$500,3,0),0)</f>
        <v>0</v>
      </c>
      <c r="M201" s="50">
        <f>IFERROR(VLOOKUP(E201,'BD - E - Mvto Cx'!$BJ$15:$BL$500,3,0),0)</f>
        <v>0</v>
      </c>
      <c r="N201" s="50">
        <f>IFERROR(VLOOKUP(E201,'BD - E - Mvto Cx'!$BS$15:$BU$500,3,0),0)</f>
        <v>0</v>
      </c>
      <c r="O201" s="50">
        <f>IFERROR(VLOOKUP(E201,'BD - E - Mvto Cx'!$CB$15:$CD$500,3,0),0)</f>
        <v>0</v>
      </c>
      <c r="P201" s="50">
        <f>IFERROR(VLOOKUP(E201,'BD - E - Mvto Cx'!$CK$15:$CM$500,3,0),0)</f>
        <v>0</v>
      </c>
      <c r="Q201" s="50">
        <f>IFERROR(VLOOKUP(E201,'BD - E - Mvto Cx'!$CT$15:$CV$500,3,0),0)</f>
        <v>0</v>
      </c>
      <c r="R201" s="50">
        <f>IFERROR(VLOOKUP(E201,'BD - E - Mvto Cx'!$DC$15:$DE$500,3,0),0)</f>
        <v>0</v>
      </c>
    </row>
    <row r="202" spans="1:996" s="75" customFormat="1">
      <c r="A202" s="104"/>
      <c r="B202" s="75" t="str">
        <f t="shared" si="8"/>
        <v>S312107</v>
      </c>
      <c r="C202" s="75" t="s">
        <v>228</v>
      </c>
      <c r="D202" s="27" t="s">
        <v>128</v>
      </c>
      <c r="E202" s="75">
        <v>312107</v>
      </c>
      <c r="F202" s="105" t="s">
        <v>596</v>
      </c>
      <c r="G202" s="74">
        <f>IFERROR(VLOOKUP(E202,'BD - E - Mvto Cx'!$E$15:$G$500,3,0),0)</f>
        <v>30977.98</v>
      </c>
      <c r="H202" s="72">
        <f>IFERROR(VLOOKUP(E202,'BD - E - Mvto Cx'!$N$15:$P$500,3,0),0)</f>
        <v>18959.560000000001</v>
      </c>
      <c r="I202" s="73">
        <f>IFERROR(VLOOKUP(E202,'BD - E - Mvto Cx'!$W$15:$Y$497,3,0),0)</f>
        <v>18509.78</v>
      </c>
      <c r="J202" s="73">
        <f>IFERROR(VLOOKUP(E202,'BD - E - Mvto Cx'!$AF$15:$AI$500,3,0),0)</f>
        <v>29988.28</v>
      </c>
      <c r="K202" s="73">
        <f>IFERROR(VLOOKUP(E202,'BD - E - Mvto Cx'!$AO$15:$AQ$500,3,0),0)</f>
        <v>0</v>
      </c>
      <c r="L202" s="73">
        <f>IFERROR(VLOOKUP(E202,'BD - E - Mvto Cx'!$AX$15:$AZ$500,3,0),0)</f>
        <v>0</v>
      </c>
      <c r="M202" s="73">
        <f>IFERROR(VLOOKUP(E202,'BD - E - Mvto Cx'!$BJ$15:$BL$500,3,0),0)</f>
        <v>0</v>
      </c>
      <c r="N202" s="73">
        <f>IFERROR(VLOOKUP(E202,'BD - E - Mvto Cx'!$BS$15:$BU$500,3,0),0)</f>
        <v>0</v>
      </c>
      <c r="O202" s="73">
        <f>IFERROR(VLOOKUP(E202,'BD - E - Mvto Cx'!$CB$15:$CD$500,3,0),0)</f>
        <v>0</v>
      </c>
      <c r="P202" s="73">
        <f>IFERROR(VLOOKUP(E202,'BD - E - Mvto Cx'!$CK$15:$CM$500,3,0),0)</f>
        <v>0</v>
      </c>
      <c r="Q202" s="73">
        <f>IFERROR(VLOOKUP(E202,'BD - E - Mvto Cx'!$CT$15:$CV$500,3,0),0)</f>
        <v>0</v>
      </c>
      <c r="R202" s="73">
        <f>IFERROR(VLOOKUP(E202,'BD - E - Mvto Cx'!$DC$15:$DE$500,3,0),0)</f>
        <v>0</v>
      </c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  <c r="CJ202" s="106"/>
      <c r="CK202" s="106"/>
      <c r="CL202" s="106"/>
      <c r="CM202" s="106"/>
      <c r="CN202" s="106"/>
      <c r="CO202" s="106"/>
      <c r="CP202" s="106"/>
      <c r="CQ202" s="106"/>
      <c r="CR202" s="106"/>
      <c r="CS202" s="106"/>
      <c r="CT202" s="106"/>
      <c r="CU202" s="106"/>
      <c r="CV202" s="106"/>
      <c r="CW202" s="106"/>
      <c r="CX202" s="106"/>
      <c r="CY202" s="106"/>
      <c r="CZ202" s="106"/>
      <c r="DA202" s="106"/>
      <c r="DB202" s="106"/>
      <c r="DC202" s="106"/>
      <c r="DD202" s="106"/>
      <c r="DE202" s="106"/>
      <c r="DF202" s="106"/>
      <c r="DG202" s="106"/>
      <c r="DH202" s="106"/>
      <c r="DI202" s="106"/>
      <c r="DJ202" s="106"/>
      <c r="DK202" s="106"/>
      <c r="DL202" s="106"/>
      <c r="DM202" s="106"/>
      <c r="DN202" s="106"/>
      <c r="DO202" s="106"/>
      <c r="DP202" s="106"/>
      <c r="DQ202" s="106"/>
      <c r="DR202" s="106"/>
      <c r="DS202" s="106"/>
      <c r="DT202" s="106"/>
      <c r="DU202" s="106"/>
      <c r="DV202" s="106"/>
      <c r="DW202" s="106"/>
      <c r="DX202" s="106"/>
      <c r="DY202" s="106"/>
      <c r="DZ202" s="106"/>
      <c r="EA202" s="106"/>
      <c r="EB202" s="106"/>
      <c r="EC202" s="106"/>
      <c r="ED202" s="106"/>
      <c r="EE202" s="106"/>
      <c r="EF202" s="106"/>
      <c r="EG202" s="106"/>
      <c r="EH202" s="106"/>
      <c r="EI202" s="106"/>
      <c r="EJ202" s="106"/>
      <c r="EK202" s="106"/>
      <c r="EL202" s="106"/>
      <c r="EM202" s="106"/>
      <c r="EN202" s="106"/>
      <c r="EO202" s="106"/>
      <c r="EP202" s="106"/>
      <c r="EQ202" s="106"/>
      <c r="ER202" s="106"/>
      <c r="ES202" s="106"/>
      <c r="ET202" s="106"/>
      <c r="EU202" s="106"/>
      <c r="EV202" s="106"/>
      <c r="EW202" s="106"/>
      <c r="EX202" s="106"/>
      <c r="EY202" s="106"/>
      <c r="EZ202" s="106"/>
      <c r="FA202" s="106"/>
      <c r="FB202" s="106"/>
      <c r="FC202" s="106"/>
      <c r="FD202" s="106"/>
      <c r="FE202" s="106"/>
      <c r="FF202" s="106"/>
      <c r="FG202" s="106"/>
      <c r="FH202" s="106"/>
      <c r="FI202" s="106"/>
      <c r="FJ202" s="106"/>
      <c r="FK202" s="106"/>
      <c r="FL202" s="106"/>
      <c r="FM202" s="106"/>
      <c r="FN202" s="106"/>
      <c r="FO202" s="106"/>
      <c r="FP202" s="106"/>
      <c r="FQ202" s="106"/>
      <c r="FR202" s="106"/>
      <c r="FS202" s="106"/>
      <c r="FT202" s="106"/>
      <c r="FU202" s="106"/>
      <c r="FV202" s="106"/>
      <c r="FW202" s="106"/>
      <c r="FX202" s="106"/>
      <c r="FY202" s="106"/>
      <c r="FZ202" s="106"/>
      <c r="GA202" s="106"/>
      <c r="GB202" s="106"/>
      <c r="GC202" s="106"/>
      <c r="GD202" s="106"/>
      <c r="GE202" s="106"/>
      <c r="GF202" s="106"/>
      <c r="GG202" s="106"/>
      <c r="GH202" s="106"/>
      <c r="GI202" s="106"/>
      <c r="GJ202" s="106"/>
      <c r="GK202" s="106"/>
      <c r="GL202" s="106"/>
      <c r="GM202" s="106"/>
      <c r="GN202" s="106"/>
      <c r="GO202" s="106"/>
      <c r="GP202" s="106"/>
      <c r="GQ202" s="106"/>
      <c r="GR202" s="106"/>
      <c r="GS202" s="106"/>
      <c r="GT202" s="106"/>
      <c r="GU202" s="106"/>
      <c r="GV202" s="106"/>
      <c r="GW202" s="106"/>
      <c r="GX202" s="106"/>
      <c r="GY202" s="106"/>
      <c r="GZ202" s="106"/>
      <c r="HA202" s="106"/>
      <c r="HB202" s="106"/>
      <c r="HC202" s="106"/>
      <c r="HD202" s="106"/>
      <c r="HE202" s="106"/>
      <c r="HF202" s="106"/>
      <c r="HG202" s="106"/>
      <c r="HH202" s="106"/>
      <c r="HI202" s="106"/>
      <c r="HJ202" s="106"/>
      <c r="HK202" s="106"/>
      <c r="HL202" s="106"/>
      <c r="HM202" s="106"/>
      <c r="HN202" s="106"/>
      <c r="HO202" s="106"/>
      <c r="HP202" s="106"/>
      <c r="HQ202" s="106"/>
      <c r="HR202" s="106"/>
      <c r="HS202" s="106"/>
      <c r="HT202" s="106"/>
      <c r="HU202" s="106"/>
      <c r="HV202" s="106"/>
      <c r="HW202" s="106"/>
      <c r="HX202" s="106"/>
      <c r="HY202" s="106"/>
      <c r="HZ202" s="106"/>
      <c r="IA202" s="106"/>
      <c r="IB202" s="106"/>
      <c r="IC202" s="106"/>
      <c r="ID202" s="106"/>
      <c r="IE202" s="106"/>
      <c r="IF202" s="106"/>
      <c r="IG202" s="106"/>
      <c r="IH202" s="106"/>
      <c r="II202" s="106"/>
      <c r="IJ202" s="106"/>
      <c r="IK202" s="106"/>
      <c r="IL202" s="106"/>
      <c r="IM202" s="106"/>
      <c r="IN202" s="106"/>
      <c r="IO202" s="106"/>
      <c r="IP202" s="106"/>
      <c r="IQ202" s="106"/>
      <c r="IR202" s="106"/>
      <c r="IS202" s="106"/>
      <c r="IT202" s="106"/>
      <c r="IU202" s="106"/>
      <c r="IV202" s="106"/>
      <c r="IW202" s="106"/>
      <c r="IX202" s="106"/>
      <c r="IY202" s="106"/>
      <c r="IZ202" s="106"/>
      <c r="JA202" s="106"/>
      <c r="JB202" s="106"/>
      <c r="JC202" s="106"/>
      <c r="JD202" s="106"/>
      <c r="JE202" s="106"/>
      <c r="JF202" s="106"/>
      <c r="JG202" s="106"/>
      <c r="JH202" s="106"/>
      <c r="JI202" s="106"/>
      <c r="JJ202" s="106"/>
      <c r="JK202" s="106"/>
      <c r="JL202" s="106"/>
      <c r="JM202" s="106"/>
      <c r="JN202" s="106"/>
      <c r="JO202" s="106"/>
      <c r="JP202" s="106"/>
      <c r="JQ202" s="106"/>
      <c r="JR202" s="106"/>
      <c r="JS202" s="106"/>
      <c r="JT202" s="106"/>
      <c r="JU202" s="106"/>
      <c r="JV202" s="106"/>
      <c r="JW202" s="106"/>
      <c r="JX202" s="106"/>
      <c r="JY202" s="106"/>
      <c r="JZ202" s="106"/>
      <c r="KA202" s="106"/>
      <c r="KB202" s="106"/>
      <c r="KC202" s="106"/>
      <c r="KD202" s="106"/>
      <c r="KE202" s="106"/>
      <c r="KF202" s="106"/>
      <c r="KG202" s="106"/>
      <c r="KH202" s="106"/>
      <c r="KI202" s="106"/>
      <c r="KJ202" s="106"/>
      <c r="KK202" s="106"/>
      <c r="KL202" s="106"/>
      <c r="KM202" s="106"/>
      <c r="KN202" s="106"/>
      <c r="KO202" s="106"/>
      <c r="KP202" s="106"/>
      <c r="KQ202" s="106"/>
      <c r="KR202" s="106"/>
      <c r="KS202" s="106"/>
      <c r="KT202" s="106"/>
      <c r="KU202" s="106"/>
      <c r="KV202" s="106"/>
      <c r="KW202" s="106"/>
      <c r="KX202" s="106"/>
      <c r="KY202" s="106"/>
      <c r="KZ202" s="106"/>
      <c r="LA202" s="106"/>
      <c r="LB202" s="106"/>
      <c r="LC202" s="106"/>
      <c r="LD202" s="106"/>
      <c r="LE202" s="106"/>
      <c r="LF202" s="106"/>
      <c r="LG202" s="106"/>
      <c r="LH202" s="106"/>
      <c r="LI202" s="106"/>
      <c r="LJ202" s="106"/>
      <c r="LK202" s="106"/>
      <c r="LL202" s="106"/>
      <c r="LM202" s="106"/>
      <c r="LN202" s="106"/>
      <c r="LO202" s="106"/>
      <c r="LP202" s="106"/>
      <c r="LQ202" s="106"/>
      <c r="LR202" s="106"/>
      <c r="LS202" s="106"/>
      <c r="LT202" s="106"/>
      <c r="LU202" s="106"/>
      <c r="LV202" s="106"/>
      <c r="LW202" s="106"/>
      <c r="LX202" s="106"/>
      <c r="LY202" s="106"/>
      <c r="LZ202" s="106"/>
      <c r="MA202" s="106"/>
      <c r="MB202" s="106"/>
      <c r="MC202" s="106"/>
      <c r="MD202" s="106"/>
      <c r="ME202" s="106"/>
      <c r="MF202" s="106"/>
      <c r="MG202" s="106"/>
      <c r="MH202" s="106"/>
      <c r="MI202" s="106"/>
      <c r="MJ202" s="106"/>
      <c r="MK202" s="106"/>
      <c r="ML202" s="106"/>
      <c r="MM202" s="106"/>
      <c r="MN202" s="106"/>
      <c r="MO202" s="106"/>
      <c r="MP202" s="106"/>
      <c r="MQ202" s="106"/>
      <c r="MR202" s="106"/>
      <c r="MS202" s="106"/>
      <c r="MT202" s="106"/>
      <c r="MU202" s="106"/>
      <c r="MV202" s="106"/>
      <c r="MW202" s="106"/>
      <c r="MX202" s="106"/>
      <c r="MY202" s="106"/>
      <c r="MZ202" s="106"/>
      <c r="NA202" s="106"/>
      <c r="NB202" s="106"/>
      <c r="NC202" s="106"/>
      <c r="ND202" s="106"/>
      <c r="NE202" s="106"/>
      <c r="NF202" s="106"/>
      <c r="NG202" s="106"/>
      <c r="NH202" s="106"/>
      <c r="NI202" s="106"/>
      <c r="NJ202" s="106"/>
      <c r="NK202" s="106"/>
      <c r="NL202" s="106"/>
      <c r="NM202" s="106"/>
      <c r="NN202" s="106"/>
      <c r="NO202" s="106"/>
      <c r="NP202" s="106"/>
      <c r="NQ202" s="106"/>
      <c r="NR202" s="106"/>
      <c r="NS202" s="106"/>
      <c r="NT202" s="106"/>
      <c r="NU202" s="106"/>
      <c r="NV202" s="106"/>
      <c r="NW202" s="106"/>
      <c r="NX202" s="106"/>
      <c r="NY202" s="106"/>
      <c r="NZ202" s="106"/>
      <c r="OA202" s="106"/>
      <c r="OB202" s="106"/>
      <c r="OC202" s="106"/>
      <c r="OD202" s="106"/>
      <c r="OE202" s="106"/>
      <c r="OF202" s="106"/>
      <c r="OG202" s="106"/>
      <c r="OH202" s="106"/>
      <c r="OI202" s="106"/>
      <c r="OJ202" s="106"/>
      <c r="OK202" s="106"/>
      <c r="OL202" s="106"/>
      <c r="OM202" s="106"/>
      <c r="ON202" s="106"/>
      <c r="OO202" s="106"/>
      <c r="OP202" s="106"/>
      <c r="OQ202" s="106"/>
      <c r="OR202" s="106"/>
      <c r="OS202" s="106"/>
      <c r="OT202" s="106"/>
      <c r="OU202" s="106"/>
      <c r="OV202" s="106"/>
      <c r="OW202" s="106"/>
      <c r="OX202" s="106"/>
      <c r="OY202" s="106"/>
      <c r="OZ202" s="106"/>
      <c r="PA202" s="106"/>
      <c r="PB202" s="106"/>
      <c r="PC202" s="106"/>
      <c r="PD202" s="106"/>
      <c r="PE202" s="106"/>
      <c r="PF202" s="106"/>
      <c r="PG202" s="106"/>
      <c r="PH202" s="106"/>
      <c r="PI202" s="106"/>
      <c r="PJ202" s="106"/>
      <c r="PK202" s="106"/>
      <c r="PL202" s="106"/>
      <c r="PM202" s="106"/>
      <c r="PN202" s="106"/>
      <c r="PO202" s="106"/>
      <c r="PP202" s="106"/>
      <c r="PQ202" s="106"/>
      <c r="PR202" s="106"/>
      <c r="PS202" s="106"/>
      <c r="PT202" s="106"/>
      <c r="PU202" s="106"/>
      <c r="PV202" s="106"/>
      <c r="PW202" s="106"/>
      <c r="PX202" s="106"/>
      <c r="PY202" s="106"/>
      <c r="PZ202" s="106"/>
      <c r="QA202" s="106"/>
      <c r="QB202" s="106"/>
      <c r="QC202" s="106"/>
      <c r="QD202" s="106"/>
      <c r="QE202" s="106"/>
      <c r="QF202" s="106"/>
      <c r="QG202" s="106"/>
      <c r="QH202" s="106"/>
      <c r="QI202" s="106"/>
      <c r="QJ202" s="106"/>
      <c r="QK202" s="106"/>
      <c r="QL202" s="106"/>
      <c r="QM202" s="106"/>
      <c r="QN202" s="106"/>
      <c r="QO202" s="106"/>
      <c r="QP202" s="106"/>
      <c r="QQ202" s="106"/>
      <c r="QR202" s="106"/>
      <c r="QS202" s="106"/>
      <c r="QT202" s="106"/>
      <c r="QU202" s="106"/>
      <c r="QV202" s="106"/>
      <c r="QW202" s="106"/>
      <c r="QX202" s="106"/>
      <c r="QY202" s="106"/>
      <c r="QZ202" s="106"/>
      <c r="RA202" s="106"/>
      <c r="RB202" s="106"/>
      <c r="RC202" s="106"/>
      <c r="RD202" s="106"/>
      <c r="RE202" s="106"/>
      <c r="RF202" s="106"/>
      <c r="RG202" s="106"/>
      <c r="RH202" s="106"/>
      <c r="RI202" s="106"/>
      <c r="RJ202" s="106"/>
      <c r="RK202" s="106"/>
      <c r="RL202" s="106"/>
      <c r="RM202" s="106"/>
      <c r="RN202" s="106"/>
      <c r="RO202" s="106"/>
      <c r="RP202" s="106"/>
      <c r="RQ202" s="106"/>
      <c r="RR202" s="106"/>
      <c r="RS202" s="106"/>
      <c r="RT202" s="106"/>
      <c r="RU202" s="106"/>
      <c r="RV202" s="106"/>
      <c r="RW202" s="106"/>
      <c r="RX202" s="106"/>
      <c r="RY202" s="106"/>
      <c r="RZ202" s="106"/>
      <c r="SA202" s="106"/>
      <c r="SB202" s="106"/>
      <c r="SC202" s="106"/>
      <c r="SD202" s="106"/>
      <c r="SE202" s="106"/>
      <c r="SF202" s="106"/>
      <c r="SG202" s="106"/>
      <c r="SH202" s="106"/>
      <c r="SI202" s="106"/>
      <c r="SJ202" s="106"/>
      <c r="SK202" s="106"/>
      <c r="SL202" s="106"/>
      <c r="SM202" s="106"/>
      <c r="SN202" s="106"/>
      <c r="SO202" s="106"/>
      <c r="SP202" s="106"/>
      <c r="SQ202" s="106"/>
      <c r="SR202" s="106"/>
      <c r="SS202" s="106"/>
      <c r="ST202" s="106"/>
      <c r="SU202" s="106"/>
      <c r="SV202" s="106"/>
      <c r="SW202" s="106"/>
      <c r="SX202" s="106"/>
      <c r="SY202" s="106"/>
      <c r="SZ202" s="106"/>
      <c r="TA202" s="106"/>
      <c r="TB202" s="106"/>
      <c r="TC202" s="106"/>
      <c r="TD202" s="106"/>
      <c r="TE202" s="106"/>
      <c r="TF202" s="106"/>
      <c r="TG202" s="106"/>
      <c r="TH202" s="106"/>
      <c r="TI202" s="106"/>
      <c r="TJ202" s="106"/>
      <c r="TK202" s="106"/>
      <c r="TL202" s="106"/>
      <c r="TM202" s="106"/>
      <c r="TN202" s="106"/>
      <c r="TO202" s="106"/>
      <c r="TP202" s="106"/>
      <c r="TQ202" s="106"/>
      <c r="TR202" s="106"/>
      <c r="TS202" s="106"/>
      <c r="TT202" s="106"/>
      <c r="TU202" s="106"/>
      <c r="TV202" s="106"/>
      <c r="TW202" s="106"/>
      <c r="TX202" s="106"/>
      <c r="TY202" s="106"/>
      <c r="TZ202" s="106"/>
      <c r="UA202" s="106"/>
      <c r="UB202" s="106"/>
      <c r="UC202" s="106"/>
      <c r="UD202" s="106"/>
      <c r="UE202" s="106"/>
      <c r="UF202" s="106"/>
      <c r="UG202" s="106"/>
      <c r="UH202" s="106"/>
      <c r="UI202" s="106"/>
      <c r="UJ202" s="106"/>
      <c r="UK202" s="106"/>
      <c r="UL202" s="106"/>
      <c r="UM202" s="106"/>
      <c r="UN202" s="106"/>
      <c r="UO202" s="106"/>
      <c r="UP202" s="106"/>
      <c r="UQ202" s="106"/>
      <c r="UR202" s="106"/>
      <c r="US202" s="106"/>
      <c r="UT202" s="106"/>
      <c r="UU202" s="106"/>
      <c r="UV202" s="106"/>
      <c r="UW202" s="106"/>
      <c r="UX202" s="106"/>
      <c r="UY202" s="106"/>
      <c r="UZ202" s="106"/>
      <c r="VA202" s="106"/>
      <c r="VB202" s="106"/>
      <c r="VC202" s="106"/>
      <c r="VD202" s="106"/>
      <c r="VE202" s="106"/>
      <c r="VF202" s="106"/>
      <c r="VG202" s="106"/>
      <c r="VH202" s="106"/>
      <c r="VI202" s="106"/>
      <c r="VJ202" s="106"/>
      <c r="VK202" s="106"/>
      <c r="VL202" s="106"/>
      <c r="VM202" s="106"/>
      <c r="VN202" s="106"/>
      <c r="VO202" s="106"/>
      <c r="VP202" s="106"/>
      <c r="VQ202" s="106"/>
      <c r="VR202" s="106"/>
      <c r="VS202" s="106"/>
      <c r="VT202" s="106"/>
      <c r="VU202" s="106"/>
      <c r="VV202" s="106"/>
      <c r="VW202" s="106"/>
      <c r="VX202" s="106"/>
      <c r="VY202" s="106"/>
      <c r="VZ202" s="106"/>
      <c r="WA202" s="106"/>
      <c r="WB202" s="106"/>
      <c r="WC202" s="106"/>
      <c r="WD202" s="106"/>
      <c r="WE202" s="106"/>
      <c r="WF202" s="106"/>
      <c r="WG202" s="106"/>
      <c r="WH202" s="106"/>
      <c r="WI202" s="106"/>
      <c r="WJ202" s="106"/>
      <c r="WK202" s="106"/>
      <c r="WL202" s="106"/>
      <c r="WM202" s="106"/>
      <c r="WN202" s="106"/>
      <c r="WO202" s="106"/>
      <c r="WP202" s="106"/>
      <c r="WQ202" s="106"/>
      <c r="WR202" s="106"/>
      <c r="WS202" s="106"/>
      <c r="WT202" s="106"/>
      <c r="WU202" s="106"/>
      <c r="WV202" s="106"/>
      <c r="WW202" s="106"/>
      <c r="WX202" s="106"/>
      <c r="WY202" s="106"/>
      <c r="WZ202" s="106"/>
      <c r="XA202" s="106"/>
      <c r="XB202" s="106"/>
      <c r="XC202" s="106"/>
      <c r="XD202" s="106"/>
      <c r="XE202" s="106"/>
      <c r="XF202" s="106"/>
      <c r="XG202" s="106"/>
      <c r="XH202" s="106"/>
      <c r="XI202" s="106"/>
      <c r="XJ202" s="106"/>
      <c r="XK202" s="106"/>
      <c r="XL202" s="106"/>
      <c r="XM202" s="106"/>
      <c r="XN202" s="106"/>
      <c r="XO202" s="106"/>
      <c r="XP202" s="106"/>
      <c r="XQ202" s="106"/>
      <c r="XR202" s="106"/>
      <c r="XS202" s="106"/>
      <c r="XT202" s="106"/>
      <c r="XU202" s="106"/>
      <c r="XV202" s="106"/>
      <c r="XW202" s="106"/>
      <c r="XX202" s="106"/>
      <c r="XY202" s="106"/>
      <c r="XZ202" s="106"/>
      <c r="YA202" s="106"/>
      <c r="YB202" s="106"/>
      <c r="YC202" s="106"/>
      <c r="YD202" s="106"/>
      <c r="YE202" s="106"/>
      <c r="YF202" s="106"/>
      <c r="YG202" s="106"/>
      <c r="YH202" s="106"/>
      <c r="YI202" s="106"/>
      <c r="YJ202" s="106"/>
      <c r="YK202" s="106"/>
      <c r="YL202" s="106"/>
      <c r="YM202" s="106"/>
      <c r="YN202" s="106"/>
      <c r="YO202" s="106"/>
      <c r="YP202" s="106"/>
      <c r="YQ202" s="106"/>
      <c r="YR202" s="106"/>
      <c r="YS202" s="106"/>
      <c r="YT202" s="106"/>
      <c r="YU202" s="106"/>
      <c r="YV202" s="106"/>
      <c r="YW202" s="106"/>
      <c r="YX202" s="106"/>
      <c r="YY202" s="106"/>
      <c r="YZ202" s="106"/>
      <c r="ZA202" s="106"/>
      <c r="ZB202" s="106"/>
      <c r="ZC202" s="106"/>
      <c r="ZD202" s="106"/>
      <c r="ZE202" s="106"/>
      <c r="ZF202" s="106"/>
      <c r="ZG202" s="106"/>
      <c r="ZH202" s="106"/>
      <c r="ZI202" s="106"/>
      <c r="ZJ202" s="106"/>
      <c r="ZK202" s="106"/>
      <c r="ZL202" s="106"/>
      <c r="ZM202" s="106"/>
      <c r="ZN202" s="106"/>
      <c r="ZO202" s="106"/>
      <c r="ZP202" s="106"/>
      <c r="ZQ202" s="106"/>
      <c r="ZR202" s="106"/>
      <c r="ZS202" s="106"/>
      <c r="ZT202" s="106"/>
      <c r="ZU202" s="106"/>
      <c r="ZV202" s="106"/>
      <c r="ZW202" s="106"/>
      <c r="ZX202" s="106"/>
      <c r="ZY202" s="106"/>
      <c r="ZZ202" s="106"/>
      <c r="AAA202" s="106"/>
      <c r="AAB202" s="106"/>
      <c r="AAC202" s="106"/>
      <c r="AAD202" s="106"/>
      <c r="AAE202" s="106"/>
      <c r="AAF202" s="106"/>
      <c r="AAG202" s="106"/>
      <c r="AAH202" s="106"/>
      <c r="AAI202" s="106"/>
      <c r="AAJ202" s="106"/>
      <c r="AAK202" s="106"/>
      <c r="AAL202" s="106"/>
      <c r="AAM202" s="106"/>
      <c r="AAN202" s="106"/>
      <c r="AAO202" s="106"/>
      <c r="AAP202" s="106"/>
      <c r="AAQ202" s="106"/>
      <c r="AAR202" s="106"/>
      <c r="AAS202" s="106"/>
      <c r="AAT202" s="106"/>
      <c r="AAU202" s="106"/>
      <c r="AAV202" s="106"/>
      <c r="AAW202" s="106"/>
      <c r="AAX202" s="106"/>
      <c r="AAY202" s="106"/>
      <c r="AAZ202" s="106"/>
      <c r="ABA202" s="106"/>
      <c r="ABB202" s="106"/>
      <c r="ABC202" s="106"/>
      <c r="ABD202" s="106"/>
      <c r="ABE202" s="106"/>
      <c r="ABF202" s="106"/>
      <c r="ABG202" s="106"/>
      <c r="ABH202" s="106"/>
      <c r="ABI202" s="106"/>
      <c r="ABJ202" s="106"/>
      <c r="ABK202" s="106"/>
      <c r="ABL202" s="106"/>
      <c r="ABM202" s="106"/>
      <c r="ABN202" s="106"/>
      <c r="ABO202" s="106"/>
      <c r="ABP202" s="106"/>
      <c r="ABQ202" s="106"/>
      <c r="ABR202" s="106"/>
      <c r="ABS202" s="106"/>
      <c r="ABT202" s="106"/>
      <c r="ABU202" s="106"/>
      <c r="ABV202" s="106"/>
      <c r="ABW202" s="106"/>
      <c r="ABX202" s="106"/>
      <c r="ABY202" s="106"/>
      <c r="ABZ202" s="106"/>
      <c r="ACA202" s="106"/>
      <c r="ACB202" s="106"/>
      <c r="ACC202" s="106"/>
      <c r="ACD202" s="106"/>
      <c r="ACE202" s="106"/>
      <c r="ACF202" s="106"/>
      <c r="ACG202" s="106"/>
      <c r="ACH202" s="106"/>
      <c r="ACI202" s="106"/>
      <c r="ACJ202" s="106"/>
      <c r="ACK202" s="106"/>
      <c r="ACL202" s="106"/>
      <c r="ACM202" s="106"/>
      <c r="ACN202" s="106"/>
      <c r="ACO202" s="106"/>
      <c r="ACP202" s="106"/>
      <c r="ACQ202" s="106"/>
      <c r="ACR202" s="106"/>
      <c r="ACS202" s="106"/>
      <c r="ACT202" s="106"/>
      <c r="ACU202" s="106"/>
      <c r="ACV202" s="106"/>
      <c r="ACW202" s="106"/>
      <c r="ACX202" s="106"/>
      <c r="ACY202" s="106"/>
      <c r="ACZ202" s="106"/>
      <c r="ADA202" s="106"/>
      <c r="ADB202" s="106"/>
      <c r="ADC202" s="106"/>
      <c r="ADD202" s="106"/>
      <c r="ADE202" s="106"/>
      <c r="ADF202" s="106"/>
      <c r="ADG202" s="106"/>
      <c r="ADH202" s="106"/>
      <c r="ADI202" s="106"/>
      <c r="ADJ202" s="106"/>
      <c r="ADK202" s="106"/>
      <c r="ADL202" s="106"/>
      <c r="ADM202" s="106"/>
      <c r="ADN202" s="106"/>
      <c r="ADO202" s="106"/>
      <c r="ADP202" s="106"/>
      <c r="ADQ202" s="106"/>
      <c r="ADR202" s="106"/>
      <c r="ADS202" s="106"/>
      <c r="ADT202" s="106"/>
      <c r="ADU202" s="106"/>
      <c r="ADV202" s="106"/>
      <c r="ADW202" s="106"/>
      <c r="ADX202" s="106"/>
      <c r="ADY202" s="106"/>
      <c r="ADZ202" s="106"/>
      <c r="AEA202" s="106"/>
      <c r="AEB202" s="106"/>
      <c r="AEC202" s="106"/>
      <c r="AED202" s="106"/>
      <c r="AEE202" s="106"/>
      <c r="AEF202" s="106"/>
      <c r="AEG202" s="106"/>
      <c r="AEH202" s="106"/>
      <c r="AEI202" s="106"/>
      <c r="AEJ202" s="106"/>
      <c r="AEK202" s="106"/>
      <c r="AEL202" s="106"/>
      <c r="AEM202" s="106"/>
      <c r="AEN202" s="106"/>
      <c r="AEO202" s="106"/>
      <c r="AEP202" s="106"/>
      <c r="AEQ202" s="106"/>
      <c r="AER202" s="106"/>
      <c r="AES202" s="106"/>
      <c r="AET202" s="106"/>
      <c r="AEU202" s="106"/>
      <c r="AEV202" s="106"/>
      <c r="AEW202" s="106"/>
      <c r="AEX202" s="106"/>
      <c r="AEY202" s="106"/>
      <c r="AEZ202" s="106"/>
      <c r="AFA202" s="106"/>
      <c r="AFB202" s="106"/>
      <c r="AFC202" s="106"/>
      <c r="AFD202" s="106"/>
      <c r="AFE202" s="106"/>
      <c r="AFF202" s="106"/>
      <c r="AFG202" s="106"/>
      <c r="AFH202" s="106"/>
      <c r="AFI202" s="106"/>
      <c r="AFJ202" s="106"/>
      <c r="AFK202" s="106"/>
      <c r="AFL202" s="106"/>
      <c r="AFM202" s="106"/>
      <c r="AFN202" s="106"/>
      <c r="AFO202" s="106"/>
      <c r="AFP202" s="106"/>
      <c r="AFQ202" s="106"/>
      <c r="AFR202" s="106"/>
      <c r="AFS202" s="106"/>
      <c r="AFT202" s="106"/>
      <c r="AFU202" s="106"/>
      <c r="AFV202" s="106"/>
      <c r="AFW202" s="106"/>
      <c r="AFX202" s="106"/>
      <c r="AFY202" s="106"/>
      <c r="AFZ202" s="106"/>
      <c r="AGA202" s="106"/>
      <c r="AGB202" s="106"/>
      <c r="AGC202" s="106"/>
      <c r="AGD202" s="106"/>
      <c r="AGE202" s="106"/>
      <c r="AGF202" s="106"/>
      <c r="AGG202" s="106"/>
      <c r="AGH202" s="106"/>
      <c r="AGI202" s="106"/>
      <c r="AGJ202" s="106"/>
      <c r="AGK202" s="106"/>
      <c r="AGL202" s="106"/>
      <c r="AGM202" s="106"/>
      <c r="AGN202" s="106"/>
      <c r="AGO202" s="106"/>
      <c r="AGP202" s="106"/>
      <c r="AGQ202" s="106"/>
      <c r="AGR202" s="106"/>
      <c r="AGS202" s="106"/>
      <c r="AGT202" s="106"/>
      <c r="AGU202" s="106"/>
      <c r="AGV202" s="106"/>
      <c r="AGW202" s="106"/>
      <c r="AGX202" s="106"/>
      <c r="AGY202" s="106"/>
      <c r="AGZ202" s="106"/>
      <c r="AHA202" s="106"/>
      <c r="AHB202" s="106"/>
      <c r="AHC202" s="106"/>
      <c r="AHD202" s="106"/>
      <c r="AHE202" s="106"/>
      <c r="AHF202" s="106"/>
      <c r="AHG202" s="106"/>
      <c r="AHH202" s="106"/>
      <c r="AHI202" s="106"/>
      <c r="AHJ202" s="106"/>
      <c r="AHK202" s="106"/>
      <c r="AHL202" s="106"/>
      <c r="AHM202" s="106"/>
      <c r="AHN202" s="106"/>
      <c r="AHO202" s="106"/>
      <c r="AHP202" s="106"/>
      <c r="AHQ202" s="106"/>
      <c r="AHR202" s="106"/>
      <c r="AHS202" s="106"/>
      <c r="AHT202" s="106"/>
      <c r="AHU202" s="106"/>
      <c r="AHV202" s="106"/>
      <c r="AHW202" s="106"/>
      <c r="AHX202" s="106"/>
      <c r="AHY202" s="106"/>
      <c r="AHZ202" s="106"/>
      <c r="AIA202" s="106"/>
      <c r="AIB202" s="106"/>
      <c r="AIC202" s="106"/>
      <c r="AID202" s="106"/>
      <c r="AIE202" s="106"/>
      <c r="AIF202" s="106"/>
      <c r="AIG202" s="106"/>
      <c r="AIH202" s="106"/>
      <c r="AII202" s="106"/>
      <c r="AIJ202" s="106"/>
      <c r="AIK202" s="106"/>
      <c r="AIL202" s="106"/>
      <c r="AIM202" s="106"/>
      <c r="AIN202" s="106"/>
      <c r="AIO202" s="106"/>
      <c r="AIP202" s="106"/>
      <c r="AIQ202" s="106"/>
      <c r="AIR202" s="106"/>
      <c r="AIS202" s="106"/>
      <c r="AIT202" s="106"/>
      <c r="AIU202" s="106"/>
      <c r="AIV202" s="106"/>
      <c r="AIW202" s="106"/>
      <c r="AIX202" s="106"/>
      <c r="AIY202" s="106"/>
      <c r="AIZ202" s="106"/>
      <c r="AJA202" s="106"/>
      <c r="AJB202" s="106"/>
      <c r="AJC202" s="106"/>
      <c r="AJD202" s="106"/>
      <c r="AJE202" s="106"/>
      <c r="AJF202" s="106"/>
      <c r="AJG202" s="106"/>
      <c r="AJH202" s="106"/>
      <c r="AJI202" s="106"/>
      <c r="AJJ202" s="106"/>
      <c r="AJK202" s="106"/>
      <c r="AJL202" s="106"/>
      <c r="AJM202" s="106"/>
      <c r="AJN202" s="106"/>
      <c r="AJO202" s="106"/>
      <c r="AJP202" s="106"/>
      <c r="AJQ202" s="106"/>
      <c r="AJR202" s="106"/>
      <c r="AJS202" s="106"/>
      <c r="AJT202" s="106"/>
      <c r="AJU202" s="106"/>
      <c r="AJV202" s="106"/>
      <c r="AJW202" s="106"/>
      <c r="AJX202" s="106"/>
      <c r="AJY202" s="106"/>
      <c r="AJZ202" s="106"/>
      <c r="AKA202" s="106"/>
      <c r="AKB202" s="106"/>
      <c r="AKC202" s="106"/>
      <c r="AKD202" s="106"/>
      <c r="AKE202" s="106"/>
      <c r="AKF202" s="106"/>
      <c r="AKG202" s="106"/>
      <c r="AKH202" s="106"/>
      <c r="AKI202" s="106"/>
      <c r="AKJ202" s="106"/>
      <c r="AKK202" s="106"/>
      <c r="AKL202" s="106"/>
      <c r="AKM202" s="106"/>
      <c r="AKN202" s="106"/>
      <c r="AKO202" s="106"/>
      <c r="AKP202" s="106"/>
      <c r="AKQ202" s="106"/>
      <c r="AKR202" s="106"/>
      <c r="AKS202" s="106"/>
      <c r="AKT202" s="106"/>
      <c r="AKU202" s="106"/>
      <c r="AKV202" s="106"/>
      <c r="AKW202" s="106"/>
      <c r="AKX202" s="106"/>
      <c r="AKY202" s="106"/>
      <c r="AKZ202" s="106"/>
      <c r="ALA202" s="106"/>
      <c r="ALB202" s="106"/>
      <c r="ALC202" s="106"/>
      <c r="ALD202" s="106"/>
      <c r="ALE202" s="106"/>
      <c r="ALF202" s="106"/>
      <c r="ALG202" s="106"/>
      <c r="ALH202" s="106"/>
    </row>
    <row r="203" spans="1:996" s="75" customFormat="1">
      <c r="A203" s="104"/>
      <c r="B203" s="75" t="str">
        <f t="shared" si="8"/>
        <v>S312109</v>
      </c>
      <c r="C203" s="75" t="s">
        <v>228</v>
      </c>
      <c r="D203" s="27" t="s">
        <v>128</v>
      </c>
      <c r="E203" s="75">
        <v>312109</v>
      </c>
      <c r="F203" s="105" t="s">
        <v>581</v>
      </c>
      <c r="G203" s="74">
        <f>IFERROR(VLOOKUP(E203,'BD - E - Mvto Cx'!$E$15:$G$500,3,0),0)</f>
        <v>33193.54</v>
      </c>
      <c r="H203" s="72">
        <f>IFERROR(VLOOKUP(E203,'BD - E - Mvto Cx'!$N$15:$P$500,3,0),0)</f>
        <v>23821.85</v>
      </c>
      <c r="I203" s="73">
        <f>IFERROR(VLOOKUP(E203,'BD - E - Mvto Cx'!$W$15:$Y$497,3,0),0)</f>
        <v>36120.83</v>
      </c>
      <c r="J203" s="73">
        <f>IFERROR(VLOOKUP(E203,'BD - E - Mvto Cx'!$AF$15:$AI$500,3,0),0)</f>
        <v>33227.769999999997</v>
      </c>
      <c r="K203" s="73">
        <f>IFERROR(VLOOKUP(E203,'BD - E - Mvto Cx'!$AO$15:$AQ$500,3,0),0)</f>
        <v>0</v>
      </c>
      <c r="L203" s="73">
        <f>IFERROR(VLOOKUP(E203,'BD - E - Mvto Cx'!$AX$15:$AZ$500,3,0),0)</f>
        <v>0</v>
      </c>
      <c r="M203" s="73">
        <f>IFERROR(VLOOKUP(E203,'BD - E - Mvto Cx'!$BJ$15:$BL$500,3,0),0)</f>
        <v>0</v>
      </c>
      <c r="N203" s="73">
        <f>IFERROR(VLOOKUP(E203,'BD - E - Mvto Cx'!$BS$15:$BU$500,3,0),0)</f>
        <v>0</v>
      </c>
      <c r="O203" s="73">
        <f>IFERROR(VLOOKUP(E203,'BD - E - Mvto Cx'!$CB$15:$CD$500,3,0),0)</f>
        <v>0</v>
      </c>
      <c r="P203" s="73">
        <f>IFERROR(VLOOKUP(E203,'BD - E - Mvto Cx'!$CK$15:$CM$500,3,0),0)</f>
        <v>0</v>
      </c>
      <c r="Q203" s="73">
        <f>IFERROR(VLOOKUP(E203,'BD - E - Mvto Cx'!$CT$15:$CV$500,3,0),0)</f>
        <v>0</v>
      </c>
      <c r="R203" s="73">
        <f>IFERROR(VLOOKUP(E203,'BD - E - Mvto Cx'!$DC$15:$DE$500,3,0),0)</f>
        <v>0</v>
      </c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  <c r="CH203" s="106"/>
      <c r="CI203" s="106"/>
      <c r="CJ203" s="106"/>
      <c r="CK203" s="106"/>
      <c r="CL203" s="106"/>
      <c r="CM203" s="106"/>
      <c r="CN203" s="106"/>
      <c r="CO203" s="106"/>
      <c r="CP203" s="106"/>
      <c r="CQ203" s="106"/>
      <c r="CR203" s="106"/>
      <c r="CS203" s="106"/>
      <c r="CT203" s="106"/>
      <c r="CU203" s="106"/>
      <c r="CV203" s="106"/>
      <c r="CW203" s="106"/>
      <c r="CX203" s="106"/>
      <c r="CY203" s="106"/>
      <c r="CZ203" s="106"/>
      <c r="DA203" s="106"/>
      <c r="DB203" s="106"/>
      <c r="DC203" s="106"/>
      <c r="DD203" s="106"/>
      <c r="DE203" s="106"/>
      <c r="DF203" s="106"/>
      <c r="DG203" s="106"/>
      <c r="DH203" s="106"/>
      <c r="DI203" s="106"/>
      <c r="DJ203" s="106"/>
      <c r="DK203" s="106"/>
      <c r="DL203" s="106"/>
      <c r="DM203" s="106"/>
      <c r="DN203" s="106"/>
      <c r="DO203" s="106"/>
      <c r="DP203" s="106"/>
      <c r="DQ203" s="106"/>
      <c r="DR203" s="106"/>
      <c r="DS203" s="106"/>
      <c r="DT203" s="106"/>
      <c r="DU203" s="106"/>
      <c r="DV203" s="106"/>
      <c r="DW203" s="106"/>
      <c r="DX203" s="106"/>
      <c r="DY203" s="106"/>
      <c r="DZ203" s="106"/>
      <c r="EA203" s="106"/>
      <c r="EB203" s="106"/>
      <c r="EC203" s="106"/>
      <c r="ED203" s="106"/>
      <c r="EE203" s="106"/>
      <c r="EF203" s="106"/>
      <c r="EG203" s="106"/>
      <c r="EH203" s="106"/>
      <c r="EI203" s="106"/>
      <c r="EJ203" s="106"/>
      <c r="EK203" s="106"/>
      <c r="EL203" s="106"/>
      <c r="EM203" s="106"/>
      <c r="EN203" s="106"/>
      <c r="EO203" s="106"/>
      <c r="EP203" s="106"/>
      <c r="EQ203" s="106"/>
      <c r="ER203" s="106"/>
      <c r="ES203" s="106"/>
      <c r="ET203" s="106"/>
      <c r="EU203" s="106"/>
      <c r="EV203" s="106"/>
      <c r="EW203" s="106"/>
      <c r="EX203" s="106"/>
      <c r="EY203" s="106"/>
      <c r="EZ203" s="106"/>
      <c r="FA203" s="106"/>
      <c r="FB203" s="106"/>
      <c r="FC203" s="106"/>
      <c r="FD203" s="106"/>
      <c r="FE203" s="106"/>
      <c r="FF203" s="106"/>
      <c r="FG203" s="106"/>
      <c r="FH203" s="106"/>
      <c r="FI203" s="106"/>
      <c r="FJ203" s="106"/>
      <c r="FK203" s="106"/>
      <c r="FL203" s="106"/>
      <c r="FM203" s="106"/>
      <c r="FN203" s="106"/>
      <c r="FO203" s="106"/>
      <c r="FP203" s="106"/>
      <c r="FQ203" s="106"/>
      <c r="FR203" s="106"/>
      <c r="FS203" s="106"/>
      <c r="FT203" s="106"/>
      <c r="FU203" s="106"/>
      <c r="FV203" s="106"/>
      <c r="FW203" s="106"/>
      <c r="FX203" s="106"/>
      <c r="FY203" s="106"/>
      <c r="FZ203" s="106"/>
      <c r="GA203" s="106"/>
      <c r="GB203" s="106"/>
      <c r="GC203" s="106"/>
      <c r="GD203" s="106"/>
      <c r="GE203" s="106"/>
      <c r="GF203" s="106"/>
      <c r="GG203" s="106"/>
      <c r="GH203" s="106"/>
      <c r="GI203" s="106"/>
      <c r="GJ203" s="106"/>
      <c r="GK203" s="106"/>
      <c r="GL203" s="106"/>
      <c r="GM203" s="106"/>
      <c r="GN203" s="106"/>
      <c r="GO203" s="106"/>
      <c r="GP203" s="106"/>
      <c r="GQ203" s="106"/>
      <c r="GR203" s="106"/>
      <c r="GS203" s="106"/>
      <c r="GT203" s="106"/>
      <c r="GU203" s="106"/>
      <c r="GV203" s="106"/>
      <c r="GW203" s="106"/>
      <c r="GX203" s="106"/>
      <c r="GY203" s="106"/>
      <c r="GZ203" s="106"/>
      <c r="HA203" s="106"/>
      <c r="HB203" s="106"/>
      <c r="HC203" s="106"/>
      <c r="HD203" s="106"/>
      <c r="HE203" s="106"/>
      <c r="HF203" s="106"/>
      <c r="HG203" s="106"/>
      <c r="HH203" s="106"/>
      <c r="HI203" s="106"/>
      <c r="HJ203" s="106"/>
      <c r="HK203" s="106"/>
      <c r="HL203" s="106"/>
      <c r="HM203" s="106"/>
      <c r="HN203" s="106"/>
      <c r="HO203" s="106"/>
      <c r="HP203" s="106"/>
      <c r="HQ203" s="106"/>
      <c r="HR203" s="106"/>
      <c r="HS203" s="106"/>
      <c r="HT203" s="106"/>
      <c r="HU203" s="106"/>
      <c r="HV203" s="106"/>
      <c r="HW203" s="106"/>
      <c r="HX203" s="106"/>
      <c r="HY203" s="106"/>
      <c r="HZ203" s="106"/>
      <c r="IA203" s="106"/>
      <c r="IB203" s="106"/>
      <c r="IC203" s="106"/>
      <c r="ID203" s="106"/>
      <c r="IE203" s="106"/>
      <c r="IF203" s="106"/>
      <c r="IG203" s="106"/>
      <c r="IH203" s="106"/>
      <c r="II203" s="106"/>
      <c r="IJ203" s="106"/>
      <c r="IK203" s="106"/>
      <c r="IL203" s="106"/>
      <c r="IM203" s="106"/>
      <c r="IN203" s="106"/>
      <c r="IO203" s="106"/>
      <c r="IP203" s="106"/>
      <c r="IQ203" s="106"/>
      <c r="IR203" s="106"/>
      <c r="IS203" s="106"/>
      <c r="IT203" s="106"/>
      <c r="IU203" s="106"/>
      <c r="IV203" s="106"/>
      <c r="IW203" s="106"/>
      <c r="IX203" s="106"/>
      <c r="IY203" s="106"/>
      <c r="IZ203" s="106"/>
      <c r="JA203" s="106"/>
      <c r="JB203" s="106"/>
      <c r="JC203" s="106"/>
      <c r="JD203" s="106"/>
      <c r="JE203" s="106"/>
      <c r="JF203" s="106"/>
      <c r="JG203" s="106"/>
      <c r="JH203" s="106"/>
      <c r="JI203" s="106"/>
      <c r="JJ203" s="106"/>
      <c r="JK203" s="106"/>
      <c r="JL203" s="106"/>
      <c r="JM203" s="106"/>
      <c r="JN203" s="106"/>
      <c r="JO203" s="106"/>
      <c r="JP203" s="106"/>
      <c r="JQ203" s="106"/>
      <c r="JR203" s="106"/>
      <c r="JS203" s="106"/>
      <c r="JT203" s="106"/>
      <c r="JU203" s="106"/>
      <c r="JV203" s="106"/>
      <c r="JW203" s="106"/>
      <c r="JX203" s="106"/>
      <c r="JY203" s="106"/>
      <c r="JZ203" s="106"/>
      <c r="KA203" s="106"/>
      <c r="KB203" s="106"/>
      <c r="KC203" s="106"/>
      <c r="KD203" s="106"/>
      <c r="KE203" s="106"/>
      <c r="KF203" s="106"/>
      <c r="KG203" s="106"/>
      <c r="KH203" s="106"/>
      <c r="KI203" s="106"/>
      <c r="KJ203" s="106"/>
      <c r="KK203" s="106"/>
      <c r="KL203" s="106"/>
      <c r="KM203" s="106"/>
      <c r="KN203" s="106"/>
      <c r="KO203" s="106"/>
      <c r="KP203" s="106"/>
      <c r="KQ203" s="106"/>
      <c r="KR203" s="106"/>
      <c r="KS203" s="106"/>
      <c r="KT203" s="106"/>
      <c r="KU203" s="106"/>
      <c r="KV203" s="106"/>
      <c r="KW203" s="106"/>
      <c r="KX203" s="106"/>
      <c r="KY203" s="106"/>
      <c r="KZ203" s="106"/>
      <c r="LA203" s="106"/>
      <c r="LB203" s="106"/>
      <c r="LC203" s="106"/>
      <c r="LD203" s="106"/>
      <c r="LE203" s="106"/>
      <c r="LF203" s="106"/>
      <c r="LG203" s="106"/>
      <c r="LH203" s="106"/>
      <c r="LI203" s="106"/>
      <c r="LJ203" s="106"/>
      <c r="LK203" s="106"/>
      <c r="LL203" s="106"/>
      <c r="LM203" s="106"/>
      <c r="LN203" s="106"/>
      <c r="LO203" s="106"/>
      <c r="LP203" s="106"/>
      <c r="LQ203" s="106"/>
      <c r="LR203" s="106"/>
      <c r="LS203" s="106"/>
      <c r="LT203" s="106"/>
      <c r="LU203" s="106"/>
      <c r="LV203" s="106"/>
      <c r="LW203" s="106"/>
      <c r="LX203" s="106"/>
      <c r="LY203" s="106"/>
      <c r="LZ203" s="106"/>
      <c r="MA203" s="106"/>
      <c r="MB203" s="106"/>
      <c r="MC203" s="106"/>
      <c r="MD203" s="106"/>
      <c r="ME203" s="106"/>
      <c r="MF203" s="106"/>
      <c r="MG203" s="106"/>
      <c r="MH203" s="106"/>
      <c r="MI203" s="106"/>
      <c r="MJ203" s="106"/>
      <c r="MK203" s="106"/>
      <c r="ML203" s="106"/>
      <c r="MM203" s="106"/>
      <c r="MN203" s="106"/>
      <c r="MO203" s="106"/>
      <c r="MP203" s="106"/>
      <c r="MQ203" s="106"/>
      <c r="MR203" s="106"/>
      <c r="MS203" s="106"/>
      <c r="MT203" s="106"/>
      <c r="MU203" s="106"/>
      <c r="MV203" s="106"/>
      <c r="MW203" s="106"/>
      <c r="MX203" s="106"/>
      <c r="MY203" s="106"/>
      <c r="MZ203" s="106"/>
      <c r="NA203" s="106"/>
      <c r="NB203" s="106"/>
      <c r="NC203" s="106"/>
      <c r="ND203" s="106"/>
      <c r="NE203" s="106"/>
      <c r="NF203" s="106"/>
      <c r="NG203" s="106"/>
      <c r="NH203" s="106"/>
      <c r="NI203" s="106"/>
      <c r="NJ203" s="106"/>
      <c r="NK203" s="106"/>
      <c r="NL203" s="106"/>
      <c r="NM203" s="106"/>
      <c r="NN203" s="106"/>
      <c r="NO203" s="106"/>
      <c r="NP203" s="106"/>
      <c r="NQ203" s="106"/>
      <c r="NR203" s="106"/>
      <c r="NS203" s="106"/>
      <c r="NT203" s="106"/>
      <c r="NU203" s="106"/>
      <c r="NV203" s="106"/>
      <c r="NW203" s="106"/>
      <c r="NX203" s="106"/>
      <c r="NY203" s="106"/>
      <c r="NZ203" s="106"/>
      <c r="OA203" s="106"/>
      <c r="OB203" s="106"/>
      <c r="OC203" s="106"/>
      <c r="OD203" s="106"/>
      <c r="OE203" s="106"/>
      <c r="OF203" s="106"/>
      <c r="OG203" s="106"/>
      <c r="OH203" s="106"/>
      <c r="OI203" s="106"/>
      <c r="OJ203" s="106"/>
      <c r="OK203" s="106"/>
      <c r="OL203" s="106"/>
      <c r="OM203" s="106"/>
      <c r="ON203" s="106"/>
      <c r="OO203" s="106"/>
      <c r="OP203" s="106"/>
      <c r="OQ203" s="106"/>
      <c r="OR203" s="106"/>
      <c r="OS203" s="106"/>
      <c r="OT203" s="106"/>
      <c r="OU203" s="106"/>
      <c r="OV203" s="106"/>
      <c r="OW203" s="106"/>
      <c r="OX203" s="106"/>
      <c r="OY203" s="106"/>
      <c r="OZ203" s="106"/>
      <c r="PA203" s="106"/>
      <c r="PB203" s="106"/>
      <c r="PC203" s="106"/>
      <c r="PD203" s="106"/>
      <c r="PE203" s="106"/>
      <c r="PF203" s="106"/>
      <c r="PG203" s="106"/>
      <c r="PH203" s="106"/>
      <c r="PI203" s="106"/>
      <c r="PJ203" s="106"/>
      <c r="PK203" s="106"/>
      <c r="PL203" s="106"/>
      <c r="PM203" s="106"/>
      <c r="PN203" s="106"/>
      <c r="PO203" s="106"/>
      <c r="PP203" s="106"/>
      <c r="PQ203" s="106"/>
      <c r="PR203" s="106"/>
      <c r="PS203" s="106"/>
      <c r="PT203" s="106"/>
      <c r="PU203" s="106"/>
      <c r="PV203" s="106"/>
      <c r="PW203" s="106"/>
      <c r="PX203" s="106"/>
      <c r="PY203" s="106"/>
      <c r="PZ203" s="106"/>
      <c r="QA203" s="106"/>
      <c r="QB203" s="106"/>
      <c r="QC203" s="106"/>
      <c r="QD203" s="106"/>
      <c r="QE203" s="106"/>
      <c r="QF203" s="106"/>
      <c r="QG203" s="106"/>
      <c r="QH203" s="106"/>
      <c r="QI203" s="106"/>
      <c r="QJ203" s="106"/>
      <c r="QK203" s="106"/>
      <c r="QL203" s="106"/>
      <c r="QM203" s="106"/>
      <c r="QN203" s="106"/>
      <c r="QO203" s="106"/>
      <c r="QP203" s="106"/>
      <c r="QQ203" s="106"/>
      <c r="QR203" s="106"/>
      <c r="QS203" s="106"/>
      <c r="QT203" s="106"/>
      <c r="QU203" s="106"/>
      <c r="QV203" s="106"/>
      <c r="QW203" s="106"/>
      <c r="QX203" s="106"/>
      <c r="QY203" s="106"/>
      <c r="QZ203" s="106"/>
      <c r="RA203" s="106"/>
      <c r="RB203" s="106"/>
      <c r="RC203" s="106"/>
      <c r="RD203" s="106"/>
      <c r="RE203" s="106"/>
      <c r="RF203" s="106"/>
      <c r="RG203" s="106"/>
      <c r="RH203" s="106"/>
      <c r="RI203" s="106"/>
      <c r="RJ203" s="106"/>
      <c r="RK203" s="106"/>
      <c r="RL203" s="106"/>
      <c r="RM203" s="106"/>
      <c r="RN203" s="106"/>
      <c r="RO203" s="106"/>
      <c r="RP203" s="106"/>
      <c r="RQ203" s="106"/>
      <c r="RR203" s="106"/>
      <c r="RS203" s="106"/>
      <c r="RT203" s="106"/>
      <c r="RU203" s="106"/>
      <c r="RV203" s="106"/>
      <c r="RW203" s="106"/>
      <c r="RX203" s="106"/>
      <c r="RY203" s="106"/>
      <c r="RZ203" s="106"/>
      <c r="SA203" s="106"/>
      <c r="SB203" s="106"/>
      <c r="SC203" s="106"/>
      <c r="SD203" s="106"/>
      <c r="SE203" s="106"/>
      <c r="SF203" s="106"/>
      <c r="SG203" s="106"/>
      <c r="SH203" s="106"/>
      <c r="SI203" s="106"/>
      <c r="SJ203" s="106"/>
      <c r="SK203" s="106"/>
      <c r="SL203" s="106"/>
      <c r="SM203" s="106"/>
      <c r="SN203" s="106"/>
      <c r="SO203" s="106"/>
      <c r="SP203" s="106"/>
      <c r="SQ203" s="106"/>
      <c r="SR203" s="106"/>
      <c r="SS203" s="106"/>
      <c r="ST203" s="106"/>
      <c r="SU203" s="106"/>
      <c r="SV203" s="106"/>
      <c r="SW203" s="106"/>
      <c r="SX203" s="106"/>
      <c r="SY203" s="106"/>
      <c r="SZ203" s="106"/>
      <c r="TA203" s="106"/>
      <c r="TB203" s="106"/>
      <c r="TC203" s="106"/>
      <c r="TD203" s="106"/>
      <c r="TE203" s="106"/>
      <c r="TF203" s="106"/>
      <c r="TG203" s="106"/>
      <c r="TH203" s="106"/>
      <c r="TI203" s="106"/>
      <c r="TJ203" s="106"/>
      <c r="TK203" s="106"/>
      <c r="TL203" s="106"/>
      <c r="TM203" s="106"/>
      <c r="TN203" s="106"/>
      <c r="TO203" s="106"/>
      <c r="TP203" s="106"/>
      <c r="TQ203" s="106"/>
      <c r="TR203" s="106"/>
      <c r="TS203" s="106"/>
      <c r="TT203" s="106"/>
      <c r="TU203" s="106"/>
      <c r="TV203" s="106"/>
      <c r="TW203" s="106"/>
      <c r="TX203" s="106"/>
      <c r="TY203" s="106"/>
      <c r="TZ203" s="106"/>
      <c r="UA203" s="106"/>
      <c r="UB203" s="106"/>
      <c r="UC203" s="106"/>
      <c r="UD203" s="106"/>
      <c r="UE203" s="106"/>
      <c r="UF203" s="106"/>
      <c r="UG203" s="106"/>
      <c r="UH203" s="106"/>
      <c r="UI203" s="106"/>
      <c r="UJ203" s="106"/>
      <c r="UK203" s="106"/>
      <c r="UL203" s="106"/>
      <c r="UM203" s="106"/>
      <c r="UN203" s="106"/>
      <c r="UO203" s="106"/>
      <c r="UP203" s="106"/>
      <c r="UQ203" s="106"/>
      <c r="UR203" s="106"/>
      <c r="US203" s="106"/>
      <c r="UT203" s="106"/>
      <c r="UU203" s="106"/>
      <c r="UV203" s="106"/>
      <c r="UW203" s="106"/>
      <c r="UX203" s="106"/>
      <c r="UY203" s="106"/>
      <c r="UZ203" s="106"/>
      <c r="VA203" s="106"/>
      <c r="VB203" s="106"/>
      <c r="VC203" s="106"/>
      <c r="VD203" s="106"/>
      <c r="VE203" s="106"/>
      <c r="VF203" s="106"/>
      <c r="VG203" s="106"/>
      <c r="VH203" s="106"/>
      <c r="VI203" s="106"/>
      <c r="VJ203" s="106"/>
      <c r="VK203" s="106"/>
      <c r="VL203" s="106"/>
      <c r="VM203" s="106"/>
      <c r="VN203" s="106"/>
      <c r="VO203" s="106"/>
      <c r="VP203" s="106"/>
      <c r="VQ203" s="106"/>
      <c r="VR203" s="106"/>
      <c r="VS203" s="106"/>
      <c r="VT203" s="106"/>
      <c r="VU203" s="106"/>
      <c r="VV203" s="106"/>
      <c r="VW203" s="106"/>
      <c r="VX203" s="106"/>
      <c r="VY203" s="106"/>
      <c r="VZ203" s="106"/>
      <c r="WA203" s="106"/>
      <c r="WB203" s="106"/>
      <c r="WC203" s="106"/>
      <c r="WD203" s="106"/>
      <c r="WE203" s="106"/>
      <c r="WF203" s="106"/>
      <c r="WG203" s="106"/>
      <c r="WH203" s="106"/>
      <c r="WI203" s="106"/>
      <c r="WJ203" s="106"/>
      <c r="WK203" s="106"/>
      <c r="WL203" s="106"/>
      <c r="WM203" s="106"/>
      <c r="WN203" s="106"/>
      <c r="WO203" s="106"/>
      <c r="WP203" s="106"/>
      <c r="WQ203" s="106"/>
      <c r="WR203" s="106"/>
      <c r="WS203" s="106"/>
      <c r="WT203" s="106"/>
      <c r="WU203" s="106"/>
      <c r="WV203" s="106"/>
      <c r="WW203" s="106"/>
      <c r="WX203" s="106"/>
      <c r="WY203" s="106"/>
      <c r="WZ203" s="106"/>
      <c r="XA203" s="106"/>
      <c r="XB203" s="106"/>
      <c r="XC203" s="106"/>
      <c r="XD203" s="106"/>
      <c r="XE203" s="106"/>
      <c r="XF203" s="106"/>
      <c r="XG203" s="106"/>
      <c r="XH203" s="106"/>
      <c r="XI203" s="106"/>
      <c r="XJ203" s="106"/>
      <c r="XK203" s="106"/>
      <c r="XL203" s="106"/>
      <c r="XM203" s="106"/>
      <c r="XN203" s="106"/>
      <c r="XO203" s="106"/>
      <c r="XP203" s="106"/>
      <c r="XQ203" s="106"/>
      <c r="XR203" s="106"/>
      <c r="XS203" s="106"/>
      <c r="XT203" s="106"/>
      <c r="XU203" s="106"/>
      <c r="XV203" s="106"/>
      <c r="XW203" s="106"/>
      <c r="XX203" s="106"/>
      <c r="XY203" s="106"/>
      <c r="XZ203" s="106"/>
      <c r="YA203" s="106"/>
      <c r="YB203" s="106"/>
      <c r="YC203" s="106"/>
      <c r="YD203" s="106"/>
      <c r="YE203" s="106"/>
      <c r="YF203" s="106"/>
      <c r="YG203" s="106"/>
      <c r="YH203" s="106"/>
      <c r="YI203" s="106"/>
      <c r="YJ203" s="106"/>
      <c r="YK203" s="106"/>
      <c r="YL203" s="106"/>
      <c r="YM203" s="106"/>
      <c r="YN203" s="106"/>
      <c r="YO203" s="106"/>
      <c r="YP203" s="106"/>
      <c r="YQ203" s="106"/>
      <c r="YR203" s="106"/>
      <c r="YS203" s="106"/>
      <c r="YT203" s="106"/>
      <c r="YU203" s="106"/>
      <c r="YV203" s="106"/>
      <c r="YW203" s="106"/>
      <c r="YX203" s="106"/>
      <c r="YY203" s="106"/>
      <c r="YZ203" s="106"/>
      <c r="ZA203" s="106"/>
      <c r="ZB203" s="106"/>
      <c r="ZC203" s="106"/>
      <c r="ZD203" s="106"/>
      <c r="ZE203" s="106"/>
      <c r="ZF203" s="106"/>
      <c r="ZG203" s="106"/>
      <c r="ZH203" s="106"/>
      <c r="ZI203" s="106"/>
      <c r="ZJ203" s="106"/>
      <c r="ZK203" s="106"/>
      <c r="ZL203" s="106"/>
      <c r="ZM203" s="106"/>
      <c r="ZN203" s="106"/>
      <c r="ZO203" s="106"/>
      <c r="ZP203" s="106"/>
      <c r="ZQ203" s="106"/>
      <c r="ZR203" s="106"/>
      <c r="ZS203" s="106"/>
      <c r="ZT203" s="106"/>
      <c r="ZU203" s="106"/>
      <c r="ZV203" s="106"/>
      <c r="ZW203" s="106"/>
      <c r="ZX203" s="106"/>
      <c r="ZY203" s="106"/>
      <c r="ZZ203" s="106"/>
      <c r="AAA203" s="106"/>
      <c r="AAB203" s="106"/>
      <c r="AAC203" s="106"/>
      <c r="AAD203" s="106"/>
      <c r="AAE203" s="106"/>
      <c r="AAF203" s="106"/>
      <c r="AAG203" s="106"/>
      <c r="AAH203" s="106"/>
      <c r="AAI203" s="106"/>
      <c r="AAJ203" s="106"/>
      <c r="AAK203" s="106"/>
      <c r="AAL203" s="106"/>
      <c r="AAM203" s="106"/>
      <c r="AAN203" s="106"/>
      <c r="AAO203" s="106"/>
      <c r="AAP203" s="106"/>
      <c r="AAQ203" s="106"/>
      <c r="AAR203" s="106"/>
      <c r="AAS203" s="106"/>
      <c r="AAT203" s="106"/>
      <c r="AAU203" s="106"/>
      <c r="AAV203" s="106"/>
      <c r="AAW203" s="106"/>
      <c r="AAX203" s="106"/>
      <c r="AAY203" s="106"/>
      <c r="AAZ203" s="106"/>
      <c r="ABA203" s="106"/>
      <c r="ABB203" s="106"/>
      <c r="ABC203" s="106"/>
      <c r="ABD203" s="106"/>
      <c r="ABE203" s="106"/>
      <c r="ABF203" s="106"/>
      <c r="ABG203" s="106"/>
      <c r="ABH203" s="106"/>
      <c r="ABI203" s="106"/>
      <c r="ABJ203" s="106"/>
      <c r="ABK203" s="106"/>
      <c r="ABL203" s="106"/>
      <c r="ABM203" s="106"/>
      <c r="ABN203" s="106"/>
      <c r="ABO203" s="106"/>
      <c r="ABP203" s="106"/>
      <c r="ABQ203" s="106"/>
      <c r="ABR203" s="106"/>
      <c r="ABS203" s="106"/>
      <c r="ABT203" s="106"/>
      <c r="ABU203" s="106"/>
      <c r="ABV203" s="106"/>
      <c r="ABW203" s="106"/>
      <c r="ABX203" s="106"/>
      <c r="ABY203" s="106"/>
      <c r="ABZ203" s="106"/>
      <c r="ACA203" s="106"/>
      <c r="ACB203" s="106"/>
      <c r="ACC203" s="106"/>
      <c r="ACD203" s="106"/>
      <c r="ACE203" s="106"/>
      <c r="ACF203" s="106"/>
      <c r="ACG203" s="106"/>
      <c r="ACH203" s="106"/>
      <c r="ACI203" s="106"/>
      <c r="ACJ203" s="106"/>
      <c r="ACK203" s="106"/>
      <c r="ACL203" s="106"/>
      <c r="ACM203" s="106"/>
      <c r="ACN203" s="106"/>
      <c r="ACO203" s="106"/>
      <c r="ACP203" s="106"/>
      <c r="ACQ203" s="106"/>
      <c r="ACR203" s="106"/>
      <c r="ACS203" s="106"/>
      <c r="ACT203" s="106"/>
      <c r="ACU203" s="106"/>
      <c r="ACV203" s="106"/>
      <c r="ACW203" s="106"/>
      <c r="ACX203" s="106"/>
      <c r="ACY203" s="106"/>
      <c r="ACZ203" s="106"/>
      <c r="ADA203" s="106"/>
      <c r="ADB203" s="106"/>
      <c r="ADC203" s="106"/>
      <c r="ADD203" s="106"/>
      <c r="ADE203" s="106"/>
      <c r="ADF203" s="106"/>
      <c r="ADG203" s="106"/>
      <c r="ADH203" s="106"/>
      <c r="ADI203" s="106"/>
      <c r="ADJ203" s="106"/>
      <c r="ADK203" s="106"/>
      <c r="ADL203" s="106"/>
      <c r="ADM203" s="106"/>
      <c r="ADN203" s="106"/>
      <c r="ADO203" s="106"/>
      <c r="ADP203" s="106"/>
      <c r="ADQ203" s="106"/>
      <c r="ADR203" s="106"/>
      <c r="ADS203" s="106"/>
      <c r="ADT203" s="106"/>
      <c r="ADU203" s="106"/>
      <c r="ADV203" s="106"/>
      <c r="ADW203" s="106"/>
      <c r="ADX203" s="106"/>
      <c r="ADY203" s="106"/>
      <c r="ADZ203" s="106"/>
      <c r="AEA203" s="106"/>
      <c r="AEB203" s="106"/>
      <c r="AEC203" s="106"/>
      <c r="AED203" s="106"/>
      <c r="AEE203" s="106"/>
      <c r="AEF203" s="106"/>
      <c r="AEG203" s="106"/>
      <c r="AEH203" s="106"/>
      <c r="AEI203" s="106"/>
      <c r="AEJ203" s="106"/>
      <c r="AEK203" s="106"/>
      <c r="AEL203" s="106"/>
      <c r="AEM203" s="106"/>
      <c r="AEN203" s="106"/>
      <c r="AEO203" s="106"/>
      <c r="AEP203" s="106"/>
      <c r="AEQ203" s="106"/>
      <c r="AER203" s="106"/>
      <c r="AES203" s="106"/>
      <c r="AET203" s="106"/>
      <c r="AEU203" s="106"/>
      <c r="AEV203" s="106"/>
      <c r="AEW203" s="106"/>
      <c r="AEX203" s="106"/>
      <c r="AEY203" s="106"/>
      <c r="AEZ203" s="106"/>
      <c r="AFA203" s="106"/>
      <c r="AFB203" s="106"/>
      <c r="AFC203" s="106"/>
      <c r="AFD203" s="106"/>
      <c r="AFE203" s="106"/>
      <c r="AFF203" s="106"/>
      <c r="AFG203" s="106"/>
      <c r="AFH203" s="106"/>
      <c r="AFI203" s="106"/>
      <c r="AFJ203" s="106"/>
      <c r="AFK203" s="106"/>
      <c r="AFL203" s="106"/>
      <c r="AFM203" s="106"/>
      <c r="AFN203" s="106"/>
      <c r="AFO203" s="106"/>
      <c r="AFP203" s="106"/>
      <c r="AFQ203" s="106"/>
      <c r="AFR203" s="106"/>
      <c r="AFS203" s="106"/>
      <c r="AFT203" s="106"/>
      <c r="AFU203" s="106"/>
      <c r="AFV203" s="106"/>
      <c r="AFW203" s="106"/>
      <c r="AFX203" s="106"/>
      <c r="AFY203" s="106"/>
      <c r="AFZ203" s="106"/>
      <c r="AGA203" s="106"/>
      <c r="AGB203" s="106"/>
      <c r="AGC203" s="106"/>
      <c r="AGD203" s="106"/>
      <c r="AGE203" s="106"/>
      <c r="AGF203" s="106"/>
      <c r="AGG203" s="106"/>
      <c r="AGH203" s="106"/>
      <c r="AGI203" s="106"/>
      <c r="AGJ203" s="106"/>
      <c r="AGK203" s="106"/>
      <c r="AGL203" s="106"/>
      <c r="AGM203" s="106"/>
      <c r="AGN203" s="106"/>
      <c r="AGO203" s="106"/>
      <c r="AGP203" s="106"/>
      <c r="AGQ203" s="106"/>
      <c r="AGR203" s="106"/>
      <c r="AGS203" s="106"/>
      <c r="AGT203" s="106"/>
      <c r="AGU203" s="106"/>
      <c r="AGV203" s="106"/>
      <c r="AGW203" s="106"/>
      <c r="AGX203" s="106"/>
      <c r="AGY203" s="106"/>
      <c r="AGZ203" s="106"/>
      <c r="AHA203" s="106"/>
      <c r="AHB203" s="106"/>
      <c r="AHC203" s="106"/>
      <c r="AHD203" s="106"/>
      <c r="AHE203" s="106"/>
      <c r="AHF203" s="106"/>
      <c r="AHG203" s="106"/>
      <c r="AHH203" s="106"/>
      <c r="AHI203" s="106"/>
      <c r="AHJ203" s="106"/>
      <c r="AHK203" s="106"/>
      <c r="AHL203" s="106"/>
      <c r="AHM203" s="106"/>
      <c r="AHN203" s="106"/>
      <c r="AHO203" s="106"/>
      <c r="AHP203" s="106"/>
      <c r="AHQ203" s="106"/>
      <c r="AHR203" s="106"/>
      <c r="AHS203" s="106"/>
      <c r="AHT203" s="106"/>
      <c r="AHU203" s="106"/>
      <c r="AHV203" s="106"/>
      <c r="AHW203" s="106"/>
      <c r="AHX203" s="106"/>
      <c r="AHY203" s="106"/>
      <c r="AHZ203" s="106"/>
      <c r="AIA203" s="106"/>
      <c r="AIB203" s="106"/>
      <c r="AIC203" s="106"/>
      <c r="AID203" s="106"/>
      <c r="AIE203" s="106"/>
      <c r="AIF203" s="106"/>
      <c r="AIG203" s="106"/>
      <c r="AIH203" s="106"/>
      <c r="AII203" s="106"/>
      <c r="AIJ203" s="106"/>
      <c r="AIK203" s="106"/>
      <c r="AIL203" s="106"/>
      <c r="AIM203" s="106"/>
      <c r="AIN203" s="106"/>
      <c r="AIO203" s="106"/>
      <c r="AIP203" s="106"/>
      <c r="AIQ203" s="106"/>
      <c r="AIR203" s="106"/>
      <c r="AIS203" s="106"/>
      <c r="AIT203" s="106"/>
      <c r="AIU203" s="106"/>
      <c r="AIV203" s="106"/>
      <c r="AIW203" s="106"/>
      <c r="AIX203" s="106"/>
      <c r="AIY203" s="106"/>
      <c r="AIZ203" s="106"/>
      <c r="AJA203" s="106"/>
      <c r="AJB203" s="106"/>
      <c r="AJC203" s="106"/>
      <c r="AJD203" s="106"/>
      <c r="AJE203" s="106"/>
      <c r="AJF203" s="106"/>
      <c r="AJG203" s="106"/>
      <c r="AJH203" s="106"/>
      <c r="AJI203" s="106"/>
      <c r="AJJ203" s="106"/>
      <c r="AJK203" s="106"/>
      <c r="AJL203" s="106"/>
      <c r="AJM203" s="106"/>
      <c r="AJN203" s="106"/>
      <c r="AJO203" s="106"/>
      <c r="AJP203" s="106"/>
      <c r="AJQ203" s="106"/>
      <c r="AJR203" s="106"/>
      <c r="AJS203" s="106"/>
      <c r="AJT203" s="106"/>
      <c r="AJU203" s="106"/>
      <c r="AJV203" s="106"/>
      <c r="AJW203" s="106"/>
      <c r="AJX203" s="106"/>
      <c r="AJY203" s="106"/>
      <c r="AJZ203" s="106"/>
      <c r="AKA203" s="106"/>
      <c r="AKB203" s="106"/>
      <c r="AKC203" s="106"/>
      <c r="AKD203" s="106"/>
      <c r="AKE203" s="106"/>
      <c r="AKF203" s="106"/>
      <c r="AKG203" s="106"/>
      <c r="AKH203" s="106"/>
      <c r="AKI203" s="106"/>
      <c r="AKJ203" s="106"/>
      <c r="AKK203" s="106"/>
      <c r="AKL203" s="106"/>
      <c r="AKM203" s="106"/>
      <c r="AKN203" s="106"/>
      <c r="AKO203" s="106"/>
      <c r="AKP203" s="106"/>
      <c r="AKQ203" s="106"/>
      <c r="AKR203" s="106"/>
      <c r="AKS203" s="106"/>
      <c r="AKT203" s="106"/>
      <c r="AKU203" s="106"/>
      <c r="AKV203" s="106"/>
      <c r="AKW203" s="106"/>
      <c r="AKX203" s="106"/>
      <c r="AKY203" s="106"/>
      <c r="AKZ203" s="106"/>
      <c r="ALA203" s="106"/>
      <c r="ALB203" s="106"/>
      <c r="ALC203" s="106"/>
      <c r="ALD203" s="106"/>
      <c r="ALE203" s="106"/>
      <c r="ALF203" s="106"/>
      <c r="ALG203" s="106"/>
      <c r="ALH203" s="106"/>
    </row>
    <row r="204" spans="1:996">
      <c r="A204" s="37"/>
      <c r="B204" t="str">
        <f>D204&amp;E204</f>
        <v>S331102</v>
      </c>
      <c r="C204" s="29" t="s">
        <v>340</v>
      </c>
      <c r="D204" s="27" t="s">
        <v>128</v>
      </c>
      <c r="E204" s="7">
        <v>331102</v>
      </c>
      <c r="F204" s="48" t="s">
        <v>399</v>
      </c>
      <c r="G204" s="49">
        <f>IFERROR(VLOOKUP(E204,'BD - E - Mvto Cx'!$E$15:$G$500,3,0),0)</f>
        <v>0</v>
      </c>
      <c r="H204" s="51">
        <f>IFERROR(VLOOKUP(E204,'BD - E - Mvto Cx'!$N$15:$P$500,3,0),0)</f>
        <v>0</v>
      </c>
      <c r="I204" s="50">
        <f>IFERROR(VLOOKUP(E204,'BD - E - Mvto Cx'!$W$15:$Y$497,3,0),0)</f>
        <v>0</v>
      </c>
      <c r="J204" s="50">
        <f>IFERROR(VLOOKUP(E204,'BD - E - Mvto Cx'!$AF$15:$AI$500,3,0),0)</f>
        <v>0</v>
      </c>
      <c r="K204" s="50">
        <f>IFERROR(VLOOKUP(E204,'BD - E - Mvto Cx'!$AO$15:$AQ$500,3,0),0)</f>
        <v>0</v>
      </c>
      <c r="L204" s="50">
        <f>IFERROR(VLOOKUP(E204,'BD - E - Mvto Cx'!$AX$15:$AZ$500,3,0),0)</f>
        <v>0</v>
      </c>
      <c r="M204" s="50">
        <f>IFERROR(VLOOKUP(E204,'BD - E - Mvto Cx'!$BJ$15:$BL$500,3,0),0)</f>
        <v>0</v>
      </c>
      <c r="N204" s="50">
        <f>IFERROR(VLOOKUP(E204,'BD - E - Mvto Cx'!$BS$15:$BU$500,3,0),0)</f>
        <v>0</v>
      </c>
      <c r="O204" s="50">
        <f>IFERROR(VLOOKUP(E204,'BD - E - Mvto Cx'!$CB$15:$CD$500,3,0),0)</f>
        <v>0</v>
      </c>
      <c r="P204" s="50">
        <f>IFERROR(VLOOKUP(E204,'BD - E - Mvto Cx'!$CK$15:$CM$500,3,0),0)</f>
        <v>0</v>
      </c>
      <c r="Q204" s="50">
        <f>IFERROR(VLOOKUP(E204,'BD - E - Mvto Cx'!$CT$15:$CV$500,3,0),0)</f>
        <v>0</v>
      </c>
      <c r="R204" s="50">
        <f>IFERROR(VLOOKUP(E204,'BD - E - Mvto Cx'!$DC$15:$DE$500,3,0),0)</f>
        <v>0</v>
      </c>
    </row>
    <row r="205" spans="1:996">
      <c r="A205" s="37"/>
      <c r="B205" t="str">
        <f>D205&amp;E205</f>
        <v>S331307</v>
      </c>
      <c r="C205" s="29" t="s">
        <v>356</v>
      </c>
      <c r="D205" s="27" t="s">
        <v>128</v>
      </c>
      <c r="E205" s="7">
        <v>331307</v>
      </c>
      <c r="F205" s="48" t="s">
        <v>448</v>
      </c>
      <c r="G205" s="49">
        <f>IFERROR(VLOOKUP(E205,'BD - E - Mvto Cx'!$E$15:$G$500,3,0),0)</f>
        <v>0</v>
      </c>
      <c r="H205" s="51">
        <f>IFERROR(VLOOKUP(E205,'BD - E - Mvto Cx'!$N$15:$P$500,3,0),0)</f>
        <v>0</v>
      </c>
      <c r="I205" s="50">
        <f>IFERROR(VLOOKUP(E205,'BD - E - Mvto Cx'!$W$15:$Y$497,3,0),0)</f>
        <v>0</v>
      </c>
      <c r="J205" s="50">
        <f>IFERROR(VLOOKUP(E205,'BD - E - Mvto Cx'!$AF$15:$AI$500,3,0),0)</f>
        <v>0</v>
      </c>
      <c r="K205" s="50">
        <f>IFERROR(VLOOKUP(E205,'BD - E - Mvto Cx'!$AO$15:$AQ$500,3,0),0)</f>
        <v>0</v>
      </c>
      <c r="L205" s="50">
        <f>IFERROR(VLOOKUP(E205,'BD - E - Mvto Cx'!$AX$15:$AZ$500,3,0),0)</f>
        <v>0</v>
      </c>
      <c r="M205" s="50">
        <f>IFERROR(VLOOKUP(E205,'BD - E - Mvto Cx'!$BJ$15:$BL$500,3,0),0)</f>
        <v>0</v>
      </c>
      <c r="N205" s="50">
        <f>IFERROR(VLOOKUP(E205,'BD - E - Mvto Cx'!$BS$15:$BU$500,3,0),0)</f>
        <v>0</v>
      </c>
      <c r="O205" s="50">
        <f>IFERROR(VLOOKUP(E205,'BD - E - Mvto Cx'!$CB$15:$CD$500,3,0),0)</f>
        <v>0</v>
      </c>
      <c r="P205" s="50">
        <f>IFERROR(VLOOKUP(E205,'BD - E - Mvto Cx'!$CK$15:$CM$500,3,0),0)</f>
        <v>0</v>
      </c>
      <c r="Q205" s="50">
        <f>IFERROR(VLOOKUP(E205,'BD - E - Mvto Cx'!$CT$15:$CV$500,3,0),0)</f>
        <v>0</v>
      </c>
      <c r="R205" s="50">
        <f>IFERROR(VLOOKUP(E205,'BD - E - Mvto Cx'!$DC$15:$DE$500,3,0),0)</f>
        <v>0</v>
      </c>
    </row>
    <row r="206" spans="1:996">
      <c r="A206" s="37"/>
      <c r="B206" t="str">
        <f t="shared" si="8"/>
        <v>S331703</v>
      </c>
      <c r="C206" s="7" t="s">
        <v>127</v>
      </c>
      <c r="D206" s="27" t="s">
        <v>128</v>
      </c>
      <c r="E206" s="7">
        <v>331703</v>
      </c>
      <c r="F206" s="48" t="s">
        <v>182</v>
      </c>
      <c r="G206" s="49">
        <f>IFERROR(VLOOKUP(E206,'BD - E - Mvto Cx'!$E$15:$G$500,3,0),0)</f>
        <v>0</v>
      </c>
      <c r="H206" s="51">
        <f>IFERROR(VLOOKUP(E206,'BD - E - Mvto Cx'!$N$15:$P$500,3,0),0)</f>
        <v>0</v>
      </c>
      <c r="I206" s="50">
        <f>IFERROR(VLOOKUP(E206,'BD - E - Mvto Cx'!$W$15:$Y$497,3,0),0)</f>
        <v>113.4</v>
      </c>
      <c r="J206" s="50">
        <f>IFERROR(VLOOKUP(E206,'BD - E - Mvto Cx'!$AF$15:$AI$500,3,0),0)</f>
        <v>0</v>
      </c>
      <c r="K206" s="50">
        <f>IFERROR(VLOOKUP(E206,'BD - E - Mvto Cx'!$AO$15:$AQ$500,3,0),0)</f>
        <v>0</v>
      </c>
      <c r="L206" s="50">
        <f>IFERROR(VLOOKUP(E206,'BD - E - Mvto Cx'!$AX$15:$AZ$500,3,0),0)</f>
        <v>0</v>
      </c>
      <c r="M206" s="50">
        <f>IFERROR(VLOOKUP(E206,'BD - E - Mvto Cx'!$BJ$15:$BL$500,3,0),0)</f>
        <v>0</v>
      </c>
      <c r="N206" s="50">
        <f>IFERROR(VLOOKUP(E206,'BD - E - Mvto Cx'!$BS$15:$BU$500,3,0),0)</f>
        <v>0</v>
      </c>
      <c r="O206" s="50">
        <f>IFERROR(VLOOKUP(E206,'BD - E - Mvto Cx'!$CB$15:$CD$500,3,0),0)</f>
        <v>0</v>
      </c>
      <c r="P206" s="50">
        <f>IFERROR(VLOOKUP(E206,'BD - E - Mvto Cx'!$CK$15:$CM$500,3,0),0)</f>
        <v>0</v>
      </c>
      <c r="Q206" s="50">
        <f>IFERROR(VLOOKUP(E206,'BD - E - Mvto Cx'!$CT$15:$CV$500,3,0),0)</f>
        <v>0</v>
      </c>
      <c r="R206" s="50">
        <f>IFERROR(VLOOKUP(E206,'BD - E - Mvto Cx'!$DC$15:$DE$500,3,0),0)</f>
        <v>0</v>
      </c>
    </row>
    <row r="207" spans="1:996">
      <c r="A207" s="37"/>
      <c r="B207" t="str">
        <f t="shared" si="8"/>
        <v>S331808</v>
      </c>
      <c r="C207" s="7" t="s">
        <v>127</v>
      </c>
      <c r="D207" s="27" t="s">
        <v>128</v>
      </c>
      <c r="E207" s="7">
        <v>331808</v>
      </c>
      <c r="F207" s="48" t="s">
        <v>582</v>
      </c>
      <c r="G207" s="49">
        <f>IFERROR(VLOOKUP(E207,'BD - E - Mvto Cx'!$E$15:$G$500,3,0),0)</f>
        <v>36.26</v>
      </c>
      <c r="H207" s="51">
        <f>IFERROR(VLOOKUP(E207,'BD - E - Mvto Cx'!$N$15:$P$500,3,0),0)</f>
        <v>39.409999999999997</v>
      </c>
      <c r="I207" s="50">
        <f>IFERROR(VLOOKUP(E207,'BD - E - Mvto Cx'!$W$15:$Y$497,3,0),0)</f>
        <v>13.92</v>
      </c>
      <c r="J207" s="50">
        <f>IFERROR(VLOOKUP(E207,'BD - E - Mvto Cx'!$AF$15:$AI$500,3,0),0)</f>
        <v>40.79</v>
      </c>
      <c r="K207" s="50">
        <f>IFERROR(VLOOKUP(E207,'BD - E - Mvto Cx'!$AO$15:$AQ$500,3,0),0)</f>
        <v>0</v>
      </c>
      <c r="L207" s="50">
        <f>IFERROR(VLOOKUP(E207,'BD - E - Mvto Cx'!$AX$15:$AZ$500,3,0),0)</f>
        <v>0</v>
      </c>
      <c r="M207" s="50">
        <f>IFERROR(VLOOKUP(E207,'BD - E - Mvto Cx'!$BJ$15:$BL$500,3,0),0)</f>
        <v>0</v>
      </c>
      <c r="N207" s="50">
        <f>IFERROR(VLOOKUP(E207,'BD - E - Mvto Cx'!$BS$15:$BU$500,3,0),0)</f>
        <v>0</v>
      </c>
      <c r="O207" s="50">
        <f>IFERROR(VLOOKUP(E207,'BD - E - Mvto Cx'!$CB$15:$CD$500,3,0),0)</f>
        <v>0</v>
      </c>
      <c r="P207" s="50">
        <f>IFERROR(VLOOKUP(E207,'BD - E - Mvto Cx'!$CK$15:$CM$500,3,0),0)</f>
        <v>0</v>
      </c>
      <c r="Q207" s="50">
        <f>IFERROR(VLOOKUP(E207,'BD - E - Mvto Cx'!$CT$15:$CV$500,3,0),0)</f>
        <v>0</v>
      </c>
      <c r="R207" s="50">
        <f>IFERROR(VLOOKUP(E207,'BD - E - Mvto Cx'!$DC$15:$DE$500,3,0),0)</f>
        <v>0</v>
      </c>
    </row>
    <row r="208" spans="1:996">
      <c r="A208" s="37"/>
      <c r="B208" t="str">
        <f t="shared" si="8"/>
        <v>S331814</v>
      </c>
      <c r="C208" s="7" t="s">
        <v>127</v>
      </c>
      <c r="D208" s="27" t="s">
        <v>128</v>
      </c>
      <c r="E208" s="7">
        <v>331814</v>
      </c>
      <c r="F208" s="48" t="s">
        <v>183</v>
      </c>
      <c r="G208" s="49">
        <f>IFERROR(VLOOKUP(E208,'BD - E - Mvto Cx'!$E$15:$G$500,3,0),0)</f>
        <v>12361.63</v>
      </c>
      <c r="H208" s="51">
        <f>IFERROR(VLOOKUP(E208,'BD - E - Mvto Cx'!$N$15:$P$500,3,0),0)</f>
        <v>13567.22</v>
      </c>
      <c r="I208" s="50">
        <f>IFERROR(VLOOKUP(E208,'BD - E - Mvto Cx'!$W$15:$Y$497,3,0),0)</f>
        <v>11448.04</v>
      </c>
      <c r="J208" s="50">
        <f>IFERROR(VLOOKUP(E208,'BD - E - Mvto Cx'!$AF$15:$AI$500,3,0),0)</f>
        <v>8372.16</v>
      </c>
      <c r="K208" s="50">
        <f>IFERROR(VLOOKUP(E208,'BD - E - Mvto Cx'!$AO$15:$AQ$500,3,0),0)</f>
        <v>0</v>
      </c>
      <c r="L208" s="50">
        <f>IFERROR(VLOOKUP(E208,'BD - E - Mvto Cx'!$AX$15:$AZ$500,3,0),0)</f>
        <v>0</v>
      </c>
      <c r="M208" s="50">
        <f>IFERROR(VLOOKUP(E208,'BD - E - Mvto Cx'!$BJ$15:$BL$500,3,0),0)</f>
        <v>0</v>
      </c>
      <c r="N208" s="50">
        <f>IFERROR(VLOOKUP(E208,'BD - E - Mvto Cx'!$BS$15:$BU$500,3,0),0)</f>
        <v>0</v>
      </c>
      <c r="O208" s="50">
        <f>IFERROR(VLOOKUP(E208,'BD - E - Mvto Cx'!$CB$15:$CD$500,3,0),0)</f>
        <v>0</v>
      </c>
      <c r="P208" s="50">
        <f>IFERROR(VLOOKUP(E208,'BD - E - Mvto Cx'!$CK$15:$CM$500,3,0),0)</f>
        <v>0</v>
      </c>
      <c r="Q208" s="50">
        <f>IFERROR(VLOOKUP(E208,'BD - E - Mvto Cx'!$CT$15:$CV$500,3,0),0)</f>
        <v>0</v>
      </c>
      <c r="R208" s="50">
        <f>IFERROR(VLOOKUP(E208,'BD - E - Mvto Cx'!$DC$15:$DE$500,3,0),0)</f>
        <v>0</v>
      </c>
    </row>
    <row r="209" spans="1:18">
      <c r="A209" s="37"/>
      <c r="B209" t="str">
        <f t="shared" si="8"/>
        <v>S331848</v>
      </c>
      <c r="C209" s="29" t="s">
        <v>261</v>
      </c>
      <c r="D209" s="27" t="s">
        <v>128</v>
      </c>
      <c r="E209">
        <v>331848</v>
      </c>
      <c r="F209" s="108" t="s">
        <v>184</v>
      </c>
      <c r="G209" s="397">
        <f>IFERROR(VLOOKUP(E209,'BD - E - Mvto Cx'!$E$15:$G$500,3,0),0)</f>
        <v>7.0000000000000007E-2</v>
      </c>
      <c r="H209" s="109">
        <f>IFERROR(VLOOKUP(E209,'BD - E - Mvto Cx'!$N$15:$P$500,3,0),0)</f>
        <v>0.03</v>
      </c>
      <c r="I209" s="39">
        <f>IFERROR(VLOOKUP(E209,'BD - E - Mvto Cx'!$W$15:$Y$497,3,0),0)</f>
        <v>0.04</v>
      </c>
      <c r="J209" s="39">
        <f>IFERROR(VLOOKUP(E209,'BD - E - Mvto Cx'!$AF$15:$AI$500,3,0),0)</f>
        <v>1.25</v>
      </c>
      <c r="K209" s="39">
        <f>IFERROR(VLOOKUP(E209,'BD - E - Mvto Cx'!$AO$15:$AQ$500,3,0),0)</f>
        <v>0</v>
      </c>
      <c r="L209" s="39">
        <f>IFERROR(VLOOKUP(E209,'BD - E - Mvto Cx'!$AX$15:$AZ$500,3,0),0)</f>
        <v>0</v>
      </c>
      <c r="M209" s="39">
        <f>IFERROR(VLOOKUP(E209,'BD - E - Mvto Cx'!$BJ$15:$BL$500,3,0),0)</f>
        <v>0</v>
      </c>
      <c r="N209" s="39">
        <f>IFERROR(VLOOKUP(E209,'BD - E - Mvto Cx'!$BS$15:$BU$500,3,0),0)</f>
        <v>0</v>
      </c>
      <c r="O209" s="39">
        <f>IFERROR(VLOOKUP(E209,'BD - E - Mvto Cx'!$CB$15:$CD$500,3,0),0)</f>
        <v>0</v>
      </c>
      <c r="P209" s="39">
        <f>IFERROR(VLOOKUP(E209,'BD - E - Mvto Cx'!$CK$15:$CM$500,3,0),0)</f>
        <v>0</v>
      </c>
      <c r="Q209" s="39">
        <f>IFERROR(VLOOKUP(E209,'BD - E - Mvto Cx'!$CT$15:$CV$500,3,0),0)</f>
        <v>0</v>
      </c>
      <c r="R209" s="39">
        <f>IFERROR(VLOOKUP(E209,'BD - E - Mvto Cx'!$DC$15:$DE$500,3,0),0)</f>
        <v>0</v>
      </c>
    </row>
    <row r="210" spans="1:18">
      <c r="A210" s="37"/>
      <c r="B210" t="str">
        <f t="shared" si="8"/>
        <v>S331849</v>
      </c>
      <c r="C210" s="29" t="s">
        <v>261</v>
      </c>
      <c r="D210" s="27" t="s">
        <v>128</v>
      </c>
      <c r="E210" s="7">
        <v>331849</v>
      </c>
      <c r="F210" s="48" t="s">
        <v>124</v>
      </c>
      <c r="G210" s="49">
        <f>IFERROR(VLOOKUP(E210,'BD - E - Mvto Cx'!$E$15:$G$500,3,0),0)</f>
        <v>6030.97</v>
      </c>
      <c r="H210" s="51">
        <f>IFERROR(VLOOKUP(E210,'BD - E - Mvto Cx'!$N$15:$P$500,3,0),0)</f>
        <v>5739.24</v>
      </c>
      <c r="I210" s="50">
        <f>IFERROR(VLOOKUP(E210,'BD - E - Mvto Cx'!$W$15:$Y$497,3,0),0)</f>
        <v>20475.23</v>
      </c>
      <c r="J210" s="50">
        <f>IFERROR(VLOOKUP(E210,'BD - E - Mvto Cx'!$AF$15:$AI$500,3,0),0)</f>
        <v>5499.82</v>
      </c>
      <c r="K210" s="50">
        <f>IFERROR(VLOOKUP(E210,'BD - E - Mvto Cx'!$AO$15:$AQ$500,3,0),0)</f>
        <v>0</v>
      </c>
      <c r="L210" s="50">
        <f>IFERROR(VLOOKUP(E210,'BD - E - Mvto Cx'!$AX$15:$AZ$500,3,0),0)</f>
        <v>0</v>
      </c>
      <c r="M210" s="50">
        <f>IFERROR(VLOOKUP(E210,'BD - E - Mvto Cx'!$BJ$15:$BL$500,3,0),0)</f>
        <v>0</v>
      </c>
      <c r="N210" s="50">
        <f>IFERROR(VLOOKUP(E210,'BD - E - Mvto Cx'!$BS$15:$BU$500,3,0),0)</f>
        <v>0</v>
      </c>
      <c r="O210" s="50">
        <f>IFERROR(VLOOKUP(E210,'BD - E - Mvto Cx'!$CB$15:$CD$500,3,0),0)</f>
        <v>0</v>
      </c>
      <c r="P210" s="50">
        <f>IFERROR(VLOOKUP(E210,'BD - E - Mvto Cx'!$CK$15:$CM$500,3,0),0)</f>
        <v>0</v>
      </c>
      <c r="Q210" s="50">
        <f>IFERROR(VLOOKUP(E210,'BD - E - Mvto Cx'!$CT$15:$CV$500,3,0),0)</f>
        <v>0</v>
      </c>
      <c r="R210" s="50">
        <f>IFERROR(VLOOKUP(E210,'BD - E - Mvto Cx'!$DC$15:$DE$500,3,0),0)</f>
        <v>0</v>
      </c>
    </row>
    <row r="211" spans="1:18">
      <c r="A211" s="37"/>
      <c r="B211" t="str">
        <f t="shared" si="8"/>
        <v>S331850</v>
      </c>
      <c r="C211" s="29" t="s">
        <v>261</v>
      </c>
      <c r="D211" s="27" t="s">
        <v>128</v>
      </c>
      <c r="E211" s="7">
        <v>331850</v>
      </c>
      <c r="F211" s="48" t="s">
        <v>185</v>
      </c>
      <c r="G211" s="49">
        <f>IFERROR(VLOOKUP(E211,'BD - E - Mvto Cx'!$E$15:$G$500,3,0),0)</f>
        <v>127994.72</v>
      </c>
      <c r="H211" s="51">
        <f>IFERROR(VLOOKUP(E211,'BD - E - Mvto Cx'!$N$15:$P$500,3,0),0)</f>
        <v>71547.25</v>
      </c>
      <c r="I211" s="50">
        <f>IFERROR(VLOOKUP(E211,'BD - E - Mvto Cx'!$W$15:$Y$497,3,0),0)</f>
        <v>78458.509999999995</v>
      </c>
      <c r="J211" s="50">
        <f>IFERROR(VLOOKUP(E211,'BD - E - Mvto Cx'!$AF$15:$AI$500,3,0),0)</f>
        <v>71122.289999999994</v>
      </c>
      <c r="K211" s="50">
        <f>IFERROR(VLOOKUP(E211,'BD - E - Mvto Cx'!$AO$15:$AQ$500,3,0),0)</f>
        <v>0</v>
      </c>
      <c r="L211" s="50">
        <f>IFERROR(VLOOKUP(E211,'BD - E - Mvto Cx'!$AX$15:$AZ$500,3,0),0)</f>
        <v>0</v>
      </c>
      <c r="M211" s="50">
        <f>IFERROR(VLOOKUP(E211,'BD - E - Mvto Cx'!$BJ$15:$BL$500,3,0),0)</f>
        <v>0</v>
      </c>
      <c r="N211" s="50">
        <f>IFERROR(VLOOKUP(E211,'BD - E - Mvto Cx'!$BS$15:$BU$500,3,0),0)</f>
        <v>0</v>
      </c>
      <c r="O211" s="50">
        <f>IFERROR(VLOOKUP(E211,'BD - E - Mvto Cx'!$CB$15:$CD$500,3,0),0)</f>
        <v>0</v>
      </c>
      <c r="P211" s="50">
        <f>IFERROR(VLOOKUP(E211,'BD - E - Mvto Cx'!$CK$15:$CM$500,3,0),0)</f>
        <v>0</v>
      </c>
      <c r="Q211" s="50">
        <f>IFERROR(VLOOKUP(E211,'BD - E - Mvto Cx'!$CT$15:$CV$500,3,0),0)</f>
        <v>0</v>
      </c>
      <c r="R211" s="50">
        <f>IFERROR(VLOOKUP(E211,'BD - E - Mvto Cx'!$DC$15:$DE$500,3,0),0)</f>
        <v>0</v>
      </c>
    </row>
    <row r="212" spans="1:18">
      <c r="A212" s="37"/>
      <c r="B212" t="str">
        <f t="shared" si="8"/>
        <v>S331851</v>
      </c>
      <c r="C212" s="29" t="s">
        <v>261</v>
      </c>
      <c r="D212" s="27" t="s">
        <v>128</v>
      </c>
      <c r="E212" s="7">
        <v>331851</v>
      </c>
      <c r="F212" s="48" t="s">
        <v>186</v>
      </c>
      <c r="G212" s="49">
        <f>IFERROR(VLOOKUP(E212,'BD - E - Mvto Cx'!$E$15:$G$500,3,0),0)</f>
        <v>13015.47</v>
      </c>
      <c r="H212" s="51">
        <f>IFERROR(VLOOKUP(E212,'BD - E - Mvto Cx'!$N$15:$P$500,3,0),0)</f>
        <v>10129.44</v>
      </c>
      <c r="I212" s="50">
        <f>IFERROR(VLOOKUP(E212,'BD - E - Mvto Cx'!$W$15:$Y$497,3,0),0)</f>
        <v>11558.46</v>
      </c>
      <c r="J212" s="50">
        <f>IFERROR(VLOOKUP(E212,'BD - E - Mvto Cx'!$AF$15:$AI$500,3,0),0)</f>
        <v>10213.219999999999</v>
      </c>
      <c r="K212" s="50">
        <f>IFERROR(VLOOKUP(E212,'BD - E - Mvto Cx'!$AO$15:$AQ$500,3,0),0)</f>
        <v>0</v>
      </c>
      <c r="L212" s="50">
        <f>IFERROR(VLOOKUP(E212,'BD - E - Mvto Cx'!$AX$15:$AZ$500,3,0),0)</f>
        <v>0</v>
      </c>
      <c r="M212" s="50">
        <f>IFERROR(VLOOKUP(E212,'BD - E - Mvto Cx'!$BJ$15:$BL$500,3,0),0)</f>
        <v>0</v>
      </c>
      <c r="N212" s="50">
        <f>IFERROR(VLOOKUP(E212,'BD - E - Mvto Cx'!$BS$15:$BU$500,3,0),0)</f>
        <v>0</v>
      </c>
      <c r="O212" s="50">
        <f>IFERROR(VLOOKUP(E212,'BD - E - Mvto Cx'!$CB$15:$CD$500,3,0),0)</f>
        <v>0</v>
      </c>
      <c r="P212" s="50">
        <f>IFERROR(VLOOKUP(E212,'BD - E - Mvto Cx'!$CK$15:$CM$500,3,0),0)</f>
        <v>0</v>
      </c>
      <c r="Q212" s="50">
        <f>IFERROR(VLOOKUP(E212,'BD - E - Mvto Cx'!$CT$15:$CV$500,3,0),0)</f>
        <v>0</v>
      </c>
      <c r="R212" s="50">
        <f>IFERROR(VLOOKUP(E212,'BD - E - Mvto Cx'!$DC$15:$DE$500,3,0),0)</f>
        <v>0</v>
      </c>
    </row>
    <row r="213" spans="1:18">
      <c r="A213" s="37"/>
      <c r="B213" t="str">
        <f t="shared" si="8"/>
        <v>S331852</v>
      </c>
      <c r="C213" s="29" t="s">
        <v>261</v>
      </c>
      <c r="D213" s="27" t="s">
        <v>128</v>
      </c>
      <c r="E213" s="7">
        <v>331852</v>
      </c>
      <c r="F213" s="48" t="s">
        <v>187</v>
      </c>
      <c r="G213" s="49">
        <f>IFERROR(VLOOKUP(E213,'BD - E - Mvto Cx'!$E$15:$G$500,3,0),0)</f>
        <v>128684.95</v>
      </c>
      <c r="H213" s="51">
        <f>IFERROR(VLOOKUP(E213,'BD - E - Mvto Cx'!$N$15:$P$500,3,0),0)</f>
        <v>70595.070000000007</v>
      </c>
      <c r="I213" s="50">
        <f>IFERROR(VLOOKUP(E213,'BD - E - Mvto Cx'!$W$15:$Y$497,3,0),0)</f>
        <v>80717.05</v>
      </c>
      <c r="J213" s="50">
        <f>IFERROR(VLOOKUP(E213,'BD - E - Mvto Cx'!$AF$15:$AI$500,3,0),0)</f>
        <v>71065.41</v>
      </c>
      <c r="K213" s="50">
        <f>IFERROR(VLOOKUP(E213,'BD - E - Mvto Cx'!$AO$15:$AQ$500,3,0),0)</f>
        <v>0</v>
      </c>
      <c r="L213" s="50">
        <f>IFERROR(VLOOKUP(E213,'BD - E - Mvto Cx'!$AX$15:$AZ$500,3,0),0)</f>
        <v>0</v>
      </c>
      <c r="M213" s="50">
        <f>IFERROR(VLOOKUP(E213,'BD - E - Mvto Cx'!$BJ$15:$BL$500,3,0),0)</f>
        <v>0</v>
      </c>
      <c r="N213" s="50">
        <f>IFERROR(VLOOKUP(E213,'BD - E - Mvto Cx'!$BS$15:$BU$500,3,0),0)</f>
        <v>0</v>
      </c>
      <c r="O213" s="50">
        <f>IFERROR(VLOOKUP(E213,'BD - E - Mvto Cx'!$CB$15:$CD$500,3,0),0)</f>
        <v>0</v>
      </c>
      <c r="P213" s="50">
        <f>IFERROR(VLOOKUP(E213,'BD - E - Mvto Cx'!$CK$15:$CM$500,3,0),0)</f>
        <v>0</v>
      </c>
      <c r="Q213" s="50">
        <f>IFERROR(VLOOKUP(E213,'BD - E - Mvto Cx'!$CT$15:$CV$500,3,0),0)</f>
        <v>0</v>
      </c>
      <c r="R213" s="50">
        <f>IFERROR(VLOOKUP(E213,'BD - E - Mvto Cx'!$DC$15:$DE$500,3,0),0)</f>
        <v>0</v>
      </c>
    </row>
    <row r="214" spans="1:18">
      <c r="A214" s="37"/>
      <c r="B214" t="str">
        <f t="shared" si="8"/>
        <v>S331853</v>
      </c>
      <c r="C214" s="29" t="s">
        <v>261</v>
      </c>
      <c r="D214" s="27" t="s">
        <v>128</v>
      </c>
      <c r="E214" s="7">
        <v>331853</v>
      </c>
      <c r="F214" s="48" t="s">
        <v>188</v>
      </c>
      <c r="G214" s="49">
        <f>IFERROR(VLOOKUP(E214,'BD - E - Mvto Cx'!$E$15:$G$500,3,0),0)</f>
        <v>19350.88</v>
      </c>
      <c r="H214" s="51">
        <f>IFERROR(VLOOKUP(E214,'BD - E - Mvto Cx'!$N$15:$P$500,3,0),0)</f>
        <v>16333.95</v>
      </c>
      <c r="I214" s="50">
        <f>IFERROR(VLOOKUP(E214,'BD - E - Mvto Cx'!$W$15:$Y$497,3,0),0)</f>
        <v>18408.990000000002</v>
      </c>
      <c r="J214" s="50">
        <f>IFERROR(VLOOKUP(E214,'BD - E - Mvto Cx'!$AF$15:$AI$500,3,0),0)</f>
        <v>16875.29</v>
      </c>
      <c r="K214" s="50">
        <f>IFERROR(VLOOKUP(E214,'BD - E - Mvto Cx'!$AO$15:$AQ$500,3,0),0)</f>
        <v>0</v>
      </c>
      <c r="L214" s="50">
        <f>IFERROR(VLOOKUP(E214,'BD - E - Mvto Cx'!$AX$15:$AZ$500,3,0),0)</f>
        <v>0</v>
      </c>
      <c r="M214" s="50">
        <f>IFERROR(VLOOKUP(E214,'BD - E - Mvto Cx'!$BJ$15:$BL$500,3,0),0)</f>
        <v>0</v>
      </c>
      <c r="N214" s="50">
        <f>IFERROR(VLOOKUP(E214,'BD - E - Mvto Cx'!$BS$15:$BU$500,3,0),0)</f>
        <v>0</v>
      </c>
      <c r="O214" s="50">
        <f>IFERROR(VLOOKUP(E214,'BD - E - Mvto Cx'!$CB$15:$CD$500,3,0),0)</f>
        <v>0</v>
      </c>
      <c r="P214" s="50">
        <f>IFERROR(VLOOKUP(E214,'BD - E - Mvto Cx'!$CK$15:$CM$500,3,0),0)</f>
        <v>0</v>
      </c>
      <c r="Q214" s="50">
        <f>IFERROR(VLOOKUP(E214,'BD - E - Mvto Cx'!$CT$15:$CV$500,3,0),0)</f>
        <v>0</v>
      </c>
      <c r="R214" s="50">
        <f>IFERROR(VLOOKUP(E214,'BD - E - Mvto Cx'!$DC$15:$DE$500,3,0),0)</f>
        <v>0</v>
      </c>
    </row>
    <row r="215" spans="1:18">
      <c r="A215" s="37"/>
      <c r="B215" t="str">
        <f t="shared" si="8"/>
        <v>S331854</v>
      </c>
      <c r="C215" s="29" t="s">
        <v>261</v>
      </c>
      <c r="D215" s="27" t="s">
        <v>128</v>
      </c>
      <c r="E215" s="7">
        <v>331854</v>
      </c>
      <c r="F215" s="48" t="s">
        <v>189</v>
      </c>
      <c r="G215" s="49">
        <f>IFERROR(VLOOKUP(E215,'BD - E - Mvto Cx'!$E$15:$G$500,3,0),0)</f>
        <v>0.84</v>
      </c>
      <c r="H215" s="51">
        <f>IFERROR(VLOOKUP(E215,'BD - E - Mvto Cx'!$N$15:$P$500,3,0),0)</f>
        <v>6.87</v>
      </c>
      <c r="I215" s="50">
        <f>IFERROR(VLOOKUP(E215,'BD - E - Mvto Cx'!$W$15:$Y$497,3,0),0)</f>
        <v>0.67</v>
      </c>
      <c r="J215" s="50">
        <f>IFERROR(VLOOKUP(E215,'BD - E - Mvto Cx'!$AF$15:$AI$500,3,0),0)</f>
        <v>4.74</v>
      </c>
      <c r="K215" s="50">
        <f>IFERROR(VLOOKUP(E215,'BD - E - Mvto Cx'!$AO$15:$AQ$500,3,0),0)</f>
        <v>0</v>
      </c>
      <c r="L215" s="50">
        <f>IFERROR(VLOOKUP(E215,'BD - E - Mvto Cx'!$AX$15:$AZ$500,3,0),0)</f>
        <v>0</v>
      </c>
      <c r="M215" s="50">
        <f>IFERROR(VLOOKUP(E215,'BD - E - Mvto Cx'!$BJ$15:$BL$500,3,0),0)</f>
        <v>0</v>
      </c>
      <c r="N215" s="50">
        <f>IFERROR(VLOOKUP(E215,'BD - E - Mvto Cx'!$BS$15:$BU$500,3,0),0)</f>
        <v>0</v>
      </c>
      <c r="O215" s="50">
        <f>IFERROR(VLOOKUP(E215,'BD - E - Mvto Cx'!$CB$15:$CD$500,3,0),0)</f>
        <v>0</v>
      </c>
      <c r="P215" s="50">
        <f>IFERROR(VLOOKUP(E215,'BD - E - Mvto Cx'!$CK$15:$CM$500,3,0),0)</f>
        <v>0</v>
      </c>
      <c r="Q215" s="50">
        <f>IFERROR(VLOOKUP(E215,'BD - E - Mvto Cx'!$CT$15:$CV$500,3,0),0)</f>
        <v>0</v>
      </c>
      <c r="R215" s="50">
        <f>IFERROR(VLOOKUP(E215,'BD - E - Mvto Cx'!$DC$15:$DE$500,3,0),0)</f>
        <v>0</v>
      </c>
    </row>
    <row r="216" spans="1:18">
      <c r="A216" s="37"/>
      <c r="B216" t="str">
        <f t="shared" si="8"/>
        <v>S331855</v>
      </c>
      <c r="C216" s="29" t="s">
        <v>261</v>
      </c>
      <c r="D216" s="27" t="s">
        <v>128</v>
      </c>
      <c r="E216" s="7">
        <v>331855</v>
      </c>
      <c r="F216" s="48" t="s">
        <v>190</v>
      </c>
      <c r="G216" s="49">
        <f>IFERROR(VLOOKUP(E216,'BD - E - Mvto Cx'!$E$15:$G$500,3,0),0)</f>
        <v>9192.9500000000007</v>
      </c>
      <c r="H216" s="51">
        <f>IFERROR(VLOOKUP(E216,'BD - E - Mvto Cx'!$N$15:$P$500,3,0),0)</f>
        <v>4485.01</v>
      </c>
      <c r="I216" s="50">
        <f>IFERROR(VLOOKUP(E216,'BD - E - Mvto Cx'!$W$15:$Y$497,3,0),0)</f>
        <v>4912.2</v>
      </c>
      <c r="J216" s="50">
        <f>IFERROR(VLOOKUP(E216,'BD - E - Mvto Cx'!$AF$15:$AI$500,3,0),0)</f>
        <v>4350.6099999999997</v>
      </c>
      <c r="K216" s="50">
        <f>IFERROR(VLOOKUP(E216,'BD - E - Mvto Cx'!$AO$15:$AQ$500,3,0),0)</f>
        <v>0</v>
      </c>
      <c r="L216" s="50">
        <f>IFERROR(VLOOKUP(E216,'BD - E - Mvto Cx'!$AX$15:$AZ$500,3,0),0)</f>
        <v>0</v>
      </c>
      <c r="M216" s="50">
        <f>IFERROR(VLOOKUP(E216,'BD - E - Mvto Cx'!$BJ$15:$BL$500,3,0),0)</f>
        <v>0</v>
      </c>
      <c r="N216" s="50">
        <f>IFERROR(VLOOKUP(E216,'BD - E - Mvto Cx'!$BS$15:$BU$500,3,0),0)</f>
        <v>0</v>
      </c>
      <c r="O216" s="50">
        <f>IFERROR(VLOOKUP(E216,'BD - E - Mvto Cx'!$CB$15:$CD$500,3,0),0)</f>
        <v>0</v>
      </c>
      <c r="P216" s="50">
        <f>IFERROR(VLOOKUP(E216,'BD - E - Mvto Cx'!$CK$15:$CM$500,3,0),0)</f>
        <v>0</v>
      </c>
      <c r="Q216" s="50">
        <f>IFERROR(VLOOKUP(E216,'BD - E - Mvto Cx'!$CT$15:$CV$500,3,0),0)</f>
        <v>0</v>
      </c>
      <c r="R216" s="50">
        <f>IFERROR(VLOOKUP(E216,'BD - E - Mvto Cx'!$DC$15:$DE$500,3,0),0)</f>
        <v>0</v>
      </c>
    </row>
    <row r="217" spans="1:18">
      <c r="A217" s="37"/>
      <c r="B217" t="str">
        <f t="shared" si="8"/>
        <v>S331859</v>
      </c>
      <c r="C217" s="29" t="s">
        <v>261</v>
      </c>
      <c r="D217" s="27" t="s">
        <v>128</v>
      </c>
      <c r="E217" s="7">
        <v>331859</v>
      </c>
      <c r="F217" s="48" t="s">
        <v>191</v>
      </c>
      <c r="G217" s="49">
        <f>IFERROR(VLOOKUP(E217,'BD - E - Mvto Cx'!$E$15:$G$500,3,0),0)</f>
        <v>14873.83</v>
      </c>
      <c r="H217" s="51">
        <f>IFERROR(VLOOKUP(E217,'BD - E - Mvto Cx'!$N$15:$P$500,3,0),0)</f>
        <v>6928.32</v>
      </c>
      <c r="I217" s="50">
        <f>IFERROR(VLOOKUP(E217,'BD - E - Mvto Cx'!$W$15:$Y$497,3,0),0)</f>
        <v>8115.59</v>
      </c>
      <c r="J217" s="50">
        <f>IFERROR(VLOOKUP(E217,'BD - E - Mvto Cx'!$AF$15:$AI$500,3,0),0)</f>
        <v>7224.4</v>
      </c>
      <c r="K217" s="50">
        <f>IFERROR(VLOOKUP(E217,'BD - E - Mvto Cx'!$AO$15:$AQ$500,3,0),0)</f>
        <v>0</v>
      </c>
      <c r="L217" s="50">
        <f>IFERROR(VLOOKUP(E217,'BD - E - Mvto Cx'!$AX$15:$AZ$500,3,0),0)</f>
        <v>0</v>
      </c>
      <c r="M217" s="50">
        <f>IFERROR(VLOOKUP(E217,'BD - E - Mvto Cx'!$BJ$15:$BL$500,3,0),0)</f>
        <v>0</v>
      </c>
      <c r="N217" s="50">
        <f>IFERROR(VLOOKUP(E217,'BD - E - Mvto Cx'!$BS$15:$BU$500,3,0),0)</f>
        <v>0</v>
      </c>
      <c r="O217" s="50">
        <f>IFERROR(VLOOKUP(E217,'BD - E - Mvto Cx'!$CB$15:$CD$500,3,0),0)</f>
        <v>0</v>
      </c>
      <c r="P217" s="50">
        <f>IFERROR(VLOOKUP(E217,'BD - E - Mvto Cx'!$CK$15:$CM$500,3,0),0)</f>
        <v>0</v>
      </c>
      <c r="Q217" s="50">
        <f>IFERROR(VLOOKUP(E217,'BD - E - Mvto Cx'!$CT$15:$CV$500,3,0),0)</f>
        <v>0</v>
      </c>
      <c r="R217" s="50">
        <f>IFERROR(VLOOKUP(E217,'BD - E - Mvto Cx'!$DC$15:$DE$500,3,0),0)</f>
        <v>0</v>
      </c>
    </row>
    <row r="218" spans="1:18">
      <c r="A218" s="37"/>
      <c r="B218" t="str">
        <f t="shared" si="8"/>
        <v>S331860</v>
      </c>
      <c r="C218" s="29" t="s">
        <v>261</v>
      </c>
      <c r="D218" s="27" t="s">
        <v>128</v>
      </c>
      <c r="E218" s="7">
        <v>331860</v>
      </c>
      <c r="F218" s="48" t="s">
        <v>192</v>
      </c>
      <c r="G218" s="49">
        <f>IFERROR(VLOOKUP(E218,'BD - E - Mvto Cx'!$E$15:$G$500,3,0),0)</f>
        <v>3215.67</v>
      </c>
      <c r="H218" s="51">
        <f>IFERROR(VLOOKUP(E218,'BD - E - Mvto Cx'!$N$15:$P$500,3,0),0)</f>
        <v>2640.21</v>
      </c>
      <c r="I218" s="50">
        <f>IFERROR(VLOOKUP(E218,'BD - E - Mvto Cx'!$W$15:$Y$497,3,0),0)</f>
        <v>3047.25</v>
      </c>
      <c r="J218" s="50">
        <f>IFERROR(VLOOKUP(E218,'BD - E - Mvto Cx'!$AF$15:$AI$500,3,0),0)</f>
        <v>2690.69</v>
      </c>
      <c r="K218" s="50">
        <f>IFERROR(VLOOKUP(E218,'BD - E - Mvto Cx'!$AO$15:$AQ$500,3,0),0)</f>
        <v>0</v>
      </c>
      <c r="L218" s="50">
        <f>IFERROR(VLOOKUP(E218,'BD - E - Mvto Cx'!$AX$15:$AZ$500,3,0),0)</f>
        <v>0</v>
      </c>
      <c r="M218" s="50">
        <f>IFERROR(VLOOKUP(E218,'BD - E - Mvto Cx'!$BJ$15:$BL$500,3,0),0)</f>
        <v>0</v>
      </c>
      <c r="N218" s="50">
        <f>IFERROR(VLOOKUP(E218,'BD - E - Mvto Cx'!$BS$15:$BU$500,3,0),0)</f>
        <v>0</v>
      </c>
      <c r="O218" s="50">
        <f>IFERROR(VLOOKUP(E218,'BD - E - Mvto Cx'!$CB$15:$CD$500,3,0),0)</f>
        <v>0</v>
      </c>
      <c r="P218" s="50">
        <f>IFERROR(VLOOKUP(E218,'BD - E - Mvto Cx'!$CK$15:$CM$500,3,0),0)</f>
        <v>0</v>
      </c>
      <c r="Q218" s="50">
        <f>IFERROR(VLOOKUP(E218,'BD - E - Mvto Cx'!$CT$15:$CV$500,3,0),0)</f>
        <v>0</v>
      </c>
      <c r="R218" s="50">
        <f>IFERROR(VLOOKUP(E218,'BD - E - Mvto Cx'!$DC$15:$DE$500,3,0),0)</f>
        <v>0</v>
      </c>
    </row>
    <row r="219" spans="1:18">
      <c r="A219" s="37"/>
      <c r="B219" t="str">
        <f t="shared" si="8"/>
        <v>S331861</v>
      </c>
      <c r="C219" s="29" t="s">
        <v>261</v>
      </c>
      <c r="D219" s="27" t="s">
        <v>128</v>
      </c>
      <c r="E219" s="7">
        <v>331861</v>
      </c>
      <c r="F219" s="48" t="s">
        <v>193</v>
      </c>
      <c r="G219" s="49">
        <f>IFERROR(VLOOKUP(E219,'BD - E - Mvto Cx'!$E$15:$G$500,3,0),0)</f>
        <v>0</v>
      </c>
      <c r="H219" s="51">
        <f>IFERROR(VLOOKUP(E219,'BD - E - Mvto Cx'!$N$15:$P$500,3,0),0)</f>
        <v>0</v>
      </c>
      <c r="I219" s="50">
        <f>IFERROR(VLOOKUP(E219,'BD - E - Mvto Cx'!$W$15:$Y$497,3,0),0)</f>
        <v>0</v>
      </c>
      <c r="J219" s="50">
        <f>IFERROR(VLOOKUP(E219,'BD - E - Mvto Cx'!$AF$15:$AI$500,3,0),0)</f>
        <v>0</v>
      </c>
      <c r="K219" s="50">
        <f>IFERROR(VLOOKUP(E219,'BD - E - Mvto Cx'!$AO$15:$AQ$500,3,0),0)</f>
        <v>0</v>
      </c>
      <c r="L219" s="50">
        <f>IFERROR(VLOOKUP(E219,'BD - E - Mvto Cx'!$AX$15:$AZ$500,3,0),0)</f>
        <v>0</v>
      </c>
      <c r="M219" s="50">
        <f>IFERROR(VLOOKUP(E219,'BD - E - Mvto Cx'!$BJ$15:$BL$500,3,0),0)</f>
        <v>0</v>
      </c>
      <c r="N219" s="50">
        <f>IFERROR(VLOOKUP(E219,'BD - E - Mvto Cx'!$BS$15:$BU$500,3,0),0)</f>
        <v>0</v>
      </c>
      <c r="O219" s="50">
        <f>IFERROR(VLOOKUP(E219,'BD - E - Mvto Cx'!$CB$15:$CD$500,3,0),0)</f>
        <v>0</v>
      </c>
      <c r="P219" s="50">
        <f>IFERROR(VLOOKUP(E219,'BD - E - Mvto Cx'!$CK$15:$CM$500,3,0),0)</f>
        <v>0</v>
      </c>
      <c r="Q219" s="50">
        <f>IFERROR(VLOOKUP(E219,'BD - E - Mvto Cx'!$CT$15:$CV$500,3,0),0)</f>
        <v>0</v>
      </c>
      <c r="R219" s="50">
        <f>IFERROR(VLOOKUP(E219,'BD - E - Mvto Cx'!$DC$15:$DE$500,3,0),0)</f>
        <v>0</v>
      </c>
    </row>
    <row r="220" spans="1:18">
      <c r="A220" s="37"/>
      <c r="B220" t="str">
        <f t="shared" si="8"/>
        <v>S331862</v>
      </c>
      <c r="C220" s="29" t="s">
        <v>261</v>
      </c>
      <c r="D220" s="27" t="s">
        <v>128</v>
      </c>
      <c r="E220" s="7">
        <v>331862</v>
      </c>
      <c r="F220" s="48" t="s">
        <v>194</v>
      </c>
      <c r="G220" s="49">
        <f>IFERROR(VLOOKUP(E220,'BD - E - Mvto Cx'!$E$15:$G$500,3,0),0)</f>
        <v>10972.56</v>
      </c>
      <c r="H220" s="51">
        <f>IFERROR(VLOOKUP(E220,'BD - E - Mvto Cx'!$N$15:$P$500,3,0),0)</f>
        <v>6369.94</v>
      </c>
      <c r="I220" s="50">
        <f>IFERROR(VLOOKUP(E220,'BD - E - Mvto Cx'!$W$15:$Y$497,3,0),0)</f>
        <v>7521.88</v>
      </c>
      <c r="J220" s="50">
        <f>IFERROR(VLOOKUP(E220,'BD - E - Mvto Cx'!$AF$15:$AI$500,3,0),0)</f>
        <v>5857.83</v>
      </c>
      <c r="K220" s="50">
        <f>IFERROR(VLOOKUP(E220,'BD - E - Mvto Cx'!$AO$15:$AQ$500,3,0),0)</f>
        <v>0</v>
      </c>
      <c r="L220" s="50">
        <f>IFERROR(VLOOKUP(E220,'BD - E - Mvto Cx'!$AX$15:$AZ$500,3,0),0)</f>
        <v>0</v>
      </c>
      <c r="M220" s="50">
        <f>IFERROR(VLOOKUP(E220,'BD - E - Mvto Cx'!$BJ$15:$BL$500,3,0),0)</f>
        <v>0</v>
      </c>
      <c r="N220" s="50">
        <f>IFERROR(VLOOKUP(E220,'BD - E - Mvto Cx'!$BS$15:$BU$500,3,0),0)</f>
        <v>0</v>
      </c>
      <c r="O220" s="50">
        <f>IFERROR(VLOOKUP(E220,'BD - E - Mvto Cx'!$CB$15:$CD$500,3,0),0)</f>
        <v>0</v>
      </c>
      <c r="P220" s="50">
        <f>IFERROR(VLOOKUP(E220,'BD - E - Mvto Cx'!$CK$15:$CM$500,3,0),0)</f>
        <v>0</v>
      </c>
      <c r="Q220" s="50">
        <f>IFERROR(VLOOKUP(E220,'BD - E - Mvto Cx'!$CT$15:$CV$500,3,0),0)</f>
        <v>0</v>
      </c>
      <c r="R220" s="50">
        <f>IFERROR(VLOOKUP(E220,'BD - E - Mvto Cx'!$DC$15:$DE$500,3,0),0)</f>
        <v>0</v>
      </c>
    </row>
    <row r="221" spans="1:18">
      <c r="A221" s="37"/>
      <c r="B221" t="str">
        <f t="shared" si="8"/>
        <v>S331863</v>
      </c>
      <c r="C221" s="29" t="s">
        <v>261</v>
      </c>
      <c r="D221" s="27" t="s">
        <v>128</v>
      </c>
      <c r="E221" s="7">
        <v>331863</v>
      </c>
      <c r="F221" s="48" t="s">
        <v>195</v>
      </c>
      <c r="G221" s="49">
        <f>IFERROR(VLOOKUP(E221,'BD - E - Mvto Cx'!$E$15:$G$500,3,0),0)</f>
        <v>2776.47</v>
      </c>
      <c r="H221" s="51">
        <f>IFERROR(VLOOKUP(E221,'BD - E - Mvto Cx'!$N$15:$P$500,3,0),0)</f>
        <v>1858.13</v>
      </c>
      <c r="I221" s="50">
        <f>IFERROR(VLOOKUP(E221,'BD - E - Mvto Cx'!$W$15:$Y$497,3,0),0)</f>
        <v>2456.4</v>
      </c>
      <c r="J221" s="50">
        <f>IFERROR(VLOOKUP(E221,'BD - E - Mvto Cx'!$AF$15:$AI$500,3,0),0)</f>
        <v>1591.97</v>
      </c>
      <c r="K221" s="50">
        <f>IFERROR(VLOOKUP(E221,'BD - E - Mvto Cx'!$AO$15:$AQ$500,3,0),0)</f>
        <v>0</v>
      </c>
      <c r="L221" s="50">
        <f>IFERROR(VLOOKUP(E221,'BD - E - Mvto Cx'!$AX$15:$AZ$500,3,0),0)</f>
        <v>0</v>
      </c>
      <c r="M221" s="50">
        <f>IFERROR(VLOOKUP(E221,'BD - E - Mvto Cx'!$BJ$15:$BL$500,3,0),0)</f>
        <v>0</v>
      </c>
      <c r="N221" s="50">
        <f>IFERROR(VLOOKUP(E221,'BD - E - Mvto Cx'!$BS$15:$BU$500,3,0),0)</f>
        <v>0</v>
      </c>
      <c r="O221" s="50">
        <f>IFERROR(VLOOKUP(E221,'BD - E - Mvto Cx'!$CB$15:$CD$500,3,0),0)</f>
        <v>0</v>
      </c>
      <c r="P221" s="50">
        <f>IFERROR(VLOOKUP(E221,'BD - E - Mvto Cx'!$CK$15:$CM$500,3,0),0)</f>
        <v>0</v>
      </c>
      <c r="Q221" s="50">
        <f>IFERROR(VLOOKUP(E221,'BD - E - Mvto Cx'!$CT$15:$CV$500,3,0),0)</f>
        <v>0</v>
      </c>
      <c r="R221" s="50">
        <f>IFERROR(VLOOKUP(E221,'BD - E - Mvto Cx'!$DC$15:$DE$500,3,0),0)</f>
        <v>0</v>
      </c>
    </row>
    <row r="222" spans="1:18">
      <c r="A222" s="37"/>
      <c r="B222" t="str">
        <f t="shared" si="8"/>
        <v>S331864</v>
      </c>
      <c r="C222" s="29" t="s">
        <v>261</v>
      </c>
      <c r="D222" s="27" t="s">
        <v>128</v>
      </c>
      <c r="E222" s="7">
        <v>331864</v>
      </c>
      <c r="F222" s="48" t="s">
        <v>196</v>
      </c>
      <c r="G222" s="49">
        <f>IFERROR(VLOOKUP(E222,'BD - E - Mvto Cx'!$E$15:$G$500,3,0),0)</f>
        <v>19714.29</v>
      </c>
      <c r="H222" s="51">
        <f>IFERROR(VLOOKUP(E222,'BD - E - Mvto Cx'!$N$15:$P$500,3,0),0)</f>
        <v>11354.31</v>
      </c>
      <c r="I222" s="50">
        <f>IFERROR(VLOOKUP(E222,'BD - E - Mvto Cx'!$W$15:$Y$497,3,0),0)</f>
        <v>17864.64</v>
      </c>
      <c r="J222" s="50">
        <f>IFERROR(VLOOKUP(E222,'BD - E - Mvto Cx'!$AF$15:$AI$500,3,0),0)</f>
        <v>10030.94</v>
      </c>
      <c r="K222" s="50">
        <f>IFERROR(VLOOKUP(E222,'BD - E - Mvto Cx'!$AO$15:$AQ$500,3,0),0)</f>
        <v>0</v>
      </c>
      <c r="L222" s="50">
        <f>IFERROR(VLOOKUP(E222,'BD - E - Mvto Cx'!$AX$15:$AZ$500,3,0),0)</f>
        <v>0</v>
      </c>
      <c r="M222" s="50">
        <f>IFERROR(VLOOKUP(E222,'BD - E - Mvto Cx'!$BJ$15:$BL$500,3,0),0)</f>
        <v>0</v>
      </c>
      <c r="N222" s="50">
        <f>IFERROR(VLOOKUP(E222,'BD - E - Mvto Cx'!$BS$15:$BU$500,3,0),0)</f>
        <v>0</v>
      </c>
      <c r="O222" s="50">
        <f>IFERROR(VLOOKUP(E222,'BD - E - Mvto Cx'!$CB$15:$CD$500,3,0),0)</f>
        <v>0</v>
      </c>
      <c r="P222" s="50">
        <f>IFERROR(VLOOKUP(E222,'BD - E - Mvto Cx'!$CK$15:$CM$500,3,0),0)</f>
        <v>0</v>
      </c>
      <c r="Q222" s="50">
        <f>IFERROR(VLOOKUP(E222,'BD - E - Mvto Cx'!$CT$15:$CV$500,3,0),0)</f>
        <v>0</v>
      </c>
      <c r="R222" s="50">
        <f>IFERROR(VLOOKUP(E222,'BD - E - Mvto Cx'!$DC$15:$DE$500,3,0),0)</f>
        <v>0</v>
      </c>
    </row>
    <row r="223" spans="1:18">
      <c r="A223" s="37"/>
      <c r="B223" t="str">
        <f t="shared" si="8"/>
        <v>S331866</v>
      </c>
      <c r="C223" s="29" t="s">
        <v>261</v>
      </c>
      <c r="D223" s="27" t="s">
        <v>128</v>
      </c>
      <c r="E223" s="7">
        <v>331866</v>
      </c>
      <c r="F223" s="48" t="s">
        <v>197</v>
      </c>
      <c r="G223" s="49">
        <f>IFERROR(VLOOKUP(E223,'BD - E - Mvto Cx'!$E$15:$G$500,3,0),0)</f>
        <v>11217.92</v>
      </c>
      <c r="H223" s="51">
        <f>IFERROR(VLOOKUP(E223,'BD - E - Mvto Cx'!$N$15:$P$500,3,0),0)</f>
        <v>8025.94</v>
      </c>
      <c r="I223" s="50">
        <f>IFERROR(VLOOKUP(E223,'BD - E - Mvto Cx'!$W$15:$Y$497,3,0),0)</f>
        <v>8982.41</v>
      </c>
      <c r="J223" s="50">
        <f>IFERROR(VLOOKUP(E223,'BD - E - Mvto Cx'!$AF$15:$AI$500,3,0),0)</f>
        <v>8070</v>
      </c>
      <c r="K223" s="50">
        <f>IFERROR(VLOOKUP(E223,'BD - E - Mvto Cx'!$AO$15:$AQ$500,3,0),0)</f>
        <v>0</v>
      </c>
      <c r="L223" s="50">
        <f>IFERROR(VLOOKUP(E223,'BD - E - Mvto Cx'!$AX$15:$AZ$500,3,0),0)</f>
        <v>0</v>
      </c>
      <c r="M223" s="50">
        <f>IFERROR(VLOOKUP(E223,'BD - E - Mvto Cx'!$BJ$15:$BL$500,3,0),0)</f>
        <v>0</v>
      </c>
      <c r="N223" s="50">
        <f>IFERROR(VLOOKUP(E223,'BD - E - Mvto Cx'!$BS$15:$BU$500,3,0),0)</f>
        <v>0</v>
      </c>
      <c r="O223" s="50">
        <f>IFERROR(VLOOKUP(E223,'BD - E - Mvto Cx'!$CB$15:$CD$500,3,0),0)</f>
        <v>0</v>
      </c>
      <c r="P223" s="50">
        <f>IFERROR(VLOOKUP(E223,'BD - E - Mvto Cx'!$CK$15:$CM$500,3,0),0)</f>
        <v>0</v>
      </c>
      <c r="Q223" s="50">
        <f>IFERROR(VLOOKUP(E223,'BD - E - Mvto Cx'!$CT$15:$CV$500,3,0),0)</f>
        <v>0</v>
      </c>
      <c r="R223" s="50">
        <f>IFERROR(VLOOKUP(E223,'BD - E - Mvto Cx'!$DC$15:$DE$500,3,0),0)</f>
        <v>0</v>
      </c>
    </row>
    <row r="224" spans="1:18">
      <c r="A224" s="37"/>
      <c r="B224" t="str">
        <f t="shared" si="8"/>
        <v>S331867</v>
      </c>
      <c r="C224" s="29" t="s">
        <v>261</v>
      </c>
      <c r="D224" s="27" t="s">
        <v>128</v>
      </c>
      <c r="E224" s="7">
        <v>331867</v>
      </c>
      <c r="F224" s="48" t="s">
        <v>198</v>
      </c>
      <c r="G224" s="49">
        <f>IFERROR(VLOOKUP(E224,'BD - E - Mvto Cx'!$E$15:$G$500,3,0),0)</f>
        <v>8905.7900000000009</v>
      </c>
      <c r="H224" s="51">
        <f>IFERROR(VLOOKUP(E224,'BD - E - Mvto Cx'!$N$15:$P$500,3,0),0)</f>
        <v>5138.67</v>
      </c>
      <c r="I224" s="50">
        <f>IFERROR(VLOOKUP(E224,'BD - E - Mvto Cx'!$W$15:$Y$497,3,0),0)</f>
        <v>7669.97</v>
      </c>
      <c r="J224" s="50">
        <f>IFERROR(VLOOKUP(E224,'BD - E - Mvto Cx'!$AF$15:$AI$500,3,0),0)</f>
        <v>5860.66</v>
      </c>
      <c r="K224" s="50">
        <f>IFERROR(VLOOKUP(E224,'BD - E - Mvto Cx'!$AO$15:$AQ$500,3,0),0)</f>
        <v>0</v>
      </c>
      <c r="L224" s="50">
        <f>IFERROR(VLOOKUP(E224,'BD - E - Mvto Cx'!$AX$15:$AZ$500,3,0),0)</f>
        <v>0</v>
      </c>
      <c r="M224" s="50">
        <f>IFERROR(VLOOKUP(E224,'BD - E - Mvto Cx'!$BJ$15:$BL$500,3,0),0)</f>
        <v>0</v>
      </c>
      <c r="N224" s="50">
        <f>IFERROR(VLOOKUP(E224,'BD - E - Mvto Cx'!$BS$15:$BU$500,3,0),0)</f>
        <v>0</v>
      </c>
      <c r="O224" s="50">
        <f>IFERROR(VLOOKUP(E224,'BD - E - Mvto Cx'!$CB$15:$CD$500,3,0),0)</f>
        <v>0</v>
      </c>
      <c r="P224" s="50">
        <f>IFERROR(VLOOKUP(E224,'BD - E - Mvto Cx'!$CK$15:$CM$500,3,0),0)</f>
        <v>0</v>
      </c>
      <c r="Q224" s="50">
        <f>IFERROR(VLOOKUP(E224,'BD - E - Mvto Cx'!$CT$15:$CV$500,3,0),0)</f>
        <v>0</v>
      </c>
      <c r="R224" s="50">
        <f>IFERROR(VLOOKUP(E224,'BD - E - Mvto Cx'!$DC$15:$DE$500,3,0),0)</f>
        <v>0</v>
      </c>
    </row>
    <row r="225" spans="1:18">
      <c r="A225" s="37"/>
      <c r="B225" t="str">
        <f t="shared" si="8"/>
        <v>S331868</v>
      </c>
      <c r="C225" s="29" t="s">
        <v>261</v>
      </c>
      <c r="D225" s="27" t="s">
        <v>128</v>
      </c>
      <c r="E225" s="7">
        <v>331868</v>
      </c>
      <c r="F225" s="48" t="s">
        <v>855</v>
      </c>
      <c r="G225" s="49">
        <f>IFERROR(VLOOKUP(E225,'BD - E - Mvto Cx'!$E$15:$G$500,3,0),0)</f>
        <v>1.26</v>
      </c>
      <c r="H225" s="51">
        <f>IFERROR(VLOOKUP(E225,'BD - E - Mvto Cx'!$N$15:$P$500,3,0),0)</f>
        <v>12.98</v>
      </c>
      <c r="I225" s="50">
        <f>IFERROR(VLOOKUP(E225,'BD - E - Mvto Cx'!$W$15:$Y$497,3,0),0)</f>
        <v>54.24</v>
      </c>
      <c r="J225" s="50">
        <f>IFERROR(VLOOKUP(E225,'BD - E - Mvto Cx'!$AF$15:$AI$500,3,0),0)</f>
        <v>57.02</v>
      </c>
      <c r="K225" s="50">
        <f>IFERROR(VLOOKUP(E225,'BD - E - Mvto Cx'!$AO$15:$AQ$500,3,0),0)</f>
        <v>0</v>
      </c>
      <c r="L225" s="50">
        <f>IFERROR(VLOOKUP(E225,'BD - E - Mvto Cx'!$AX$15:$AZ$500,3,0),0)</f>
        <v>0</v>
      </c>
      <c r="M225" s="50">
        <f>IFERROR(VLOOKUP(E225,'BD - E - Mvto Cx'!$BJ$15:$BL$500,3,0),0)</f>
        <v>0</v>
      </c>
      <c r="N225" s="50">
        <f>IFERROR(VLOOKUP(E225,'BD - E - Mvto Cx'!$BS$15:$BU$500,3,0),0)</f>
        <v>0</v>
      </c>
      <c r="O225" s="50">
        <f>IFERROR(VLOOKUP(E225,'BD - E - Mvto Cx'!$CB$15:$CD$500,3,0),0)</f>
        <v>0</v>
      </c>
      <c r="P225" s="50">
        <f>IFERROR(VLOOKUP(E225,'BD - E - Mvto Cx'!$CK$15:$CM$500,3,0),0)</f>
        <v>0</v>
      </c>
      <c r="Q225" s="50">
        <f>IFERROR(VLOOKUP(E225,'BD - E - Mvto Cx'!$CT$15:$CV$500,3,0),0)</f>
        <v>0</v>
      </c>
      <c r="R225" s="50">
        <f>IFERROR(VLOOKUP(E225,'BD - E - Mvto Cx'!$DC$15:$DE$500,3,0),0)</f>
        <v>0</v>
      </c>
    </row>
    <row r="226" spans="1:18">
      <c r="A226" s="37"/>
      <c r="B226" t="str">
        <f t="shared" si="8"/>
        <v>S331871</v>
      </c>
      <c r="C226" s="29" t="s">
        <v>261</v>
      </c>
      <c r="D226" s="27" t="s">
        <v>128</v>
      </c>
      <c r="E226" s="7">
        <v>331871</v>
      </c>
      <c r="F226" s="48" t="s">
        <v>199</v>
      </c>
      <c r="G226" s="49">
        <f>IFERROR(VLOOKUP(E226,'BD - E - Mvto Cx'!$E$15:$G$500,3,0),0)</f>
        <v>0</v>
      </c>
      <c r="H226" s="51">
        <f>IFERROR(VLOOKUP(E226,'BD - E - Mvto Cx'!$N$15:$P$500,3,0),0)</f>
        <v>0</v>
      </c>
      <c r="I226" s="50">
        <f>IFERROR(VLOOKUP(E226,'BD - E - Mvto Cx'!$W$15:$Y$497,3,0),0)</f>
        <v>0</v>
      </c>
      <c r="J226" s="50">
        <f>IFERROR(VLOOKUP(E226,'BD - E - Mvto Cx'!$AF$15:$AI$500,3,0),0)</f>
        <v>0</v>
      </c>
      <c r="K226" s="50">
        <f>IFERROR(VLOOKUP(E226,'BD - E - Mvto Cx'!$AO$15:$AQ$500,3,0),0)</f>
        <v>0</v>
      </c>
      <c r="L226" s="50">
        <f>IFERROR(VLOOKUP(E226,'BD - E - Mvto Cx'!$AX$15:$AZ$500,3,0),0)</f>
        <v>0</v>
      </c>
      <c r="M226" s="50">
        <f>IFERROR(VLOOKUP(E226,'BD - E - Mvto Cx'!$BJ$15:$BL$500,3,0),0)</f>
        <v>0</v>
      </c>
      <c r="N226" s="50">
        <f>IFERROR(VLOOKUP(E226,'BD - E - Mvto Cx'!$BS$15:$BU$500,3,0),0)</f>
        <v>0</v>
      </c>
      <c r="O226" s="50">
        <f>IFERROR(VLOOKUP(E226,'BD - E - Mvto Cx'!$CB$15:$CD$500,3,0),0)</f>
        <v>0</v>
      </c>
      <c r="P226" s="50">
        <f>IFERROR(VLOOKUP(E226,'BD - E - Mvto Cx'!$CK$15:$CM$500,3,0),0)</f>
        <v>0</v>
      </c>
      <c r="Q226" s="50">
        <f>IFERROR(VLOOKUP(E226,'BD - E - Mvto Cx'!$CT$15:$CV$500,3,0),0)</f>
        <v>0</v>
      </c>
      <c r="R226" s="50">
        <f>IFERROR(VLOOKUP(E226,'BD - E - Mvto Cx'!$DC$15:$DE$500,3,0),0)</f>
        <v>0</v>
      </c>
    </row>
    <row r="227" spans="1:18">
      <c r="A227" s="37"/>
      <c r="B227" t="str">
        <f t="shared" si="8"/>
        <v>S331873</v>
      </c>
      <c r="C227" s="29" t="s">
        <v>261</v>
      </c>
      <c r="D227" s="27" t="s">
        <v>128</v>
      </c>
      <c r="E227" s="7">
        <v>331873</v>
      </c>
      <c r="F227" s="48" t="s">
        <v>200</v>
      </c>
      <c r="G227" s="49">
        <f>IFERROR(VLOOKUP(E227,'BD - E - Mvto Cx'!$E$15:$G$500,3,0),0)</f>
        <v>0</v>
      </c>
      <c r="H227" s="51">
        <f>IFERROR(VLOOKUP(E227,'BD - E - Mvto Cx'!$N$15:$P$500,3,0),0)</f>
        <v>0</v>
      </c>
      <c r="I227" s="50">
        <f>IFERROR(VLOOKUP(E227,'BD - E - Mvto Cx'!$W$15:$Y$497,3,0),0)</f>
        <v>0</v>
      </c>
      <c r="J227" s="50">
        <f>IFERROR(VLOOKUP(E227,'BD - E - Mvto Cx'!$AF$15:$AI$500,3,0),0)</f>
        <v>0</v>
      </c>
      <c r="K227" s="50">
        <f>IFERROR(VLOOKUP(E227,'BD - E - Mvto Cx'!$AO$15:$AQ$500,3,0),0)</f>
        <v>0</v>
      </c>
      <c r="L227" s="50">
        <f>IFERROR(VLOOKUP(E227,'BD - E - Mvto Cx'!$AX$15:$AZ$500,3,0),0)</f>
        <v>0</v>
      </c>
      <c r="M227" s="50">
        <f>IFERROR(VLOOKUP(E227,'BD - E - Mvto Cx'!$BJ$15:$BL$500,3,0),0)</f>
        <v>0</v>
      </c>
      <c r="N227" s="50">
        <f>IFERROR(VLOOKUP(E227,'BD - E - Mvto Cx'!$BS$15:$BU$500,3,0),0)</f>
        <v>0</v>
      </c>
      <c r="O227" s="50">
        <f>IFERROR(VLOOKUP(E227,'BD - E - Mvto Cx'!$CB$15:$CD$500,3,0),0)</f>
        <v>0</v>
      </c>
      <c r="P227" s="50">
        <f>IFERROR(VLOOKUP(E227,'BD - E - Mvto Cx'!$CK$15:$CM$500,3,0),0)</f>
        <v>0</v>
      </c>
      <c r="Q227" s="50">
        <f>IFERROR(VLOOKUP(E227,'BD - E - Mvto Cx'!$CT$15:$CV$500,3,0),0)</f>
        <v>0</v>
      </c>
      <c r="R227" s="50">
        <f>IFERROR(VLOOKUP(E227,'BD - E - Mvto Cx'!$DC$15:$DE$500,3,0),0)</f>
        <v>0</v>
      </c>
    </row>
    <row r="228" spans="1:18">
      <c r="A228" s="37"/>
      <c r="B228" t="str">
        <f t="shared" si="8"/>
        <v>S331874</v>
      </c>
      <c r="C228" s="29" t="s">
        <v>261</v>
      </c>
      <c r="D228" s="27" t="s">
        <v>128</v>
      </c>
      <c r="E228" s="7">
        <v>331874</v>
      </c>
      <c r="F228" s="48" t="s">
        <v>201</v>
      </c>
      <c r="G228" s="49">
        <f>IFERROR(VLOOKUP(E228,'BD - E - Mvto Cx'!$E$15:$G$500,3,0),0)</f>
        <v>124.3</v>
      </c>
      <c r="H228" s="51">
        <f>IFERROR(VLOOKUP(E228,'BD - E - Mvto Cx'!$N$15:$P$500,3,0),0)</f>
        <v>97.1</v>
      </c>
      <c r="I228" s="50">
        <f>IFERROR(VLOOKUP(E228,'BD - E - Mvto Cx'!$W$15:$Y$497,3,0),0)</f>
        <v>234.33</v>
      </c>
      <c r="J228" s="50">
        <f>IFERROR(VLOOKUP(E228,'BD - E - Mvto Cx'!$AF$15:$AI$500,3,0),0)</f>
        <v>256.33</v>
      </c>
      <c r="K228" s="50">
        <f>IFERROR(VLOOKUP(E228,'BD - E - Mvto Cx'!$AO$15:$AQ$500,3,0),0)</f>
        <v>0</v>
      </c>
      <c r="L228" s="50">
        <f>IFERROR(VLOOKUP(E228,'BD - E - Mvto Cx'!$AX$15:$AZ$500,3,0),0)</f>
        <v>0</v>
      </c>
      <c r="M228" s="50">
        <f>IFERROR(VLOOKUP(E228,'BD - E - Mvto Cx'!$BJ$15:$BL$500,3,0),0)</f>
        <v>0</v>
      </c>
      <c r="N228" s="50">
        <f>IFERROR(VLOOKUP(E228,'BD - E - Mvto Cx'!$BS$15:$BU$500,3,0),0)</f>
        <v>0</v>
      </c>
      <c r="O228" s="50">
        <f>IFERROR(VLOOKUP(E228,'BD - E - Mvto Cx'!$CB$15:$CD$500,3,0),0)</f>
        <v>0</v>
      </c>
      <c r="P228" s="50">
        <f>IFERROR(VLOOKUP(E228,'BD - E - Mvto Cx'!$CK$15:$CM$500,3,0),0)</f>
        <v>0</v>
      </c>
      <c r="Q228" s="50">
        <f>IFERROR(VLOOKUP(E228,'BD - E - Mvto Cx'!$CT$15:$CV$500,3,0),0)</f>
        <v>0</v>
      </c>
      <c r="R228" s="50">
        <f>IFERROR(VLOOKUP(E228,'BD - E - Mvto Cx'!$DC$15:$DE$500,3,0),0)</f>
        <v>0</v>
      </c>
    </row>
    <row r="229" spans="1:18">
      <c r="A229" s="37"/>
      <c r="B229" t="str">
        <f t="shared" si="8"/>
        <v>S331875</v>
      </c>
      <c r="C229" s="29" t="s">
        <v>261</v>
      </c>
      <c r="D229" s="27" t="s">
        <v>128</v>
      </c>
      <c r="E229" s="7">
        <v>331875</v>
      </c>
      <c r="F229" s="48" t="s">
        <v>202</v>
      </c>
      <c r="G229" s="49">
        <f>IFERROR(VLOOKUP(E229,'BD - E - Mvto Cx'!$E$15:$G$500,3,0),0)</f>
        <v>0</v>
      </c>
      <c r="H229" s="51">
        <f>IFERROR(VLOOKUP(E229,'BD - E - Mvto Cx'!$N$15:$P$500,3,0),0)</f>
        <v>9.9600000000000009</v>
      </c>
      <c r="I229" s="50">
        <f>IFERROR(VLOOKUP(E229,'BD - E - Mvto Cx'!$W$15:$Y$497,3,0),0)</f>
        <v>10.24</v>
      </c>
      <c r="J229" s="50">
        <f>IFERROR(VLOOKUP(E229,'BD - E - Mvto Cx'!$AF$15:$AI$500,3,0),0)</f>
        <v>3.73</v>
      </c>
      <c r="K229" s="50">
        <f>IFERROR(VLOOKUP(E229,'BD - E - Mvto Cx'!$AO$15:$AQ$500,3,0),0)</f>
        <v>0</v>
      </c>
      <c r="L229" s="50">
        <f>IFERROR(VLOOKUP(E229,'BD - E - Mvto Cx'!$AX$15:$AZ$500,3,0),0)</f>
        <v>0</v>
      </c>
      <c r="M229" s="50">
        <f>IFERROR(VLOOKUP(E229,'BD - E - Mvto Cx'!$BJ$15:$BL$500,3,0),0)</f>
        <v>0</v>
      </c>
      <c r="N229" s="50">
        <f>IFERROR(VLOOKUP(E229,'BD - E - Mvto Cx'!$BS$15:$BU$500,3,0),0)</f>
        <v>0</v>
      </c>
      <c r="O229" s="50">
        <f>IFERROR(VLOOKUP(E229,'BD - E - Mvto Cx'!$CB$15:$CD$500,3,0),0)</f>
        <v>0</v>
      </c>
      <c r="P229" s="50">
        <f>IFERROR(VLOOKUP(E229,'BD - E - Mvto Cx'!$CK$15:$CM$500,3,0),0)</f>
        <v>0</v>
      </c>
      <c r="Q229" s="50">
        <f>IFERROR(VLOOKUP(E229,'BD - E - Mvto Cx'!$CT$15:$CV$500,3,0),0)</f>
        <v>0</v>
      </c>
      <c r="R229" s="50">
        <f>IFERROR(VLOOKUP(E229,'BD - E - Mvto Cx'!$DC$15:$DE$500,3,0),0)</f>
        <v>0</v>
      </c>
    </row>
    <row r="230" spans="1:18">
      <c r="A230" s="37"/>
      <c r="B230" t="str">
        <f t="shared" ref="B230:B240" si="9">D230&amp;E230</f>
        <v>S331876</v>
      </c>
      <c r="C230" s="29" t="s">
        <v>261</v>
      </c>
      <c r="D230" s="27" t="s">
        <v>128</v>
      </c>
      <c r="E230" s="7">
        <v>331876</v>
      </c>
      <c r="F230" s="48" t="s">
        <v>203</v>
      </c>
      <c r="G230" s="49">
        <f>IFERROR(VLOOKUP(E230,'BD - E - Mvto Cx'!$E$15:$G$500,3,0),0)</f>
        <v>0</v>
      </c>
      <c r="H230" s="51">
        <f>IFERROR(VLOOKUP(E230,'BD - E - Mvto Cx'!$N$15:$P$500,3,0),0)</f>
        <v>0</v>
      </c>
      <c r="I230" s="50">
        <f>IFERROR(VLOOKUP(E230,'BD - E - Mvto Cx'!$W$15:$Y$497,3,0),0)</f>
        <v>0</v>
      </c>
      <c r="J230" s="50">
        <f>IFERROR(VLOOKUP(E230,'BD - E - Mvto Cx'!$AF$15:$AI$500,3,0),0)</f>
        <v>0</v>
      </c>
      <c r="K230" s="50">
        <f>IFERROR(VLOOKUP(E230,'BD - E - Mvto Cx'!$AO$15:$AQ$500,3,0),0)</f>
        <v>0</v>
      </c>
      <c r="L230" s="50">
        <f>IFERROR(VLOOKUP(E230,'BD - E - Mvto Cx'!$AX$15:$AZ$500,3,0),0)</f>
        <v>0</v>
      </c>
      <c r="M230" s="50">
        <f>IFERROR(VLOOKUP(E230,'BD - E - Mvto Cx'!$BJ$15:$BL$500,3,0),0)</f>
        <v>0</v>
      </c>
      <c r="N230" s="50">
        <f>IFERROR(VLOOKUP(E230,'BD - E - Mvto Cx'!$BS$15:$BU$500,3,0),0)</f>
        <v>0</v>
      </c>
      <c r="O230" s="50">
        <f>IFERROR(VLOOKUP(E230,'BD - E - Mvto Cx'!$CB$15:$CD$500,3,0),0)</f>
        <v>0</v>
      </c>
      <c r="P230" s="50">
        <f>IFERROR(VLOOKUP(E230,'BD - E - Mvto Cx'!$CK$15:$CM$500,3,0),0)</f>
        <v>0</v>
      </c>
      <c r="Q230" s="50">
        <f>IFERROR(VLOOKUP(E230,'BD - E - Mvto Cx'!$CT$15:$CV$500,3,0),0)</f>
        <v>0</v>
      </c>
      <c r="R230" s="50">
        <f>IFERROR(VLOOKUP(E230,'BD - E - Mvto Cx'!$DC$15:$DE$500,3,0),0)</f>
        <v>0</v>
      </c>
    </row>
    <row r="231" spans="1:18">
      <c r="A231" s="37"/>
      <c r="B231" t="str">
        <f t="shared" si="9"/>
        <v>S332406</v>
      </c>
      <c r="C231" s="29" t="s">
        <v>344</v>
      </c>
      <c r="D231" s="27" t="s">
        <v>128</v>
      </c>
      <c r="E231" s="7">
        <v>332406</v>
      </c>
      <c r="F231" s="48" t="s">
        <v>204</v>
      </c>
      <c r="G231" s="49">
        <f>IFERROR(VLOOKUP(E231,'BD - E - Mvto Cx'!$E$15:$G$500,3,0),0)</f>
        <v>0</v>
      </c>
      <c r="H231" s="51">
        <f>IFERROR(VLOOKUP(E231,'BD - E - Mvto Cx'!$N$15:$P$500,3,0),0)</f>
        <v>0</v>
      </c>
      <c r="I231" s="50">
        <f>IFERROR(VLOOKUP(E231,'BD - E - Mvto Cx'!$W$15:$Y$497,3,0),0)</f>
        <v>0</v>
      </c>
      <c r="J231" s="50">
        <f>IFERROR(VLOOKUP(E231,'BD - E - Mvto Cx'!$AF$15:$AI$500,3,0),0)</f>
        <v>0</v>
      </c>
      <c r="K231" s="50">
        <f>IFERROR(VLOOKUP(E231,'BD - E - Mvto Cx'!$AO$15:$AQ$500,3,0),0)</f>
        <v>0</v>
      </c>
      <c r="L231" s="50">
        <f>IFERROR(VLOOKUP(E231,'BD - E - Mvto Cx'!$AX$15:$AZ$500,3,0),0)</f>
        <v>0</v>
      </c>
      <c r="M231" s="50">
        <f>IFERROR(VLOOKUP(E231,'BD - E - Mvto Cx'!$BJ$15:$BL$500,3,0),0)</f>
        <v>0</v>
      </c>
      <c r="N231" s="50">
        <f>IFERROR(VLOOKUP(E231,'BD - E - Mvto Cx'!$BS$15:$BU$500,3,0),0)</f>
        <v>0</v>
      </c>
      <c r="O231" s="50">
        <f>IFERROR(VLOOKUP(E231,'BD - E - Mvto Cx'!$CB$15:$CD$500,3,0),0)</f>
        <v>0</v>
      </c>
      <c r="P231" s="50">
        <f>IFERROR(VLOOKUP(E231,'BD - E - Mvto Cx'!$CK$15:$CM$500,3,0),0)</f>
        <v>0</v>
      </c>
      <c r="Q231" s="50">
        <f>IFERROR(VLOOKUP(E231,'BD - E - Mvto Cx'!$CT$15:$CV$500,3,0),0)</f>
        <v>0</v>
      </c>
      <c r="R231" s="50">
        <f>IFERROR(VLOOKUP(E231,'BD - E - Mvto Cx'!$DC$15:$DE$500,3,0),0)</f>
        <v>0</v>
      </c>
    </row>
    <row r="232" spans="1:18">
      <c r="A232" s="37"/>
      <c r="B232" t="str">
        <f t="shared" si="9"/>
        <v>S333101</v>
      </c>
      <c r="C232" s="7" t="s">
        <v>363</v>
      </c>
      <c r="D232" s="27" t="s">
        <v>128</v>
      </c>
      <c r="E232" s="7">
        <v>333101</v>
      </c>
      <c r="F232" s="48" t="s">
        <v>205</v>
      </c>
      <c r="G232" s="49">
        <f>IFERROR(VLOOKUP(E232,'BD - E - Mvto Cx'!$E$15:$G$500,3,0),0)</f>
        <v>0</v>
      </c>
      <c r="H232" s="51">
        <f>IFERROR(VLOOKUP(E232,'BD - E - Mvto Cx'!$N$15:$P$500,3,0),0)</f>
        <v>0</v>
      </c>
      <c r="I232" s="50">
        <f>IFERROR(VLOOKUP(E232,'BD - E - Mvto Cx'!$W$15:$Y$497,3,0),0)</f>
        <v>0</v>
      </c>
      <c r="J232" s="50">
        <f>IFERROR(VLOOKUP(E232,'BD - E - Mvto Cx'!$AF$15:$AI$500,3,0),0)</f>
        <v>0</v>
      </c>
      <c r="K232" s="50">
        <f>IFERROR(VLOOKUP(E232,'BD - E - Mvto Cx'!$AO$15:$AQ$500,3,0),0)</f>
        <v>0</v>
      </c>
      <c r="L232" s="50">
        <f>IFERROR(VLOOKUP(E232,'BD - E - Mvto Cx'!$AX$15:$AZ$500,3,0),0)</f>
        <v>0</v>
      </c>
      <c r="M232" s="50">
        <f>IFERROR(VLOOKUP(E232,'BD - E - Mvto Cx'!$BJ$15:$BL$500,3,0),0)</f>
        <v>0</v>
      </c>
      <c r="N232" s="50">
        <f>IFERROR(VLOOKUP(E232,'BD - E - Mvto Cx'!$BS$15:$BU$500,3,0),0)</f>
        <v>0</v>
      </c>
      <c r="O232" s="50">
        <f>IFERROR(VLOOKUP(E232,'BD - E - Mvto Cx'!$CB$15:$CD$500,3,0),0)</f>
        <v>0</v>
      </c>
      <c r="P232" s="50">
        <f>IFERROR(VLOOKUP(E232,'BD - E - Mvto Cx'!$CK$15:$CM$500,3,0),0)</f>
        <v>0</v>
      </c>
      <c r="Q232" s="50">
        <f>IFERROR(VLOOKUP(E232,'BD - E - Mvto Cx'!$CT$15:$CV$500,3,0),0)</f>
        <v>0</v>
      </c>
      <c r="R232" s="50">
        <f>IFERROR(VLOOKUP(E232,'BD - E - Mvto Cx'!$DC$15:$DE$500,3,0),0)</f>
        <v>0</v>
      </c>
    </row>
    <row r="233" spans="1:18">
      <c r="A233" s="37"/>
      <c r="B233" t="str">
        <f t="shared" si="9"/>
        <v>S333104</v>
      </c>
      <c r="C233" s="7" t="s">
        <v>363</v>
      </c>
      <c r="D233" s="27" t="s">
        <v>128</v>
      </c>
      <c r="E233" s="7">
        <v>333104</v>
      </c>
      <c r="F233" s="48" t="s">
        <v>206</v>
      </c>
      <c r="G233" s="49">
        <f>IFERROR(VLOOKUP(E233,'BD - E - Mvto Cx'!$E$15:$G$500,3,0),0)</f>
        <v>5251.52</v>
      </c>
      <c r="H233" s="51">
        <f>IFERROR(VLOOKUP(E233,'BD - E - Mvto Cx'!$N$15:$P$500,3,0),0)</f>
        <v>487.53</v>
      </c>
      <c r="I233" s="50">
        <f>IFERROR(VLOOKUP(E233,'BD - E - Mvto Cx'!$W$15:$Y$497,3,0),0)</f>
        <v>7140.21</v>
      </c>
      <c r="J233" s="50">
        <f>IFERROR(VLOOKUP(E233,'BD - E - Mvto Cx'!$AF$15:$AI$500,3,0),0)</f>
        <v>2907.4</v>
      </c>
      <c r="K233" s="50">
        <f>IFERROR(VLOOKUP(E233,'BD - E - Mvto Cx'!$AO$15:$AQ$500,3,0),0)</f>
        <v>0</v>
      </c>
      <c r="L233" s="50">
        <f>IFERROR(VLOOKUP(E233,'BD - E - Mvto Cx'!$AX$15:$AZ$500,3,0),0)</f>
        <v>0</v>
      </c>
      <c r="M233" s="50">
        <f>IFERROR(VLOOKUP(E233,'BD - E - Mvto Cx'!$BJ$15:$BL$500,3,0),0)</f>
        <v>0</v>
      </c>
      <c r="N233" s="50">
        <f>IFERROR(VLOOKUP(E233,'BD - E - Mvto Cx'!$BS$15:$BU$500,3,0),0)</f>
        <v>0</v>
      </c>
      <c r="O233" s="50">
        <f>IFERROR(VLOOKUP(E233,'BD - E - Mvto Cx'!$CB$15:$CD$500,3,0),0)</f>
        <v>0</v>
      </c>
      <c r="P233" s="50">
        <f>IFERROR(VLOOKUP(E233,'BD - E - Mvto Cx'!$CK$15:$CM$500,3,0),0)</f>
        <v>0</v>
      </c>
      <c r="Q233" s="50">
        <f>IFERROR(VLOOKUP(E233,'BD - E - Mvto Cx'!$CT$15:$CV$500,3,0),0)</f>
        <v>0</v>
      </c>
      <c r="R233" s="50">
        <f>IFERROR(VLOOKUP(E233,'BD - E - Mvto Cx'!$DC$15:$DE$500,3,0),0)</f>
        <v>0</v>
      </c>
    </row>
    <row r="234" spans="1:18">
      <c r="A234" s="37"/>
      <c r="B234" t="str">
        <f t="shared" si="9"/>
        <v>S333105</v>
      </c>
      <c r="C234" s="7" t="s">
        <v>363</v>
      </c>
      <c r="D234" s="27" t="s">
        <v>128</v>
      </c>
      <c r="E234" s="29">
        <v>333105</v>
      </c>
      <c r="F234" s="48" t="s">
        <v>125</v>
      </c>
      <c r="G234" s="49">
        <f>IFERROR(VLOOKUP(E234,'BD - E - Mvto Cx'!$E$15:$G$500,3,0),0)</f>
        <v>183765.08</v>
      </c>
      <c r="H234" s="51">
        <f>IFERROR(VLOOKUP(E234,'BD - E - Mvto Cx'!$N$15:$P$500,3,0),0)</f>
        <v>201759.06</v>
      </c>
      <c r="I234" s="50">
        <f>IFERROR(VLOOKUP(E234,'BD - E - Mvto Cx'!$W$15:$Y$497,3,0),0)</f>
        <v>206763.92</v>
      </c>
      <c r="J234" s="50">
        <f>IFERROR(VLOOKUP(E234,'BD - E - Mvto Cx'!$AF$15:$AI$500,3,0),0)</f>
        <v>232184.73</v>
      </c>
      <c r="K234" s="50">
        <f>IFERROR(VLOOKUP(E234,'BD - E - Mvto Cx'!$AO$15:$AQ$500,3,0),0)</f>
        <v>0</v>
      </c>
      <c r="L234" s="50">
        <f>IFERROR(VLOOKUP(E234,'BD - E - Mvto Cx'!$AX$15:$AZ$500,3,0),0)</f>
        <v>0</v>
      </c>
      <c r="M234" s="50">
        <f>IFERROR(VLOOKUP(E234,'BD - E - Mvto Cx'!$BJ$15:$BL$500,3,0),0)</f>
        <v>0</v>
      </c>
      <c r="N234" s="50">
        <f>IFERROR(VLOOKUP(E234,'BD - E - Mvto Cx'!$BS$15:$BU$500,3,0),0)</f>
        <v>0</v>
      </c>
      <c r="O234" s="50">
        <f>IFERROR(VLOOKUP(E234,'BD - E - Mvto Cx'!$CB$15:$CD$500,3,0),0)</f>
        <v>0</v>
      </c>
      <c r="P234" s="50">
        <f>IFERROR(VLOOKUP(E234,'BD - E - Mvto Cx'!$CK$15:$CM$500,3,0),0)</f>
        <v>0</v>
      </c>
      <c r="Q234" s="50">
        <f>IFERROR(VLOOKUP(E234,'BD - E - Mvto Cx'!$CT$15:$CV$500,3,0),0)</f>
        <v>0</v>
      </c>
      <c r="R234" s="50">
        <f>IFERROR(VLOOKUP(E234,'BD - E - Mvto Cx'!$DC$15:$DE$500,3,0),0)</f>
        <v>0</v>
      </c>
    </row>
    <row r="235" spans="1:18">
      <c r="A235" s="37"/>
      <c r="B235" t="str">
        <f t="shared" ref="B235" si="10">D235&amp;E235</f>
        <v>S333106</v>
      </c>
      <c r="C235" s="29" t="s">
        <v>363</v>
      </c>
      <c r="D235" s="27" t="s">
        <v>128</v>
      </c>
      <c r="E235" s="7">
        <v>333106</v>
      </c>
      <c r="F235" s="48" t="s">
        <v>474</v>
      </c>
      <c r="G235" s="49">
        <f>IFERROR(VLOOKUP(E235,'BD - E - Mvto Cx'!$E$15:$G$500,3,0),0)</f>
        <v>0</v>
      </c>
      <c r="H235" s="51">
        <f>IFERROR(VLOOKUP(E235,'BD - E - Mvto Cx'!$N$15:$P$500,3,0),0)</f>
        <v>0</v>
      </c>
      <c r="I235" s="50">
        <f>IFERROR(VLOOKUP(E235,'BD - E - Mvto Cx'!$W$15:$Y$497,3,0),0)</f>
        <v>0</v>
      </c>
      <c r="J235" s="50">
        <f>IFERROR(VLOOKUP(E235,'BD - E - Mvto Cx'!$AF$15:$AI$500,3,0),0)</f>
        <v>0</v>
      </c>
      <c r="K235" s="50">
        <f>IFERROR(VLOOKUP(E235,'BD - E - Mvto Cx'!$AO$15:$AQ$500,3,0),0)</f>
        <v>0</v>
      </c>
      <c r="L235" s="50">
        <f>IFERROR(VLOOKUP(E235,'BD - E - Mvto Cx'!$AX$15:$AZ$500,3,0),0)</f>
        <v>0</v>
      </c>
      <c r="M235" s="50">
        <f>IFERROR(VLOOKUP(E235,'BD - E - Mvto Cx'!$BJ$15:$BL$500,3,0),0)</f>
        <v>0</v>
      </c>
      <c r="N235" s="50">
        <f>IFERROR(VLOOKUP(E235,'BD - E - Mvto Cx'!$BS$15:$BU$500,3,0),0)</f>
        <v>0</v>
      </c>
      <c r="O235" s="50">
        <f>IFERROR(VLOOKUP(E235,'BD - E - Mvto Cx'!$CB$15:$CD$500,3,0),0)</f>
        <v>0</v>
      </c>
      <c r="P235" s="50">
        <f>IFERROR(VLOOKUP(E235,'BD - E - Mvto Cx'!$CK$15:$CM$500,3,0),0)</f>
        <v>0</v>
      </c>
      <c r="Q235" s="50">
        <f>IFERROR(VLOOKUP(E235,'BD - E - Mvto Cx'!$CT$15:$CV$500,3,0),0)</f>
        <v>0</v>
      </c>
      <c r="R235" s="50">
        <f>IFERROR(VLOOKUP(E235,'BD - E - Mvto Cx'!$DC$15:$DE$500,3,0),0)</f>
        <v>0</v>
      </c>
    </row>
    <row r="236" spans="1:18">
      <c r="A236" s="37"/>
      <c r="B236" t="str">
        <f t="shared" si="9"/>
        <v>S333107</v>
      </c>
      <c r="C236" s="7" t="s">
        <v>363</v>
      </c>
      <c r="D236" s="27" t="s">
        <v>128</v>
      </c>
      <c r="E236" s="7">
        <v>333107</v>
      </c>
      <c r="F236" s="48" t="s">
        <v>207</v>
      </c>
      <c r="G236" s="49">
        <f>IFERROR(VLOOKUP(E236,'BD - E - Mvto Cx'!$E$15:$G$500,3,0),0)</f>
        <v>1585775.41</v>
      </c>
      <c r="H236" s="51">
        <f>IFERROR(VLOOKUP(E236,'BD - E - Mvto Cx'!$N$15:$P$500,3,0),0)</f>
        <v>1162801.49</v>
      </c>
      <c r="I236" s="50">
        <f>IFERROR(VLOOKUP(E236,'BD - E - Mvto Cx'!$W$15:$Y$497,3,0),0)</f>
        <v>1439442.41</v>
      </c>
      <c r="J236" s="50">
        <f>IFERROR(VLOOKUP(E236,'BD - E - Mvto Cx'!$AF$15:$AI$500,3,0),0)</f>
        <v>1335687.1599999999</v>
      </c>
      <c r="K236" s="50">
        <f>IFERROR(VLOOKUP(E236,'BD - E - Mvto Cx'!$AO$15:$AQ$500,3,0),0)</f>
        <v>0</v>
      </c>
      <c r="L236" s="50">
        <f>IFERROR(VLOOKUP(E236,'BD - E - Mvto Cx'!$AX$15:$AZ$500,3,0),0)</f>
        <v>0</v>
      </c>
      <c r="M236" s="50">
        <f>IFERROR(VLOOKUP(E236,'BD - E - Mvto Cx'!$BJ$15:$BL$500,3,0),0)</f>
        <v>0</v>
      </c>
      <c r="N236" s="50">
        <f>IFERROR(VLOOKUP(E236,'BD - E - Mvto Cx'!$BS$15:$BU$500,3,0),0)</f>
        <v>0</v>
      </c>
      <c r="O236" s="50">
        <f>IFERROR(VLOOKUP(E236,'BD - E - Mvto Cx'!$CB$15:$CD$500,3,0),0)</f>
        <v>0</v>
      </c>
      <c r="P236" s="50">
        <f>IFERROR(VLOOKUP(E236,'BD - E - Mvto Cx'!$CK$15:$CM$500,3,0),0)</f>
        <v>0</v>
      </c>
      <c r="Q236" s="50">
        <f>IFERROR(VLOOKUP(E236,'BD - E - Mvto Cx'!$CT$15:$CV$500,3,0),0)</f>
        <v>0</v>
      </c>
      <c r="R236" s="50">
        <f>IFERROR(VLOOKUP(E236,'BD - E - Mvto Cx'!$DC$15:$DE$500,3,0),0)</f>
        <v>0</v>
      </c>
    </row>
    <row r="237" spans="1:18">
      <c r="A237" s="37"/>
      <c r="B237" t="str">
        <f t="shared" si="9"/>
        <v>S333108</v>
      </c>
      <c r="C237" s="7" t="s">
        <v>363</v>
      </c>
      <c r="D237" s="27" t="s">
        <v>128</v>
      </c>
      <c r="E237" s="7">
        <v>333108</v>
      </c>
      <c r="F237" s="48" t="s">
        <v>208</v>
      </c>
      <c r="G237" s="49">
        <f>IFERROR(VLOOKUP(E237,'BD - E - Mvto Cx'!$E$15:$G$500,3,0),0)</f>
        <v>20337.21</v>
      </c>
      <c r="H237" s="51">
        <f>IFERROR(VLOOKUP(E237,'BD - E - Mvto Cx'!$N$15:$P$500,3,0),0)</f>
        <v>1181.6500000000001</v>
      </c>
      <c r="I237" s="50">
        <f>IFERROR(VLOOKUP(E237,'BD - E - Mvto Cx'!$W$15:$Y$497,3,0),0)</f>
        <v>2892.72</v>
      </c>
      <c r="J237" s="50">
        <f>IFERROR(VLOOKUP(E237,'BD - E - Mvto Cx'!$AF$15:$AI$500,3,0),0)</f>
        <v>165</v>
      </c>
      <c r="K237" s="50">
        <f>IFERROR(VLOOKUP(E237,'BD - E - Mvto Cx'!$AO$15:$AQ$500,3,0),0)</f>
        <v>0</v>
      </c>
      <c r="L237" s="50">
        <f>IFERROR(VLOOKUP(E237,'BD - E - Mvto Cx'!$AX$15:$AZ$500,3,0),0)</f>
        <v>0</v>
      </c>
      <c r="M237" s="50">
        <f>IFERROR(VLOOKUP(E237,'BD - E - Mvto Cx'!$BJ$15:$BL$500,3,0),0)</f>
        <v>0</v>
      </c>
      <c r="N237" s="50">
        <f>IFERROR(VLOOKUP(E237,'BD - E - Mvto Cx'!$BS$15:$BU$500,3,0),0)</f>
        <v>0</v>
      </c>
      <c r="O237" s="50">
        <f>IFERROR(VLOOKUP(E237,'BD - E - Mvto Cx'!$CB$15:$CD$500,3,0),0)</f>
        <v>0</v>
      </c>
      <c r="P237" s="50">
        <f>IFERROR(VLOOKUP(E237,'BD - E - Mvto Cx'!$CK$15:$CM$500,3,0),0)</f>
        <v>0</v>
      </c>
      <c r="Q237" s="50">
        <f>IFERROR(VLOOKUP(E237,'BD - E - Mvto Cx'!$CT$15:$CV$500,3,0),0)</f>
        <v>0</v>
      </c>
      <c r="R237" s="50">
        <f>IFERROR(VLOOKUP(E237,'BD - E - Mvto Cx'!$DC$15:$DE$500,3,0),0)</f>
        <v>0</v>
      </c>
    </row>
    <row r="238" spans="1:18">
      <c r="A238" s="37"/>
      <c r="B238" t="str">
        <f t="shared" si="9"/>
        <v>S333109</v>
      </c>
      <c r="C238" s="7" t="s">
        <v>364</v>
      </c>
      <c r="D238" s="27" t="s">
        <v>128</v>
      </c>
      <c r="E238" s="7">
        <v>333109</v>
      </c>
      <c r="F238" s="48" t="s">
        <v>209</v>
      </c>
      <c r="G238" s="49">
        <f>IFERROR(VLOOKUP(E238,'BD - E - Mvto Cx'!$E$15:$G$500,3,0),0)</f>
        <v>1225.99</v>
      </c>
      <c r="H238" s="51">
        <f>IFERROR(VLOOKUP(E238,'BD - E - Mvto Cx'!$N$15:$P$500,3,0),0)</f>
        <v>10.68</v>
      </c>
      <c r="I238" s="50">
        <f>IFERROR(VLOOKUP(E238,'BD - E - Mvto Cx'!$W$15:$Y$497,3,0),0)</f>
        <v>0</v>
      </c>
      <c r="J238" s="50">
        <f>IFERROR(VLOOKUP(E238,'BD - E - Mvto Cx'!$AF$15:$AI$500,3,0),0)</f>
        <v>0</v>
      </c>
      <c r="K238" s="50">
        <f>IFERROR(VLOOKUP(E238,'BD - E - Mvto Cx'!$AO$15:$AQ$500,3,0),0)</f>
        <v>0</v>
      </c>
      <c r="L238" s="50">
        <f>IFERROR(VLOOKUP(E238,'BD - E - Mvto Cx'!$AX$15:$AZ$500,3,0),0)</f>
        <v>0</v>
      </c>
      <c r="M238" s="50">
        <f>IFERROR(VLOOKUP(E238,'BD - E - Mvto Cx'!$BJ$15:$BL$500,3,0),0)</f>
        <v>0</v>
      </c>
      <c r="N238" s="50">
        <f>IFERROR(VLOOKUP(E238,'BD - E - Mvto Cx'!$BS$15:$BU$500,3,0),0)</f>
        <v>0</v>
      </c>
      <c r="O238" s="50">
        <f>IFERROR(VLOOKUP(E238,'BD - E - Mvto Cx'!$CB$15:$CD$500,3,0),0)</f>
        <v>0</v>
      </c>
      <c r="P238" s="50">
        <f>IFERROR(VLOOKUP(E238,'BD - E - Mvto Cx'!$CK$15:$CM$500,3,0),0)</f>
        <v>0</v>
      </c>
      <c r="Q238" s="50">
        <f>IFERROR(VLOOKUP(E238,'BD - E - Mvto Cx'!$CT$15:$CV$500,3,0),0)</f>
        <v>0</v>
      </c>
      <c r="R238" s="50">
        <f>IFERROR(VLOOKUP(E238,'BD - E - Mvto Cx'!$DC$15:$DE$500,3,0),0)</f>
        <v>0</v>
      </c>
    </row>
    <row r="239" spans="1:18">
      <c r="A239" s="37"/>
      <c r="B239" t="str">
        <f t="shared" si="9"/>
        <v>S333110</v>
      </c>
      <c r="C239" s="7" t="s">
        <v>364</v>
      </c>
      <c r="D239" s="27" t="s">
        <v>128</v>
      </c>
      <c r="E239" s="7">
        <v>333110</v>
      </c>
      <c r="F239" s="48" t="s">
        <v>210</v>
      </c>
      <c r="G239" s="49">
        <f>IFERROR(VLOOKUP(E239,'BD - E - Mvto Cx'!$E$15:$G$500,3,0),0)</f>
        <v>2094.12</v>
      </c>
      <c r="H239" s="51">
        <f>IFERROR(VLOOKUP(E239,'BD - E - Mvto Cx'!$N$15:$P$500,3,0),0)</f>
        <v>2442.27</v>
      </c>
      <c r="I239" s="50">
        <f>IFERROR(VLOOKUP(E239,'BD - E - Mvto Cx'!$W$15:$Y$497,3,0),0)</f>
        <v>2723.97</v>
      </c>
      <c r="J239" s="50">
        <f>IFERROR(VLOOKUP(E239,'BD - E - Mvto Cx'!$AF$15:$AI$500,3,0),0)</f>
        <v>304.55</v>
      </c>
      <c r="K239" s="50">
        <f>IFERROR(VLOOKUP(E239,'BD - E - Mvto Cx'!$AO$15:$AQ$500,3,0),0)</f>
        <v>0</v>
      </c>
      <c r="L239" s="50">
        <f>IFERROR(VLOOKUP(E239,'BD - E - Mvto Cx'!$AX$15:$AZ$500,3,0),0)</f>
        <v>0</v>
      </c>
      <c r="M239" s="50">
        <f>IFERROR(VLOOKUP(E239,'BD - E - Mvto Cx'!$BJ$15:$BL$500,3,0),0)</f>
        <v>0</v>
      </c>
      <c r="N239" s="50">
        <f>IFERROR(VLOOKUP(E239,'BD - E - Mvto Cx'!$BS$15:$BU$500,3,0),0)</f>
        <v>0</v>
      </c>
      <c r="O239" s="50">
        <f>IFERROR(VLOOKUP(E239,'BD - E - Mvto Cx'!$CB$15:$CD$500,3,0),0)</f>
        <v>0</v>
      </c>
      <c r="P239" s="50">
        <f>IFERROR(VLOOKUP(E239,'BD - E - Mvto Cx'!$CK$15:$CM$500,3,0),0)</f>
        <v>0</v>
      </c>
      <c r="Q239" s="50">
        <f>IFERROR(VLOOKUP(E239,'BD - E - Mvto Cx'!$CT$15:$CV$500,3,0),0)</f>
        <v>0</v>
      </c>
      <c r="R239" s="50">
        <f>IFERROR(VLOOKUP(E239,'BD - E - Mvto Cx'!$DC$15:$DE$500,3,0),0)</f>
        <v>0</v>
      </c>
    </row>
    <row r="240" spans="1:18">
      <c r="A240" s="37"/>
      <c r="B240" t="str">
        <f t="shared" si="9"/>
        <v>S333111</v>
      </c>
      <c r="C240" s="7" t="s">
        <v>127</v>
      </c>
      <c r="D240" s="27" t="s">
        <v>128</v>
      </c>
      <c r="E240" s="7">
        <v>333111</v>
      </c>
      <c r="F240" s="48" t="s">
        <v>126</v>
      </c>
      <c r="G240" s="49">
        <f>IFERROR(VLOOKUP(E240,'BD - E - Mvto Cx'!$E$15:$G$500,3,0),0)</f>
        <v>135.56</v>
      </c>
      <c r="H240" s="51">
        <f>IFERROR(VLOOKUP(E240,'BD - E - Mvto Cx'!$N$15:$P$500,3,0),0)</f>
        <v>37.92</v>
      </c>
      <c r="I240" s="50">
        <f>IFERROR(VLOOKUP(E240,'BD - E - Mvto Cx'!$W$15:$Y$497,3,0),0)</f>
        <v>61.03</v>
      </c>
      <c r="J240" s="50">
        <f>IFERROR(VLOOKUP(E240,'BD - E - Mvto Cx'!$AF$15:$AI$500,3,0),0)</f>
        <v>71.45</v>
      </c>
      <c r="K240" s="50">
        <f>IFERROR(VLOOKUP(E240,'BD - E - Mvto Cx'!$AO$15:$AQ$500,3,0),0)</f>
        <v>0</v>
      </c>
      <c r="L240" s="50">
        <f>IFERROR(VLOOKUP(E240,'BD - E - Mvto Cx'!$AX$15:$AZ$500,3,0),0)</f>
        <v>0</v>
      </c>
      <c r="M240" s="50">
        <f>IFERROR(VLOOKUP(E240,'BD - E - Mvto Cx'!$BJ$15:$BL$500,3,0),0)</f>
        <v>0</v>
      </c>
      <c r="N240" s="50">
        <f>IFERROR(VLOOKUP(E240,'BD - E - Mvto Cx'!$BS$15:$BU$500,3,0),0)</f>
        <v>0</v>
      </c>
      <c r="O240" s="50">
        <f>IFERROR(VLOOKUP(E240,'BD - E - Mvto Cx'!$CB$15:$CD$500,3,0),0)</f>
        <v>0</v>
      </c>
      <c r="P240" s="50">
        <f>IFERROR(VLOOKUP(E240,'BD - E - Mvto Cx'!$CK$15:$CM$500,3,0),0)</f>
        <v>0</v>
      </c>
      <c r="Q240" s="50">
        <f>IFERROR(VLOOKUP(E240,'BD - E - Mvto Cx'!$CT$15:$CV$500,3,0),0)</f>
        <v>0</v>
      </c>
      <c r="R240" s="50">
        <f>IFERROR(VLOOKUP(E240,'BD - E - Mvto Cx'!$DC$15:$DE$500,3,0),0)</f>
        <v>0</v>
      </c>
    </row>
    <row r="241" spans="2:18">
      <c r="B241" s="56"/>
      <c r="C241" s="56"/>
      <c r="D241" s="56"/>
      <c r="E241" s="56"/>
      <c r="F241" s="56"/>
      <c r="G241" s="57"/>
      <c r="H241" s="57"/>
      <c r="I241" s="57"/>
      <c r="J241" s="57"/>
      <c r="K241" s="57"/>
      <c r="L241" s="57"/>
      <c r="M241" s="58"/>
      <c r="N241" s="58"/>
      <c r="O241" s="58"/>
      <c r="P241" s="58"/>
      <c r="Q241" s="58"/>
    </row>
    <row r="242" spans="2:18">
      <c r="B242" s="56"/>
      <c r="C242" s="56"/>
      <c r="D242" s="56"/>
      <c r="E242" s="56"/>
      <c r="F242" s="56"/>
      <c r="G242" s="56"/>
      <c r="H242" s="107"/>
      <c r="I242" s="56"/>
      <c r="J242" s="56"/>
      <c r="K242" s="56"/>
      <c r="L242" s="56"/>
      <c r="M242" s="56"/>
      <c r="N242" s="58"/>
      <c r="O242" s="58"/>
      <c r="P242" s="58"/>
      <c r="Q242" s="58"/>
    </row>
    <row r="243" spans="2:18"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8"/>
      <c r="O243" s="58"/>
      <c r="P243" s="58"/>
      <c r="Q243" s="58"/>
    </row>
    <row r="244" spans="2:18">
      <c r="B244" s="56"/>
      <c r="C244" s="56"/>
      <c r="D244" s="56"/>
      <c r="E244" s="56"/>
      <c r="F244" s="56"/>
      <c r="G244" s="59"/>
      <c r="H244" s="59"/>
      <c r="I244" s="59"/>
      <c r="J244" s="59"/>
      <c r="K244" s="59"/>
      <c r="L244" s="59"/>
      <c r="M244" s="58"/>
      <c r="N244" s="58"/>
      <c r="O244" s="58"/>
      <c r="P244" s="58"/>
      <c r="Q244" s="58"/>
    </row>
    <row r="245" spans="2:18">
      <c r="B245" s="56"/>
      <c r="C245" s="56"/>
      <c r="D245" s="56"/>
      <c r="E245" s="56"/>
      <c r="F245" s="60" t="s">
        <v>211</v>
      </c>
      <c r="G245" s="51">
        <f>'BD - E - Mvto Cx'!$C$14</f>
        <v>20778063.890000001</v>
      </c>
      <c r="H245" s="51">
        <f>'BD - E - Mvto Cx'!$L$14</f>
        <v>13963718.67</v>
      </c>
      <c r="I245" s="51">
        <f>'BD - E - Mvto Cx'!$U$14</f>
        <v>13593288.310000001</v>
      </c>
      <c r="J245" s="51">
        <f>'BD - E - Mvto Cx'!$AD$14</f>
        <v>7068533.8700000001</v>
      </c>
      <c r="K245" s="51">
        <f>'BD - E - Mvto Cx'!AM14</f>
        <v>0</v>
      </c>
      <c r="L245" s="72">
        <f>'BD - E - Mvto Cx'!AV14</f>
        <v>0</v>
      </c>
      <c r="M245" s="51">
        <f>'BD - E - Mvto Cx'!BH14</f>
        <v>0</v>
      </c>
      <c r="N245" s="51">
        <f>'BD - E - Mvto Cx'!BQ14</f>
        <v>0</v>
      </c>
      <c r="O245" s="51">
        <f>'BD - E - Mvto Cx'!BZ14</f>
        <v>0</v>
      </c>
      <c r="P245" s="51">
        <f>'BD - E - Mvto Cx'!CI14</f>
        <v>0</v>
      </c>
      <c r="Q245" s="51">
        <f>'BD - E - Mvto Cx'!CR14</f>
        <v>0</v>
      </c>
      <c r="R245" s="51">
        <f>'BD - E - Mvto Cx'!DA14</f>
        <v>0</v>
      </c>
    </row>
    <row r="246" spans="2:18">
      <c r="B246" s="56"/>
      <c r="C246" s="56"/>
      <c r="D246" s="56"/>
      <c r="E246" s="56"/>
      <c r="F246" s="60" t="s">
        <v>212</v>
      </c>
      <c r="G246" s="51">
        <f>'BD - E - Mvto Cx'!$H$14</f>
        <v>13963718.67</v>
      </c>
      <c r="H246" s="51">
        <f>'BD - E - Mvto Cx'!$Q$14</f>
        <v>13593288.310000001</v>
      </c>
      <c r="I246" s="51">
        <f>'BD - E - Mvto Cx'!$Z$14</f>
        <v>7068533.8700000001</v>
      </c>
      <c r="J246" s="51">
        <f>'BD - E - Mvto Cx'!AI14</f>
        <v>3538386.78</v>
      </c>
      <c r="K246" s="51">
        <f>'BD - E - Mvto Cx'!AR14</f>
        <v>0</v>
      </c>
      <c r="L246" s="51">
        <f>'BD - E - Mvto Cx'!BA14</f>
        <v>0</v>
      </c>
      <c r="M246" s="145">
        <f>'BD - E - Mvto Cx'!BM14</f>
        <v>0</v>
      </c>
      <c r="N246" s="145">
        <f>'BD - E - Mvto Cx'!BV14</f>
        <v>0</v>
      </c>
      <c r="O246" s="145">
        <f>'BD - E - Mvto Cx'!CE14</f>
        <v>0</v>
      </c>
      <c r="P246" s="145">
        <f>'BD - E - Mvto Cx'!CN14</f>
        <v>0</v>
      </c>
      <c r="Q246" s="145">
        <f>'BD - E - Mvto Cx'!CW14</f>
        <v>0</v>
      </c>
      <c r="R246" s="145">
        <f>'BD - E - Mvto Cx'!DF14</f>
        <v>0</v>
      </c>
    </row>
    <row r="247" spans="2:18">
      <c r="B247" s="61"/>
      <c r="C247" s="61"/>
      <c r="D247" s="61"/>
      <c r="E247" s="61"/>
      <c r="F247" s="60" t="s">
        <v>213</v>
      </c>
      <c r="G247" s="62">
        <f>G246-G245</f>
        <v>-6814345.2200000007</v>
      </c>
      <c r="H247" s="62">
        <f>H246-H245</f>
        <v>-370430.3599999994</v>
      </c>
      <c r="I247" s="62">
        <f>I246-I245</f>
        <v>-6524754.4400000004</v>
      </c>
      <c r="J247" s="62">
        <f>J246-J245</f>
        <v>-3530147.0900000003</v>
      </c>
      <c r="K247" s="62">
        <f t="shared" ref="K247:Q247" si="11">K246-K245</f>
        <v>0</v>
      </c>
      <c r="L247" s="62">
        <f t="shared" si="11"/>
        <v>0</v>
      </c>
      <c r="M247" s="62">
        <f t="shared" si="11"/>
        <v>0</v>
      </c>
      <c r="N247" s="62">
        <f>N246-N245</f>
        <v>0</v>
      </c>
      <c r="O247" s="62">
        <f>O246-O245</f>
        <v>0</v>
      </c>
      <c r="P247" s="62">
        <f>P246-P245</f>
        <v>0</v>
      </c>
      <c r="Q247" s="62">
        <f t="shared" si="11"/>
        <v>0</v>
      </c>
      <c r="R247" s="62">
        <f>R246-R245</f>
        <v>0</v>
      </c>
    </row>
    <row r="248" spans="2:18">
      <c r="B248" s="61"/>
      <c r="C248" s="61"/>
      <c r="D248" s="61"/>
      <c r="E248" s="61"/>
      <c r="F248" s="144" t="s">
        <v>30</v>
      </c>
      <c r="G248" s="142">
        <f>SUMIF($D$3:$D$240,"E",$G$3:$G$240)</f>
        <v>38147555.14000003</v>
      </c>
      <c r="H248" s="142">
        <f>SUMIF($D$3:$D$240,"E",$H$3:$H$240)</f>
        <v>27559093.68</v>
      </c>
      <c r="I248" s="143">
        <f>SUMIF($D$3:$D$240,"E",$I$3:$I$240)</f>
        <v>31345359.5</v>
      </c>
      <c r="J248" s="143">
        <f>SUMIF($D$3:$D$240,"E",$J$3:$J$240)</f>
        <v>28141305.68</v>
      </c>
      <c r="K248" s="143">
        <f>SUMIF($D$3:$D$240,"E",$K$3:$K$240)</f>
        <v>0</v>
      </c>
      <c r="L248" s="143">
        <f>SUMIF($D$3:$D$240,"E",$L$3:$L$240)</f>
        <v>0</v>
      </c>
      <c r="M248" s="143">
        <f>SUMIF($D$3:$D$240,"E",$M$3:$M$240)</f>
        <v>0</v>
      </c>
      <c r="N248" s="143">
        <f>SUMIF($D$3:$D$240,"E",$N$3:$N$240)</f>
        <v>0</v>
      </c>
      <c r="O248" s="143">
        <f>SUMIF($D$3:$D$240,"E",$O$3:$O$240)</f>
        <v>0</v>
      </c>
      <c r="P248" s="143">
        <f>SUMIF($D$3:$D$240,"E",$P$3:$P$240)</f>
        <v>0</v>
      </c>
      <c r="Q248" s="143">
        <f>SUMIF($D$3:$D$240,"E",$Q$3:$Q$240)</f>
        <v>0</v>
      </c>
      <c r="R248" s="143">
        <f>SUMIF($D$3:$D$240,"E",$R$3:$R$240)</f>
        <v>0</v>
      </c>
    </row>
    <row r="249" spans="2:18">
      <c r="B249" s="63"/>
      <c r="C249" s="63"/>
      <c r="D249" s="63"/>
      <c r="E249" s="63"/>
      <c r="F249" s="144" t="s">
        <v>27</v>
      </c>
      <c r="G249" s="142">
        <f>SUMIF($D$3:$D$240,"S",$G$3:$G$240)</f>
        <v>44961900.360000014</v>
      </c>
      <c r="H249" s="142">
        <f>SUMIF($D$3:$D$240,"S",$H$3:$H$240)</f>
        <v>27929524.040000021</v>
      </c>
      <c r="I249" s="143">
        <f>SUMIF($D$3:$D$240,"S",$I$3:$I$240)</f>
        <v>37870113.939999998</v>
      </c>
      <c r="J249" s="143">
        <f>SUMIF($D$3:$D$240,"S",$J$3:$J$240)</f>
        <v>31671452.769999996</v>
      </c>
      <c r="K249" s="143">
        <f>SUMIF($D$3:$D$240,"S",$K$3:$K$240)</f>
        <v>0</v>
      </c>
      <c r="L249" s="143">
        <f>SUMIF($D$3:$D$240,"S",$L$3:$L$240)</f>
        <v>0</v>
      </c>
      <c r="M249" s="143">
        <f>SUMIF($D$3:$D$240,"S",$M$3:$M$240)</f>
        <v>0</v>
      </c>
      <c r="N249" s="143">
        <f>SUMIF($D$3:$D$240,"S",$N$3:$N$240)</f>
        <v>0</v>
      </c>
      <c r="O249" s="143">
        <f>SUMIF($D$3:$D$240,"S",$O$3:$O$240)</f>
        <v>0</v>
      </c>
      <c r="P249" s="143">
        <f>SUMIF($D$3:$D$240,"S",$P$3:$P$240)</f>
        <v>0</v>
      </c>
      <c r="Q249" s="143">
        <f>SUMIF($D$3:$D$240,"S",$Q$3:$Q$240)</f>
        <v>0</v>
      </c>
      <c r="R249" s="143">
        <f>SUMIF($D$3:$D$240,"S",$R$3:$R$240)</f>
        <v>0</v>
      </c>
    </row>
    <row r="250" spans="2:18">
      <c r="B250" s="63"/>
      <c r="C250" s="63"/>
      <c r="D250" s="63"/>
      <c r="E250" s="63"/>
      <c r="F250" s="60" t="s">
        <v>213</v>
      </c>
      <c r="G250" s="62">
        <f>G248-G249</f>
        <v>-6814345.2199999839</v>
      </c>
      <c r="H250" s="62">
        <f>H248-H249</f>
        <v>-370430.36000002176</v>
      </c>
      <c r="I250" s="62">
        <f>I248-I249</f>
        <v>-6524754.4399999976</v>
      </c>
      <c r="J250" s="62">
        <f>J248-J249</f>
        <v>-3530147.0899999961</v>
      </c>
      <c r="K250" s="62">
        <f t="shared" ref="K250" si="12">K248-K249</f>
        <v>0</v>
      </c>
      <c r="L250" s="62">
        <f t="shared" ref="L250:Q250" si="13">L248-L249</f>
        <v>0</v>
      </c>
      <c r="M250" s="62">
        <f t="shared" si="13"/>
        <v>0</v>
      </c>
      <c r="N250" s="62">
        <f t="shared" si="13"/>
        <v>0</v>
      </c>
      <c r="O250" s="62">
        <f>O248-O249</f>
        <v>0</v>
      </c>
      <c r="P250" s="62">
        <f>P248-P249</f>
        <v>0</v>
      </c>
      <c r="Q250" s="62">
        <f t="shared" si="13"/>
        <v>0</v>
      </c>
      <c r="R250" s="62">
        <f t="shared" ref="R250" si="14">R248-R249</f>
        <v>0</v>
      </c>
    </row>
    <row r="251" spans="2:18">
      <c r="B251" s="63"/>
      <c r="C251" s="63"/>
      <c r="D251" s="63"/>
      <c r="E251" s="63"/>
      <c r="F251" s="60" t="s">
        <v>214</v>
      </c>
      <c r="G251" s="62">
        <f>G247-G250</f>
        <v>-1.6763806343078613E-8</v>
      </c>
      <c r="H251" s="62">
        <f>H247-H250</f>
        <v>2.2351741790771484E-8</v>
      </c>
      <c r="I251" s="62">
        <f>I247-I250</f>
        <v>0</v>
      </c>
      <c r="J251" s="62">
        <f>J247-J250</f>
        <v>-4.1909515857696533E-9</v>
      </c>
      <c r="K251" s="62">
        <f>K247-K250</f>
        <v>0</v>
      </c>
      <c r="L251" s="62">
        <f t="shared" ref="L251:M251" si="15">L247-L250</f>
        <v>0</v>
      </c>
      <c r="M251" s="34">
        <f t="shared" si="15"/>
        <v>0</v>
      </c>
      <c r="N251" s="62">
        <f>N247-N250</f>
        <v>0</v>
      </c>
      <c r="O251" s="62">
        <f>O247-O250</f>
        <v>0</v>
      </c>
      <c r="P251" s="62">
        <f>P247-P250</f>
        <v>0</v>
      </c>
      <c r="Q251" s="140">
        <f>Q247-Q250</f>
        <v>0</v>
      </c>
      <c r="R251" s="140">
        <f>R247-R250</f>
        <v>0</v>
      </c>
    </row>
    <row r="252" spans="2:18">
      <c r="B252" s="63"/>
      <c r="C252" s="63"/>
      <c r="D252" s="63"/>
      <c r="E252" s="63"/>
      <c r="F252" s="63"/>
      <c r="G252" s="64"/>
      <c r="H252" s="64"/>
      <c r="I252" s="64"/>
      <c r="J252" s="64"/>
      <c r="K252" s="64"/>
      <c r="L252" s="58"/>
      <c r="M252" s="58"/>
      <c r="N252" s="58"/>
      <c r="O252" s="58"/>
      <c r="P252" s="58"/>
      <c r="Q252" s="58"/>
      <c r="R252" s="58"/>
    </row>
    <row r="253" spans="2:18">
      <c r="B253" s="63"/>
      <c r="C253" s="63"/>
      <c r="D253" s="63"/>
      <c r="E253" s="63"/>
      <c r="F253" s="63"/>
      <c r="G253" s="65">
        <f>PALATO!C73</f>
        <v>-6814345.2199999979</v>
      </c>
      <c r="H253" s="65">
        <f>PALATO!I73</f>
        <v>-370430.35999999795</v>
      </c>
      <c r="I253" s="65">
        <f>PALATO!P73</f>
        <v>-6524754.4399999985</v>
      </c>
      <c r="J253" s="65">
        <f>PALATO!W73</f>
        <v>-3530147.0900000026</v>
      </c>
      <c r="K253" s="65">
        <f>PALATO!AD73</f>
        <v>0</v>
      </c>
      <c r="L253" s="65">
        <f>PALATO!AK73</f>
        <v>-1666.49</v>
      </c>
      <c r="M253" s="65">
        <f>PALATO!AR73</f>
        <v>0</v>
      </c>
      <c r="N253" s="65">
        <f>PALATO!AY73</f>
        <v>0</v>
      </c>
      <c r="O253" s="65">
        <f>PALATO!BF73</f>
        <v>0</v>
      </c>
      <c r="P253" s="65">
        <f>PALATO!BM73</f>
        <v>0</v>
      </c>
      <c r="Q253" s="65">
        <f>PALATO!BT73</f>
        <v>0</v>
      </c>
      <c r="R253" s="65">
        <f>PALATO!CA73</f>
        <v>0</v>
      </c>
    </row>
    <row r="254" spans="2:18">
      <c r="B254" s="63"/>
      <c r="C254" s="63"/>
      <c r="D254" s="63"/>
      <c r="E254" s="63"/>
      <c r="F254" s="63"/>
      <c r="G254" s="66"/>
      <c r="H254" s="66"/>
      <c r="I254" s="66"/>
      <c r="J254" s="66"/>
      <c r="K254" s="66"/>
      <c r="L254" s="58"/>
      <c r="M254" s="58"/>
      <c r="N254" s="58"/>
      <c r="O254" s="58"/>
      <c r="P254" s="58"/>
      <c r="Q254" s="58"/>
      <c r="R254" s="58"/>
    </row>
    <row r="255" spans="2:18">
      <c r="B255" s="63"/>
      <c r="C255" s="63"/>
      <c r="D255" s="63"/>
      <c r="E255" s="63"/>
      <c r="F255" s="63"/>
      <c r="G255" s="65">
        <f>G250-G253</f>
        <v>1.3969838619232178E-8</v>
      </c>
      <c r="H255" s="65">
        <f>H250-H253</f>
        <v>-2.380693331360817E-8</v>
      </c>
      <c r="I255" s="65">
        <f>I250-I253</f>
        <v>0</v>
      </c>
      <c r="J255" s="65">
        <f t="shared" ref="J255:M255" si="16">J250-J253</f>
        <v>6.5192580223083496E-9</v>
      </c>
      <c r="K255" s="65">
        <f t="shared" si="16"/>
        <v>0</v>
      </c>
      <c r="L255" s="65">
        <f t="shared" si="16"/>
        <v>1666.49</v>
      </c>
      <c r="M255" s="65">
        <f t="shared" si="16"/>
        <v>0</v>
      </c>
      <c r="N255" s="65">
        <f>N250-N253</f>
        <v>0</v>
      </c>
      <c r="O255" s="65">
        <f>O250-O253</f>
        <v>0</v>
      </c>
      <c r="P255" s="65">
        <f>P250-P253</f>
        <v>0</v>
      </c>
      <c r="Q255" s="65">
        <f>Q250-Q253</f>
        <v>0</v>
      </c>
      <c r="R255" s="65">
        <f>R250-R253</f>
        <v>0</v>
      </c>
    </row>
    <row r="256" spans="2:18">
      <c r="B256" s="63"/>
      <c r="C256" s="63"/>
      <c r="D256" s="63"/>
      <c r="E256" s="63"/>
      <c r="F256" s="63"/>
      <c r="G256" s="66"/>
      <c r="H256" s="66"/>
      <c r="I256" s="66"/>
      <c r="J256" s="66"/>
      <c r="K256" s="66"/>
      <c r="L256" s="58"/>
      <c r="M256" s="58"/>
      <c r="N256" s="58"/>
      <c r="O256" s="58"/>
      <c r="P256" s="58"/>
      <c r="Q256" s="58"/>
    </row>
    <row r="257" spans="2:18">
      <c r="B257" s="63"/>
      <c r="C257" s="63"/>
      <c r="D257" s="63"/>
      <c r="E257" s="63"/>
      <c r="F257" s="63"/>
      <c r="G257" s="67"/>
      <c r="H257" s="67"/>
      <c r="I257" s="67"/>
      <c r="J257" s="67"/>
      <c r="K257" s="67"/>
      <c r="L257" s="67"/>
      <c r="M257" s="67"/>
      <c r="N257" s="67"/>
      <c r="O257" s="67"/>
      <c r="P257" s="383"/>
      <c r="Q257" s="58"/>
      <c r="R257" s="383"/>
    </row>
    <row r="258" spans="2:18">
      <c r="B258" s="63"/>
      <c r="C258" s="63"/>
      <c r="D258" s="63"/>
      <c r="E258" s="63"/>
      <c r="F258" s="63"/>
      <c r="G258" s="66"/>
      <c r="H258" s="66"/>
      <c r="I258" s="66"/>
      <c r="J258" s="66"/>
      <c r="K258" s="66"/>
      <c r="L258" s="58"/>
      <c r="M258" s="58"/>
      <c r="N258" s="58"/>
      <c r="O258" s="58"/>
      <c r="P258" s="58"/>
      <c r="Q258" s="58"/>
    </row>
    <row r="259" spans="2:18">
      <c r="B259" s="63"/>
      <c r="C259" s="63"/>
      <c r="D259" s="63"/>
      <c r="E259" s="63"/>
      <c r="F259" s="63"/>
      <c r="G259" s="66"/>
      <c r="H259" s="67"/>
      <c r="I259" s="66"/>
      <c r="J259" s="66"/>
      <c r="K259" s="66"/>
      <c r="L259" s="58"/>
      <c r="M259" s="58"/>
      <c r="N259" s="58"/>
      <c r="O259" s="58"/>
      <c r="P259" s="58"/>
      <c r="Q259" s="58"/>
    </row>
    <row r="260" spans="2:18">
      <c r="B260" s="63"/>
      <c r="C260" s="63"/>
      <c r="D260" s="63"/>
      <c r="E260" s="63"/>
      <c r="F260" s="63"/>
      <c r="G260" s="66"/>
      <c r="H260" s="66"/>
      <c r="I260" s="66"/>
      <c r="J260" s="66"/>
      <c r="K260" s="66"/>
      <c r="L260" s="58"/>
      <c r="M260" s="58"/>
      <c r="N260" s="58"/>
      <c r="O260" s="58"/>
      <c r="P260" s="58"/>
      <c r="Q260" s="58"/>
    </row>
    <row r="262" spans="2:18">
      <c r="G262" s="307"/>
    </row>
    <row r="263" spans="2:18">
      <c r="G263" s="175"/>
    </row>
    <row r="264" spans="2:18">
      <c r="G264" s="306"/>
    </row>
    <row r="265" spans="2:18">
      <c r="G265" s="306"/>
    </row>
  </sheetData>
  <autoFilter ref="B2:R240" xr:uid="{00000000-0009-0000-0000-000004000000}"/>
  <sortState xmlns:xlrd2="http://schemas.microsoft.com/office/spreadsheetml/2017/richdata2" ref="H86:I205">
    <sortCondition ref="H86:H205"/>
  </sortState>
  <phoneticPr fontId="60" type="noConversion"/>
  <conditionalFormatting sqref="H245:R245">
    <cfRule type="cellIs" dxfId="2" priority="1" operator="equal">
      <formula>G$246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0B09"/>
  </sheetPr>
  <dimension ref="C1:S162"/>
  <sheetViews>
    <sheetView showGridLines="0" topLeftCell="C1" zoomScaleNormal="100" workbookViewId="0">
      <selection activeCell="F3" sqref="F3"/>
    </sheetView>
  </sheetViews>
  <sheetFormatPr defaultColWidth="9" defaultRowHeight="14.4"/>
  <cols>
    <col min="2" max="2" width="1.88671875" customWidth="1"/>
    <col min="3" max="3" width="12.88671875" customWidth="1"/>
    <col min="4" max="4" width="13.5546875" style="7" customWidth="1"/>
    <col min="5" max="5" width="13.5546875" style="7" bestFit="1" customWidth="1"/>
    <col min="6" max="6" width="64.33203125" style="11" bestFit="1" customWidth="1"/>
    <col min="7" max="7" width="13.33203125" style="7" bestFit="1" customWidth="1"/>
    <col min="8" max="8" width="13.5546875" style="32" bestFit="1" customWidth="1"/>
    <col min="9" max="9" width="14.33203125" style="9" bestFit="1" customWidth="1"/>
    <col min="10" max="10" width="13.44140625" style="10" customWidth="1"/>
    <col min="11" max="11" width="13.44140625" style="9" customWidth="1"/>
    <col min="12" max="15" width="13.44140625" style="1" customWidth="1"/>
    <col min="16" max="18" width="13.44140625" style="2" customWidth="1"/>
    <col min="19" max="19" width="15.5546875" style="2" customWidth="1"/>
    <col min="20" max="1008" width="8.5546875" customWidth="1"/>
  </cols>
  <sheetData>
    <row r="1" spans="3:19">
      <c r="C1" s="7" t="s">
        <v>427</v>
      </c>
      <c r="E1" s="11"/>
      <c r="F1" s="7"/>
      <c r="G1" s="31"/>
      <c r="H1" s="6"/>
      <c r="I1" s="3"/>
      <c r="J1" s="6"/>
      <c r="K1" s="4"/>
      <c r="O1" s="5"/>
      <c r="S1"/>
    </row>
    <row r="2" spans="3:19">
      <c r="C2" s="77" t="s">
        <v>346</v>
      </c>
      <c r="D2" s="77" t="s">
        <v>0</v>
      </c>
      <c r="E2" s="78" t="s">
        <v>1</v>
      </c>
      <c r="F2" s="77" t="s">
        <v>2</v>
      </c>
      <c r="G2" s="76" t="s">
        <v>46</v>
      </c>
      <c r="H2" s="76" t="s">
        <v>47</v>
      </c>
      <c r="I2" s="21" t="s">
        <v>48</v>
      </c>
      <c r="J2" s="23" t="s">
        <v>49</v>
      </c>
      <c r="K2" s="23" t="s">
        <v>50</v>
      </c>
      <c r="L2" s="23" t="s">
        <v>51</v>
      </c>
      <c r="M2" s="18" t="s">
        <v>52</v>
      </c>
      <c r="N2" s="23" t="s">
        <v>53</v>
      </c>
      <c r="O2" s="23" t="s">
        <v>54</v>
      </c>
      <c r="P2" s="21" t="s">
        <v>55</v>
      </c>
      <c r="Q2" s="23" t="s">
        <v>56</v>
      </c>
      <c r="R2" s="25" t="s">
        <v>57</v>
      </c>
      <c r="S2"/>
    </row>
    <row r="3" spans="3:19">
      <c r="C3" s="79" t="s">
        <v>347</v>
      </c>
      <c r="D3" s="81" t="s">
        <v>338</v>
      </c>
      <c r="E3" s="97">
        <v>113101</v>
      </c>
      <c r="F3" s="90" t="s">
        <v>262</v>
      </c>
      <c r="G3" s="24">
        <f>IFERROR(VLOOKUP(Tabela3[[#This Row],[Conta]],'BD - E - Despesas'!$A$15:$E$500,5,0),0)</f>
        <v>326.01</v>
      </c>
      <c r="H3" s="24">
        <f>IFERROR(VLOOKUP(Tabela3[[#This Row],[Conta]],'BD - E - Despesas'!$J$15:$N$500,5,0),0)</f>
        <v>11.75</v>
      </c>
      <c r="I3" s="24">
        <f>IFERROR(VLOOKUP(Tabela3[[#This Row],[Conta]],'BD - E - Despesas'!$S$15:$W$500,5,0),0)</f>
        <v>37.520000000000003</v>
      </c>
      <c r="J3" s="24">
        <f>IFERROR(VLOOKUP(Tabela3[[#This Row],[Conta]],'BD - E - Despesas'!$AB$15:$AF$500,5,0),0)</f>
        <v>1822.73</v>
      </c>
      <c r="K3" s="24">
        <f>IFERROR(VLOOKUP(Tabela3[[#This Row],[Conta]],'BD - E - Despesas'!$AK$15:$AO$500,5,0),0)</f>
        <v>0</v>
      </c>
      <c r="L3" s="24">
        <f>IFERROR(VLOOKUP(Tabela3[[#This Row],[Conta]],'BD - E - Despesas'!$AT$15:$AX$500,5,0),0)</f>
        <v>0</v>
      </c>
      <c r="M3" s="24">
        <f>IFERROR(VLOOKUP(Tabela3[[#This Row],[Conta]],'BD - E - Despesas'!$BC$15:$BG$500,5,0),0)</f>
        <v>0</v>
      </c>
      <c r="N3" s="24">
        <f>IFERROR(VLOOKUP(Tabela3[[#This Row],[Conta]],'BD - E - Despesas'!$BL$15:$BP$500,5,0),0)</f>
        <v>0</v>
      </c>
      <c r="O3" s="24">
        <f>IFERROR(VLOOKUP(Tabela3[[#This Row],[Conta]],'BD - E - Despesas'!$BU$15:$BY$500,5,0),0)</f>
        <v>0</v>
      </c>
      <c r="P3" s="24">
        <f>IFERROR(VLOOKUP(Tabela3[[#This Row],[Conta]],'BD - E - Despesas'!$CD$15:$CH$500,5,0),0)</f>
        <v>0</v>
      </c>
      <c r="Q3" s="24">
        <f>IFERROR(VLOOKUP(Tabela3[[#This Row],[Conta]],'BD - E - Despesas'!$CM$15:$CQ$500,5,0),0)</f>
        <v>0</v>
      </c>
      <c r="R3" s="24">
        <f>IFERROR(VLOOKUP(Tabela3[[#This Row],[Conta]],'BD - E - Despesas'!$CV$15:$CZ$500,5,0),0)</f>
        <v>0</v>
      </c>
      <c r="S3"/>
    </row>
    <row r="4" spans="3:19">
      <c r="C4" s="79" t="s">
        <v>347</v>
      </c>
      <c r="D4" s="81" t="s">
        <v>385</v>
      </c>
      <c r="E4" s="85">
        <v>114798</v>
      </c>
      <c r="F4" s="82" t="s">
        <v>104</v>
      </c>
      <c r="G4" s="12">
        <f>IFERROR(VLOOKUP(Tabela3[[#This Row],[Conta]],'BD - E - Despesas'!$A$15:$E$500,5,0),0)</f>
        <v>0</v>
      </c>
      <c r="H4" s="24">
        <f>IFERROR(VLOOKUP(Tabela3[[#This Row],[Conta]],'BD - E - Despesas'!$J$15:$N$500,5,0),0)</f>
        <v>0</v>
      </c>
      <c r="I4" s="24">
        <f>IFERROR(VLOOKUP(Tabela3[[#This Row],[Conta]],'BD - E - Despesas'!$S$15:$W$500,5,0),0)</f>
        <v>0</v>
      </c>
      <c r="J4" s="24">
        <f>IFERROR(VLOOKUP(Tabela3[[#This Row],[Conta]],'BD - E - Despesas'!$AB$15:$AF$500,5,0),0)</f>
        <v>0</v>
      </c>
      <c r="K4" s="24">
        <f>IFERROR(VLOOKUP(Tabela3[[#This Row],[Conta]],'BD - E - Despesas'!$AK$15:$AO$500,5,0),0)</f>
        <v>0</v>
      </c>
      <c r="L4" s="24">
        <f>IFERROR(VLOOKUP(Tabela3[[#This Row],[Conta]],'BD - E - Despesas'!$AT$15:$AX$500,5,0),0)</f>
        <v>0</v>
      </c>
      <c r="M4" s="24">
        <f>IFERROR(VLOOKUP(Tabela3[[#This Row],[Conta]],'BD - E - Despesas'!$BC$15:$BG$500,5,0),0)</f>
        <v>0</v>
      </c>
      <c r="N4" s="24">
        <f>IFERROR(VLOOKUP(Tabela3[[#This Row],[Conta]],'BD - E - Despesas'!$BL$15:$BP$500,5,0),0)</f>
        <v>0</v>
      </c>
      <c r="O4" s="24">
        <f>IFERROR(VLOOKUP(Tabela3[[#This Row],[Conta]],'BD - E - Despesas'!$BU$15:$BY$500,5,0),0)</f>
        <v>0</v>
      </c>
      <c r="P4" s="24">
        <f>IFERROR(VLOOKUP(Tabela3[[#This Row],[Conta]],'BD - E - Despesas'!$CD$15:$CH$500,5,0),0)</f>
        <v>0</v>
      </c>
      <c r="Q4" s="24">
        <f>IFERROR(VLOOKUP(Tabela3[[#This Row],[Conta]],'BD - E - Despesas'!$CM$15:$CQ$500,5,0),0)</f>
        <v>0</v>
      </c>
      <c r="R4" s="24">
        <f>IFERROR(VLOOKUP(Tabela3[[#This Row],[Conta]],'BD - E - Despesas'!$CV$15:$CZ$500,5,0),0)</f>
        <v>0</v>
      </c>
      <c r="S4"/>
    </row>
    <row r="5" spans="3:19">
      <c r="C5" s="79" t="s">
        <v>349</v>
      </c>
      <c r="D5" s="81" t="s">
        <v>352</v>
      </c>
      <c r="E5" s="85">
        <v>116106</v>
      </c>
      <c r="F5" s="83" t="s">
        <v>352</v>
      </c>
      <c r="G5" s="13">
        <f>IFERROR(VLOOKUP(Tabela3[[#This Row],[Conta]],'BD - E - Despesas'!$A$15:$E$500,5,0),0)</f>
        <v>334677.89</v>
      </c>
      <c r="H5" s="24">
        <f>IFERROR(VLOOKUP(Tabela3[[#This Row],[Conta]],'BD - E - Despesas'!$J$15:$N$500,5,0),0)</f>
        <v>221990.41</v>
      </c>
      <c r="I5" s="24">
        <f>IFERROR(VLOOKUP(Tabela3[[#This Row],[Conta]],'BD - E - Despesas'!$S$15:$W$500,5,0),0)</f>
        <v>231841.41</v>
      </c>
      <c r="J5" s="24">
        <f>IFERROR(VLOOKUP(Tabela3[[#This Row],[Conta]],'BD - E - Despesas'!$AB$15:$AF$500,5,0),0)</f>
        <v>301218.78999999998</v>
      </c>
      <c r="K5" s="24">
        <f>IFERROR(VLOOKUP(Tabela3[[#This Row],[Conta]],'BD - E - Despesas'!$AK$15:$AO$500,5,0),0)</f>
        <v>0</v>
      </c>
      <c r="L5" s="24">
        <f>IFERROR(VLOOKUP(Tabela3[[#This Row],[Conta]],'BD - E - Despesas'!$AT$15:$AX$500,5,0),0)</f>
        <v>0</v>
      </c>
      <c r="M5" s="24">
        <f>IFERROR(VLOOKUP(Tabela3[[#This Row],[Conta]],'BD - E - Despesas'!$BC$15:$BG$500,5,0),0)</f>
        <v>0</v>
      </c>
      <c r="N5" s="24">
        <f>IFERROR(VLOOKUP(Tabela3[[#This Row],[Conta]],'BD - E - Despesas'!$BL$15:$BP$500,5,0),0)</f>
        <v>0</v>
      </c>
      <c r="O5" s="24">
        <f>IFERROR(VLOOKUP(Tabela3[[#This Row],[Conta]],'BD - E - Despesas'!$BU$15:$BY$500,5,0),0)</f>
        <v>0</v>
      </c>
      <c r="P5" s="24">
        <f>IFERROR(VLOOKUP(Tabela3[[#This Row],[Conta]],'BD - E - Despesas'!$CD$15:$CH$500,5,0),0)</f>
        <v>0</v>
      </c>
      <c r="Q5" s="24">
        <f>IFERROR(VLOOKUP(Tabela3[[#This Row],[Conta]],'BD - E - Despesas'!$CM$15:$CQ$500,5,0),0)</f>
        <v>0</v>
      </c>
      <c r="R5" s="24">
        <f>IFERROR(VLOOKUP(Tabela3[[#This Row],[Conta]],'BD - E - Despesas'!$CV$15:$CZ$500,5,0),0)</f>
        <v>0</v>
      </c>
      <c r="S5"/>
    </row>
    <row r="6" spans="3:19">
      <c r="C6" s="79" t="s">
        <v>349</v>
      </c>
      <c r="D6" s="81" t="s">
        <v>352</v>
      </c>
      <c r="E6" s="85">
        <v>116112</v>
      </c>
      <c r="F6" s="82" t="s">
        <v>263</v>
      </c>
      <c r="G6" s="12">
        <f>IFERROR(VLOOKUP(Tabela3[[#This Row],[Conta]],'BD - E - Despesas'!$A$15:$E$500,5,0),0)</f>
        <v>74.12</v>
      </c>
      <c r="H6" s="24">
        <f>IFERROR(VLOOKUP(Tabela3[[#This Row],[Conta]],'BD - E - Despesas'!$J$15:$N$500,5,0),0)</f>
        <v>141.35</v>
      </c>
      <c r="I6" s="24">
        <f>IFERROR(VLOOKUP(Tabela3[[#This Row],[Conta]],'BD - E - Despesas'!$S$15:$W$500,5,0),0)</f>
        <v>0</v>
      </c>
      <c r="J6" s="24">
        <f>IFERROR(VLOOKUP(Tabela3[[#This Row],[Conta]],'BD - E - Despesas'!$AB$15:$AF$500,5,0),0)</f>
        <v>4734.5200000000004</v>
      </c>
      <c r="K6" s="24">
        <f>IFERROR(VLOOKUP(Tabela3[[#This Row],[Conta]],'BD - E - Despesas'!$AK$15:$AO$500,5,0),0)</f>
        <v>0</v>
      </c>
      <c r="L6" s="24">
        <f>IFERROR(VLOOKUP(Tabela3[[#This Row],[Conta]],'BD - E - Despesas'!$AT$15:$AX$500,5,0),0)</f>
        <v>0</v>
      </c>
      <c r="M6" s="24">
        <f>IFERROR(VLOOKUP(Tabela3[[#This Row],[Conta]],'BD - E - Despesas'!$BC$15:$BG$500,5,0),0)</f>
        <v>0</v>
      </c>
      <c r="N6" s="24">
        <f>IFERROR(VLOOKUP(Tabela3[[#This Row],[Conta]],'BD - E - Despesas'!$BL$15:$BP$500,5,0),0)</f>
        <v>0</v>
      </c>
      <c r="O6" s="24">
        <f>IFERROR(VLOOKUP(Tabela3[[#This Row],[Conta]],'BD - E - Despesas'!$BU$15:$BY$500,5,0),0)</f>
        <v>0</v>
      </c>
      <c r="P6" s="24">
        <f>IFERROR(VLOOKUP(Tabela3[[#This Row],[Conta]],'BD - E - Despesas'!$CD$15:$CH$500,5,0),0)</f>
        <v>0</v>
      </c>
      <c r="Q6" s="24">
        <f>IFERROR(VLOOKUP(Tabela3[[#This Row],[Conta]],'BD - E - Despesas'!$CM$15:$CQ$500,5,0),0)</f>
        <v>0</v>
      </c>
      <c r="R6" s="24">
        <f>IFERROR(VLOOKUP(Tabela3[[#This Row],[Conta]],'BD - E - Despesas'!$CV$15:$CZ$500,5,0),0)</f>
        <v>0</v>
      </c>
      <c r="S6"/>
    </row>
    <row r="7" spans="3:19">
      <c r="C7" s="79" t="s">
        <v>349</v>
      </c>
      <c r="D7" s="81" t="s">
        <v>352</v>
      </c>
      <c r="E7" s="85">
        <v>116193</v>
      </c>
      <c r="F7" s="82" t="s">
        <v>264</v>
      </c>
      <c r="G7" s="12">
        <f>IFERROR(VLOOKUP(Tabela3[[#This Row],[Conta]],'BD - E - Despesas'!$A$15:$E$500,5,0),0)</f>
        <v>4280</v>
      </c>
      <c r="H7" s="24">
        <f>IFERROR(VLOOKUP(Tabela3[[#This Row],[Conta]],'BD - E - Despesas'!$J$15:$N$500,5,0),0)</f>
        <v>15970</v>
      </c>
      <c r="I7" s="24">
        <f>IFERROR(VLOOKUP(Tabela3[[#This Row],[Conta]],'BD - E - Despesas'!$S$15:$W$500,5,0),0)</f>
        <v>6970</v>
      </c>
      <c r="J7" s="24">
        <f>IFERROR(VLOOKUP(Tabela3[[#This Row],[Conta]],'BD - E - Despesas'!$AB$15:$AF$500,5,0),0)</f>
        <v>23810</v>
      </c>
      <c r="K7" s="24">
        <f>IFERROR(VLOOKUP(Tabela3[[#This Row],[Conta]],'BD - E - Despesas'!$AK$15:$AO$500,5,0),0)</f>
        <v>0</v>
      </c>
      <c r="L7" s="24">
        <f>IFERROR(VLOOKUP(Tabela3[[#This Row],[Conta]],'BD - E - Despesas'!$AT$15:$AX$500,5,0),0)</f>
        <v>0</v>
      </c>
      <c r="M7" s="24">
        <f>IFERROR(VLOOKUP(Tabela3[[#This Row],[Conta]],'BD - E - Despesas'!$BC$15:$BG$500,5,0),0)</f>
        <v>0</v>
      </c>
      <c r="N7" s="24">
        <f>IFERROR(VLOOKUP(Tabela3[[#This Row],[Conta]],'BD - E - Despesas'!$BL$15:$BP$500,5,0),0)</f>
        <v>0</v>
      </c>
      <c r="O7" s="24">
        <f>IFERROR(VLOOKUP(Tabela3[[#This Row],[Conta]],'BD - E - Despesas'!$BU$15:$BY$500,5,0),0)</f>
        <v>0</v>
      </c>
      <c r="P7" s="24">
        <f>IFERROR(VLOOKUP(Tabela3[[#This Row],[Conta]],'BD - E - Despesas'!$CD$15:$CH$500,5,0),0)</f>
        <v>0</v>
      </c>
      <c r="Q7" s="24">
        <f>IFERROR(VLOOKUP(Tabela3[[#This Row],[Conta]],'BD - E - Despesas'!$CM$15:$CQ$500,5,0),0)</f>
        <v>0</v>
      </c>
      <c r="R7" s="24">
        <f>IFERROR(VLOOKUP(Tabela3[[#This Row],[Conta]],'BD - E - Despesas'!$CV$15:$CZ$500,5,0),0)</f>
        <v>0</v>
      </c>
      <c r="S7"/>
    </row>
    <row r="8" spans="3:19">
      <c r="C8" s="79" t="s">
        <v>349</v>
      </c>
      <c r="D8" s="81" t="s">
        <v>352</v>
      </c>
      <c r="E8" s="85">
        <v>116301</v>
      </c>
      <c r="F8" s="82" t="s">
        <v>265</v>
      </c>
      <c r="G8" s="13">
        <f>IFERROR(VLOOKUP(Tabela3[[#This Row],[Conta]],'BD - E - Despesas'!$A$15:$E$500,5,0),0)</f>
        <v>83360.740000000005</v>
      </c>
      <c r="H8" s="24">
        <f>IFERROR(VLOOKUP(Tabela3[[#This Row],[Conta]],'BD - E - Despesas'!$J$15:$N$500,5,0),0)</f>
        <v>40307.449999999997</v>
      </c>
      <c r="I8" s="24">
        <f>IFERROR(VLOOKUP(Tabela3[[#This Row],[Conta]],'BD - E - Despesas'!$S$15:$W$500,5,0),0)</f>
        <v>54308.05</v>
      </c>
      <c r="J8" s="24">
        <f>IFERROR(VLOOKUP(Tabela3[[#This Row],[Conta]],'BD - E - Despesas'!$AB$15:$AF$500,5,0),0)</f>
        <v>29496.59</v>
      </c>
      <c r="K8" s="24">
        <f>IFERROR(VLOOKUP(Tabela3[[#This Row],[Conta]],'BD - E - Despesas'!$AK$15:$AO$500,5,0),0)</f>
        <v>0</v>
      </c>
      <c r="L8" s="24">
        <f>IFERROR(VLOOKUP(Tabela3[[#This Row],[Conta]],'BD - E - Despesas'!$AT$15:$AX$500,5,0),0)</f>
        <v>0</v>
      </c>
      <c r="M8" s="24">
        <f>IFERROR(VLOOKUP(Tabela3[[#This Row],[Conta]],'BD - E - Despesas'!$BC$15:$BG$500,5,0),0)</f>
        <v>0</v>
      </c>
      <c r="N8" s="24">
        <f>IFERROR(VLOOKUP(Tabela3[[#This Row],[Conta]],'BD - E - Despesas'!$BL$15:$BP$500,5,0),0)</f>
        <v>0</v>
      </c>
      <c r="O8" s="24">
        <f>IFERROR(VLOOKUP(Tabela3[[#This Row],[Conta]],'BD - E - Despesas'!$BU$15:$BY$500,5,0),0)</f>
        <v>0</v>
      </c>
      <c r="P8" s="24">
        <f>IFERROR(VLOOKUP(Tabela3[[#This Row],[Conta]],'BD - E - Despesas'!$CD$15:$CH$500,5,0),0)</f>
        <v>0</v>
      </c>
      <c r="Q8" s="24">
        <f>IFERROR(VLOOKUP(Tabela3[[#This Row],[Conta]],'BD - E - Despesas'!$CM$15:$CQ$500,5,0),0)</f>
        <v>0</v>
      </c>
      <c r="R8" s="24">
        <f>IFERROR(VLOOKUP(Tabela3[[#This Row],[Conta]],'BD - E - Despesas'!$CV$15:$CZ$500,5,0),0)</f>
        <v>0</v>
      </c>
      <c r="S8"/>
    </row>
    <row r="9" spans="3:19">
      <c r="C9" s="79" t="s">
        <v>349</v>
      </c>
      <c r="D9" s="81" t="s">
        <v>352</v>
      </c>
      <c r="E9" s="85">
        <v>116306</v>
      </c>
      <c r="F9" s="82" t="s">
        <v>1177</v>
      </c>
      <c r="G9" s="13">
        <f>IFERROR(VLOOKUP(Tabela3[[#This Row],[Conta]],'BD - E - Despesas'!$A$15:$E$500,5,0),0)</f>
        <v>0</v>
      </c>
      <c r="H9" s="24">
        <f>IFERROR(VLOOKUP(Tabela3[[#This Row],[Conta]],'BD - E - Despesas'!$J$15:$N$500,5,0),0)</f>
        <v>0</v>
      </c>
      <c r="I9" s="24">
        <f>IFERROR(VLOOKUP(Tabela3[[#This Row],[Conta]],'BD - E - Despesas'!$S$15:$W$500,5,0),0)</f>
        <v>0</v>
      </c>
      <c r="J9" s="24">
        <f>IFERROR(VLOOKUP(Tabela3[[#This Row],[Conta]],'BD - E - Despesas'!$AB$15:$AF$500,5,0),0)</f>
        <v>15601.82</v>
      </c>
      <c r="K9" s="24">
        <f>IFERROR(VLOOKUP(Tabela3[[#This Row],[Conta]],'BD - E - Despesas'!$AK$15:$AO$500,5,0),0)</f>
        <v>0</v>
      </c>
      <c r="L9" s="24">
        <f>IFERROR(VLOOKUP(Tabela3[[#This Row],[Conta]],'BD - E - Despesas'!$AT$15:$AX$500,5,0),0)</f>
        <v>0</v>
      </c>
      <c r="M9" s="24">
        <f>IFERROR(VLOOKUP(Tabela3[[#This Row],[Conta]],'BD - E - Despesas'!$BC$15:$BG$500,5,0),0)</f>
        <v>0</v>
      </c>
      <c r="N9" s="24">
        <f>IFERROR(VLOOKUP(Tabela3[[#This Row],[Conta]],'BD - E - Despesas'!$BL$15:$BP$500,5,0),0)</f>
        <v>0</v>
      </c>
      <c r="O9" s="24">
        <f>IFERROR(VLOOKUP(Tabela3[[#This Row],[Conta]],'BD - E - Despesas'!$BU$15:$BY$500,5,0),0)</f>
        <v>0</v>
      </c>
      <c r="P9" s="24">
        <f>IFERROR(VLOOKUP(Tabela3[[#This Row],[Conta]],'BD - E - Despesas'!$CD$15:$CH$500,5,0),0)</f>
        <v>0</v>
      </c>
      <c r="Q9" s="24">
        <f>IFERROR(VLOOKUP(Tabela3[[#This Row],[Conta]],'BD - E - Despesas'!$CM$15:$CQ$500,5,0),0)</f>
        <v>0</v>
      </c>
      <c r="R9" s="24">
        <f>IFERROR(VLOOKUP(Tabela3[[#This Row],[Conta]],'BD - E - Despesas'!$CV$15:$CZ$500,5,0),0)</f>
        <v>0</v>
      </c>
      <c r="S9"/>
    </row>
    <row r="10" spans="3:19">
      <c r="C10" s="79" t="s">
        <v>348</v>
      </c>
      <c r="D10" s="81" t="s">
        <v>266</v>
      </c>
      <c r="E10" s="85">
        <v>116401</v>
      </c>
      <c r="F10" s="82" t="s">
        <v>266</v>
      </c>
      <c r="G10" s="13">
        <f>IFERROR(VLOOKUP(Tabela3[[#This Row],[Conta]],'BD - E - Despesas'!$A$15:$E$500,5,0),0)</f>
        <v>214871.96</v>
      </c>
      <c r="H10" s="24">
        <f>IFERROR(VLOOKUP(Tabela3[[#This Row],[Conta]],'BD - E - Despesas'!$J$15:$N$500,5,0),0)</f>
        <v>159181.85</v>
      </c>
      <c r="I10" s="24">
        <f>IFERROR(VLOOKUP(Tabela3[[#This Row],[Conta]],'BD - E - Despesas'!$S$15:$W$500,5,0),0)</f>
        <v>183249.46</v>
      </c>
      <c r="J10" s="24">
        <f>IFERROR(VLOOKUP(Tabela3[[#This Row],[Conta]],'BD - E - Despesas'!$AB$15:$AF$500,5,0),0)</f>
        <v>151331.75</v>
      </c>
      <c r="K10" s="24">
        <f>IFERROR(VLOOKUP(Tabela3[[#This Row],[Conta]],'BD - E - Despesas'!$AK$15:$AO$500,5,0),0)</f>
        <v>0</v>
      </c>
      <c r="L10" s="24">
        <f>IFERROR(VLOOKUP(Tabela3[[#This Row],[Conta]],'BD - E - Despesas'!$AT$15:$AX$500,5,0),0)</f>
        <v>0</v>
      </c>
      <c r="M10" s="24">
        <f>IFERROR(VLOOKUP(Tabela3[[#This Row],[Conta]],'BD - E - Despesas'!$BC$15:$BG$500,5,0),0)</f>
        <v>0</v>
      </c>
      <c r="N10" s="24">
        <f>IFERROR(VLOOKUP(Tabela3[[#This Row],[Conta]],'BD - E - Despesas'!$BL$15:$BP$500,5,0),0)</f>
        <v>0</v>
      </c>
      <c r="O10" s="24">
        <f>IFERROR(VLOOKUP(Tabela3[[#This Row],[Conta]],'BD - E - Despesas'!$BU$15:$BY$500,5,0),0)</f>
        <v>0</v>
      </c>
      <c r="P10" s="24">
        <f>IFERROR(VLOOKUP(Tabela3[[#This Row],[Conta]],'BD - E - Despesas'!$CD$15:$CH$500,5,0),0)</f>
        <v>0</v>
      </c>
      <c r="Q10" s="24">
        <f>IFERROR(VLOOKUP(Tabela3[[#This Row],[Conta]],'BD - E - Despesas'!$CM$15:$CQ$500,5,0),0)</f>
        <v>0</v>
      </c>
      <c r="R10" s="24">
        <f>IFERROR(VLOOKUP(Tabela3[[#This Row],[Conta]],'BD - E - Despesas'!$CV$15:$CZ$500,5,0),0)</f>
        <v>0</v>
      </c>
      <c r="S10"/>
    </row>
    <row r="11" spans="3:19">
      <c r="C11" s="79" t="s">
        <v>349</v>
      </c>
      <c r="D11" s="81" t="s">
        <v>352</v>
      </c>
      <c r="E11" s="85">
        <v>116701</v>
      </c>
      <c r="F11" s="82" t="s">
        <v>267</v>
      </c>
      <c r="G11" s="12">
        <f>IFERROR(VLOOKUP(Tabela3[[#This Row],[Conta]],'BD - E - Despesas'!$A$15:$E$500,5,0),0)</f>
        <v>130808.22</v>
      </c>
      <c r="H11" s="24">
        <f>IFERROR(VLOOKUP(Tabela3[[#This Row],[Conta]],'BD - E - Despesas'!$J$15:$N$500,5,0),0)</f>
        <v>72144.740000000005</v>
      </c>
      <c r="I11" s="24">
        <f>IFERROR(VLOOKUP(Tabela3[[#This Row],[Conta]],'BD - E - Despesas'!$S$15:$W$500,5,0),0)</f>
        <v>89689.65</v>
      </c>
      <c r="J11" s="24">
        <f>IFERROR(VLOOKUP(Tabela3[[#This Row],[Conta]],'BD - E - Despesas'!$AB$15:$AF$500,5,0),0)</f>
        <v>81463.58</v>
      </c>
      <c r="K11" s="24">
        <f>IFERROR(VLOOKUP(Tabela3[[#This Row],[Conta]],'BD - E - Despesas'!$AK$15:$AO$500,5,0),0)</f>
        <v>0</v>
      </c>
      <c r="L11" s="24">
        <f>IFERROR(VLOOKUP(Tabela3[[#This Row],[Conta]],'BD - E - Despesas'!$AT$15:$AX$500,5,0),0)</f>
        <v>0</v>
      </c>
      <c r="M11" s="24">
        <f>IFERROR(VLOOKUP(Tabela3[[#This Row],[Conta]],'BD - E - Despesas'!$BC$15:$BG$500,5,0),0)</f>
        <v>0</v>
      </c>
      <c r="N11" s="24">
        <f>IFERROR(VLOOKUP(Tabela3[[#This Row],[Conta]],'BD - E - Despesas'!$BL$15:$BP$500,5,0),0)</f>
        <v>0</v>
      </c>
      <c r="O11" s="24">
        <f>IFERROR(VLOOKUP(Tabela3[[#This Row],[Conta]],'BD - E - Despesas'!$BU$15:$BY$500,5,0),0)</f>
        <v>0</v>
      </c>
      <c r="P11" s="24">
        <f>IFERROR(VLOOKUP(Tabela3[[#This Row],[Conta]],'BD - E - Despesas'!$CD$15:$CH$500,5,0),0)</f>
        <v>0</v>
      </c>
      <c r="Q11" s="24">
        <f>IFERROR(VLOOKUP(Tabela3[[#This Row],[Conta]],'BD - E - Despesas'!$CM$15:$CQ$500,5,0),0)</f>
        <v>0</v>
      </c>
      <c r="R11" s="24">
        <f>IFERROR(VLOOKUP(Tabela3[[#This Row],[Conta]],'BD - E - Despesas'!$CV$15:$CZ$500,5,0),0)</f>
        <v>0</v>
      </c>
      <c r="S11"/>
    </row>
    <row r="12" spans="3:19">
      <c r="C12" s="455" t="s">
        <v>349</v>
      </c>
      <c r="D12" s="457" t="s">
        <v>352</v>
      </c>
      <c r="E12" s="85">
        <v>116702</v>
      </c>
      <c r="F12" s="82" t="s">
        <v>508</v>
      </c>
      <c r="G12" s="12">
        <f>IFERROR(VLOOKUP(Tabela3[[#This Row],[Conta]],'BD - E - Despesas'!$A$15:$E$500,5,0),0)</f>
        <v>0</v>
      </c>
      <c r="H12" s="24">
        <f>IFERROR(VLOOKUP(Tabela3[[#This Row],[Conta]],'BD - E - Despesas'!$J$15:$N$500,5,0),0)</f>
        <v>0</v>
      </c>
      <c r="I12" s="24">
        <f>IFERROR(VLOOKUP(Tabela3[[#This Row],[Conta]],'BD - E - Despesas'!$S$15:$W$500,5,0),0)</f>
        <v>0</v>
      </c>
      <c r="J12" s="24">
        <f>IFERROR(VLOOKUP(Tabela3[[#This Row],[Conta]],'BD - E - Despesas'!$AB$15:$AF$500,5,0),0)</f>
        <v>0</v>
      </c>
      <c r="K12" s="24">
        <f>IFERROR(VLOOKUP(Tabela3[[#This Row],[Conta]],'BD - E - Despesas'!$AK$15:$AO$500,5,0),0)</f>
        <v>0</v>
      </c>
      <c r="L12" s="24">
        <f>IFERROR(VLOOKUP(Tabela3[[#This Row],[Conta]],'BD - E - Despesas'!$AT$15:$AX$500,5,0),0)</f>
        <v>0</v>
      </c>
      <c r="M12" s="24">
        <f>IFERROR(VLOOKUP(Tabela3[[#This Row],[Conta]],'BD - E - Despesas'!$BC$15:$BG$500,5,0),0)</f>
        <v>0</v>
      </c>
      <c r="N12" s="24">
        <f>IFERROR(VLOOKUP(Tabela3[[#This Row],[Conta]],'BD - E - Despesas'!$BL$15:$BP$500,5,0),0)</f>
        <v>0</v>
      </c>
      <c r="O12" s="24">
        <f>IFERROR(VLOOKUP(Tabela3[[#This Row],[Conta]],'BD - E - Despesas'!$BU$15:$BY$500,5,0),0)</f>
        <v>0</v>
      </c>
      <c r="P12" s="24">
        <f>IFERROR(VLOOKUP(Tabela3[[#This Row],[Conta]],'BD - E - Despesas'!$CD$15:$CH$500,5,0),0)</f>
        <v>0</v>
      </c>
      <c r="Q12" s="24">
        <f>IFERROR(VLOOKUP(Tabela3[[#This Row],[Conta]],'BD - E - Despesas'!$CM$15:$CQ$500,5,0),0)</f>
        <v>0</v>
      </c>
      <c r="R12" s="24">
        <f>IFERROR(VLOOKUP(Tabela3[[#This Row],[Conta]],'BD - E - Despesas'!$CV$15:$CZ$500,5,0),0)</f>
        <v>0</v>
      </c>
      <c r="S12"/>
    </row>
    <row r="13" spans="3:19">
      <c r="C13" s="79" t="s">
        <v>347</v>
      </c>
      <c r="D13" s="81" t="s">
        <v>338</v>
      </c>
      <c r="E13" s="85">
        <v>119102</v>
      </c>
      <c r="F13" s="82" t="s">
        <v>372</v>
      </c>
      <c r="G13" s="12">
        <f>IFERROR(VLOOKUP(Tabela3[[#This Row],[Conta]],'BD - E - Despesas'!$A$15:$E$500,5,0),0)</f>
        <v>1941.36</v>
      </c>
      <c r="H13" s="24">
        <f>IFERROR(VLOOKUP(Tabela3[[#This Row],[Conta]],'BD - E - Despesas'!$J$15:$N$500,5,0),0)</f>
        <v>4323.46</v>
      </c>
      <c r="I13" s="24">
        <f>IFERROR(VLOOKUP(Tabela3[[#This Row],[Conta]],'BD - E - Despesas'!$S$15:$W$500,5,0),0)</f>
        <v>3755.86</v>
      </c>
      <c r="J13" s="24">
        <f>IFERROR(VLOOKUP(Tabela3[[#This Row],[Conta]],'BD - E - Despesas'!$AB$15:$AF$500,5,0),0)</f>
        <v>18756.349999999999</v>
      </c>
      <c r="K13" s="24">
        <f>IFERROR(VLOOKUP(Tabela3[[#This Row],[Conta]],'BD - E - Despesas'!$AK$15:$AO$500,5,0),0)</f>
        <v>0</v>
      </c>
      <c r="L13" s="24">
        <f>IFERROR(VLOOKUP(Tabela3[[#This Row],[Conta]],'BD - E - Despesas'!$AT$15:$AX$500,5,0),0)</f>
        <v>0</v>
      </c>
      <c r="M13" s="24">
        <f>IFERROR(VLOOKUP(Tabela3[[#This Row],[Conta]],'BD - E - Despesas'!$BC$15:$BG$500,5,0),0)</f>
        <v>0</v>
      </c>
      <c r="N13" s="24">
        <f>IFERROR(VLOOKUP(Tabela3[[#This Row],[Conta]],'BD - E - Despesas'!$BL$15:$BP$500,5,0),0)</f>
        <v>0</v>
      </c>
      <c r="O13" s="24">
        <f>IFERROR(VLOOKUP(Tabela3[[#This Row],[Conta]],'BD - E - Despesas'!$BU$15:$BY$500,5,0),0)</f>
        <v>0</v>
      </c>
      <c r="P13" s="24">
        <f>IFERROR(VLOOKUP(Tabela3[[#This Row],[Conta]],'BD - E - Despesas'!$CD$15:$CH$500,5,0),0)</f>
        <v>0</v>
      </c>
      <c r="Q13" s="24">
        <f>IFERROR(VLOOKUP(Tabela3[[#This Row],[Conta]],'BD - E - Despesas'!$CM$15:$CQ$500,5,0),0)</f>
        <v>0</v>
      </c>
      <c r="R13" s="24">
        <f>IFERROR(VLOOKUP(Tabela3[[#This Row],[Conta]],'BD - E - Despesas'!$CV$15:$CZ$500,5,0),0)</f>
        <v>0</v>
      </c>
      <c r="S13"/>
    </row>
    <row r="14" spans="3:19">
      <c r="C14" s="79" t="s">
        <v>347</v>
      </c>
      <c r="D14" s="80" t="s">
        <v>8</v>
      </c>
      <c r="E14" s="98">
        <v>119103</v>
      </c>
      <c r="F14" s="82" t="s">
        <v>130</v>
      </c>
      <c r="G14" s="13">
        <f>IFERROR(VLOOKUP(Tabela3[[#This Row],[Conta]],'BD - E - Despesas'!$A$15:$E$500,5,0),0)</f>
        <v>107758.53</v>
      </c>
      <c r="H14" s="24">
        <f>IFERROR(VLOOKUP(Tabela3[[#This Row],[Conta]],'BD - E - Despesas'!$J$15:$N$500,5,0),0)</f>
        <v>105449.51</v>
      </c>
      <c r="I14" s="24">
        <f>IFERROR(VLOOKUP(Tabela3[[#This Row],[Conta]],'BD - E - Despesas'!$S$15:$W$500,5,0),0)</f>
        <v>113361.37</v>
      </c>
      <c r="J14" s="24">
        <f>IFERROR(VLOOKUP(Tabela3[[#This Row],[Conta]],'BD - E - Despesas'!$AB$15:$AF$500,5,0),0)</f>
        <v>103854.33</v>
      </c>
      <c r="K14" s="24">
        <f>IFERROR(VLOOKUP(Tabela3[[#This Row],[Conta]],'BD - E - Despesas'!$AK$15:$AO$500,5,0),0)</f>
        <v>0</v>
      </c>
      <c r="L14" s="24">
        <f>IFERROR(VLOOKUP(Tabela3[[#This Row],[Conta]],'BD - E - Despesas'!$AT$15:$AX$500,5,0),0)</f>
        <v>0</v>
      </c>
      <c r="M14" s="24">
        <f>IFERROR(VLOOKUP(Tabela3[[#This Row],[Conta]],'BD - E - Despesas'!$BC$15:$BG$500,5,0),0)</f>
        <v>0</v>
      </c>
      <c r="N14" s="24">
        <f>IFERROR(VLOOKUP(Tabela3[[#This Row],[Conta]],'BD - E - Despesas'!$BL$15:$BP$500,5,0),0)</f>
        <v>0</v>
      </c>
      <c r="O14" s="24">
        <f>IFERROR(VLOOKUP(Tabela3[[#This Row],[Conta]],'BD - E - Despesas'!$BU$15:$BY$500,5,0),0)</f>
        <v>0</v>
      </c>
      <c r="P14" s="24">
        <f>IFERROR(VLOOKUP(Tabela3[[#This Row],[Conta]],'BD - E - Despesas'!$CD$15:$CH$500,5,0),0)</f>
        <v>0</v>
      </c>
      <c r="Q14" s="24">
        <f>IFERROR(VLOOKUP(Tabela3[[#This Row],[Conta]],'BD - E - Despesas'!$CM$15:$CQ$500,5,0),0)</f>
        <v>0</v>
      </c>
      <c r="R14" s="24">
        <f>IFERROR(VLOOKUP(Tabela3[[#This Row],[Conta]],'BD - E - Despesas'!$CV$15:$CZ$500,5,0),0)</f>
        <v>0</v>
      </c>
      <c r="S14"/>
    </row>
    <row r="15" spans="3:19">
      <c r="C15" s="79" t="s">
        <v>347</v>
      </c>
      <c r="D15" s="80" t="s">
        <v>8</v>
      </c>
      <c r="E15" s="98">
        <v>119105</v>
      </c>
      <c r="F15" s="82" t="s">
        <v>756</v>
      </c>
      <c r="G15" s="13">
        <f>IFERROR(VLOOKUP(Tabela3[[#This Row],[Conta]],'BD - E - Despesas'!$A$15:$E$500,5,0),0)</f>
        <v>0</v>
      </c>
      <c r="H15" s="24">
        <f>IFERROR(VLOOKUP(Tabela3[[#This Row],[Conta]],'BD - E - Despesas'!$J$15:$N$500,5,0),0)</f>
        <v>2052</v>
      </c>
      <c r="I15" s="24">
        <f>IFERROR(VLOOKUP(Tabela3[[#This Row],[Conta]],'BD - E - Despesas'!$S$15:$W$500,5,0),0)</f>
        <v>0</v>
      </c>
      <c r="J15" s="24">
        <f>IFERROR(VLOOKUP(Tabela3[[#This Row],[Conta]],'BD - E - Despesas'!$AB$15:$AF$500,5,0),0)</f>
        <v>456</v>
      </c>
      <c r="K15" s="24">
        <f>IFERROR(VLOOKUP(Tabela3[[#This Row],[Conta]],'BD - E - Despesas'!$AK$15:$AO$500,5,0),0)</f>
        <v>0</v>
      </c>
      <c r="L15" s="24">
        <f>IFERROR(VLOOKUP(Tabela3[[#This Row],[Conta]],'BD - E - Despesas'!$AT$15:$AX$500,5,0),0)</f>
        <v>0</v>
      </c>
      <c r="M15" s="24">
        <f>IFERROR(VLOOKUP(Tabela3[[#This Row],[Conta]],'BD - E - Despesas'!$BC$15:$BG$500,5,0),0)</f>
        <v>0</v>
      </c>
      <c r="N15" s="24">
        <f>IFERROR(VLOOKUP(Tabela3[[#This Row],[Conta]],'BD - E - Despesas'!$BL$15:$BP$500,5,0),0)</f>
        <v>0</v>
      </c>
      <c r="O15" s="24">
        <f>IFERROR(VLOOKUP(Tabela3[[#This Row],[Conta]],'BD - E - Despesas'!$BU$15:$BY$500,5,0),0)</f>
        <v>0</v>
      </c>
      <c r="P15" s="24">
        <f>IFERROR(VLOOKUP(Tabela3[[#This Row],[Conta]],'BD - E - Despesas'!$CD$15:$CH$500,5,0),0)</f>
        <v>0</v>
      </c>
      <c r="Q15" s="24">
        <f>IFERROR(VLOOKUP(Tabela3[[#This Row],[Conta]],'BD - E - Despesas'!$CM$15:$CQ$500,5,0),0)</f>
        <v>0</v>
      </c>
      <c r="R15" s="24">
        <f>IFERROR(VLOOKUP(Tabela3[[#This Row],[Conta]],'BD - E - Despesas'!$CV$15:$CZ$500,5,0),0)</f>
        <v>0</v>
      </c>
      <c r="S15"/>
    </row>
    <row r="16" spans="3:19">
      <c r="C16" s="79" t="s">
        <v>347</v>
      </c>
      <c r="D16" s="80" t="s">
        <v>8</v>
      </c>
      <c r="E16" s="98">
        <v>124103</v>
      </c>
      <c r="F16" s="82" t="s">
        <v>526</v>
      </c>
      <c r="G16" s="13">
        <f>IFERROR(VLOOKUP(Tabela3[[#This Row],[Conta]],'BD - E - Despesas'!$A$15:$E$500,5,0),0)</f>
        <v>0</v>
      </c>
      <c r="H16" s="24">
        <f>IFERROR(VLOOKUP(Tabela3[[#This Row],[Conta]],'BD - E - Despesas'!$J$15:$N$500,5,0),0)</f>
        <v>20813.830000000002</v>
      </c>
      <c r="I16" s="24">
        <f>IFERROR(VLOOKUP(Tabela3[[#This Row],[Conta]],'BD - E - Despesas'!$S$15:$W$500,5,0),0)</f>
        <v>0</v>
      </c>
      <c r="J16" s="24">
        <f>IFERROR(VLOOKUP(Tabela3[[#This Row],[Conta]],'BD - E - Despesas'!$AB$15:$AF$500,5,0),0)</f>
        <v>13829.84</v>
      </c>
      <c r="K16" s="24">
        <f>IFERROR(VLOOKUP(Tabela3[[#This Row],[Conta]],'BD - E - Despesas'!$AK$15:$AO$500,5,0),0)</f>
        <v>0</v>
      </c>
      <c r="L16" s="24">
        <f>IFERROR(VLOOKUP(Tabela3[[#This Row],[Conta]],'BD - E - Despesas'!$AT$15:$AX$500,5,0),0)</f>
        <v>0</v>
      </c>
      <c r="M16" s="24">
        <f>IFERROR(VLOOKUP(Tabela3[[#This Row],[Conta]],'BD - E - Despesas'!$BC$15:$BG$500,5,0),0)</f>
        <v>0</v>
      </c>
      <c r="N16" s="24">
        <f>IFERROR(VLOOKUP(Tabela3[[#This Row],[Conta]],'BD - E - Despesas'!$BL$15:$BP$500,5,0),0)</f>
        <v>0</v>
      </c>
      <c r="O16" s="24">
        <f>IFERROR(VLOOKUP(Tabela3[[#This Row],[Conta]],'BD - E - Despesas'!$BU$15:$BY$500,5,0),0)</f>
        <v>0</v>
      </c>
      <c r="P16" s="24">
        <f>IFERROR(VLOOKUP(Tabela3[[#This Row],[Conta]],'BD - E - Despesas'!$CD$15:$CH$500,5,0),0)</f>
        <v>0</v>
      </c>
      <c r="Q16" s="24">
        <f>IFERROR(VLOOKUP(Tabela3[[#This Row],[Conta]],'BD - E - Despesas'!$CM$15:$CQ$500,5,0),0)</f>
        <v>0</v>
      </c>
      <c r="R16" s="24">
        <f>IFERROR(VLOOKUP(Tabela3[[#This Row],[Conta]],'BD - E - Despesas'!$CV$15:$CZ$500,5,0),0)</f>
        <v>0</v>
      </c>
      <c r="S16"/>
    </row>
    <row r="17" spans="3:19">
      <c r="C17" s="79" t="s">
        <v>350</v>
      </c>
      <c r="D17" s="80" t="s">
        <v>360</v>
      </c>
      <c r="E17" s="98">
        <v>128104</v>
      </c>
      <c r="F17" s="82" t="s">
        <v>268</v>
      </c>
      <c r="G17" s="19">
        <f>IFERROR(VLOOKUP(Tabela3[[#This Row],[Conta]],'BD - E - Despesas'!$A$15:$E$500,5,0),0)</f>
        <v>0</v>
      </c>
      <c r="H17" s="24">
        <f>IFERROR(VLOOKUP(Tabela3[[#This Row],[Conta]],'BD - E - Despesas'!$J$15:$N$500,5,0),0)</f>
        <v>0</v>
      </c>
      <c r="I17" s="24">
        <f>IFERROR(VLOOKUP(Tabela3[[#This Row],[Conta]],'BD - E - Despesas'!$S$15:$W$500,5,0),0)</f>
        <v>0</v>
      </c>
      <c r="J17" s="24">
        <f>IFERROR(VLOOKUP(Tabela3[[#This Row],[Conta]],'BD - E - Despesas'!$AB$15:$AF$500,5,0),0)</f>
        <v>1832.52</v>
      </c>
      <c r="K17" s="24">
        <f>IFERROR(VLOOKUP(Tabela3[[#This Row],[Conta]],'BD - E - Despesas'!$AK$15:$AO$500,5,0),0)</f>
        <v>0</v>
      </c>
      <c r="L17" s="24">
        <f>IFERROR(VLOOKUP(Tabela3[[#This Row],[Conta]],'BD - E - Despesas'!$AT$15:$AX$500,5,0),0)</f>
        <v>0</v>
      </c>
      <c r="M17" s="24">
        <f>IFERROR(VLOOKUP(Tabela3[[#This Row],[Conta]],'BD - E - Despesas'!$BC$15:$BG$500,5,0),0)</f>
        <v>0</v>
      </c>
      <c r="N17" s="24">
        <f>IFERROR(VLOOKUP(Tabela3[[#This Row],[Conta]],'BD - E - Despesas'!$BL$15:$BP$500,5,0),0)</f>
        <v>0</v>
      </c>
      <c r="O17" s="24">
        <f>IFERROR(VLOOKUP(Tabela3[[#This Row],[Conta]],'BD - E - Despesas'!$BU$15:$BY$500,5,0),0)</f>
        <v>0</v>
      </c>
      <c r="P17" s="24">
        <f>IFERROR(VLOOKUP(Tabela3[[#This Row],[Conta]],'BD - E - Despesas'!$CD$15:$CH$500,5,0),0)</f>
        <v>0</v>
      </c>
      <c r="Q17" s="24">
        <f>IFERROR(VLOOKUP(Tabela3[[#This Row],[Conta]],'BD - E - Despesas'!$CM$15:$CQ$500,5,0),0)</f>
        <v>0</v>
      </c>
      <c r="R17" s="24">
        <f>IFERROR(VLOOKUP(Tabela3[[#This Row],[Conta]],'BD - E - Despesas'!$CV$15:$CZ$500,5,0),0)</f>
        <v>0</v>
      </c>
      <c r="S17"/>
    </row>
    <row r="18" spans="3:19">
      <c r="C18" s="84" t="s">
        <v>384</v>
      </c>
      <c r="D18" s="80" t="s">
        <v>360</v>
      </c>
      <c r="E18" s="98">
        <v>128501</v>
      </c>
      <c r="F18" s="82" t="s">
        <v>269</v>
      </c>
      <c r="G18" s="19">
        <f>IFERROR(VLOOKUP(Tabela3[[#This Row],[Conta]],'BD - E - Despesas'!$A$15:$E$500,5,0),0)</f>
        <v>0</v>
      </c>
      <c r="H18" s="24">
        <f>IFERROR(VLOOKUP(Tabela3[[#This Row],[Conta]],'BD - E - Despesas'!$J$15:$N$500,5,0),0)</f>
        <v>0</v>
      </c>
      <c r="I18" s="24">
        <f>IFERROR(VLOOKUP(Tabela3[[#This Row],[Conta]],'BD - E - Despesas'!$S$15:$W$500,5,0),0)</f>
        <v>0</v>
      </c>
      <c r="J18" s="24">
        <f>IFERROR(VLOOKUP(Tabela3[[#This Row],[Conta]],'BD - E - Despesas'!$AB$15:$AF$500,5,0),0)</f>
        <v>0</v>
      </c>
      <c r="K18" s="24">
        <f>IFERROR(VLOOKUP(Tabela3[[#This Row],[Conta]],'BD - E - Despesas'!$AK$15:$AO$500,5,0),0)</f>
        <v>0</v>
      </c>
      <c r="L18" s="24">
        <f>IFERROR(VLOOKUP(Tabela3[[#This Row],[Conta]],'BD - E - Despesas'!$AT$15:$AX$500,5,0),0)</f>
        <v>0</v>
      </c>
      <c r="M18" s="24">
        <f>IFERROR(VLOOKUP(Tabela3[[#This Row],[Conta]],'BD - E - Despesas'!$BC$15:$BG$500,5,0),0)</f>
        <v>0</v>
      </c>
      <c r="N18" s="24">
        <f>IFERROR(VLOOKUP(Tabela3[[#This Row],[Conta]],'BD - E - Despesas'!$BL$15:$BP$500,5,0),0)</f>
        <v>0</v>
      </c>
      <c r="O18" s="24">
        <f>IFERROR(VLOOKUP(Tabela3[[#This Row],[Conta]],'BD - E - Despesas'!$BU$15:$BY$500,5,0),0)</f>
        <v>0</v>
      </c>
      <c r="P18" s="24">
        <f>IFERROR(VLOOKUP(Tabela3[[#This Row],[Conta]],'BD - E - Despesas'!$CD$15:$CH$500,5,0),0)</f>
        <v>0</v>
      </c>
      <c r="Q18" s="24">
        <f>IFERROR(VLOOKUP(Tabela3[[#This Row],[Conta]],'BD - E - Despesas'!$CM$15:$CQ$500,5,0),0)</f>
        <v>0</v>
      </c>
      <c r="R18" s="24">
        <f>IFERROR(VLOOKUP(Tabela3[[#This Row],[Conta]],'BD - E - Despesas'!$CV$15:$CZ$500,5,0),0)</f>
        <v>0</v>
      </c>
      <c r="S18"/>
    </row>
    <row r="19" spans="3:19">
      <c r="C19" s="84" t="s">
        <v>384</v>
      </c>
      <c r="D19" s="80" t="s">
        <v>360</v>
      </c>
      <c r="E19" s="98">
        <v>128502</v>
      </c>
      <c r="F19" s="82" t="s">
        <v>270</v>
      </c>
      <c r="G19" s="19">
        <f>IFERROR(VLOOKUP(Tabela3[[#This Row],[Conta]],'BD - E - Despesas'!$A$15:$E$500,5,0),0)</f>
        <v>335535.95</v>
      </c>
      <c r="H19" s="24">
        <f>IFERROR(VLOOKUP(Tabela3[[#This Row],[Conta]],'BD - E - Despesas'!$J$15:$N$500,5,0),0)</f>
        <v>341111.4</v>
      </c>
      <c r="I19" s="24">
        <f>IFERROR(VLOOKUP(Tabela3[[#This Row],[Conta]],'BD - E - Despesas'!$S$15:$W$500,5,0),0)</f>
        <v>1124593.53</v>
      </c>
      <c r="J19" s="24">
        <f>IFERROR(VLOOKUP(Tabela3[[#This Row],[Conta]],'BD - E - Despesas'!$AB$15:$AF$500,5,0),0)</f>
        <v>999093.5</v>
      </c>
      <c r="K19" s="24">
        <f>IFERROR(VLOOKUP(Tabela3[[#This Row],[Conta]],'BD - E - Despesas'!$AK$15:$AO$500,5,0),0)</f>
        <v>0</v>
      </c>
      <c r="L19" s="24">
        <f>IFERROR(VLOOKUP(Tabela3[[#This Row],[Conta]],'BD - E - Despesas'!$AT$15:$AX$500,5,0),0)</f>
        <v>0</v>
      </c>
      <c r="M19" s="24">
        <f>IFERROR(VLOOKUP(Tabela3[[#This Row],[Conta]],'BD - E - Despesas'!$BC$15:$BG$500,5,0),0)</f>
        <v>0</v>
      </c>
      <c r="N19" s="24">
        <f>IFERROR(VLOOKUP(Tabela3[[#This Row],[Conta]],'BD - E - Despesas'!$BL$15:$BP$500,5,0),0)</f>
        <v>0</v>
      </c>
      <c r="O19" s="24">
        <f>IFERROR(VLOOKUP(Tabela3[[#This Row],[Conta]],'BD - E - Despesas'!$BU$15:$BY$500,5,0),0)</f>
        <v>0</v>
      </c>
      <c r="P19" s="24">
        <f>IFERROR(VLOOKUP(Tabela3[[#This Row],[Conta]],'BD - E - Despesas'!$CD$15:$CH$500,5,0),0)</f>
        <v>0</v>
      </c>
      <c r="Q19" s="24">
        <f>IFERROR(VLOOKUP(Tabela3[[#This Row],[Conta]],'BD - E - Despesas'!$CM$15:$CQ$500,5,0),0)</f>
        <v>0</v>
      </c>
      <c r="R19" s="24">
        <f>IFERROR(VLOOKUP(Tabela3[[#This Row],[Conta]],'BD - E - Despesas'!$CV$15:$CZ$500,5,0),0)</f>
        <v>0</v>
      </c>
      <c r="S19"/>
    </row>
    <row r="20" spans="3:19">
      <c r="C20" s="84" t="s">
        <v>384</v>
      </c>
      <c r="D20" s="80" t="s">
        <v>360</v>
      </c>
      <c r="E20" s="98">
        <v>128504</v>
      </c>
      <c r="F20" s="82" t="s">
        <v>271</v>
      </c>
      <c r="G20" s="19">
        <f>IFERROR(VLOOKUP(Tabela3[[#This Row],[Conta]],'BD - E - Despesas'!$A$15:$E$500,5,0),0)</f>
        <v>4400</v>
      </c>
      <c r="H20" s="24">
        <f>IFERROR(VLOOKUP(Tabela3[[#This Row],[Conta]],'BD - E - Despesas'!$J$15:$N$500,5,0),0)</f>
        <v>0</v>
      </c>
      <c r="I20" s="24">
        <f>IFERROR(VLOOKUP(Tabela3[[#This Row],[Conta]],'BD - E - Despesas'!$S$15:$W$500,5,0),0)</f>
        <v>12978.95</v>
      </c>
      <c r="J20" s="24">
        <f>IFERROR(VLOOKUP(Tabela3[[#This Row],[Conta]],'BD - E - Despesas'!$AB$15:$AF$500,5,0),0)</f>
        <v>12978.95</v>
      </c>
      <c r="K20" s="24">
        <f>IFERROR(VLOOKUP(Tabela3[[#This Row],[Conta]],'BD - E - Despesas'!$AK$15:$AO$500,5,0),0)</f>
        <v>0</v>
      </c>
      <c r="L20" s="24">
        <f>IFERROR(VLOOKUP(Tabela3[[#This Row],[Conta]],'BD - E - Despesas'!$AT$15:$AX$500,5,0),0)</f>
        <v>0</v>
      </c>
      <c r="M20" s="24">
        <f>IFERROR(VLOOKUP(Tabela3[[#This Row],[Conta]],'BD - E - Despesas'!$BC$15:$BG$500,5,0),0)</f>
        <v>0</v>
      </c>
      <c r="N20" s="24">
        <f>IFERROR(VLOOKUP(Tabela3[[#This Row],[Conta]],'BD - E - Despesas'!$BL$15:$BP$500,5,0),0)</f>
        <v>0</v>
      </c>
      <c r="O20" s="24">
        <f>IFERROR(VLOOKUP(Tabela3[[#This Row],[Conta]],'BD - E - Despesas'!$BU$15:$BY$500,5,0),0)</f>
        <v>0</v>
      </c>
      <c r="P20" s="24">
        <f>IFERROR(VLOOKUP(Tabela3[[#This Row],[Conta]],'BD - E - Despesas'!$CD$15:$CH$500,5,0),0)</f>
        <v>0</v>
      </c>
      <c r="Q20" s="24">
        <f>IFERROR(VLOOKUP(Tabela3[[#This Row],[Conta]],'BD - E - Despesas'!$CM$15:$CQ$500,5,0),0)</f>
        <v>0</v>
      </c>
      <c r="R20" s="24">
        <f>IFERROR(VLOOKUP(Tabela3[[#This Row],[Conta]],'BD - E - Despesas'!$CV$15:$CZ$500,5,0),0)</f>
        <v>0</v>
      </c>
      <c r="S20"/>
    </row>
    <row r="21" spans="3:19">
      <c r="C21" s="84" t="s">
        <v>384</v>
      </c>
      <c r="D21" s="80" t="s">
        <v>360</v>
      </c>
      <c r="E21" s="98">
        <v>128801</v>
      </c>
      <c r="F21" s="82" t="s">
        <v>492</v>
      </c>
      <c r="G21" s="19">
        <f>IFERROR(VLOOKUP(Tabela3[[#This Row],[Conta]],'BD - E - Despesas'!$A$15:$E$500,5,0),0)</f>
        <v>59622.81</v>
      </c>
      <c r="H21" s="24">
        <f>IFERROR(VLOOKUP(Tabela3[[#This Row],[Conta]],'BD - E - Despesas'!$J$15:$N$500,5,0),0)</f>
        <v>1019.1</v>
      </c>
      <c r="I21" s="24">
        <f>IFERROR(VLOOKUP(Tabela3[[#This Row],[Conta]],'BD - E - Despesas'!$S$15:$W$500,5,0),0)</f>
        <v>7949.51</v>
      </c>
      <c r="J21" s="24">
        <f>IFERROR(VLOOKUP(Tabela3[[#This Row],[Conta]],'BD - E - Despesas'!$AB$15:$AF$500,5,0),0)</f>
        <v>875.05</v>
      </c>
      <c r="K21" s="24">
        <f>IFERROR(VLOOKUP(Tabela3[[#This Row],[Conta]],'BD - E - Despesas'!$AK$15:$AO$500,5,0),0)</f>
        <v>0</v>
      </c>
      <c r="L21" s="24">
        <f>IFERROR(VLOOKUP(Tabela3[[#This Row],[Conta]],'BD - E - Despesas'!$AT$15:$AX$500,5,0),0)</f>
        <v>0</v>
      </c>
      <c r="M21" s="24">
        <f>IFERROR(VLOOKUP(Tabela3[[#This Row],[Conta]],'BD - E - Despesas'!$BC$15:$BG$500,5,0),0)</f>
        <v>0</v>
      </c>
      <c r="N21" s="24">
        <f>IFERROR(VLOOKUP(Tabela3[[#This Row],[Conta]],'BD - E - Despesas'!$BL$15:$BP$500,5,0),0)</f>
        <v>0</v>
      </c>
      <c r="O21" s="24">
        <f>IFERROR(VLOOKUP(Tabela3[[#This Row],[Conta]],'BD - E - Despesas'!$BU$15:$BY$500,5,0),0)</f>
        <v>0</v>
      </c>
      <c r="P21" s="24">
        <f>IFERROR(VLOOKUP(Tabela3[[#This Row],[Conta]],'BD - E - Despesas'!$CD$15:$CH$500,5,0),0)</f>
        <v>0</v>
      </c>
      <c r="Q21" s="24">
        <f>IFERROR(VLOOKUP(Tabela3[[#This Row],[Conta]],'BD - E - Despesas'!$CM$15:$CQ$500,5,0),0)</f>
        <v>0</v>
      </c>
      <c r="R21" s="24">
        <f>IFERROR(VLOOKUP(Tabela3[[#This Row],[Conta]],'BD - E - Despesas'!$CV$15:$CZ$500,5,0),0)</f>
        <v>0</v>
      </c>
      <c r="S21"/>
    </row>
    <row r="22" spans="3:19">
      <c r="C22" s="79" t="s">
        <v>347</v>
      </c>
      <c r="D22" s="80" t="s">
        <v>8</v>
      </c>
      <c r="E22" s="98">
        <v>215323</v>
      </c>
      <c r="F22" s="82" t="s">
        <v>272</v>
      </c>
      <c r="G22" s="19">
        <f>IFERROR(VLOOKUP(Tabela3[[#This Row],[Conta]],'BD - E - Despesas'!$A$15:$E$500,5,0),0)</f>
        <v>84219.01</v>
      </c>
      <c r="H22" s="24">
        <f>IFERROR(VLOOKUP(Tabela3[[#This Row],[Conta]],'BD - E - Despesas'!$J$15:$N$500,5,0),0)</f>
        <v>63385.85</v>
      </c>
      <c r="I22" s="24">
        <f>IFERROR(VLOOKUP(Tabela3[[#This Row],[Conta]],'BD - E - Despesas'!$S$15:$W$500,5,0),0)</f>
        <v>78911.67</v>
      </c>
      <c r="J22" s="24">
        <f>IFERROR(VLOOKUP(Tabela3[[#This Row],[Conta]],'BD - E - Despesas'!$AB$15:$AF$500,5,0),0)</f>
        <v>82547.710000000006</v>
      </c>
      <c r="K22" s="24">
        <f>IFERROR(VLOOKUP(Tabela3[[#This Row],[Conta]],'BD - E - Despesas'!$AK$15:$AO$500,5,0),0)</f>
        <v>0</v>
      </c>
      <c r="L22" s="24">
        <f>IFERROR(VLOOKUP(Tabela3[[#This Row],[Conta]],'BD - E - Despesas'!$AT$15:$AX$500,5,0),0)</f>
        <v>0</v>
      </c>
      <c r="M22" s="24">
        <f>IFERROR(VLOOKUP(Tabela3[[#This Row],[Conta]],'BD - E - Despesas'!$BC$15:$BG$500,5,0),0)</f>
        <v>0</v>
      </c>
      <c r="N22" s="24">
        <f>IFERROR(VLOOKUP(Tabela3[[#This Row],[Conta]],'BD - E - Despesas'!$BL$15:$BP$500,5,0),0)</f>
        <v>0</v>
      </c>
      <c r="O22" s="24">
        <f>IFERROR(VLOOKUP(Tabela3[[#This Row],[Conta]],'BD - E - Despesas'!$BU$15:$BY$500,5,0),0)</f>
        <v>0</v>
      </c>
      <c r="P22" s="24">
        <f>IFERROR(VLOOKUP(Tabela3[[#This Row],[Conta]],'BD - E - Despesas'!$CD$15:$CH$500,5,0),0)</f>
        <v>0</v>
      </c>
      <c r="Q22" s="24">
        <f>IFERROR(VLOOKUP(Tabela3[[#This Row],[Conta]],'BD - E - Despesas'!$CM$15:$CQ$500,5,0),0)</f>
        <v>0</v>
      </c>
      <c r="R22" s="24">
        <f>IFERROR(VLOOKUP(Tabela3[[#This Row],[Conta]],'BD - E - Despesas'!$CV$15:$CZ$500,5,0),0)</f>
        <v>0</v>
      </c>
      <c r="S22"/>
    </row>
    <row r="23" spans="3:19">
      <c r="C23" s="79" t="s">
        <v>349</v>
      </c>
      <c r="D23" s="81" t="s">
        <v>352</v>
      </c>
      <c r="E23" s="98">
        <v>321101</v>
      </c>
      <c r="F23" s="82" t="s">
        <v>490</v>
      </c>
      <c r="G23" s="19">
        <f>IFERROR(VLOOKUP(Tabela3[[#This Row],[Conta]],'BD - E - Despesas'!$A$15:$E$500,5,0),0)</f>
        <v>0</v>
      </c>
      <c r="H23" s="24">
        <f>IFERROR(VLOOKUP(Tabela3[[#This Row],[Conta]],'BD - E - Despesas'!$J$15:$N$500,5,0),0)</f>
        <v>0</v>
      </c>
      <c r="I23" s="24">
        <f>IFERROR(VLOOKUP(Tabela3[[#This Row],[Conta]],'BD - E - Despesas'!$S$15:$W$500,5,0),0)</f>
        <v>0</v>
      </c>
      <c r="J23" s="24">
        <f>IFERROR(VLOOKUP(Tabela3[[#This Row],[Conta]],'BD - E - Despesas'!$AB$15:$AF$500,5,0),0)</f>
        <v>0</v>
      </c>
      <c r="K23" s="24">
        <f>IFERROR(VLOOKUP(Tabela3[[#This Row],[Conta]],'BD - E - Despesas'!$AK$15:$AO$500,5,0),0)</f>
        <v>0</v>
      </c>
      <c r="L23" s="24">
        <f>IFERROR(VLOOKUP(Tabela3[[#This Row],[Conta]],'BD - E - Despesas'!$AT$15:$AX$500,5,0),0)</f>
        <v>0</v>
      </c>
      <c r="M23" s="24">
        <f>IFERROR(VLOOKUP(Tabela3[[#This Row],[Conta]],'BD - E - Despesas'!$BC$15:$BG$500,5,0),0)</f>
        <v>0</v>
      </c>
      <c r="N23" s="24">
        <f>IFERROR(VLOOKUP(Tabela3[[#This Row],[Conta]],'BD - E - Despesas'!$BL$15:$BP$500,5,0),0)</f>
        <v>0</v>
      </c>
      <c r="O23" s="24">
        <f>IFERROR(VLOOKUP(Tabela3[[#This Row],[Conta]],'BD - E - Despesas'!$BU$15:$BY$500,5,0),0)</f>
        <v>0</v>
      </c>
      <c r="P23" s="24">
        <f>IFERROR(VLOOKUP(Tabela3[[#This Row],[Conta]],'BD - E - Despesas'!$CD$15:$CH$500,5,0),0)</f>
        <v>0</v>
      </c>
      <c r="Q23" s="24">
        <f>IFERROR(VLOOKUP(Tabela3[[#This Row],[Conta]],'BD - E - Despesas'!$CM$15:$CQ$500,5,0),0)</f>
        <v>0</v>
      </c>
      <c r="R23" s="24">
        <f>IFERROR(VLOOKUP(Tabela3[[#This Row],[Conta]],'BD - E - Despesas'!$CV$15:$CZ$500,5,0),0)</f>
        <v>0</v>
      </c>
      <c r="S23"/>
    </row>
    <row r="24" spans="3:19">
      <c r="C24" s="79" t="s">
        <v>349</v>
      </c>
      <c r="D24" s="81" t="s">
        <v>352</v>
      </c>
      <c r="E24" s="30">
        <v>322101</v>
      </c>
      <c r="F24" s="82" t="s">
        <v>406</v>
      </c>
      <c r="G24" s="19">
        <f>IFERROR(VLOOKUP(Tabela3[[#This Row],[Conta]],'BD - E - Despesas'!$A$15:$E$500,5,0),0)</f>
        <v>0</v>
      </c>
      <c r="H24" s="24">
        <f>IFERROR(VLOOKUP(Tabela3[[#This Row],[Conta]],'BD - E - Despesas'!$J$15:$N$500,5,0),0)</f>
        <v>0</v>
      </c>
      <c r="I24" s="24">
        <f>IFERROR(VLOOKUP(Tabela3[[#This Row],[Conta]],'BD - E - Despesas'!$S$15:$W$500,5,0),0)</f>
        <v>0</v>
      </c>
      <c r="J24" s="24">
        <f>IFERROR(VLOOKUP(Tabela3[[#This Row],[Conta]],'BD - E - Despesas'!$AB$15:$AF$500,5,0),0)</f>
        <v>0</v>
      </c>
      <c r="K24" s="24">
        <f>IFERROR(VLOOKUP(Tabela3[[#This Row],[Conta]],'BD - E - Despesas'!$AK$15:$AO$500,5,0),0)</f>
        <v>0</v>
      </c>
      <c r="L24" s="24">
        <f>IFERROR(VLOOKUP(Tabela3[[#This Row],[Conta]],'BD - E - Despesas'!$AT$15:$AX$500,5,0),0)</f>
        <v>0</v>
      </c>
      <c r="M24" s="24">
        <f>IFERROR(VLOOKUP(Tabela3[[#This Row],[Conta]],'BD - E - Despesas'!$BC$15:$BG$500,5,0),0)</f>
        <v>0</v>
      </c>
      <c r="N24" s="24">
        <f>IFERROR(VLOOKUP(Tabela3[[#This Row],[Conta]],'BD - E - Despesas'!$BL$15:$BP$500,5,0),0)</f>
        <v>0</v>
      </c>
      <c r="O24" s="24">
        <f>IFERROR(VLOOKUP(Tabela3[[#This Row],[Conta]],'BD - E - Despesas'!$BU$15:$BY$500,5,0),0)</f>
        <v>0</v>
      </c>
      <c r="P24" s="24">
        <f>IFERROR(VLOOKUP(Tabela3[[#This Row],[Conta]],'BD - E - Despesas'!$CD$15:$CH$500,5,0),0)</f>
        <v>0</v>
      </c>
      <c r="Q24" s="24">
        <f>IFERROR(VLOOKUP(Tabela3[[#This Row],[Conta]],'BD - E - Despesas'!$CM$15:$CQ$500,5,0),0)</f>
        <v>0</v>
      </c>
      <c r="R24" s="24">
        <f>IFERROR(VLOOKUP(Tabela3[[#This Row],[Conta]],'BD - E - Despesas'!$CV$15:$CZ$500,5,0),0)</f>
        <v>0</v>
      </c>
      <c r="S24"/>
    </row>
    <row r="25" spans="3:19">
      <c r="C25" s="79" t="s">
        <v>347</v>
      </c>
      <c r="D25" s="80" t="s">
        <v>340</v>
      </c>
      <c r="E25" s="99">
        <v>331106</v>
      </c>
      <c r="F25" s="79" t="s">
        <v>273</v>
      </c>
      <c r="G25" s="20">
        <f>IFERROR(VLOOKUP(Tabela3[[#This Row],[Conta]],'BD - E - Despesas'!$A$15:$E$500,5,0),0)</f>
        <v>86475.22</v>
      </c>
      <c r="H25" s="24">
        <f>IFERROR(VLOOKUP(Tabela3[[#This Row],[Conta]],'BD - E - Despesas'!$J$15:$N$500,5,0),0)</f>
        <v>108074.64</v>
      </c>
      <c r="I25" s="24">
        <f>IFERROR(VLOOKUP(Tabela3[[#This Row],[Conta]],'BD - E - Despesas'!$S$15:$W$500,5,0),0)</f>
        <v>108041.17</v>
      </c>
      <c r="J25" s="24">
        <f>IFERROR(VLOOKUP(Tabela3[[#This Row],[Conta]],'BD - E - Despesas'!$AB$15:$AF$500,5,0),0)</f>
        <v>111763.9</v>
      </c>
      <c r="K25" s="24">
        <f>IFERROR(VLOOKUP(Tabela3[[#This Row],[Conta]],'BD - E - Despesas'!$AK$15:$AO$500,5,0),0)</f>
        <v>0</v>
      </c>
      <c r="L25" s="24">
        <f>IFERROR(VLOOKUP(Tabela3[[#This Row],[Conta]],'BD - E - Despesas'!$AT$15:$AX$500,5,0),0)</f>
        <v>0</v>
      </c>
      <c r="M25" s="24">
        <f>IFERROR(VLOOKUP(Tabela3[[#This Row],[Conta]],'BD - E - Despesas'!$BC$15:$BG$500,5,0),0)</f>
        <v>0</v>
      </c>
      <c r="N25" s="24">
        <f>IFERROR(VLOOKUP(Tabela3[[#This Row],[Conta]],'BD - E - Despesas'!$BL$15:$BP$500,5,0),0)</f>
        <v>0</v>
      </c>
      <c r="O25" s="24">
        <f>IFERROR(VLOOKUP(Tabela3[[#This Row],[Conta]],'BD - E - Despesas'!$BU$15:$BY$500,5,0),0)</f>
        <v>0</v>
      </c>
      <c r="P25" s="24">
        <f>IFERROR(VLOOKUP(Tabela3[[#This Row],[Conta]],'BD - E - Despesas'!$CD$15:$CH$500,5,0),0)</f>
        <v>0</v>
      </c>
      <c r="Q25" s="24">
        <f>IFERROR(VLOOKUP(Tabela3[[#This Row],[Conta]],'BD - E - Despesas'!$CM$15:$CQ$500,5,0),0)</f>
        <v>0</v>
      </c>
      <c r="R25" s="24">
        <f>IFERROR(VLOOKUP(Tabela3[[#This Row],[Conta]],'BD - E - Despesas'!$CV$15:$CZ$500,5,0),0)</f>
        <v>0</v>
      </c>
      <c r="S25"/>
    </row>
    <row r="26" spans="3:19">
      <c r="C26" s="79" t="s">
        <v>347</v>
      </c>
      <c r="D26" s="80" t="s">
        <v>340</v>
      </c>
      <c r="E26" s="99">
        <v>331122</v>
      </c>
      <c r="F26" s="79" t="s">
        <v>447</v>
      </c>
      <c r="G26" s="20">
        <f>IFERROR(VLOOKUP(Tabela3[[#This Row],[Conta]],'BD - E - Despesas'!$A$15:$E$500,5,0),0)</f>
        <v>0</v>
      </c>
      <c r="H26" s="24">
        <f>IFERROR(VLOOKUP(Tabela3[[#This Row],[Conta]],'BD - E - Despesas'!$J$15:$N$500,5,0),0)</f>
        <v>0</v>
      </c>
      <c r="I26" s="24">
        <f>IFERROR(VLOOKUP(Tabela3[[#This Row],[Conta]],'BD - E - Despesas'!$S$15:$W$500,5,0),0)</f>
        <v>0</v>
      </c>
      <c r="J26" s="24">
        <f>IFERROR(VLOOKUP(Tabela3[[#This Row],[Conta]],'BD - E - Despesas'!$AB$15:$AF$500,5,0),0)</f>
        <v>0</v>
      </c>
      <c r="K26" s="24">
        <f>IFERROR(VLOOKUP(Tabela3[[#This Row],[Conta]],'BD - E - Despesas'!$AK$15:$AO$500,5,0),0)</f>
        <v>0</v>
      </c>
      <c r="L26" s="24">
        <f>IFERROR(VLOOKUP(Tabela3[[#This Row],[Conta]],'BD - E - Despesas'!$AT$15:$AX$500,5,0),0)</f>
        <v>0</v>
      </c>
      <c r="M26" s="24">
        <f>IFERROR(VLOOKUP(Tabela3[[#This Row],[Conta]],'BD - E - Despesas'!$BC$15:$BG$500,5,0),0)</f>
        <v>0</v>
      </c>
      <c r="N26" s="24">
        <f>IFERROR(VLOOKUP(Tabela3[[#This Row],[Conta]],'BD - E - Despesas'!$BL$15:$BP$500,5,0),0)</f>
        <v>0</v>
      </c>
      <c r="O26" s="24">
        <f>IFERROR(VLOOKUP(Tabela3[[#This Row],[Conta]],'BD - E - Despesas'!$BU$15:$BY$500,5,0),0)</f>
        <v>0</v>
      </c>
      <c r="P26" s="24">
        <f>IFERROR(VLOOKUP(Tabela3[[#This Row],[Conta]],'BD - E - Despesas'!$CD$15:$CH$500,5,0),0)</f>
        <v>0</v>
      </c>
      <c r="Q26" s="24">
        <f>IFERROR(VLOOKUP(Tabela3[[#This Row],[Conta]],'BD - E - Despesas'!$CM$15:$CQ$500,5,0),0)</f>
        <v>0</v>
      </c>
      <c r="R26" s="24">
        <f>IFERROR(VLOOKUP(Tabela3[[#This Row],[Conta]],'BD - E - Despesas'!$CV$15:$CZ$500,5,0),0)</f>
        <v>0</v>
      </c>
      <c r="S26"/>
    </row>
    <row r="27" spans="3:19">
      <c r="C27" s="79" t="s">
        <v>347</v>
      </c>
      <c r="D27" s="80" t="s">
        <v>340</v>
      </c>
      <c r="E27" s="99">
        <v>331124</v>
      </c>
      <c r="F27" s="79" t="s">
        <v>274</v>
      </c>
      <c r="G27" s="20">
        <f>IFERROR(VLOOKUP(Tabela3[[#This Row],[Conta]],'BD - E - Despesas'!$A$15:$E$500,5,0),0)</f>
        <v>47782.05</v>
      </c>
      <c r="H27" s="24">
        <f>IFERROR(VLOOKUP(Tabela3[[#This Row],[Conta]],'BD - E - Despesas'!$J$15:$N$500,5,0),0)</f>
        <v>49741.4</v>
      </c>
      <c r="I27" s="24">
        <f>IFERROR(VLOOKUP(Tabela3[[#This Row],[Conta]],'BD - E - Despesas'!$S$15:$W$500,5,0),0)</f>
        <v>44671.4</v>
      </c>
      <c r="J27" s="24">
        <f>IFERROR(VLOOKUP(Tabela3[[#This Row],[Conta]],'BD - E - Despesas'!$AB$15:$AF$500,5,0),0)</f>
        <v>55615.96</v>
      </c>
      <c r="K27" s="24">
        <f>IFERROR(VLOOKUP(Tabela3[[#This Row],[Conta]],'BD - E - Despesas'!$AK$15:$AO$500,5,0),0)</f>
        <v>0</v>
      </c>
      <c r="L27" s="24">
        <f>IFERROR(VLOOKUP(Tabela3[[#This Row],[Conta]],'BD - E - Despesas'!$AT$15:$AX$500,5,0),0)</f>
        <v>0</v>
      </c>
      <c r="M27" s="24">
        <f>IFERROR(VLOOKUP(Tabela3[[#This Row],[Conta]],'BD - E - Despesas'!$BC$15:$BG$500,5,0),0)</f>
        <v>0</v>
      </c>
      <c r="N27" s="24">
        <f>IFERROR(VLOOKUP(Tabela3[[#This Row],[Conta]],'BD - E - Despesas'!$BL$15:$BP$500,5,0),0)</f>
        <v>0</v>
      </c>
      <c r="O27" s="24">
        <f>IFERROR(VLOOKUP(Tabela3[[#This Row],[Conta]],'BD - E - Despesas'!$BU$15:$BY$500,5,0),0)</f>
        <v>0</v>
      </c>
      <c r="P27" s="24">
        <f>IFERROR(VLOOKUP(Tabela3[[#This Row],[Conta]],'BD - E - Despesas'!$CD$15:$CH$500,5,0),0)</f>
        <v>0</v>
      </c>
      <c r="Q27" s="24">
        <f>IFERROR(VLOOKUP(Tabela3[[#This Row],[Conta]],'BD - E - Despesas'!$CM$15:$CQ$500,5,0),0)</f>
        <v>0</v>
      </c>
      <c r="R27" s="24">
        <f>IFERROR(VLOOKUP(Tabela3[[#This Row],[Conta]],'BD - E - Despesas'!$CV$15:$CZ$500,5,0),0)</f>
        <v>0</v>
      </c>
      <c r="S27"/>
    </row>
    <row r="28" spans="3:19">
      <c r="C28" s="79" t="s">
        <v>347</v>
      </c>
      <c r="D28" s="80" t="s">
        <v>340</v>
      </c>
      <c r="E28" s="99">
        <v>331199</v>
      </c>
      <c r="F28" s="79" t="s">
        <v>439</v>
      </c>
      <c r="G28" s="20">
        <f>IFERROR(VLOOKUP(Tabela3[[#This Row],[Conta]],'BD - E - Despesas'!$A$15:$E$500,5,0),0)</f>
        <v>9787.16</v>
      </c>
      <c r="H28" s="24">
        <f>IFERROR(VLOOKUP(Tabela3[[#This Row],[Conta]],'BD - E - Despesas'!$J$15:$N$500,5,0),0)</f>
        <v>6275.79</v>
      </c>
      <c r="I28" s="24">
        <f>IFERROR(VLOOKUP(Tabela3[[#This Row],[Conta]],'BD - E - Despesas'!$S$15:$W$500,5,0),0)</f>
        <v>4450</v>
      </c>
      <c r="J28" s="24">
        <f>IFERROR(VLOOKUP(Tabela3[[#This Row],[Conta]],'BD - E - Despesas'!$AB$15:$AF$500,5,0),0)</f>
        <v>1600</v>
      </c>
      <c r="K28" s="24">
        <f>IFERROR(VLOOKUP(Tabela3[[#This Row],[Conta]],'BD - E - Despesas'!$AK$15:$AO$500,5,0),0)</f>
        <v>0</v>
      </c>
      <c r="L28" s="24">
        <f>IFERROR(VLOOKUP(Tabela3[[#This Row],[Conta]],'BD - E - Despesas'!$AT$15:$AX$500,5,0),0)</f>
        <v>0</v>
      </c>
      <c r="M28" s="24">
        <f>IFERROR(VLOOKUP(Tabela3[[#This Row],[Conta]],'BD - E - Despesas'!$BC$15:$BG$500,5,0),0)</f>
        <v>0</v>
      </c>
      <c r="N28" s="24">
        <f>IFERROR(VLOOKUP(Tabela3[[#This Row],[Conta]],'BD - E - Despesas'!$BL$15:$BP$500,5,0),0)</f>
        <v>0</v>
      </c>
      <c r="O28" s="24">
        <f>IFERROR(VLOOKUP(Tabela3[[#This Row],[Conta]],'BD - E - Despesas'!$BU$15:$BY$500,5,0),0)</f>
        <v>0</v>
      </c>
      <c r="P28" s="24">
        <f>IFERROR(VLOOKUP(Tabela3[[#This Row],[Conta]],'BD - E - Despesas'!$CD$15:$CH$500,5,0),0)</f>
        <v>0</v>
      </c>
      <c r="Q28" s="24">
        <f>IFERROR(VLOOKUP(Tabela3[[#This Row],[Conta]],'BD - E - Despesas'!$CM$15:$CQ$500,5,0),0)</f>
        <v>0</v>
      </c>
      <c r="R28" s="24">
        <f>IFERROR(VLOOKUP(Tabela3[[#This Row],[Conta]],'BD - E - Despesas'!$CV$15:$CZ$500,5,0),0)</f>
        <v>0</v>
      </c>
      <c r="S28"/>
    </row>
    <row r="29" spans="3:19">
      <c r="C29" s="79" t="s">
        <v>347</v>
      </c>
      <c r="D29" s="80" t="s">
        <v>340</v>
      </c>
      <c r="E29" s="99">
        <v>331202</v>
      </c>
      <c r="F29" s="79" t="s">
        <v>275</v>
      </c>
      <c r="G29" s="13">
        <f>IFERROR(VLOOKUP(Tabela3[[#This Row],[Conta]],'BD - E - Despesas'!$A$15:$E$500,5,0),0)</f>
        <v>22048.94</v>
      </c>
      <c r="H29" s="24">
        <f>IFERROR(VLOOKUP(Tabela3[[#This Row],[Conta]],'BD - E - Despesas'!$J$15:$N$500,5,0),0)</f>
        <v>25062.01</v>
      </c>
      <c r="I29" s="24">
        <f>IFERROR(VLOOKUP(Tabela3[[#This Row],[Conta]],'BD - E - Despesas'!$S$15:$W$500,5,0),0)</f>
        <v>24787.040000000001</v>
      </c>
      <c r="J29" s="24">
        <f>IFERROR(VLOOKUP(Tabela3[[#This Row],[Conta]],'BD - E - Despesas'!$AB$15:$AF$500,5,0),0)</f>
        <v>24901.56</v>
      </c>
      <c r="K29" s="24">
        <f>IFERROR(VLOOKUP(Tabela3[[#This Row],[Conta]],'BD - E - Despesas'!$AK$15:$AO$500,5,0),0)</f>
        <v>0</v>
      </c>
      <c r="L29" s="24">
        <f>IFERROR(VLOOKUP(Tabela3[[#This Row],[Conta]],'BD - E - Despesas'!$AT$15:$AX$500,5,0),0)</f>
        <v>0</v>
      </c>
      <c r="M29" s="24">
        <f>IFERROR(VLOOKUP(Tabela3[[#This Row],[Conta]],'BD - E - Despesas'!$BC$15:$BG$500,5,0),0)</f>
        <v>0</v>
      </c>
      <c r="N29" s="24">
        <f>IFERROR(VLOOKUP(Tabela3[[#This Row],[Conta]],'BD - E - Despesas'!$BL$15:$BP$500,5,0),0)</f>
        <v>0</v>
      </c>
      <c r="O29" s="24">
        <f>IFERROR(VLOOKUP(Tabela3[[#This Row],[Conta]],'BD - E - Despesas'!$BU$15:$BY$500,5,0),0)</f>
        <v>0</v>
      </c>
      <c r="P29" s="24">
        <f>IFERROR(VLOOKUP(Tabela3[[#This Row],[Conta]],'BD - E - Despesas'!$CD$15:$CH$500,5,0),0)</f>
        <v>0</v>
      </c>
      <c r="Q29" s="24">
        <f>IFERROR(VLOOKUP(Tabela3[[#This Row],[Conta]],'BD - E - Despesas'!$CM$15:$CQ$500,5,0),0)</f>
        <v>0</v>
      </c>
      <c r="R29" s="24">
        <f>IFERROR(VLOOKUP(Tabela3[[#This Row],[Conta]],'BD - E - Despesas'!$CV$15:$CZ$500,5,0),0)</f>
        <v>0</v>
      </c>
      <c r="S29"/>
    </row>
    <row r="30" spans="3:19">
      <c r="C30" s="79" t="s">
        <v>347</v>
      </c>
      <c r="D30" s="80" t="s">
        <v>340</v>
      </c>
      <c r="E30" s="99">
        <v>331204</v>
      </c>
      <c r="F30" s="79" t="s">
        <v>497</v>
      </c>
      <c r="G30" s="13">
        <f>IFERROR(VLOOKUP(Tabela3[[#This Row],[Conta]],'BD - E - Despesas'!$A$15:$E$500,5,0),0)</f>
        <v>0</v>
      </c>
      <c r="H30" s="24">
        <f>IFERROR(VLOOKUP(Tabela3[[#This Row],[Conta]],'BD - E - Despesas'!$J$15:$N$500,5,0),0)</f>
        <v>0</v>
      </c>
      <c r="I30" s="24">
        <f>IFERROR(VLOOKUP(Tabela3[[#This Row],[Conta]],'BD - E - Despesas'!$S$15:$W$500,5,0),0)</f>
        <v>0</v>
      </c>
      <c r="J30" s="24">
        <f>IFERROR(VLOOKUP(Tabela3[[#This Row],[Conta]],'BD - E - Despesas'!$AB$15:$AF$500,5,0),0)</f>
        <v>0</v>
      </c>
      <c r="K30" s="24">
        <f>IFERROR(VLOOKUP(Tabela3[[#This Row],[Conta]],'BD - E - Despesas'!$AK$15:$AO$500,5,0),0)</f>
        <v>0</v>
      </c>
      <c r="L30" s="24">
        <f>IFERROR(VLOOKUP(Tabela3[[#This Row],[Conta]],'BD - E - Despesas'!$AT$15:$AX$500,5,0),0)</f>
        <v>0</v>
      </c>
      <c r="M30" s="24">
        <f>IFERROR(VLOOKUP(Tabela3[[#This Row],[Conta]],'BD - E - Despesas'!$BC$15:$BG$500,5,0),0)</f>
        <v>0</v>
      </c>
      <c r="N30" s="24">
        <f>IFERROR(VLOOKUP(Tabela3[[#This Row],[Conta]],'BD - E - Despesas'!$BL$15:$BP$500,5,0),0)</f>
        <v>0</v>
      </c>
      <c r="O30" s="24">
        <f>IFERROR(VLOOKUP(Tabela3[[#This Row],[Conta]],'BD - E - Despesas'!$BU$15:$BY$500,5,0),0)</f>
        <v>0</v>
      </c>
      <c r="P30" s="24">
        <f>IFERROR(VLOOKUP(Tabela3[[#This Row],[Conta]],'BD - E - Despesas'!$CD$15:$CH$500,5,0),0)</f>
        <v>0</v>
      </c>
      <c r="Q30" s="24">
        <f>IFERROR(VLOOKUP(Tabela3[[#This Row],[Conta]],'BD - E - Despesas'!$CM$15:$CQ$500,5,0),0)</f>
        <v>0</v>
      </c>
      <c r="R30" s="24">
        <f>IFERROR(VLOOKUP(Tabela3[[#This Row],[Conta]],'BD - E - Despesas'!$CV$15:$CZ$500,5,0),0)</f>
        <v>0</v>
      </c>
      <c r="S30"/>
    </row>
    <row r="31" spans="3:19">
      <c r="C31" s="79" t="s">
        <v>347</v>
      </c>
      <c r="D31" s="80" t="s">
        <v>340</v>
      </c>
      <c r="E31" s="99">
        <v>331205</v>
      </c>
      <c r="F31" s="79" t="s">
        <v>276</v>
      </c>
      <c r="G31" s="15">
        <f>IFERROR(VLOOKUP(Tabela3[[#This Row],[Conta]],'BD - E - Despesas'!$A$15:$E$500,5,0),0)</f>
        <v>8895.3799999999992</v>
      </c>
      <c r="H31" s="24">
        <f>IFERROR(VLOOKUP(Tabela3[[#This Row],[Conta]],'BD - E - Despesas'!$J$15:$N$500,5,0),0)</f>
        <v>19185.57</v>
      </c>
      <c r="I31" s="24">
        <f>IFERROR(VLOOKUP(Tabela3[[#This Row],[Conta]],'BD - E - Despesas'!$S$15:$W$500,5,0),0)</f>
        <v>11471.3</v>
      </c>
      <c r="J31" s="24">
        <f>IFERROR(VLOOKUP(Tabela3[[#This Row],[Conta]],'BD - E - Despesas'!$AB$15:$AF$500,5,0),0)</f>
        <v>10183.02</v>
      </c>
      <c r="K31" s="24">
        <f>IFERROR(VLOOKUP(Tabela3[[#This Row],[Conta]],'BD - E - Despesas'!$AK$15:$AO$500,5,0),0)</f>
        <v>0</v>
      </c>
      <c r="L31" s="24">
        <f>IFERROR(VLOOKUP(Tabela3[[#This Row],[Conta]],'BD - E - Despesas'!$AT$15:$AX$500,5,0),0)</f>
        <v>0</v>
      </c>
      <c r="M31" s="24">
        <f>IFERROR(VLOOKUP(Tabela3[[#This Row],[Conta]],'BD - E - Despesas'!$BC$15:$BG$500,5,0),0)</f>
        <v>0</v>
      </c>
      <c r="N31" s="24">
        <f>IFERROR(VLOOKUP(Tabela3[[#This Row],[Conta]],'BD - E - Despesas'!$BL$15:$BP$500,5,0),0)</f>
        <v>0</v>
      </c>
      <c r="O31" s="24">
        <f>IFERROR(VLOOKUP(Tabela3[[#This Row],[Conta]],'BD - E - Despesas'!$BU$15:$BY$500,5,0),0)</f>
        <v>0</v>
      </c>
      <c r="P31" s="24">
        <f>IFERROR(VLOOKUP(Tabela3[[#This Row],[Conta]],'BD - E - Despesas'!$CD$15:$CH$500,5,0),0)</f>
        <v>0</v>
      </c>
      <c r="Q31" s="24">
        <f>IFERROR(VLOOKUP(Tabela3[[#This Row],[Conta]],'BD - E - Despesas'!$CM$15:$CQ$500,5,0),0)</f>
        <v>0</v>
      </c>
      <c r="R31" s="24">
        <f>IFERROR(VLOOKUP(Tabela3[[#This Row],[Conta]],'BD - E - Despesas'!$CV$15:$CZ$500,5,0),0)</f>
        <v>0</v>
      </c>
      <c r="S31"/>
    </row>
    <row r="32" spans="3:19" s="7" customFormat="1">
      <c r="C32" s="79" t="s">
        <v>347</v>
      </c>
      <c r="D32" s="80" t="s">
        <v>340</v>
      </c>
      <c r="E32" s="99">
        <v>331206</v>
      </c>
      <c r="F32" s="79" t="s">
        <v>277</v>
      </c>
      <c r="G32" s="13">
        <f>IFERROR(VLOOKUP(Tabela3[[#This Row],[Conta]],'BD - E - Despesas'!$A$15:$E$500,5,0),0)</f>
        <v>21062.400000000001</v>
      </c>
      <c r="H32" s="24">
        <f>IFERROR(VLOOKUP(Tabela3[[#This Row],[Conta]],'BD - E - Despesas'!$J$15:$N$500,5,0),0)</f>
        <v>15519.2</v>
      </c>
      <c r="I32" s="24">
        <f>IFERROR(VLOOKUP(Tabela3[[#This Row],[Conta]],'BD - E - Despesas'!$S$15:$W$500,5,0),0)</f>
        <v>16519.2</v>
      </c>
      <c r="J32" s="24">
        <f>IFERROR(VLOOKUP(Tabela3[[#This Row],[Conta]],'BD - E - Despesas'!$AB$15:$AF$500,5,0),0)</f>
        <v>14919.2</v>
      </c>
      <c r="K32" s="24">
        <f>IFERROR(VLOOKUP(Tabela3[[#This Row],[Conta]],'BD - E - Despesas'!$AK$15:$AO$500,5,0),0)</f>
        <v>0</v>
      </c>
      <c r="L32" s="24">
        <f>IFERROR(VLOOKUP(Tabela3[[#This Row],[Conta]],'BD - E - Despesas'!$AT$15:$AX$500,5,0),0)</f>
        <v>0</v>
      </c>
      <c r="M32" s="24">
        <f>IFERROR(VLOOKUP(Tabela3[[#This Row],[Conta]],'BD - E - Despesas'!$BC$15:$BG$500,5,0),0)</f>
        <v>0</v>
      </c>
      <c r="N32" s="24">
        <f>IFERROR(VLOOKUP(Tabela3[[#This Row],[Conta]],'BD - E - Despesas'!$BL$15:$BP$500,5,0),0)</f>
        <v>0</v>
      </c>
      <c r="O32" s="24">
        <f>IFERROR(VLOOKUP(Tabela3[[#This Row],[Conta]],'BD - E - Despesas'!$BU$15:$BY$500,5,0),0)</f>
        <v>0</v>
      </c>
      <c r="P32" s="24">
        <f>IFERROR(VLOOKUP(Tabela3[[#This Row],[Conta]],'BD - E - Despesas'!$CD$15:$CH$500,5,0),0)</f>
        <v>0</v>
      </c>
      <c r="Q32" s="24">
        <f>IFERROR(VLOOKUP(Tabela3[[#This Row],[Conta]],'BD - E - Despesas'!$CM$15:$CQ$500,5,0),0)</f>
        <v>0</v>
      </c>
      <c r="R32" s="24">
        <f>IFERROR(VLOOKUP(Tabela3[[#This Row],[Conta]],'BD - E - Despesas'!$CV$15:$CZ$500,5,0),0)</f>
        <v>0</v>
      </c>
    </row>
    <row r="33" spans="3:19" s="7" customFormat="1">
      <c r="C33" s="79" t="s">
        <v>347</v>
      </c>
      <c r="D33" s="80" t="s">
        <v>340</v>
      </c>
      <c r="E33" s="99">
        <v>331208</v>
      </c>
      <c r="F33" s="79" t="s">
        <v>449</v>
      </c>
      <c r="G33" s="13">
        <f>IFERROR(VLOOKUP(Tabela3[[#This Row],[Conta]],'BD - E - Despesas'!$A$15:$E$500,5,0),0)</f>
        <v>0</v>
      </c>
      <c r="H33" s="24">
        <f>IFERROR(VLOOKUP(Tabela3[[#This Row],[Conta]],'BD - E - Despesas'!$J$15:$N$500,5,0),0)</f>
        <v>0</v>
      </c>
      <c r="I33" s="24">
        <f>IFERROR(VLOOKUP(Tabela3[[#This Row],[Conta]],'BD - E - Despesas'!$S$15:$W$500,5,0),0)</f>
        <v>0</v>
      </c>
      <c r="J33" s="24">
        <f>IFERROR(VLOOKUP(Tabela3[[#This Row],[Conta]],'BD - E - Despesas'!$AB$15:$AF$500,5,0),0)</f>
        <v>0</v>
      </c>
      <c r="K33" s="24">
        <f>IFERROR(VLOOKUP(Tabela3[[#This Row],[Conta]],'BD - E - Despesas'!$AK$15:$AO$500,5,0),0)</f>
        <v>0</v>
      </c>
      <c r="L33" s="24">
        <f>IFERROR(VLOOKUP(Tabela3[[#This Row],[Conta]],'BD - E - Despesas'!$AT$15:$AX$500,5,0),0)</f>
        <v>0</v>
      </c>
      <c r="M33" s="24">
        <f>IFERROR(VLOOKUP(Tabela3[[#This Row],[Conta]],'BD - E - Despesas'!$BC$15:$BG$500,5,0),0)</f>
        <v>0</v>
      </c>
      <c r="N33" s="24">
        <f>IFERROR(VLOOKUP(Tabela3[[#This Row],[Conta]],'BD - E - Despesas'!$BL$15:$BP$500,5,0),0)</f>
        <v>0</v>
      </c>
      <c r="O33" s="24">
        <f>IFERROR(VLOOKUP(Tabela3[[#This Row],[Conta]],'BD - E - Despesas'!$BU$15:$BY$500,5,0),0)</f>
        <v>0</v>
      </c>
      <c r="P33" s="24">
        <f>IFERROR(VLOOKUP(Tabela3[[#This Row],[Conta]],'BD - E - Despesas'!$CD$15:$CH$500,5,0),0)</f>
        <v>0</v>
      </c>
      <c r="Q33" s="24">
        <f>IFERROR(VLOOKUP(Tabela3[[#This Row],[Conta]],'BD - E - Despesas'!$CM$15:$CQ$500,5,0),0)</f>
        <v>0</v>
      </c>
      <c r="R33" s="24">
        <f>IFERROR(VLOOKUP(Tabela3[[#This Row],[Conta]],'BD - E - Despesas'!$CV$15:$CZ$500,5,0),0)</f>
        <v>0</v>
      </c>
    </row>
    <row r="34" spans="3:19" s="7" customFormat="1">
      <c r="C34" s="79" t="s">
        <v>347</v>
      </c>
      <c r="D34" s="80" t="s">
        <v>340</v>
      </c>
      <c r="E34" s="99">
        <v>331250</v>
      </c>
      <c r="F34" s="152" t="s">
        <v>489</v>
      </c>
      <c r="G34" s="13">
        <f>IFERROR(VLOOKUP(Tabela3[[#This Row],[Conta]],'BD - E - Despesas'!$A$15:$E$500,5,0),0)</f>
        <v>0</v>
      </c>
      <c r="H34" s="24">
        <f>IFERROR(VLOOKUP(Tabela3[[#This Row],[Conta]],'BD - E - Despesas'!$J$15:$N$500,5,0),0)</f>
        <v>0</v>
      </c>
      <c r="I34" s="24">
        <f>IFERROR(VLOOKUP(Tabela3[[#This Row],[Conta]],'BD - E - Despesas'!$S$15:$W$500,5,0),0)</f>
        <v>1250</v>
      </c>
      <c r="J34" s="24">
        <f>IFERROR(VLOOKUP(Tabela3[[#This Row],[Conta]],'BD - E - Despesas'!$AB$15:$AF$500,5,0),0)</f>
        <v>6150</v>
      </c>
      <c r="K34" s="24">
        <f>IFERROR(VLOOKUP(Tabela3[[#This Row],[Conta]],'BD - E - Despesas'!$AK$15:$AO$500,5,0),0)</f>
        <v>0</v>
      </c>
      <c r="L34" s="24">
        <f>IFERROR(VLOOKUP(Tabela3[[#This Row],[Conta]],'BD - E - Despesas'!$AT$15:$AX$500,5,0),0)</f>
        <v>0</v>
      </c>
      <c r="M34" s="24">
        <f>IFERROR(VLOOKUP(Tabela3[[#This Row],[Conta]],'BD - E - Despesas'!$BC$15:$BG$500,5,0),0)</f>
        <v>0</v>
      </c>
      <c r="N34" s="24">
        <f>IFERROR(VLOOKUP(Tabela3[[#This Row],[Conta]],'BD - E - Despesas'!$BL$15:$BP$500,5,0),0)</f>
        <v>0</v>
      </c>
      <c r="O34" s="24">
        <f>IFERROR(VLOOKUP(Tabela3[[#This Row],[Conta]],'BD - E - Despesas'!$BU$15:$BY$500,5,0),0)</f>
        <v>0</v>
      </c>
      <c r="P34" s="24">
        <f>IFERROR(VLOOKUP(Tabela3[[#This Row],[Conta]],'BD - E - Despesas'!$CD$15:$CH$500,5,0),0)</f>
        <v>0</v>
      </c>
      <c r="Q34" s="24">
        <f>IFERROR(VLOOKUP(Tabela3[[#This Row],[Conta]],'BD - E - Despesas'!$CM$15:$CQ$500,5,0),0)</f>
        <v>0</v>
      </c>
      <c r="R34" s="24">
        <f>IFERROR(VLOOKUP(Tabela3[[#This Row],[Conta]],'BD - E - Despesas'!$CV$15:$CZ$500,5,0),0)</f>
        <v>0</v>
      </c>
    </row>
    <row r="35" spans="3:19" s="7" customFormat="1">
      <c r="C35" s="79" t="s">
        <v>347</v>
      </c>
      <c r="D35" s="80" t="s">
        <v>340</v>
      </c>
      <c r="E35" s="99">
        <v>331251</v>
      </c>
      <c r="F35" s="82" t="s">
        <v>278</v>
      </c>
      <c r="G35" s="13">
        <f>IFERROR(VLOOKUP(Tabela3[[#This Row],[Conta]],'BD - E - Despesas'!$A$15:$E$500,5,0),0)</f>
        <v>10010</v>
      </c>
      <c r="H35" s="24">
        <f>IFERROR(VLOOKUP(Tabela3[[#This Row],[Conta]],'BD - E - Despesas'!$J$15:$N$500,5,0),0)</f>
        <v>10730</v>
      </c>
      <c r="I35" s="24">
        <f>IFERROR(VLOOKUP(Tabela3[[#This Row],[Conta]],'BD - E - Despesas'!$S$15:$W$500,5,0),0)</f>
        <v>10142.299999999999</v>
      </c>
      <c r="J35" s="24">
        <f>IFERROR(VLOOKUP(Tabela3[[#This Row],[Conta]],'BD - E - Despesas'!$AB$15:$AF$500,5,0),0)</f>
        <v>1118.7</v>
      </c>
      <c r="K35" s="24">
        <f>IFERROR(VLOOKUP(Tabela3[[#This Row],[Conta]],'BD - E - Despesas'!$AK$15:$AO$500,5,0),0)</f>
        <v>0</v>
      </c>
      <c r="L35" s="24">
        <f>IFERROR(VLOOKUP(Tabela3[[#This Row],[Conta]],'BD - E - Despesas'!$AT$15:$AX$500,5,0),0)</f>
        <v>0</v>
      </c>
      <c r="M35" s="24">
        <f>IFERROR(VLOOKUP(Tabela3[[#This Row],[Conta]],'BD - E - Despesas'!$BC$15:$BG$500,5,0),0)</f>
        <v>0</v>
      </c>
      <c r="N35" s="24">
        <f>IFERROR(VLOOKUP(Tabela3[[#This Row],[Conta]],'BD - E - Despesas'!$BL$15:$BP$500,5,0),0)</f>
        <v>0</v>
      </c>
      <c r="O35" s="24">
        <f>IFERROR(VLOOKUP(Tabela3[[#This Row],[Conta]],'BD - E - Despesas'!$BU$15:$BY$500,5,0),0)</f>
        <v>0</v>
      </c>
      <c r="P35" s="24">
        <f>IFERROR(VLOOKUP(Tabela3[[#This Row],[Conta]],'BD - E - Despesas'!$CD$15:$CH$500,5,0),0)</f>
        <v>0</v>
      </c>
      <c r="Q35" s="24">
        <f>IFERROR(VLOOKUP(Tabela3[[#This Row],[Conta]],'BD - E - Despesas'!$CM$15:$CQ$500,5,0),0)</f>
        <v>0</v>
      </c>
      <c r="R35" s="24">
        <f>IFERROR(VLOOKUP(Tabela3[[#This Row],[Conta]],'BD - E - Despesas'!$CV$15:$CZ$500,5,0),0)</f>
        <v>0</v>
      </c>
    </row>
    <row r="36" spans="3:19" s="7" customFormat="1">
      <c r="C36" s="79" t="s">
        <v>347</v>
      </c>
      <c r="D36" s="80" t="s">
        <v>340</v>
      </c>
      <c r="E36" s="99">
        <v>331252</v>
      </c>
      <c r="F36" s="79" t="s">
        <v>279</v>
      </c>
      <c r="G36" s="13">
        <f>IFERROR(VLOOKUP(Tabela3[[#This Row],[Conta]],'BD - E - Despesas'!$A$15:$E$500,5,0),0)</f>
        <v>13715.44</v>
      </c>
      <c r="H36" s="24">
        <f>IFERROR(VLOOKUP(Tabela3[[#This Row],[Conta]],'BD - E - Despesas'!$J$15:$N$500,5,0),0)</f>
        <v>9230.44</v>
      </c>
      <c r="I36" s="24">
        <f>IFERROR(VLOOKUP(Tabela3[[#This Row],[Conta]],'BD - E - Despesas'!$S$15:$W$500,5,0),0)</f>
        <v>3575.44</v>
      </c>
      <c r="J36" s="24">
        <f>IFERROR(VLOOKUP(Tabela3[[#This Row],[Conta]],'BD - E - Despesas'!$AB$15:$AF$500,5,0),0)</f>
        <v>4339.34</v>
      </c>
      <c r="K36" s="24">
        <f>IFERROR(VLOOKUP(Tabela3[[#This Row],[Conta]],'BD - E - Despesas'!$AK$15:$AO$500,5,0),0)</f>
        <v>0</v>
      </c>
      <c r="L36" s="24">
        <f>IFERROR(VLOOKUP(Tabela3[[#This Row],[Conta]],'BD - E - Despesas'!$AT$15:$AX$500,5,0),0)</f>
        <v>0</v>
      </c>
      <c r="M36" s="24">
        <f>IFERROR(VLOOKUP(Tabela3[[#This Row],[Conta]],'BD - E - Despesas'!$BC$15:$BG$500,5,0),0)</f>
        <v>0</v>
      </c>
      <c r="N36" s="24">
        <f>IFERROR(VLOOKUP(Tabela3[[#This Row],[Conta]],'BD - E - Despesas'!$BL$15:$BP$500,5,0),0)</f>
        <v>0</v>
      </c>
      <c r="O36" s="24">
        <f>IFERROR(VLOOKUP(Tabela3[[#This Row],[Conta]],'BD - E - Despesas'!$BU$15:$BY$500,5,0),0)</f>
        <v>0</v>
      </c>
      <c r="P36" s="24">
        <f>IFERROR(VLOOKUP(Tabela3[[#This Row],[Conta]],'BD - E - Despesas'!$CD$15:$CH$500,5,0),0)</f>
        <v>0</v>
      </c>
      <c r="Q36" s="24">
        <f>IFERROR(VLOOKUP(Tabela3[[#This Row],[Conta]],'BD - E - Despesas'!$CM$15:$CQ$500,5,0),0)</f>
        <v>0</v>
      </c>
      <c r="R36" s="24">
        <f>IFERROR(VLOOKUP(Tabela3[[#This Row],[Conta]],'BD - E - Despesas'!$CV$15:$CZ$500,5,0),0)</f>
        <v>0</v>
      </c>
    </row>
    <row r="37" spans="3:19" s="7" customFormat="1">
      <c r="C37" s="79" t="s">
        <v>347</v>
      </c>
      <c r="D37" s="80" t="s">
        <v>340</v>
      </c>
      <c r="E37" s="99">
        <v>331253</v>
      </c>
      <c r="F37" s="82" t="s">
        <v>280</v>
      </c>
      <c r="G37" s="13">
        <f>IFERROR(VLOOKUP(Tabela3[[#This Row],[Conta]],'BD - E - Despesas'!$A$15:$E$500,5,0),0)</f>
        <v>2890</v>
      </c>
      <c r="H37" s="24">
        <f>IFERROR(VLOOKUP(Tabela3[[#This Row],[Conta]],'BD - E - Despesas'!$J$15:$N$500,5,0),0)</f>
        <v>7009.96</v>
      </c>
      <c r="I37" s="24">
        <f>IFERROR(VLOOKUP(Tabela3[[#This Row],[Conta]],'BD - E - Despesas'!$S$15:$W$500,5,0),0)</f>
        <v>4680.9399999999996</v>
      </c>
      <c r="J37" s="24">
        <f>IFERROR(VLOOKUP(Tabela3[[#This Row],[Conta]],'BD - E - Despesas'!$AB$15:$AF$500,5,0),0)</f>
        <v>713</v>
      </c>
      <c r="K37" s="24">
        <f>IFERROR(VLOOKUP(Tabela3[[#This Row],[Conta]],'BD - E - Despesas'!$AK$15:$AO$500,5,0),0)</f>
        <v>0</v>
      </c>
      <c r="L37" s="24">
        <f>IFERROR(VLOOKUP(Tabela3[[#This Row],[Conta]],'BD - E - Despesas'!$AT$15:$AX$500,5,0),0)</f>
        <v>0</v>
      </c>
      <c r="M37" s="24">
        <f>IFERROR(VLOOKUP(Tabela3[[#This Row],[Conta]],'BD - E - Despesas'!$BC$15:$BG$500,5,0),0)</f>
        <v>0</v>
      </c>
      <c r="N37" s="24">
        <f>IFERROR(VLOOKUP(Tabela3[[#This Row],[Conta]],'BD - E - Despesas'!$BL$15:$BP$500,5,0),0)</f>
        <v>0</v>
      </c>
      <c r="O37" s="24">
        <f>IFERROR(VLOOKUP(Tabela3[[#This Row],[Conta]],'BD - E - Despesas'!$BU$15:$BY$500,5,0),0)</f>
        <v>0</v>
      </c>
      <c r="P37" s="24">
        <f>IFERROR(VLOOKUP(Tabela3[[#This Row],[Conta]],'BD - E - Despesas'!$CD$15:$CH$500,5,0),0)</f>
        <v>0</v>
      </c>
      <c r="Q37" s="24">
        <f>IFERROR(VLOOKUP(Tabela3[[#This Row],[Conta]],'BD - E - Despesas'!$CM$15:$CQ$500,5,0),0)</f>
        <v>0</v>
      </c>
      <c r="R37" s="24">
        <f>IFERROR(VLOOKUP(Tabela3[[#This Row],[Conta]],'BD - E - Despesas'!$CV$15:$CZ$500,5,0),0)</f>
        <v>0</v>
      </c>
    </row>
    <row r="38" spans="3:19" s="7" customFormat="1">
      <c r="C38" s="79" t="s">
        <v>347</v>
      </c>
      <c r="D38" s="80" t="s">
        <v>340</v>
      </c>
      <c r="E38" s="99">
        <v>331254</v>
      </c>
      <c r="F38" s="82" t="s">
        <v>495</v>
      </c>
      <c r="G38" s="13">
        <f>IFERROR(VLOOKUP(Tabela3[[#This Row],[Conta]],'BD - E - Despesas'!$A$15:$E$500,5,0),0)</f>
        <v>0</v>
      </c>
      <c r="H38" s="24">
        <f>IFERROR(VLOOKUP(Tabela3[[#This Row],[Conta]],'BD - E - Despesas'!$J$15:$N$500,5,0),0)</f>
        <v>0</v>
      </c>
      <c r="I38" s="24">
        <f>IFERROR(VLOOKUP(Tabela3[[#This Row],[Conta]],'BD - E - Despesas'!$S$15:$W$500,5,0),0)</f>
        <v>0</v>
      </c>
      <c r="J38" s="24">
        <f>IFERROR(VLOOKUP(Tabela3[[#This Row],[Conta]],'BD - E - Despesas'!$AB$15:$AF$500,5,0),0)</f>
        <v>0</v>
      </c>
      <c r="K38" s="24">
        <f>IFERROR(VLOOKUP(Tabela3[[#This Row],[Conta]],'BD - E - Despesas'!$AK$15:$AO$500,5,0),0)</f>
        <v>0</v>
      </c>
      <c r="L38" s="24">
        <f>IFERROR(VLOOKUP(Tabela3[[#This Row],[Conta]],'BD - E - Despesas'!$AT$15:$AX$500,5,0),0)</f>
        <v>0</v>
      </c>
      <c r="M38" s="24">
        <f>IFERROR(VLOOKUP(Tabela3[[#This Row],[Conta]],'BD - E - Despesas'!$BC$15:$BG$500,5,0),0)</f>
        <v>0</v>
      </c>
      <c r="N38" s="24">
        <f>IFERROR(VLOOKUP(Tabela3[[#This Row],[Conta]],'BD - E - Despesas'!$BL$15:$BP$500,5,0),0)</f>
        <v>0</v>
      </c>
      <c r="O38" s="24">
        <f>IFERROR(VLOOKUP(Tabela3[[#This Row],[Conta]],'BD - E - Despesas'!$BU$15:$BY$500,5,0),0)</f>
        <v>0</v>
      </c>
      <c r="P38" s="24">
        <f>IFERROR(VLOOKUP(Tabela3[[#This Row],[Conta]],'BD - E - Despesas'!$CD$15:$CH$500,5,0),0)</f>
        <v>0</v>
      </c>
      <c r="Q38" s="24">
        <f>IFERROR(VLOOKUP(Tabela3[[#This Row],[Conta]],'BD - E - Despesas'!$CM$15:$CQ$500,5,0),0)</f>
        <v>0</v>
      </c>
      <c r="R38" s="24">
        <f>IFERROR(VLOOKUP(Tabela3[[#This Row],[Conta]],'BD - E - Despesas'!$CV$15:$CZ$500,5,0),0)</f>
        <v>0</v>
      </c>
    </row>
    <row r="39" spans="3:19" s="7" customFormat="1">
      <c r="C39" s="79" t="s">
        <v>347</v>
      </c>
      <c r="D39" s="80" t="s">
        <v>340</v>
      </c>
      <c r="E39" s="99">
        <v>331298</v>
      </c>
      <c r="F39" s="82" t="s">
        <v>488</v>
      </c>
      <c r="G39" s="13">
        <f>IFERROR(VLOOKUP(Tabela3[[#This Row],[Conta]],'BD - E - Despesas'!$A$15:$E$500,5,0),0)</f>
        <v>6300</v>
      </c>
      <c r="H39" s="24">
        <f>IFERROR(VLOOKUP(Tabela3[[#This Row],[Conta]],'BD - E - Despesas'!$J$15:$N$500,5,0),0)</f>
        <v>4842</v>
      </c>
      <c r="I39" s="24">
        <f>IFERROR(VLOOKUP(Tabela3[[#This Row],[Conta]],'BD - E - Despesas'!$S$15:$W$500,5,0),0)</f>
        <v>4592</v>
      </c>
      <c r="J39" s="24">
        <f>IFERROR(VLOOKUP(Tabela3[[#This Row],[Conta]],'BD - E - Despesas'!$AB$15:$AF$500,5,0),0)</f>
        <v>5455.85</v>
      </c>
      <c r="K39" s="24">
        <f>IFERROR(VLOOKUP(Tabela3[[#This Row],[Conta]],'BD - E - Despesas'!$AK$15:$AO$500,5,0),0)</f>
        <v>0</v>
      </c>
      <c r="L39" s="24">
        <f>IFERROR(VLOOKUP(Tabela3[[#This Row],[Conta]],'BD - E - Despesas'!$AT$15:$AX$500,5,0),0)</f>
        <v>0</v>
      </c>
      <c r="M39" s="24">
        <f>IFERROR(VLOOKUP(Tabela3[[#This Row],[Conta]],'BD - E - Despesas'!$BC$15:$BG$500,5,0),0)</f>
        <v>0</v>
      </c>
      <c r="N39" s="24">
        <f>IFERROR(VLOOKUP(Tabela3[[#This Row],[Conta]],'BD - E - Despesas'!$BL$15:$BP$500,5,0),0)</f>
        <v>0</v>
      </c>
      <c r="O39" s="24">
        <f>IFERROR(VLOOKUP(Tabela3[[#This Row],[Conta]],'BD - E - Despesas'!$BU$15:$BY$500,5,0),0)</f>
        <v>0</v>
      </c>
      <c r="P39" s="24">
        <f>IFERROR(VLOOKUP(Tabela3[[#This Row],[Conta]],'BD - E - Despesas'!$CD$15:$CH$500,5,0),0)</f>
        <v>0</v>
      </c>
      <c r="Q39" s="24">
        <f>IFERROR(VLOOKUP(Tabela3[[#This Row],[Conta]],'BD - E - Despesas'!$CM$15:$CQ$500,5,0),0)</f>
        <v>0</v>
      </c>
      <c r="R39" s="24">
        <f>IFERROR(VLOOKUP(Tabela3[[#This Row],[Conta]],'BD - E - Despesas'!$CV$15:$CZ$500,5,0),0)</f>
        <v>0</v>
      </c>
    </row>
    <row r="40" spans="3:19" s="7" customFormat="1">
      <c r="C40" s="84" t="s">
        <v>383</v>
      </c>
      <c r="D40" s="80" t="s">
        <v>331</v>
      </c>
      <c r="E40" s="99">
        <v>331301</v>
      </c>
      <c r="F40" s="82" t="s">
        <v>281</v>
      </c>
      <c r="G40" s="13">
        <f>IFERROR(VLOOKUP(Tabela3[[#This Row],[Conta]],'BD - E - Despesas'!$A$15:$E$500,5,0),0)</f>
        <v>523866.45</v>
      </c>
      <c r="H40" s="24">
        <f>IFERROR(VLOOKUP(Tabela3[[#This Row],[Conta]],'BD - E - Despesas'!$J$15:$N$500,5,0),0)</f>
        <v>514813.91</v>
      </c>
      <c r="I40" s="24">
        <f>IFERROR(VLOOKUP(Tabela3[[#This Row],[Conta]],'BD - E - Despesas'!$S$15:$W$500,5,0),0)</f>
        <v>454624.44</v>
      </c>
      <c r="J40" s="24">
        <f>IFERROR(VLOOKUP(Tabela3[[#This Row],[Conta]],'BD - E - Despesas'!$AB$15:$AF$500,5,0),0)</f>
        <v>551490.38</v>
      </c>
      <c r="K40" s="24">
        <f>IFERROR(VLOOKUP(Tabela3[[#This Row],[Conta]],'BD - E - Despesas'!$AK$15:$AO$500,5,0),0)</f>
        <v>0</v>
      </c>
      <c r="L40" s="24">
        <f>IFERROR(VLOOKUP(Tabela3[[#This Row],[Conta]],'BD - E - Despesas'!$AT$15:$AX$500,5,0),0)</f>
        <v>0</v>
      </c>
      <c r="M40" s="24">
        <f>IFERROR(VLOOKUP(Tabela3[[#This Row],[Conta]],'BD - E - Despesas'!$BC$15:$BG$500,5,0),0)</f>
        <v>0</v>
      </c>
      <c r="N40" s="24">
        <f>IFERROR(VLOOKUP(Tabela3[[#This Row],[Conta]],'BD - E - Despesas'!$BL$15:$BP$500,5,0),0)</f>
        <v>0</v>
      </c>
      <c r="O40" s="24">
        <f>IFERROR(VLOOKUP(Tabela3[[#This Row],[Conta]],'BD - E - Despesas'!$BU$15:$BY$500,5,0),0)</f>
        <v>0</v>
      </c>
      <c r="P40" s="24">
        <f>IFERROR(VLOOKUP(Tabela3[[#This Row],[Conta]],'BD - E - Despesas'!$CD$15:$CH$500,5,0),0)</f>
        <v>0</v>
      </c>
      <c r="Q40" s="24">
        <f>IFERROR(VLOOKUP(Tabela3[[#This Row],[Conta]],'BD - E - Despesas'!$CM$15:$CQ$500,5,0),0)</f>
        <v>0</v>
      </c>
      <c r="R40" s="24">
        <f>IFERROR(VLOOKUP(Tabela3[[#This Row],[Conta]],'BD - E - Despesas'!$CV$15:$CZ$500,5,0),0)</f>
        <v>0</v>
      </c>
    </row>
    <row r="41" spans="3:19" s="7" customFormat="1">
      <c r="C41" s="79" t="s">
        <v>347</v>
      </c>
      <c r="D41" s="80" t="s">
        <v>332</v>
      </c>
      <c r="E41" s="99">
        <v>331302</v>
      </c>
      <c r="F41" s="79" t="s">
        <v>40</v>
      </c>
      <c r="G41" s="12">
        <f>IFERROR(VLOOKUP(Tabela3[[#This Row],[Conta]],'BD - E - Despesas'!$A$15:$E$500,5,0),0)</f>
        <v>86784.1</v>
      </c>
      <c r="H41" s="24">
        <f>IFERROR(VLOOKUP(Tabela3[[#This Row],[Conta]],'BD - E - Despesas'!$J$15:$N$500,5,0),0)</f>
        <v>56010.7</v>
      </c>
      <c r="I41" s="24">
        <f>IFERROR(VLOOKUP(Tabela3[[#This Row],[Conta]],'BD - E - Despesas'!$S$15:$W$500,5,0),0)</f>
        <v>97149.01</v>
      </c>
      <c r="J41" s="24">
        <f>IFERROR(VLOOKUP(Tabela3[[#This Row],[Conta]],'BD - E - Despesas'!$AB$15:$AF$500,5,0),0)</f>
        <v>76090.92</v>
      </c>
      <c r="K41" s="24">
        <f>IFERROR(VLOOKUP(Tabela3[[#This Row],[Conta]],'BD - E - Despesas'!$AK$15:$AO$500,5,0),0)</f>
        <v>0</v>
      </c>
      <c r="L41" s="24">
        <f>IFERROR(VLOOKUP(Tabela3[[#This Row],[Conta]],'BD - E - Despesas'!$AT$15:$AX$500,5,0),0)</f>
        <v>0</v>
      </c>
      <c r="M41" s="24">
        <f>IFERROR(VLOOKUP(Tabela3[[#This Row],[Conta]],'BD - E - Despesas'!$BC$15:$BG$500,5,0),0)</f>
        <v>0</v>
      </c>
      <c r="N41" s="24">
        <f>IFERROR(VLOOKUP(Tabela3[[#This Row],[Conta]],'BD - E - Despesas'!$BL$15:$BP$500,5,0),0)</f>
        <v>0</v>
      </c>
      <c r="O41" s="24">
        <f>IFERROR(VLOOKUP(Tabela3[[#This Row],[Conta]],'BD - E - Despesas'!$BU$15:$BY$500,5,0),0)</f>
        <v>0</v>
      </c>
      <c r="P41" s="24">
        <f>IFERROR(VLOOKUP(Tabela3[[#This Row],[Conta]],'BD - E - Despesas'!$CD$15:$CH$500,5,0),0)</f>
        <v>0</v>
      </c>
      <c r="Q41" s="24">
        <f>IFERROR(VLOOKUP(Tabela3[[#This Row],[Conta]],'BD - E - Despesas'!$CM$15:$CQ$500,5,0),0)</f>
        <v>0</v>
      </c>
      <c r="R41" s="24">
        <f>IFERROR(VLOOKUP(Tabela3[[#This Row],[Conta]],'BD - E - Despesas'!$CV$15:$CZ$500,5,0),0)</f>
        <v>0</v>
      </c>
    </row>
    <row r="42" spans="3:19" s="7" customFormat="1">
      <c r="C42" s="79" t="s">
        <v>347</v>
      </c>
      <c r="D42" s="80" t="s">
        <v>332</v>
      </c>
      <c r="E42" s="99">
        <v>331303</v>
      </c>
      <c r="F42" s="82" t="s">
        <v>6</v>
      </c>
      <c r="G42" s="13">
        <f>IFERROR(VLOOKUP(Tabela3[[#This Row],[Conta]],'BD - E - Despesas'!$A$15:$E$500,5,0),0)</f>
        <v>1815.56</v>
      </c>
      <c r="H42" s="24">
        <f>IFERROR(VLOOKUP(Tabela3[[#This Row],[Conta]],'BD - E - Despesas'!$J$15:$N$500,5,0),0)</f>
        <v>1573.44</v>
      </c>
      <c r="I42" s="24">
        <f>IFERROR(VLOOKUP(Tabela3[[#This Row],[Conta]],'BD - E - Despesas'!$S$15:$W$500,5,0),0)</f>
        <v>336.96</v>
      </c>
      <c r="J42" s="24">
        <f>IFERROR(VLOOKUP(Tabela3[[#This Row],[Conta]],'BD - E - Despesas'!$AB$15:$AF$500,5,0),0)</f>
        <v>309.75</v>
      </c>
      <c r="K42" s="24">
        <f>IFERROR(VLOOKUP(Tabela3[[#This Row],[Conta]],'BD - E - Despesas'!$AK$15:$AO$500,5,0),0)</f>
        <v>0</v>
      </c>
      <c r="L42" s="24">
        <f>IFERROR(VLOOKUP(Tabela3[[#This Row],[Conta]],'BD - E - Despesas'!$AT$15:$AX$500,5,0),0)</f>
        <v>0</v>
      </c>
      <c r="M42" s="24">
        <f>IFERROR(VLOOKUP(Tabela3[[#This Row],[Conta]],'BD - E - Despesas'!$BC$15:$BG$500,5,0),0)</f>
        <v>0</v>
      </c>
      <c r="N42" s="24">
        <f>IFERROR(VLOOKUP(Tabela3[[#This Row],[Conta]],'BD - E - Despesas'!$BL$15:$BP$500,5,0),0)</f>
        <v>0</v>
      </c>
      <c r="O42" s="24">
        <f>IFERROR(VLOOKUP(Tabela3[[#This Row],[Conta]],'BD - E - Despesas'!$BU$15:$BY$500,5,0),0)</f>
        <v>0</v>
      </c>
      <c r="P42" s="24">
        <f>IFERROR(VLOOKUP(Tabela3[[#This Row],[Conta]],'BD - E - Despesas'!$CD$15:$CH$500,5,0),0)</f>
        <v>0</v>
      </c>
      <c r="Q42" s="24">
        <f>IFERROR(VLOOKUP(Tabela3[[#This Row],[Conta]],'BD - E - Despesas'!$CM$15:$CQ$500,5,0),0)</f>
        <v>0</v>
      </c>
      <c r="R42" s="24">
        <f>IFERROR(VLOOKUP(Tabela3[[#This Row],[Conta]],'BD - E - Despesas'!$CV$15:$CZ$500,5,0),0)</f>
        <v>0</v>
      </c>
    </row>
    <row r="43" spans="3:19">
      <c r="C43" s="79" t="s">
        <v>347</v>
      </c>
      <c r="D43" s="80" t="s">
        <v>332</v>
      </c>
      <c r="E43" s="99">
        <v>331304</v>
      </c>
      <c r="F43" s="82" t="s">
        <v>7</v>
      </c>
      <c r="G43" s="13">
        <f>IFERROR(VLOOKUP(Tabela3[[#This Row],[Conta]],'BD - E - Despesas'!$A$15:$E$500,5,0),0)</f>
        <v>6096.54</v>
      </c>
      <c r="H43" s="24">
        <f>IFERROR(VLOOKUP(Tabela3[[#This Row],[Conta]],'BD - E - Despesas'!$J$15:$N$500,5,0),0)</f>
        <v>6096.07</v>
      </c>
      <c r="I43" s="24">
        <f>IFERROR(VLOOKUP(Tabela3[[#This Row],[Conta]],'BD - E - Despesas'!$S$15:$W$500,5,0),0)</f>
        <v>6111.45</v>
      </c>
      <c r="J43" s="24">
        <f>IFERROR(VLOOKUP(Tabela3[[#This Row],[Conta]],'BD - E - Despesas'!$AB$15:$AF$500,5,0),0)</f>
        <v>6102.17</v>
      </c>
      <c r="K43" s="24">
        <f>IFERROR(VLOOKUP(Tabela3[[#This Row],[Conta]],'BD - E - Despesas'!$AK$15:$AO$500,5,0),0)</f>
        <v>0</v>
      </c>
      <c r="L43" s="24">
        <f>IFERROR(VLOOKUP(Tabela3[[#This Row],[Conta]],'BD - E - Despesas'!$AT$15:$AX$500,5,0),0)</f>
        <v>0</v>
      </c>
      <c r="M43" s="24">
        <f>IFERROR(VLOOKUP(Tabela3[[#This Row],[Conta]],'BD - E - Despesas'!$BC$15:$BG$500,5,0),0)</f>
        <v>0</v>
      </c>
      <c r="N43" s="24">
        <f>IFERROR(VLOOKUP(Tabela3[[#This Row],[Conta]],'BD - E - Despesas'!$BL$15:$BP$500,5,0),0)</f>
        <v>0</v>
      </c>
      <c r="O43" s="24">
        <f>IFERROR(VLOOKUP(Tabela3[[#This Row],[Conta]],'BD - E - Despesas'!$BU$15:$BY$500,5,0),0)</f>
        <v>0</v>
      </c>
      <c r="P43" s="24">
        <f>IFERROR(VLOOKUP(Tabela3[[#This Row],[Conta]],'BD - E - Despesas'!$CD$15:$CH$500,5,0),0)</f>
        <v>0</v>
      </c>
      <c r="Q43" s="24">
        <f>IFERROR(VLOOKUP(Tabela3[[#This Row],[Conta]],'BD - E - Despesas'!$CM$15:$CQ$500,5,0),0)</f>
        <v>0</v>
      </c>
      <c r="R43" s="24">
        <f>IFERROR(VLOOKUP(Tabela3[[#This Row],[Conta]],'BD - E - Despesas'!$CV$15:$CZ$500,5,0),0)</f>
        <v>0</v>
      </c>
      <c r="S43"/>
    </row>
    <row r="44" spans="3:19">
      <c r="C44" s="79" t="s">
        <v>347</v>
      </c>
      <c r="D44" s="80" t="s">
        <v>332</v>
      </c>
      <c r="E44" s="99">
        <v>331305</v>
      </c>
      <c r="F44" s="82" t="s">
        <v>282</v>
      </c>
      <c r="G44" s="13">
        <f>IFERROR(VLOOKUP(Tabela3[[#This Row],[Conta]],'BD - E - Despesas'!$A$15:$E$500,5,0),0)</f>
        <v>28184.78</v>
      </c>
      <c r="H44" s="24">
        <f>IFERROR(VLOOKUP(Tabela3[[#This Row],[Conta]],'BD - E - Despesas'!$J$15:$N$500,5,0),0)</f>
        <v>36388.14</v>
      </c>
      <c r="I44" s="24">
        <f>IFERROR(VLOOKUP(Tabela3[[#This Row],[Conta]],'BD - E - Despesas'!$S$15:$W$500,5,0),0)</f>
        <v>32866.800000000003</v>
      </c>
      <c r="J44" s="24">
        <f>IFERROR(VLOOKUP(Tabela3[[#This Row],[Conta]],'BD - E - Despesas'!$AB$15:$AF$500,5,0),0)</f>
        <v>27932.720000000001</v>
      </c>
      <c r="K44" s="24">
        <f>IFERROR(VLOOKUP(Tabela3[[#This Row],[Conta]],'BD - E - Despesas'!$AK$15:$AO$500,5,0),0)</f>
        <v>0</v>
      </c>
      <c r="L44" s="24">
        <f>IFERROR(VLOOKUP(Tabela3[[#This Row],[Conta]],'BD - E - Despesas'!$AT$15:$AX$500,5,0),0)</f>
        <v>0</v>
      </c>
      <c r="M44" s="24">
        <f>IFERROR(VLOOKUP(Tabela3[[#This Row],[Conta]],'BD - E - Despesas'!$BC$15:$BG$500,5,0),0)</f>
        <v>0</v>
      </c>
      <c r="N44" s="24">
        <f>IFERROR(VLOOKUP(Tabela3[[#This Row],[Conta]],'BD - E - Despesas'!$BL$15:$BP$500,5,0),0)</f>
        <v>0</v>
      </c>
      <c r="O44" s="24">
        <f>IFERROR(VLOOKUP(Tabela3[[#This Row],[Conta]],'BD - E - Despesas'!$BU$15:$BY$500,5,0),0)</f>
        <v>0</v>
      </c>
      <c r="P44" s="24">
        <f>IFERROR(VLOOKUP(Tabela3[[#This Row],[Conta]],'BD - E - Despesas'!$CD$15:$CH$500,5,0),0)</f>
        <v>0</v>
      </c>
      <c r="Q44" s="24">
        <f>IFERROR(VLOOKUP(Tabela3[[#This Row],[Conta]],'BD - E - Despesas'!$CM$15:$CQ$500,5,0),0)</f>
        <v>0</v>
      </c>
      <c r="R44" s="24">
        <f>IFERROR(VLOOKUP(Tabela3[[#This Row],[Conta]],'BD - E - Despesas'!$CV$15:$CZ$500,5,0),0)</f>
        <v>0</v>
      </c>
      <c r="S44"/>
    </row>
    <row r="45" spans="3:19">
      <c r="C45" s="79" t="s">
        <v>347</v>
      </c>
      <c r="D45" s="80" t="s">
        <v>332</v>
      </c>
      <c r="E45" s="85">
        <v>331306</v>
      </c>
      <c r="F45" s="152" t="s">
        <v>440</v>
      </c>
      <c r="G45" s="13">
        <f>IFERROR(VLOOKUP(Tabela3[[#This Row],[Conta]],'BD - E - Despesas'!$A$15:$E$500,5,0),0)</f>
        <v>0</v>
      </c>
      <c r="H45" s="24">
        <f>IFERROR(VLOOKUP(Tabela3[[#This Row],[Conta]],'BD - E - Despesas'!$J$15:$N$500,5,0),0)</f>
        <v>0</v>
      </c>
      <c r="I45" s="24">
        <f>IFERROR(VLOOKUP(Tabela3[[#This Row],[Conta]],'BD - E - Despesas'!$S$15:$W$500,5,0),0)</f>
        <v>0</v>
      </c>
      <c r="J45" s="24">
        <f>IFERROR(VLOOKUP(Tabela3[[#This Row],[Conta]],'BD - E - Despesas'!$AB$15:$AF$500,5,0),0)</f>
        <v>0</v>
      </c>
      <c r="K45" s="24">
        <f>IFERROR(VLOOKUP(Tabela3[[#This Row],[Conta]],'BD - E - Despesas'!$AK$15:$AO$500,5,0),0)</f>
        <v>0</v>
      </c>
      <c r="L45" s="24">
        <f>IFERROR(VLOOKUP(Tabela3[[#This Row],[Conta]],'BD - E - Despesas'!$AT$15:$AX$500,5,0),0)</f>
        <v>0</v>
      </c>
      <c r="M45" s="24">
        <f>IFERROR(VLOOKUP(Tabela3[[#This Row],[Conta]],'BD - E - Despesas'!$BC$15:$BG$500,5,0),0)</f>
        <v>0</v>
      </c>
      <c r="N45" s="24">
        <f>IFERROR(VLOOKUP(Tabela3[[#This Row],[Conta]],'BD - E - Despesas'!$BL$15:$BP$500,5,0),0)</f>
        <v>0</v>
      </c>
      <c r="O45" s="24">
        <f>IFERROR(VLOOKUP(Tabela3[[#This Row],[Conta]],'BD - E - Despesas'!$BU$15:$BY$500,5,0),0)</f>
        <v>0</v>
      </c>
      <c r="P45" s="24">
        <f>IFERROR(VLOOKUP(Tabela3[[#This Row],[Conta]],'BD - E - Despesas'!$CD$15:$CH$500,5,0),0)</f>
        <v>0</v>
      </c>
      <c r="Q45" s="24">
        <f>IFERROR(VLOOKUP(Tabela3[[#This Row],[Conta]],'BD - E - Despesas'!$CM$15:$CQ$500,5,0),0)</f>
        <v>0</v>
      </c>
      <c r="R45" s="24">
        <f>IFERROR(VLOOKUP(Tabela3[[#This Row],[Conta]],'BD - E - Despesas'!$CV$15:$CZ$500,5,0),0)</f>
        <v>0</v>
      </c>
      <c r="S45"/>
    </row>
    <row r="46" spans="3:19">
      <c r="C46" s="79" t="s">
        <v>347</v>
      </c>
      <c r="D46" s="80" t="s">
        <v>332</v>
      </c>
      <c r="E46" s="85">
        <v>331307</v>
      </c>
      <c r="F46" s="82" t="s">
        <v>448</v>
      </c>
      <c r="G46" s="13">
        <f>IFERROR(VLOOKUP(Tabela3[[#This Row],[Conta]],'BD - E - Despesas'!$A$15:$E$500,5,0),0)</f>
        <v>0</v>
      </c>
      <c r="H46" s="24">
        <f>IFERROR(VLOOKUP(Tabela3[[#This Row],[Conta]],'BD - E - Despesas'!$J$15:$N$500,5,0),0)</f>
        <v>0</v>
      </c>
      <c r="I46" s="24">
        <f>IFERROR(VLOOKUP(Tabela3[[#This Row],[Conta]],'BD - E - Despesas'!$S$15:$W$500,5,0),0)</f>
        <v>246.05</v>
      </c>
      <c r="J46" s="24">
        <f>IFERROR(VLOOKUP(Tabela3[[#This Row],[Conta]],'BD - E - Despesas'!$AB$15:$AF$500,5,0),0)</f>
        <v>0</v>
      </c>
      <c r="K46" s="24">
        <f>IFERROR(VLOOKUP(Tabela3[[#This Row],[Conta]],'BD - E - Despesas'!$AK$15:$AO$500,5,0),0)</f>
        <v>0</v>
      </c>
      <c r="L46" s="24">
        <f>IFERROR(VLOOKUP(Tabela3[[#This Row],[Conta]],'BD - E - Despesas'!$AT$15:$AX$500,5,0),0)</f>
        <v>0</v>
      </c>
      <c r="M46" s="24">
        <f>IFERROR(VLOOKUP(Tabela3[[#This Row],[Conta]],'BD - E - Despesas'!$BC$15:$BG$500,5,0),0)</f>
        <v>0</v>
      </c>
      <c r="N46" s="24">
        <f>IFERROR(VLOOKUP(Tabela3[[#This Row],[Conta]],'BD - E - Despesas'!$BL$15:$BP$500,5,0),0)</f>
        <v>0</v>
      </c>
      <c r="O46" s="24">
        <f>IFERROR(VLOOKUP(Tabela3[[#This Row],[Conta]],'BD - E - Despesas'!$BU$15:$BY$500,5,0),0)</f>
        <v>0</v>
      </c>
      <c r="P46" s="24">
        <f>IFERROR(VLOOKUP(Tabela3[[#This Row],[Conta]],'BD - E - Despesas'!$CD$15:$CH$500,5,0),0)</f>
        <v>0</v>
      </c>
      <c r="Q46" s="24">
        <f>IFERROR(VLOOKUP(Tabela3[[#This Row],[Conta]],'BD - E - Despesas'!$CM$15:$CQ$500,5,0),0)</f>
        <v>0</v>
      </c>
      <c r="R46" s="24">
        <f>IFERROR(VLOOKUP(Tabela3[[#This Row],[Conta]],'BD - E - Despesas'!$CV$15:$CZ$500,5,0),0)</f>
        <v>0</v>
      </c>
      <c r="S46"/>
    </row>
    <row r="47" spans="3:19">
      <c r="C47" s="79" t="s">
        <v>347</v>
      </c>
      <c r="D47" s="80" t="s">
        <v>332</v>
      </c>
      <c r="E47" s="30">
        <v>331308</v>
      </c>
      <c r="F47" s="82" t="s">
        <v>407</v>
      </c>
      <c r="G47" s="13">
        <f>IFERROR(VLOOKUP(Tabela3[[#This Row],[Conta]],'BD - E - Despesas'!$A$15:$E$500,5,0),0)</f>
        <v>758.8</v>
      </c>
      <c r="H47" s="24">
        <f>IFERROR(VLOOKUP(Tabela3[[#This Row],[Conta]],'BD - E - Despesas'!$J$15:$N$500,5,0),0)</f>
        <v>200</v>
      </c>
      <c r="I47" s="24">
        <f>IFERROR(VLOOKUP(Tabela3[[#This Row],[Conta]],'BD - E - Despesas'!$S$15:$W$500,5,0),0)</f>
        <v>602.5</v>
      </c>
      <c r="J47" s="24">
        <f>IFERROR(VLOOKUP(Tabela3[[#This Row],[Conta]],'BD - E - Despesas'!$AB$15:$AF$500,5,0),0)</f>
        <v>0</v>
      </c>
      <c r="K47" s="24">
        <f>IFERROR(VLOOKUP(Tabela3[[#This Row],[Conta]],'BD - E - Despesas'!$AK$15:$AO$500,5,0),0)</f>
        <v>0</v>
      </c>
      <c r="L47" s="24">
        <f>IFERROR(VLOOKUP(Tabela3[[#This Row],[Conta]],'BD - E - Despesas'!$AT$15:$AX$500,5,0),0)</f>
        <v>0</v>
      </c>
      <c r="M47" s="24">
        <f>IFERROR(VLOOKUP(Tabela3[[#This Row],[Conta]],'BD - E - Despesas'!$BC$15:$BG$500,5,0),0)</f>
        <v>0</v>
      </c>
      <c r="N47" s="24">
        <f>IFERROR(VLOOKUP(Tabela3[[#This Row],[Conta]],'BD - E - Despesas'!$BL$15:$BP$500,5,0),0)</f>
        <v>0</v>
      </c>
      <c r="O47" s="24">
        <f>IFERROR(VLOOKUP(Tabela3[[#This Row],[Conta]],'BD - E - Despesas'!$BU$15:$BY$500,5,0),0)</f>
        <v>0</v>
      </c>
      <c r="P47" s="24">
        <f>IFERROR(VLOOKUP(Tabela3[[#This Row],[Conta]],'BD - E - Despesas'!$CD$15:$CH$500,5,0),0)</f>
        <v>0</v>
      </c>
      <c r="Q47" s="24">
        <f>IFERROR(VLOOKUP(Tabela3[[#This Row],[Conta]],'BD - E - Despesas'!$CM$15:$CQ$500,5,0),0)</f>
        <v>0</v>
      </c>
      <c r="R47" s="24">
        <f>IFERROR(VLOOKUP(Tabela3[[#This Row],[Conta]],'BD - E - Despesas'!$CV$15:$CZ$500,5,0),0)</f>
        <v>0</v>
      </c>
      <c r="S47"/>
    </row>
    <row r="48" spans="3:19">
      <c r="C48" s="79" t="s">
        <v>347</v>
      </c>
      <c r="D48" s="80" t="s">
        <v>332</v>
      </c>
      <c r="E48" s="30">
        <v>331309</v>
      </c>
      <c r="F48" s="82" t="s">
        <v>408</v>
      </c>
      <c r="G48" s="13">
        <f>IFERROR(VLOOKUP(Tabela3[[#This Row],[Conta]],'BD - E - Despesas'!$A$15:$E$500,5,0),0)</f>
        <v>362.85</v>
      </c>
      <c r="H48" s="24">
        <f>IFERROR(VLOOKUP(Tabela3[[#This Row],[Conta]],'BD - E - Despesas'!$J$15:$N$500,5,0),0)</f>
        <v>2501.2800000000002</v>
      </c>
      <c r="I48" s="24">
        <f>IFERROR(VLOOKUP(Tabela3[[#This Row],[Conta]],'BD - E - Despesas'!$S$15:$W$500,5,0),0)</f>
        <v>552.71</v>
      </c>
      <c r="J48" s="24">
        <f>IFERROR(VLOOKUP(Tabela3[[#This Row],[Conta]],'BD - E - Despesas'!$AB$15:$AF$500,5,0),0)</f>
        <v>657.02</v>
      </c>
      <c r="K48" s="24">
        <f>IFERROR(VLOOKUP(Tabela3[[#This Row],[Conta]],'BD - E - Despesas'!$AK$15:$AO$500,5,0),0)</f>
        <v>0</v>
      </c>
      <c r="L48" s="24">
        <f>IFERROR(VLOOKUP(Tabela3[[#This Row],[Conta]],'BD - E - Despesas'!$AT$15:$AX$500,5,0),0)</f>
        <v>0</v>
      </c>
      <c r="M48" s="24">
        <f>IFERROR(VLOOKUP(Tabela3[[#This Row],[Conta]],'BD - E - Despesas'!$BC$15:$BG$500,5,0),0)</f>
        <v>0</v>
      </c>
      <c r="N48" s="24">
        <f>IFERROR(VLOOKUP(Tabela3[[#This Row],[Conta]],'BD - E - Despesas'!$BL$15:$BP$500,5,0),0)</f>
        <v>0</v>
      </c>
      <c r="O48" s="24">
        <f>IFERROR(VLOOKUP(Tabela3[[#This Row],[Conta]],'BD - E - Despesas'!$BU$15:$BY$500,5,0),0)</f>
        <v>0</v>
      </c>
      <c r="P48" s="24">
        <f>IFERROR(VLOOKUP(Tabela3[[#This Row],[Conta]],'BD - E - Despesas'!$CD$15:$CH$500,5,0),0)</f>
        <v>0</v>
      </c>
      <c r="Q48" s="24">
        <f>IFERROR(VLOOKUP(Tabela3[[#This Row],[Conta]],'BD - E - Despesas'!$CM$15:$CQ$500,5,0),0)</f>
        <v>0</v>
      </c>
      <c r="R48" s="24">
        <f>IFERROR(VLOOKUP(Tabela3[[#This Row],[Conta]],'BD - E - Despesas'!$CV$15:$CZ$500,5,0),0)</f>
        <v>0</v>
      </c>
      <c r="S48"/>
    </row>
    <row r="49" spans="3:19">
      <c r="C49" s="79" t="s">
        <v>347</v>
      </c>
      <c r="D49" s="80" t="s">
        <v>332</v>
      </c>
      <c r="E49" s="99">
        <v>331310</v>
      </c>
      <c r="F49" s="82" t="s">
        <v>283</v>
      </c>
      <c r="G49" s="13">
        <f>IFERROR(VLOOKUP(Tabela3[[#This Row],[Conta]],'BD - E - Despesas'!$A$15:$E$500,5,0),0)</f>
        <v>58136.55</v>
      </c>
      <c r="H49" s="24">
        <f>IFERROR(VLOOKUP(Tabela3[[#This Row],[Conta]],'BD - E - Despesas'!$J$15:$N$500,5,0),0)</f>
        <v>32668.76</v>
      </c>
      <c r="I49" s="24">
        <f>IFERROR(VLOOKUP(Tabela3[[#This Row],[Conta]],'BD - E - Despesas'!$S$15:$W$500,5,0),0)</f>
        <v>45606.559999999998</v>
      </c>
      <c r="J49" s="24">
        <f>IFERROR(VLOOKUP(Tabela3[[#This Row],[Conta]],'BD - E - Despesas'!$AB$15:$AF$500,5,0),0)</f>
        <v>42154.18</v>
      </c>
      <c r="K49" s="24">
        <f>IFERROR(VLOOKUP(Tabela3[[#This Row],[Conta]],'BD - E - Despesas'!$AK$15:$AO$500,5,0),0)</f>
        <v>0</v>
      </c>
      <c r="L49" s="24">
        <f>IFERROR(VLOOKUP(Tabela3[[#This Row],[Conta]],'BD - E - Despesas'!$AT$15:$AX$500,5,0),0)</f>
        <v>0</v>
      </c>
      <c r="M49" s="24">
        <f>IFERROR(VLOOKUP(Tabela3[[#This Row],[Conta]],'BD - E - Despesas'!$BC$15:$BG$500,5,0),0)</f>
        <v>0</v>
      </c>
      <c r="N49" s="24">
        <f>IFERROR(VLOOKUP(Tabela3[[#This Row],[Conta]],'BD - E - Despesas'!$BL$15:$BP$500,5,0),0)</f>
        <v>0</v>
      </c>
      <c r="O49" s="24">
        <f>IFERROR(VLOOKUP(Tabela3[[#This Row],[Conta]],'BD - E - Despesas'!$BU$15:$BY$500,5,0),0)</f>
        <v>0</v>
      </c>
      <c r="P49" s="24">
        <f>IFERROR(VLOOKUP(Tabela3[[#This Row],[Conta]],'BD - E - Despesas'!$CD$15:$CH$500,5,0),0)</f>
        <v>0</v>
      </c>
      <c r="Q49" s="24">
        <f>IFERROR(VLOOKUP(Tabela3[[#This Row],[Conta]],'BD - E - Despesas'!$CM$15:$CQ$500,5,0),0)</f>
        <v>0</v>
      </c>
      <c r="R49" s="24">
        <f>IFERROR(VLOOKUP(Tabela3[[#This Row],[Conta]],'BD - E - Despesas'!$CV$15:$CZ$500,5,0),0)</f>
        <v>0</v>
      </c>
      <c r="S49"/>
    </row>
    <row r="50" spans="3:19">
      <c r="C50" s="79" t="s">
        <v>347</v>
      </c>
      <c r="D50" s="80" t="s">
        <v>332</v>
      </c>
      <c r="E50" s="99">
        <v>331311</v>
      </c>
      <c r="F50" s="82" t="s">
        <v>284</v>
      </c>
      <c r="G50" s="13">
        <f>IFERROR(VLOOKUP(Tabela3[[#This Row],[Conta]],'BD - E - Despesas'!$A$15:$E$500,5,0),0)</f>
        <v>0</v>
      </c>
      <c r="H50" s="24">
        <f>IFERROR(VLOOKUP(Tabela3[[#This Row],[Conta]],'BD - E - Despesas'!$J$15:$N$500,5,0),0)</f>
        <v>0</v>
      </c>
      <c r="I50" s="24">
        <f>IFERROR(VLOOKUP(Tabela3[[#This Row],[Conta]],'BD - E - Despesas'!$S$15:$W$500,5,0),0)</f>
        <v>0</v>
      </c>
      <c r="J50" s="24">
        <f>IFERROR(VLOOKUP(Tabela3[[#This Row],[Conta]],'BD - E - Despesas'!$AB$15:$AF$500,5,0),0)</f>
        <v>0</v>
      </c>
      <c r="K50" s="24">
        <f>IFERROR(VLOOKUP(Tabela3[[#This Row],[Conta]],'BD - E - Despesas'!$AK$15:$AO$500,5,0),0)</f>
        <v>0</v>
      </c>
      <c r="L50" s="24">
        <f>IFERROR(VLOOKUP(Tabela3[[#This Row],[Conta]],'BD - E - Despesas'!$AT$15:$AX$500,5,0),0)</f>
        <v>0</v>
      </c>
      <c r="M50" s="24">
        <f>IFERROR(VLOOKUP(Tabela3[[#This Row],[Conta]],'BD - E - Despesas'!$BC$15:$BG$500,5,0),0)</f>
        <v>0</v>
      </c>
      <c r="N50" s="24">
        <f>IFERROR(VLOOKUP(Tabela3[[#This Row],[Conta]],'BD - E - Despesas'!$BL$15:$BP$500,5,0),0)</f>
        <v>0</v>
      </c>
      <c r="O50" s="24">
        <f>IFERROR(VLOOKUP(Tabela3[[#This Row],[Conta]],'BD - E - Despesas'!$BU$15:$BY$500,5,0),0)</f>
        <v>0</v>
      </c>
      <c r="P50" s="24">
        <f>IFERROR(VLOOKUP(Tabela3[[#This Row],[Conta]],'BD - E - Despesas'!$CD$15:$CH$500,5,0),0)</f>
        <v>0</v>
      </c>
      <c r="Q50" s="24">
        <f>IFERROR(VLOOKUP(Tabela3[[#This Row],[Conta]],'BD - E - Despesas'!$CM$15:$CQ$500,5,0),0)</f>
        <v>0</v>
      </c>
      <c r="R50" s="24">
        <f>IFERROR(VLOOKUP(Tabela3[[#This Row],[Conta]],'BD - E - Despesas'!$CV$15:$CZ$500,5,0),0)</f>
        <v>0</v>
      </c>
      <c r="S50"/>
    </row>
    <row r="51" spans="3:19">
      <c r="C51" s="79" t="s">
        <v>347</v>
      </c>
      <c r="D51" s="80" t="s">
        <v>332</v>
      </c>
      <c r="E51" s="99">
        <v>331312</v>
      </c>
      <c r="F51" s="82" t="s">
        <v>496</v>
      </c>
      <c r="G51" s="13">
        <f>IFERROR(VLOOKUP(Tabela3[[#This Row],[Conta]],'BD - E - Despesas'!$A$15:$E$500,5,0),0)</f>
        <v>0</v>
      </c>
      <c r="H51" s="24">
        <f>IFERROR(VLOOKUP(Tabela3[[#This Row],[Conta]],'BD - E - Despesas'!$J$15:$N$500,5,0),0)</f>
        <v>0</v>
      </c>
      <c r="I51" s="24">
        <f>IFERROR(VLOOKUP(Tabela3[[#This Row],[Conta]],'BD - E - Despesas'!$S$15:$W$500,5,0),0)</f>
        <v>0</v>
      </c>
      <c r="J51" s="24">
        <f>IFERROR(VLOOKUP(Tabela3[[#This Row],[Conta]],'BD - E - Despesas'!$AB$15:$AF$500,5,0),0)</f>
        <v>0</v>
      </c>
      <c r="K51" s="24">
        <f>IFERROR(VLOOKUP(Tabela3[[#This Row],[Conta]],'BD - E - Despesas'!$AK$15:$AO$500,5,0),0)</f>
        <v>0</v>
      </c>
      <c r="L51" s="24">
        <f>IFERROR(VLOOKUP(Tabela3[[#This Row],[Conta]],'BD - E - Despesas'!$AT$15:$AX$500,5,0),0)</f>
        <v>0</v>
      </c>
      <c r="M51" s="24">
        <f>IFERROR(VLOOKUP(Tabela3[[#This Row],[Conta]],'BD - E - Despesas'!$BC$15:$BG$500,5,0),0)</f>
        <v>0</v>
      </c>
      <c r="N51" s="24">
        <f>IFERROR(VLOOKUP(Tabela3[[#This Row],[Conta]],'BD - E - Despesas'!$BL$15:$BP$500,5,0),0)</f>
        <v>0</v>
      </c>
      <c r="O51" s="24">
        <f>IFERROR(VLOOKUP(Tabela3[[#This Row],[Conta]],'BD - E - Despesas'!$BU$15:$BY$500,5,0),0)</f>
        <v>0</v>
      </c>
      <c r="P51" s="24">
        <f>IFERROR(VLOOKUP(Tabela3[[#This Row],[Conta]],'BD - E - Despesas'!$CD$15:$CH$500,5,0),0)</f>
        <v>0</v>
      </c>
      <c r="Q51" s="24">
        <f>IFERROR(VLOOKUP(Tabela3[[#This Row],[Conta]],'BD - E - Despesas'!$CM$15:$CQ$500,5,0),0)</f>
        <v>0</v>
      </c>
      <c r="R51" s="24">
        <f>IFERROR(VLOOKUP(Tabela3[[#This Row],[Conta]],'BD - E - Despesas'!$CV$15:$CZ$500,5,0),0)</f>
        <v>0</v>
      </c>
      <c r="S51"/>
    </row>
    <row r="52" spans="3:19">
      <c r="C52" s="79" t="s">
        <v>347</v>
      </c>
      <c r="D52" s="80" t="s">
        <v>332</v>
      </c>
      <c r="E52" s="99">
        <v>331313</v>
      </c>
      <c r="F52" s="82" t="s">
        <v>285</v>
      </c>
      <c r="G52" s="13">
        <f>IFERROR(VLOOKUP(Tabela3[[#This Row],[Conta]],'BD - E - Despesas'!$A$15:$E$500,5,0),0)</f>
        <v>91025</v>
      </c>
      <c r="H52" s="24">
        <f>IFERROR(VLOOKUP(Tabela3[[#This Row],[Conta]],'BD - E - Despesas'!$J$15:$N$500,5,0),0)</f>
        <v>12584.81</v>
      </c>
      <c r="I52" s="24">
        <f>IFERROR(VLOOKUP(Tabela3[[#This Row],[Conta]],'BD - E - Despesas'!$S$15:$W$500,5,0),0)</f>
        <v>185033.72</v>
      </c>
      <c r="J52" s="24">
        <f>IFERROR(VLOOKUP(Tabela3[[#This Row],[Conta]],'BD - E - Despesas'!$AB$15:$AF$500,5,0),0)</f>
        <v>97906.28</v>
      </c>
      <c r="K52" s="24">
        <f>IFERROR(VLOOKUP(Tabela3[[#This Row],[Conta]],'BD - E - Despesas'!$AK$15:$AO$500,5,0),0)</f>
        <v>0</v>
      </c>
      <c r="L52" s="24">
        <f>IFERROR(VLOOKUP(Tabela3[[#This Row],[Conta]],'BD - E - Despesas'!$AT$15:$AX$500,5,0),0)</f>
        <v>0</v>
      </c>
      <c r="M52" s="24">
        <f>IFERROR(VLOOKUP(Tabela3[[#This Row],[Conta]],'BD - E - Despesas'!$BC$15:$BG$500,5,0),0)</f>
        <v>0</v>
      </c>
      <c r="N52" s="24">
        <f>IFERROR(VLOOKUP(Tabela3[[#This Row],[Conta]],'BD - E - Despesas'!$BL$15:$BP$500,5,0),0)</f>
        <v>0</v>
      </c>
      <c r="O52" s="24">
        <f>IFERROR(VLOOKUP(Tabela3[[#This Row],[Conta]],'BD - E - Despesas'!$BU$15:$BY$500,5,0),0)</f>
        <v>0</v>
      </c>
      <c r="P52" s="24">
        <f>IFERROR(VLOOKUP(Tabela3[[#This Row],[Conta]],'BD - E - Despesas'!$CD$15:$CH$500,5,0),0)</f>
        <v>0</v>
      </c>
      <c r="Q52" s="24">
        <f>IFERROR(VLOOKUP(Tabela3[[#This Row],[Conta]],'BD - E - Despesas'!$CM$15:$CQ$500,5,0),0)</f>
        <v>0</v>
      </c>
      <c r="R52" s="24">
        <f>IFERROR(VLOOKUP(Tabela3[[#This Row],[Conta]],'BD - E - Despesas'!$CV$15:$CZ$500,5,0),0)</f>
        <v>0</v>
      </c>
      <c r="S52"/>
    </row>
    <row r="53" spans="3:19">
      <c r="C53" s="79" t="s">
        <v>347</v>
      </c>
      <c r="D53" s="80" t="s">
        <v>332</v>
      </c>
      <c r="E53" s="30">
        <v>331314</v>
      </c>
      <c r="F53" s="82" t="s">
        <v>409</v>
      </c>
      <c r="G53" s="13">
        <f>IFERROR(VLOOKUP(Tabela3[[#This Row],[Conta]],'BD - E - Despesas'!$A$15:$E$500,5,0),0)</f>
        <v>0</v>
      </c>
      <c r="H53" s="24">
        <f>IFERROR(VLOOKUP(Tabela3[[#This Row],[Conta]],'BD - E - Despesas'!$J$15:$N$500,5,0),0)</f>
        <v>0</v>
      </c>
      <c r="I53" s="24">
        <f>IFERROR(VLOOKUP(Tabela3[[#This Row],[Conta]],'BD - E - Despesas'!$S$15:$W$500,5,0),0)</f>
        <v>0</v>
      </c>
      <c r="J53" s="24">
        <f>IFERROR(VLOOKUP(Tabela3[[#This Row],[Conta]],'BD - E - Despesas'!$AB$15:$AF$500,5,0),0)</f>
        <v>3400</v>
      </c>
      <c r="K53" s="24">
        <f>IFERROR(VLOOKUP(Tabela3[[#This Row],[Conta]],'BD - E - Despesas'!$AK$15:$AO$500,5,0),0)</f>
        <v>0</v>
      </c>
      <c r="L53" s="24">
        <f>IFERROR(VLOOKUP(Tabela3[[#This Row],[Conta]],'BD - E - Despesas'!$AT$15:$AX$500,5,0),0)</f>
        <v>0</v>
      </c>
      <c r="M53" s="24">
        <f>IFERROR(VLOOKUP(Tabela3[[#This Row],[Conta]],'BD - E - Despesas'!$BC$15:$BG$500,5,0),0)</f>
        <v>0</v>
      </c>
      <c r="N53" s="24">
        <f>IFERROR(VLOOKUP(Tabela3[[#This Row],[Conta]],'BD - E - Despesas'!$BL$15:$BP$500,5,0),0)</f>
        <v>0</v>
      </c>
      <c r="O53" s="24">
        <f>IFERROR(VLOOKUP(Tabela3[[#This Row],[Conta]],'BD - E - Despesas'!$BU$15:$BY$500,5,0),0)</f>
        <v>0</v>
      </c>
      <c r="P53" s="24">
        <f>IFERROR(VLOOKUP(Tabela3[[#This Row],[Conta]],'BD - E - Despesas'!$CD$15:$CH$500,5,0),0)</f>
        <v>0</v>
      </c>
      <c r="Q53" s="24">
        <f>IFERROR(VLOOKUP(Tabela3[[#This Row],[Conta]],'BD - E - Despesas'!$CM$15:$CQ$500,5,0),0)</f>
        <v>0</v>
      </c>
      <c r="R53" s="24">
        <f>IFERROR(VLOOKUP(Tabela3[[#This Row],[Conta]],'BD - E - Despesas'!$CV$15:$CZ$500,5,0),0)</f>
        <v>0</v>
      </c>
      <c r="S53"/>
    </row>
    <row r="54" spans="3:19">
      <c r="C54" s="79" t="s">
        <v>347</v>
      </c>
      <c r="D54" s="80" t="s">
        <v>332</v>
      </c>
      <c r="E54" s="99">
        <v>331315</v>
      </c>
      <c r="F54" s="82" t="s">
        <v>286</v>
      </c>
      <c r="G54" s="13">
        <f>IFERROR(VLOOKUP(Tabela3[[#This Row],[Conta]],'BD - E - Despesas'!$A$15:$E$500,5,0),0)</f>
        <v>7132.24</v>
      </c>
      <c r="H54" s="24">
        <f>IFERROR(VLOOKUP(Tabela3[[#This Row],[Conta]],'BD - E - Despesas'!$J$15:$N$500,5,0),0)</f>
        <v>7132.24</v>
      </c>
      <c r="I54" s="24">
        <f>IFERROR(VLOOKUP(Tabela3[[#This Row],[Conta]],'BD - E - Despesas'!$S$15:$W$500,5,0),0)</f>
        <v>6972.24</v>
      </c>
      <c r="J54" s="24">
        <f>IFERROR(VLOOKUP(Tabela3[[#This Row],[Conta]],'BD - E - Despesas'!$AB$15:$AF$500,5,0),0)</f>
        <v>6972.24</v>
      </c>
      <c r="K54" s="24">
        <f>IFERROR(VLOOKUP(Tabela3[[#This Row],[Conta]],'BD - E - Despesas'!$AK$15:$AO$500,5,0),0)</f>
        <v>0</v>
      </c>
      <c r="L54" s="24">
        <f>IFERROR(VLOOKUP(Tabela3[[#This Row],[Conta]],'BD - E - Despesas'!$AT$15:$AX$500,5,0),0)</f>
        <v>0</v>
      </c>
      <c r="M54" s="24">
        <f>IFERROR(VLOOKUP(Tabela3[[#This Row],[Conta]],'BD - E - Despesas'!$BC$15:$BG$500,5,0),0)</f>
        <v>0</v>
      </c>
      <c r="N54" s="24">
        <f>IFERROR(VLOOKUP(Tabela3[[#This Row],[Conta]],'BD - E - Despesas'!$BL$15:$BP$500,5,0),0)</f>
        <v>0</v>
      </c>
      <c r="O54" s="24">
        <f>IFERROR(VLOOKUP(Tabela3[[#This Row],[Conta]],'BD - E - Despesas'!$BU$15:$BY$500,5,0),0)</f>
        <v>0</v>
      </c>
      <c r="P54" s="24">
        <f>IFERROR(VLOOKUP(Tabela3[[#This Row],[Conta]],'BD - E - Despesas'!$CD$15:$CH$500,5,0),0)</f>
        <v>0</v>
      </c>
      <c r="Q54" s="24">
        <f>IFERROR(VLOOKUP(Tabela3[[#This Row],[Conta]],'BD - E - Despesas'!$CM$15:$CQ$500,5,0),0)</f>
        <v>0</v>
      </c>
      <c r="R54" s="24">
        <f>IFERROR(VLOOKUP(Tabela3[[#This Row],[Conta]],'BD - E - Despesas'!$CV$15:$CZ$500,5,0),0)</f>
        <v>0</v>
      </c>
      <c r="S54"/>
    </row>
    <row r="55" spans="3:19">
      <c r="C55" s="79" t="s">
        <v>347</v>
      </c>
      <c r="D55" s="80" t="s">
        <v>332</v>
      </c>
      <c r="E55" s="100">
        <v>331316</v>
      </c>
      <c r="F55" s="79" t="s">
        <v>287</v>
      </c>
      <c r="G55" s="13">
        <f>IFERROR(VLOOKUP(Tabela3[[#This Row],[Conta]],'BD - E - Despesas'!$A$15:$E$500,5,0),0)</f>
        <v>12340</v>
      </c>
      <c r="H55" s="24">
        <f>IFERROR(VLOOKUP(Tabela3[[#This Row],[Conta]],'BD - E - Despesas'!$J$15:$N$500,5,0),0)</f>
        <v>12300</v>
      </c>
      <c r="I55" s="24">
        <f>IFERROR(VLOOKUP(Tabela3[[#This Row],[Conta]],'BD - E - Despesas'!$S$15:$W$500,5,0),0)</f>
        <v>11160</v>
      </c>
      <c r="J55" s="24">
        <f>IFERROR(VLOOKUP(Tabela3[[#This Row],[Conta]],'BD - E - Despesas'!$AB$15:$AF$500,5,0),0)</f>
        <v>12460</v>
      </c>
      <c r="K55" s="24">
        <f>IFERROR(VLOOKUP(Tabela3[[#This Row],[Conta]],'BD - E - Despesas'!$AK$15:$AO$500,5,0),0)</f>
        <v>0</v>
      </c>
      <c r="L55" s="24">
        <f>IFERROR(VLOOKUP(Tabela3[[#This Row],[Conta]],'BD - E - Despesas'!$AT$15:$AX$500,5,0),0)</f>
        <v>0</v>
      </c>
      <c r="M55" s="24">
        <f>IFERROR(VLOOKUP(Tabela3[[#This Row],[Conta]],'BD - E - Despesas'!$BC$15:$BG$500,5,0),0)</f>
        <v>0</v>
      </c>
      <c r="N55" s="24">
        <f>IFERROR(VLOOKUP(Tabela3[[#This Row],[Conta]],'BD - E - Despesas'!$BL$15:$BP$500,5,0),0)</f>
        <v>0</v>
      </c>
      <c r="O55" s="24">
        <f>IFERROR(VLOOKUP(Tabela3[[#This Row],[Conta]],'BD - E - Despesas'!$BU$15:$BY$500,5,0),0)</f>
        <v>0</v>
      </c>
      <c r="P55" s="24">
        <f>IFERROR(VLOOKUP(Tabela3[[#This Row],[Conta]],'BD - E - Despesas'!$CD$15:$CH$500,5,0),0)</f>
        <v>0</v>
      </c>
      <c r="Q55" s="24">
        <f>IFERROR(VLOOKUP(Tabela3[[#This Row],[Conta]],'BD - E - Despesas'!$CM$15:$CQ$500,5,0),0)</f>
        <v>0</v>
      </c>
      <c r="R55" s="24">
        <f>IFERROR(VLOOKUP(Tabela3[[#This Row],[Conta]],'BD - E - Despesas'!$CV$15:$CZ$500,5,0),0)</f>
        <v>0</v>
      </c>
      <c r="S55"/>
    </row>
    <row r="56" spans="3:19">
      <c r="C56" s="79" t="s">
        <v>347</v>
      </c>
      <c r="D56" s="80" t="s">
        <v>332</v>
      </c>
      <c r="E56" s="100">
        <v>331317</v>
      </c>
      <c r="F56" s="79" t="s">
        <v>288</v>
      </c>
      <c r="G56" s="14">
        <f>IFERROR(VLOOKUP(Tabela3[[#This Row],[Conta]],'BD - E - Despesas'!$A$15:$E$500,5,0),0)</f>
        <v>3895.08</v>
      </c>
      <c r="H56" s="24">
        <f>IFERROR(VLOOKUP(Tabela3[[#This Row],[Conta]],'BD - E - Despesas'!$J$15:$N$500,5,0),0)</f>
        <v>3636.18</v>
      </c>
      <c r="I56" s="24">
        <f>IFERROR(VLOOKUP(Tabela3[[#This Row],[Conta]],'BD - E - Despesas'!$S$15:$W$500,5,0),0)</f>
        <v>1590.07</v>
      </c>
      <c r="J56" s="24">
        <f>IFERROR(VLOOKUP(Tabela3[[#This Row],[Conta]],'BD - E - Despesas'!$AB$15:$AF$500,5,0),0)</f>
        <v>1543.23</v>
      </c>
      <c r="K56" s="24">
        <f>IFERROR(VLOOKUP(Tabela3[[#This Row],[Conta]],'BD - E - Despesas'!$AK$15:$AO$500,5,0),0)</f>
        <v>0</v>
      </c>
      <c r="L56" s="24">
        <f>IFERROR(VLOOKUP(Tabela3[[#This Row],[Conta]],'BD - E - Despesas'!$AT$15:$AX$500,5,0),0)</f>
        <v>0</v>
      </c>
      <c r="M56" s="24">
        <f>IFERROR(VLOOKUP(Tabela3[[#This Row],[Conta]],'BD - E - Despesas'!$BC$15:$BG$500,5,0),0)</f>
        <v>0</v>
      </c>
      <c r="N56" s="24">
        <f>IFERROR(VLOOKUP(Tabela3[[#This Row],[Conta]],'BD - E - Despesas'!$BL$15:$BP$500,5,0),0)</f>
        <v>0</v>
      </c>
      <c r="O56" s="24">
        <f>IFERROR(VLOOKUP(Tabela3[[#This Row],[Conta]],'BD - E - Despesas'!$BU$15:$BY$500,5,0),0)</f>
        <v>0</v>
      </c>
      <c r="P56" s="24">
        <f>IFERROR(VLOOKUP(Tabela3[[#This Row],[Conta]],'BD - E - Despesas'!$CD$15:$CH$500,5,0),0)</f>
        <v>0</v>
      </c>
      <c r="Q56" s="24">
        <f>IFERROR(VLOOKUP(Tabela3[[#This Row],[Conta]],'BD - E - Despesas'!$CM$15:$CQ$500,5,0),0)</f>
        <v>0</v>
      </c>
      <c r="R56" s="24">
        <f>IFERROR(VLOOKUP(Tabela3[[#This Row],[Conta]],'BD - E - Despesas'!$CV$15:$CZ$500,5,0),0)</f>
        <v>0</v>
      </c>
      <c r="S56"/>
    </row>
    <row r="57" spans="3:19">
      <c r="C57" s="79" t="s">
        <v>347</v>
      </c>
      <c r="D57" s="80" t="s">
        <v>332</v>
      </c>
      <c r="E57" s="100">
        <v>331318</v>
      </c>
      <c r="F57" s="86" t="s">
        <v>289</v>
      </c>
      <c r="G57" s="13">
        <f>IFERROR(VLOOKUP(Tabela3[[#This Row],[Conta]],'BD - E - Despesas'!$A$15:$E$500,5,0),0)</f>
        <v>439</v>
      </c>
      <c r="H57" s="24">
        <f>IFERROR(VLOOKUP(Tabela3[[#This Row],[Conta]],'BD - E - Despesas'!$J$15:$N$500,5,0),0)</f>
        <v>155</v>
      </c>
      <c r="I57" s="24">
        <f>IFERROR(VLOOKUP(Tabela3[[#This Row],[Conta]],'BD - E - Despesas'!$S$15:$W$500,5,0),0)</f>
        <v>284</v>
      </c>
      <c r="J57" s="24">
        <f>IFERROR(VLOOKUP(Tabela3[[#This Row],[Conta]],'BD - E - Despesas'!$AB$15:$AF$500,5,0),0)</f>
        <v>530</v>
      </c>
      <c r="K57" s="24">
        <f>IFERROR(VLOOKUP(Tabela3[[#This Row],[Conta]],'BD - E - Despesas'!$AK$15:$AO$500,5,0),0)</f>
        <v>0</v>
      </c>
      <c r="L57" s="24">
        <f>IFERROR(VLOOKUP(Tabela3[[#This Row],[Conta]],'BD - E - Despesas'!$AT$15:$AX$500,5,0),0)</f>
        <v>0</v>
      </c>
      <c r="M57" s="24">
        <f>IFERROR(VLOOKUP(Tabela3[[#This Row],[Conta]],'BD - E - Despesas'!$BC$15:$BG$500,5,0),0)</f>
        <v>0</v>
      </c>
      <c r="N57" s="24">
        <f>IFERROR(VLOOKUP(Tabela3[[#This Row],[Conta]],'BD - E - Despesas'!$BL$15:$BP$500,5,0),0)</f>
        <v>0</v>
      </c>
      <c r="O57" s="24">
        <f>IFERROR(VLOOKUP(Tabela3[[#This Row],[Conta]],'BD - E - Despesas'!$BU$15:$BY$500,5,0),0)</f>
        <v>0</v>
      </c>
      <c r="P57" s="24">
        <f>IFERROR(VLOOKUP(Tabela3[[#This Row],[Conta]],'BD - E - Despesas'!$CD$15:$CH$500,5,0),0)</f>
        <v>0</v>
      </c>
      <c r="Q57" s="24">
        <f>IFERROR(VLOOKUP(Tabela3[[#This Row],[Conta]],'BD - E - Despesas'!$CM$15:$CQ$500,5,0),0)</f>
        <v>0</v>
      </c>
      <c r="R57" s="24">
        <f>IFERROR(VLOOKUP(Tabela3[[#This Row],[Conta]],'BD - E - Despesas'!$CV$15:$CZ$500,5,0),0)</f>
        <v>0</v>
      </c>
      <c r="S57"/>
    </row>
    <row r="58" spans="3:19">
      <c r="C58" s="79" t="s">
        <v>347</v>
      </c>
      <c r="D58" s="80" t="s">
        <v>332</v>
      </c>
      <c r="E58" s="30">
        <v>331320</v>
      </c>
      <c r="F58" s="87" t="s">
        <v>410</v>
      </c>
      <c r="G58" s="13">
        <f>IFERROR(VLOOKUP(Tabela3[[#This Row],[Conta]],'BD - E - Despesas'!$A$15:$E$500,5,0),0)</f>
        <v>0</v>
      </c>
      <c r="H58" s="24">
        <f>IFERROR(VLOOKUP(Tabela3[[#This Row],[Conta]],'BD - E - Despesas'!$J$15:$N$500,5,0),0)</f>
        <v>0</v>
      </c>
      <c r="I58" s="24">
        <f>IFERROR(VLOOKUP(Tabela3[[#This Row],[Conta]],'BD - E - Despesas'!$S$15:$W$500,5,0),0)</f>
        <v>0</v>
      </c>
      <c r="J58" s="24">
        <f>IFERROR(VLOOKUP(Tabela3[[#This Row],[Conta]],'BD - E - Despesas'!$AB$15:$AF$500,5,0),0)</f>
        <v>0</v>
      </c>
      <c r="K58" s="24">
        <f>IFERROR(VLOOKUP(Tabela3[[#This Row],[Conta]],'BD - E - Despesas'!$AK$15:$AO$500,5,0),0)</f>
        <v>0</v>
      </c>
      <c r="L58" s="24">
        <f>IFERROR(VLOOKUP(Tabela3[[#This Row],[Conta]],'BD - E - Despesas'!$AT$15:$AX$500,5,0),0)</f>
        <v>0</v>
      </c>
      <c r="M58" s="24">
        <f>IFERROR(VLOOKUP(Tabela3[[#This Row],[Conta]],'BD - E - Despesas'!$BC$15:$BG$500,5,0),0)</f>
        <v>0</v>
      </c>
      <c r="N58" s="24">
        <f>IFERROR(VLOOKUP(Tabela3[[#This Row],[Conta]],'BD - E - Despesas'!$BL$15:$BP$500,5,0),0)</f>
        <v>0</v>
      </c>
      <c r="O58" s="24">
        <f>IFERROR(VLOOKUP(Tabela3[[#This Row],[Conta]],'BD - E - Despesas'!$BU$15:$BY$500,5,0),0)</f>
        <v>0</v>
      </c>
      <c r="P58" s="24">
        <f>IFERROR(VLOOKUP(Tabela3[[#This Row],[Conta]],'BD - E - Despesas'!$CD$15:$CH$500,5,0),0)</f>
        <v>0</v>
      </c>
      <c r="Q58" s="24">
        <f>IFERROR(VLOOKUP(Tabela3[[#This Row],[Conta]],'BD - E - Despesas'!$CM$15:$CQ$500,5,0),0)</f>
        <v>0</v>
      </c>
      <c r="R58" s="24">
        <f>IFERROR(VLOOKUP(Tabela3[[#This Row],[Conta]],'BD - E - Despesas'!$CV$15:$CZ$500,5,0),0)</f>
        <v>0</v>
      </c>
      <c r="S58"/>
    </row>
    <row r="59" spans="3:19">
      <c r="C59" s="79" t="s">
        <v>347</v>
      </c>
      <c r="D59" s="80" t="s">
        <v>330</v>
      </c>
      <c r="E59" s="100">
        <v>331401</v>
      </c>
      <c r="F59" s="87" t="s">
        <v>290</v>
      </c>
      <c r="G59" s="13">
        <f>IFERROR(VLOOKUP(Tabela3[[#This Row],[Conta]],'BD - E - Despesas'!$A$15:$E$500,5,0),0)</f>
        <v>5975.92</v>
      </c>
      <c r="H59" s="24">
        <f>IFERROR(VLOOKUP(Tabela3[[#This Row],[Conta]],'BD - E - Despesas'!$J$15:$N$500,5,0),0)</f>
        <v>18913.97</v>
      </c>
      <c r="I59" s="24">
        <f>IFERROR(VLOOKUP(Tabela3[[#This Row],[Conta]],'BD - E - Despesas'!$S$15:$W$500,5,0),0)</f>
        <v>27046.37</v>
      </c>
      <c r="J59" s="24">
        <f>IFERROR(VLOOKUP(Tabela3[[#This Row],[Conta]],'BD - E - Despesas'!$AB$15:$AF$500,5,0),0)</f>
        <v>17434.7</v>
      </c>
      <c r="K59" s="24">
        <f>IFERROR(VLOOKUP(Tabela3[[#This Row],[Conta]],'BD - E - Despesas'!$AK$15:$AO$500,5,0),0)</f>
        <v>0</v>
      </c>
      <c r="L59" s="24">
        <f>IFERROR(VLOOKUP(Tabela3[[#This Row],[Conta]],'BD - E - Despesas'!$AT$15:$AX$500,5,0),0)</f>
        <v>0</v>
      </c>
      <c r="M59" s="24">
        <f>IFERROR(VLOOKUP(Tabela3[[#This Row],[Conta]],'BD - E - Despesas'!$BC$15:$BG$500,5,0),0)</f>
        <v>0</v>
      </c>
      <c r="N59" s="24">
        <f>IFERROR(VLOOKUP(Tabela3[[#This Row],[Conta]],'BD - E - Despesas'!$BL$15:$BP$500,5,0),0)</f>
        <v>0</v>
      </c>
      <c r="O59" s="24">
        <f>IFERROR(VLOOKUP(Tabela3[[#This Row],[Conta]],'BD - E - Despesas'!$BU$15:$BY$500,5,0),0)</f>
        <v>0</v>
      </c>
      <c r="P59" s="24">
        <f>IFERROR(VLOOKUP(Tabela3[[#This Row],[Conta]],'BD - E - Despesas'!$CD$15:$CH$500,5,0),0)</f>
        <v>0</v>
      </c>
      <c r="Q59" s="24">
        <f>IFERROR(VLOOKUP(Tabela3[[#This Row],[Conta]],'BD - E - Despesas'!$CM$15:$CQ$500,5,0),0)</f>
        <v>0</v>
      </c>
      <c r="R59" s="24">
        <f>IFERROR(VLOOKUP(Tabela3[[#This Row],[Conta]],'BD - E - Despesas'!$CV$15:$CZ$500,5,0),0)</f>
        <v>0</v>
      </c>
      <c r="S59"/>
    </row>
    <row r="60" spans="3:19">
      <c r="C60" s="79" t="s">
        <v>347</v>
      </c>
      <c r="D60" s="80" t="s">
        <v>330</v>
      </c>
      <c r="E60" s="100">
        <v>331402</v>
      </c>
      <c r="F60" s="87" t="s">
        <v>291</v>
      </c>
      <c r="G60" s="13">
        <f>IFERROR(VLOOKUP(Tabela3[[#This Row],[Conta]],'BD - E - Despesas'!$A$15:$E$500,5,0),0)</f>
        <v>4081.33</v>
      </c>
      <c r="H60" s="24">
        <f>IFERROR(VLOOKUP(Tabela3[[#This Row],[Conta]],'BD - E - Despesas'!$J$15:$N$500,5,0),0)</f>
        <v>16840.63</v>
      </c>
      <c r="I60" s="24">
        <f>IFERROR(VLOOKUP(Tabela3[[#This Row],[Conta]],'BD - E - Despesas'!$S$15:$W$500,5,0),0)</f>
        <v>15028.31</v>
      </c>
      <c r="J60" s="24">
        <f>IFERROR(VLOOKUP(Tabela3[[#This Row],[Conta]],'BD - E - Despesas'!$AB$15:$AF$500,5,0),0)</f>
        <v>4350</v>
      </c>
      <c r="K60" s="24">
        <f>IFERROR(VLOOKUP(Tabela3[[#This Row],[Conta]],'BD - E - Despesas'!$AK$15:$AO$500,5,0),0)</f>
        <v>0</v>
      </c>
      <c r="L60" s="24">
        <f>IFERROR(VLOOKUP(Tabela3[[#This Row],[Conta]],'BD - E - Despesas'!$AT$15:$AX$500,5,0),0)</f>
        <v>0</v>
      </c>
      <c r="M60" s="24">
        <f>IFERROR(VLOOKUP(Tabela3[[#This Row],[Conta]],'BD - E - Despesas'!$BC$15:$BG$500,5,0),0)</f>
        <v>0</v>
      </c>
      <c r="N60" s="24">
        <f>IFERROR(VLOOKUP(Tabela3[[#This Row],[Conta]],'BD - E - Despesas'!$BL$15:$BP$500,5,0),0)</f>
        <v>0</v>
      </c>
      <c r="O60" s="24">
        <f>IFERROR(VLOOKUP(Tabela3[[#This Row],[Conta]],'BD - E - Despesas'!$BU$15:$BY$500,5,0),0)</f>
        <v>0</v>
      </c>
      <c r="P60" s="24">
        <f>IFERROR(VLOOKUP(Tabela3[[#This Row],[Conta]],'BD - E - Despesas'!$CD$15:$CH$500,5,0),0)</f>
        <v>0</v>
      </c>
      <c r="Q60" s="24">
        <f>IFERROR(VLOOKUP(Tabela3[[#This Row],[Conta]],'BD - E - Despesas'!$CM$15:$CQ$500,5,0),0)</f>
        <v>0</v>
      </c>
      <c r="R60" s="24">
        <f>IFERROR(VLOOKUP(Tabela3[[#This Row],[Conta]],'BD - E - Despesas'!$CV$15:$CZ$500,5,0),0)</f>
        <v>0</v>
      </c>
      <c r="S60"/>
    </row>
    <row r="61" spans="3:19">
      <c r="C61" s="79" t="s">
        <v>347</v>
      </c>
      <c r="D61" s="80" t="s">
        <v>330</v>
      </c>
      <c r="E61" s="100">
        <v>331403</v>
      </c>
      <c r="F61" s="87" t="s">
        <v>292</v>
      </c>
      <c r="G61" s="13">
        <f>IFERROR(VLOOKUP(Tabela3[[#This Row],[Conta]],'BD - E - Despesas'!$A$15:$E$500,5,0),0)</f>
        <v>2599.34</v>
      </c>
      <c r="H61" s="24">
        <f>IFERROR(VLOOKUP(Tabela3[[#This Row],[Conta]],'BD - E - Despesas'!$J$15:$N$500,5,0),0)</f>
        <v>1962.5</v>
      </c>
      <c r="I61" s="24">
        <f>IFERROR(VLOOKUP(Tabela3[[#This Row],[Conta]],'BD - E - Despesas'!$S$15:$W$500,5,0),0)</f>
        <v>2427.1</v>
      </c>
      <c r="J61" s="24">
        <f>IFERROR(VLOOKUP(Tabela3[[#This Row],[Conta]],'BD - E - Despesas'!$AB$15:$AF$500,5,0),0)</f>
        <v>2895.1</v>
      </c>
      <c r="K61" s="24">
        <f>IFERROR(VLOOKUP(Tabela3[[#This Row],[Conta]],'BD - E - Despesas'!$AK$15:$AO$500,5,0),0)</f>
        <v>0</v>
      </c>
      <c r="L61" s="24">
        <f>IFERROR(VLOOKUP(Tabela3[[#This Row],[Conta]],'BD - E - Despesas'!$AT$15:$AX$500,5,0),0)</f>
        <v>0</v>
      </c>
      <c r="M61" s="24">
        <f>IFERROR(VLOOKUP(Tabela3[[#This Row],[Conta]],'BD - E - Despesas'!$BC$15:$BG$500,5,0),0)</f>
        <v>0</v>
      </c>
      <c r="N61" s="24">
        <f>IFERROR(VLOOKUP(Tabela3[[#This Row],[Conta]],'BD - E - Despesas'!$BL$15:$BP$500,5,0),0)</f>
        <v>0</v>
      </c>
      <c r="O61" s="24">
        <f>IFERROR(VLOOKUP(Tabela3[[#This Row],[Conta]],'BD - E - Despesas'!$BU$15:$BY$500,5,0),0)</f>
        <v>0</v>
      </c>
      <c r="P61" s="24">
        <f>IFERROR(VLOOKUP(Tabela3[[#This Row],[Conta]],'BD - E - Despesas'!$CD$15:$CH$500,5,0),0)</f>
        <v>0</v>
      </c>
      <c r="Q61" s="24">
        <f>IFERROR(VLOOKUP(Tabela3[[#This Row],[Conta]],'BD - E - Despesas'!$CM$15:$CQ$500,5,0),0)</f>
        <v>0</v>
      </c>
      <c r="R61" s="24">
        <f>IFERROR(VLOOKUP(Tabela3[[#This Row],[Conta]],'BD - E - Despesas'!$CV$15:$CZ$500,5,0),0)</f>
        <v>0</v>
      </c>
      <c r="S61"/>
    </row>
    <row r="62" spans="3:19">
      <c r="C62" s="79" t="s">
        <v>347</v>
      </c>
      <c r="D62" s="80" t="s">
        <v>330</v>
      </c>
      <c r="E62" s="100">
        <v>331404</v>
      </c>
      <c r="F62" s="87" t="s">
        <v>293</v>
      </c>
      <c r="G62" s="14">
        <f>IFERROR(VLOOKUP(Tabela3[[#This Row],[Conta]],'BD - E - Despesas'!$A$15:$E$500,5,0),0)</f>
        <v>22217.89</v>
      </c>
      <c r="H62" s="24">
        <f>IFERROR(VLOOKUP(Tabela3[[#This Row],[Conta]],'BD - E - Despesas'!$J$15:$N$500,5,0),0)</f>
        <v>28701.98</v>
      </c>
      <c r="I62" s="24">
        <f>IFERROR(VLOOKUP(Tabela3[[#This Row],[Conta]],'BD - E - Despesas'!$S$15:$W$500,5,0),0)</f>
        <v>24961.759999999998</v>
      </c>
      <c r="J62" s="24">
        <f>IFERROR(VLOOKUP(Tabela3[[#This Row],[Conta]],'BD - E - Despesas'!$AB$15:$AF$500,5,0),0)</f>
        <v>32527.47</v>
      </c>
      <c r="K62" s="24">
        <f>IFERROR(VLOOKUP(Tabela3[[#This Row],[Conta]],'BD - E - Despesas'!$AK$15:$AO$500,5,0),0)</f>
        <v>0</v>
      </c>
      <c r="L62" s="24">
        <f>IFERROR(VLOOKUP(Tabela3[[#This Row],[Conta]],'BD - E - Despesas'!$AT$15:$AX$500,5,0),0)</f>
        <v>0</v>
      </c>
      <c r="M62" s="24">
        <f>IFERROR(VLOOKUP(Tabela3[[#This Row],[Conta]],'BD - E - Despesas'!$BC$15:$BG$500,5,0),0)</f>
        <v>0</v>
      </c>
      <c r="N62" s="24">
        <f>IFERROR(VLOOKUP(Tabela3[[#This Row],[Conta]],'BD - E - Despesas'!$BL$15:$BP$500,5,0),0)</f>
        <v>0</v>
      </c>
      <c r="O62" s="24">
        <f>IFERROR(VLOOKUP(Tabela3[[#This Row],[Conta]],'BD - E - Despesas'!$BU$15:$BY$500,5,0),0)</f>
        <v>0</v>
      </c>
      <c r="P62" s="24">
        <f>IFERROR(VLOOKUP(Tabela3[[#This Row],[Conta]],'BD - E - Despesas'!$CD$15:$CH$500,5,0),0)</f>
        <v>0</v>
      </c>
      <c r="Q62" s="24">
        <f>IFERROR(VLOOKUP(Tabela3[[#This Row],[Conta]],'BD - E - Despesas'!$CM$15:$CQ$500,5,0),0)</f>
        <v>0</v>
      </c>
      <c r="R62" s="24">
        <f>IFERROR(VLOOKUP(Tabela3[[#This Row],[Conta]],'BD - E - Despesas'!$CV$15:$CZ$500,5,0),0)</f>
        <v>0</v>
      </c>
      <c r="S62"/>
    </row>
    <row r="63" spans="3:19">
      <c r="C63" s="79" t="s">
        <v>347</v>
      </c>
      <c r="D63" s="80" t="s">
        <v>330</v>
      </c>
      <c r="E63" s="100">
        <v>331405</v>
      </c>
      <c r="F63" s="88" t="s">
        <v>294</v>
      </c>
      <c r="G63" s="13">
        <f>IFERROR(VLOOKUP(Tabela3[[#This Row],[Conta]],'BD - E - Despesas'!$A$15:$E$500,5,0),0)</f>
        <v>14147.4</v>
      </c>
      <c r="H63" s="24">
        <f>IFERROR(VLOOKUP(Tabela3[[#This Row],[Conta]],'BD - E - Despesas'!$J$15:$N$500,5,0),0)</f>
        <v>443.84</v>
      </c>
      <c r="I63" s="24">
        <f>IFERROR(VLOOKUP(Tabela3[[#This Row],[Conta]],'BD - E - Despesas'!$S$15:$W$500,5,0),0)</f>
        <v>3693.83</v>
      </c>
      <c r="J63" s="24">
        <f>IFERROR(VLOOKUP(Tabela3[[#This Row],[Conta]],'BD - E - Despesas'!$AB$15:$AF$500,5,0),0)</f>
        <v>394.65</v>
      </c>
      <c r="K63" s="24">
        <f>IFERROR(VLOOKUP(Tabela3[[#This Row],[Conta]],'BD - E - Despesas'!$AK$15:$AO$500,5,0),0)</f>
        <v>0</v>
      </c>
      <c r="L63" s="24">
        <f>IFERROR(VLOOKUP(Tabela3[[#This Row],[Conta]],'BD - E - Despesas'!$AT$15:$AX$500,5,0),0)</f>
        <v>0</v>
      </c>
      <c r="M63" s="24">
        <f>IFERROR(VLOOKUP(Tabela3[[#This Row],[Conta]],'BD - E - Despesas'!$BC$15:$BG$500,5,0),0)</f>
        <v>0</v>
      </c>
      <c r="N63" s="24">
        <f>IFERROR(VLOOKUP(Tabela3[[#This Row],[Conta]],'BD - E - Despesas'!$BL$15:$BP$500,5,0),0)</f>
        <v>0</v>
      </c>
      <c r="O63" s="24">
        <f>IFERROR(VLOOKUP(Tabela3[[#This Row],[Conta]],'BD - E - Despesas'!$BU$15:$BY$500,5,0),0)</f>
        <v>0</v>
      </c>
      <c r="P63" s="24">
        <f>IFERROR(VLOOKUP(Tabela3[[#This Row],[Conta]],'BD - E - Despesas'!$CD$15:$CH$500,5,0),0)</f>
        <v>0</v>
      </c>
      <c r="Q63" s="24">
        <f>IFERROR(VLOOKUP(Tabela3[[#This Row],[Conta]],'BD - E - Despesas'!$CM$15:$CQ$500,5,0),0)</f>
        <v>0</v>
      </c>
      <c r="R63" s="24">
        <f>IFERROR(VLOOKUP(Tabela3[[#This Row],[Conta]],'BD - E - Despesas'!$CV$15:$CZ$500,5,0),0)</f>
        <v>0</v>
      </c>
      <c r="S63"/>
    </row>
    <row r="64" spans="3:19">
      <c r="C64" s="79" t="s">
        <v>347</v>
      </c>
      <c r="D64" s="80" t="s">
        <v>341</v>
      </c>
      <c r="E64" s="30">
        <v>331406</v>
      </c>
      <c r="F64" s="79" t="s">
        <v>411</v>
      </c>
      <c r="G64" s="13">
        <f>IFERROR(VLOOKUP(Tabela3[[#This Row],[Conta]],'BD - E - Despesas'!$A$15:$E$500,5,0),0)</f>
        <v>495</v>
      </c>
      <c r="H64" s="24">
        <f>IFERROR(VLOOKUP(Tabela3[[#This Row],[Conta]],'BD - E - Despesas'!$J$15:$N$500,5,0),0)</f>
        <v>495</v>
      </c>
      <c r="I64" s="24">
        <f>IFERROR(VLOOKUP(Tabela3[[#This Row],[Conta]],'BD - E - Despesas'!$S$15:$W$500,5,0),0)</f>
        <v>0</v>
      </c>
      <c r="J64" s="24">
        <f>IFERROR(VLOOKUP(Tabela3[[#This Row],[Conta]],'BD - E - Despesas'!$AB$15:$AF$500,5,0),0)</f>
        <v>0</v>
      </c>
      <c r="K64" s="24">
        <f>IFERROR(VLOOKUP(Tabela3[[#This Row],[Conta]],'BD - E - Despesas'!$AK$15:$AO$500,5,0),0)</f>
        <v>0</v>
      </c>
      <c r="L64" s="24">
        <f>IFERROR(VLOOKUP(Tabela3[[#This Row],[Conta]],'BD - E - Despesas'!$AT$15:$AX$500,5,0),0)</f>
        <v>0</v>
      </c>
      <c r="M64" s="24">
        <f>IFERROR(VLOOKUP(Tabela3[[#This Row],[Conta]],'BD - E - Despesas'!$BC$15:$BG$500,5,0),0)</f>
        <v>0</v>
      </c>
      <c r="N64" s="24">
        <f>IFERROR(VLOOKUP(Tabela3[[#This Row],[Conta]],'BD - E - Despesas'!$BL$15:$BP$500,5,0),0)</f>
        <v>0</v>
      </c>
      <c r="O64" s="24">
        <f>IFERROR(VLOOKUP(Tabela3[[#This Row],[Conta]],'BD - E - Despesas'!$BU$15:$BY$500,5,0),0)</f>
        <v>0</v>
      </c>
      <c r="P64" s="24">
        <f>IFERROR(VLOOKUP(Tabela3[[#This Row],[Conta]],'BD - E - Despesas'!$CD$15:$CH$500,5,0),0)</f>
        <v>0</v>
      </c>
      <c r="Q64" s="24">
        <f>IFERROR(VLOOKUP(Tabela3[[#This Row],[Conta]],'BD - E - Despesas'!$CM$15:$CQ$500,5,0),0)</f>
        <v>0</v>
      </c>
      <c r="R64" s="24">
        <f>IFERROR(VLOOKUP(Tabela3[[#This Row],[Conta]],'BD - E - Despesas'!$CV$15:$CZ$500,5,0),0)</f>
        <v>0</v>
      </c>
      <c r="S64"/>
    </row>
    <row r="65" spans="3:19">
      <c r="C65" s="79" t="s">
        <v>347</v>
      </c>
      <c r="D65" s="80" t="s">
        <v>341</v>
      </c>
      <c r="E65" s="85">
        <v>331407</v>
      </c>
      <c r="F65" s="79" t="s">
        <v>445</v>
      </c>
      <c r="G65" s="13">
        <f>IFERROR(VLOOKUP(Tabela3[[#This Row],[Conta]],'BD - E - Despesas'!$A$15:$E$500,5,0),0)</f>
        <v>400</v>
      </c>
      <c r="H65" s="24">
        <f>IFERROR(VLOOKUP(Tabela3[[#This Row],[Conta]],'BD - E - Despesas'!$J$15:$N$500,5,0),0)</f>
        <v>0</v>
      </c>
      <c r="I65" s="24">
        <f>IFERROR(VLOOKUP(Tabela3[[#This Row],[Conta]],'BD - E - Despesas'!$S$15:$W$500,5,0),0)</f>
        <v>430</v>
      </c>
      <c r="J65" s="24">
        <f>IFERROR(VLOOKUP(Tabela3[[#This Row],[Conta]],'BD - E - Despesas'!$AB$15:$AF$500,5,0),0)</f>
        <v>470</v>
      </c>
      <c r="K65" s="24">
        <f>IFERROR(VLOOKUP(Tabela3[[#This Row],[Conta]],'BD - E - Despesas'!$AK$15:$AO$500,5,0),0)</f>
        <v>0</v>
      </c>
      <c r="L65" s="24">
        <f>IFERROR(VLOOKUP(Tabela3[[#This Row],[Conta]],'BD - E - Despesas'!$AT$15:$AX$500,5,0),0)</f>
        <v>0</v>
      </c>
      <c r="M65" s="24">
        <f>IFERROR(VLOOKUP(Tabela3[[#This Row],[Conta]],'BD - E - Despesas'!$BC$15:$BG$500,5,0),0)</f>
        <v>0</v>
      </c>
      <c r="N65" s="24">
        <f>IFERROR(VLOOKUP(Tabela3[[#This Row],[Conta]],'BD - E - Despesas'!$BL$15:$BP$500,5,0),0)</f>
        <v>0</v>
      </c>
      <c r="O65" s="24">
        <f>IFERROR(VLOOKUP(Tabela3[[#This Row],[Conta]],'BD - E - Despesas'!$BU$15:$BY$500,5,0),0)</f>
        <v>0</v>
      </c>
      <c r="P65" s="24">
        <f>IFERROR(VLOOKUP(Tabela3[[#This Row],[Conta]],'BD - E - Despesas'!$CD$15:$CH$500,5,0),0)</f>
        <v>0</v>
      </c>
      <c r="Q65" s="24">
        <f>IFERROR(VLOOKUP(Tabela3[[#This Row],[Conta]],'BD - E - Despesas'!$CM$15:$CQ$500,5,0),0)</f>
        <v>0</v>
      </c>
      <c r="R65" s="24">
        <f>IFERROR(VLOOKUP(Tabela3[[#This Row],[Conta]],'BD - E - Despesas'!$CV$15:$CZ$500,5,0),0)</f>
        <v>0</v>
      </c>
      <c r="S65"/>
    </row>
    <row r="66" spans="3:19">
      <c r="C66" s="455" t="s">
        <v>347</v>
      </c>
      <c r="D66" s="456" t="s">
        <v>341</v>
      </c>
      <c r="E66" s="85">
        <v>331408</v>
      </c>
      <c r="F66" s="79" t="s">
        <v>494</v>
      </c>
      <c r="G66" s="13">
        <f>IFERROR(VLOOKUP(Tabela3[[#This Row],[Conta]],'BD - E - Despesas'!$A$15:$E$500,5,0),0)</f>
        <v>0</v>
      </c>
      <c r="H66" s="24">
        <f>IFERROR(VLOOKUP(Tabela3[[#This Row],[Conta]],'BD - E - Despesas'!$J$15:$N$500,5,0),0)</f>
        <v>0</v>
      </c>
      <c r="I66" s="24">
        <f>IFERROR(VLOOKUP(Tabela3[[#This Row],[Conta]],'BD - E - Despesas'!$S$15:$W$500,5,0),0)</f>
        <v>170</v>
      </c>
      <c r="J66" s="24">
        <f>IFERROR(VLOOKUP(Tabela3[[#This Row],[Conta]],'BD - E - Despesas'!$AB$15:$AF$500,5,0),0)</f>
        <v>600</v>
      </c>
      <c r="K66" s="24">
        <f>IFERROR(VLOOKUP(Tabela3[[#This Row],[Conta]],'BD - E - Despesas'!$AK$15:$AO$500,5,0),0)</f>
        <v>0</v>
      </c>
      <c r="L66" s="24">
        <f>IFERROR(VLOOKUP(Tabela3[[#This Row],[Conta]],'BD - E - Despesas'!$AT$15:$AX$500,5,0),0)</f>
        <v>0</v>
      </c>
      <c r="M66" s="24">
        <f>IFERROR(VLOOKUP(Tabela3[[#This Row],[Conta]],'BD - E - Despesas'!$BC$15:$BG$500,5,0),0)</f>
        <v>0</v>
      </c>
      <c r="N66" s="24">
        <f>IFERROR(VLOOKUP(Tabela3[[#This Row],[Conta]],'BD - E - Despesas'!$BL$15:$BP$500,5,0),0)</f>
        <v>0</v>
      </c>
      <c r="O66" s="24">
        <f>IFERROR(VLOOKUP(Tabela3[[#This Row],[Conta]],'BD - E - Despesas'!$BU$15:$BY$500,5,0),0)</f>
        <v>0</v>
      </c>
      <c r="P66" s="24">
        <f>IFERROR(VLOOKUP(Tabela3[[#This Row],[Conta]],'BD - E - Despesas'!$CD$15:$CH$500,5,0),0)</f>
        <v>0</v>
      </c>
      <c r="Q66" s="24">
        <f>IFERROR(VLOOKUP(Tabela3[[#This Row],[Conta]],'BD - E - Despesas'!$CM$15:$CQ$500,5,0),0)</f>
        <v>0</v>
      </c>
      <c r="R66" s="24">
        <f>IFERROR(VLOOKUP(Tabela3[[#This Row],[Conta]],'BD - E - Despesas'!$CV$15:$CZ$500,5,0),0)</f>
        <v>0</v>
      </c>
      <c r="S66"/>
    </row>
    <row r="67" spans="3:19">
      <c r="C67" s="79" t="s">
        <v>347</v>
      </c>
      <c r="D67" s="80" t="s">
        <v>341</v>
      </c>
      <c r="E67" s="100">
        <v>331409</v>
      </c>
      <c r="F67" s="79" t="s">
        <v>295</v>
      </c>
      <c r="G67" s="14">
        <f>IFERROR(VLOOKUP(Tabela3[[#This Row],[Conta]],'BD - E - Despesas'!$A$15:$E$500,5,0),0)</f>
        <v>3193.36</v>
      </c>
      <c r="H67" s="24">
        <f>IFERROR(VLOOKUP(Tabela3[[#This Row],[Conta]],'BD - E - Despesas'!$J$15:$N$500,5,0),0)</f>
        <v>4530.83</v>
      </c>
      <c r="I67" s="24">
        <f>IFERROR(VLOOKUP(Tabela3[[#This Row],[Conta]],'BD - E - Despesas'!$S$15:$W$500,5,0),0)</f>
        <v>4108.7</v>
      </c>
      <c r="J67" s="24">
        <f>IFERROR(VLOOKUP(Tabela3[[#This Row],[Conta]],'BD - E - Despesas'!$AB$15:$AF$500,5,0),0)</f>
        <v>673.5</v>
      </c>
      <c r="K67" s="24">
        <f>IFERROR(VLOOKUP(Tabela3[[#This Row],[Conta]],'BD - E - Despesas'!$AK$15:$AO$500,5,0),0)</f>
        <v>0</v>
      </c>
      <c r="L67" s="24">
        <f>IFERROR(VLOOKUP(Tabela3[[#This Row],[Conta]],'BD - E - Despesas'!$AT$15:$AX$500,5,0),0)</f>
        <v>0</v>
      </c>
      <c r="M67" s="24">
        <f>IFERROR(VLOOKUP(Tabela3[[#This Row],[Conta]],'BD - E - Despesas'!$BC$15:$BG$500,5,0),0)</f>
        <v>0</v>
      </c>
      <c r="N67" s="24">
        <f>IFERROR(VLOOKUP(Tabela3[[#This Row],[Conta]],'BD - E - Despesas'!$BL$15:$BP$500,5,0),0)</f>
        <v>0</v>
      </c>
      <c r="O67" s="24">
        <f>IFERROR(VLOOKUP(Tabela3[[#This Row],[Conta]],'BD - E - Despesas'!$BU$15:$BY$500,5,0),0)</f>
        <v>0</v>
      </c>
      <c r="P67" s="24">
        <f>IFERROR(VLOOKUP(Tabela3[[#This Row],[Conta]],'BD - E - Despesas'!$CD$15:$CH$500,5,0),0)</f>
        <v>0</v>
      </c>
      <c r="Q67" s="24">
        <f>IFERROR(VLOOKUP(Tabela3[[#This Row],[Conta]],'BD - E - Despesas'!$CM$15:$CQ$500,5,0),0)</f>
        <v>0</v>
      </c>
      <c r="R67" s="24">
        <f>IFERROR(VLOOKUP(Tabela3[[#This Row],[Conta]],'BD - E - Despesas'!$CV$15:$CZ$500,5,0),0)</f>
        <v>0</v>
      </c>
      <c r="S67"/>
    </row>
    <row r="68" spans="3:19">
      <c r="C68" s="79" t="s">
        <v>347</v>
      </c>
      <c r="D68" s="80" t="s">
        <v>341</v>
      </c>
      <c r="E68" s="100">
        <v>331410</v>
      </c>
      <c r="F68" s="88" t="s">
        <v>296</v>
      </c>
      <c r="G68" s="13">
        <f>IFERROR(VLOOKUP(Tabela3[[#This Row],[Conta]],'BD - E - Despesas'!$A$15:$E$500,5,0),0)</f>
        <v>4589.6400000000003</v>
      </c>
      <c r="H68" s="24">
        <f>IFERROR(VLOOKUP(Tabela3[[#This Row],[Conta]],'BD - E - Despesas'!$J$15:$N$500,5,0),0)</f>
        <v>7470.84</v>
      </c>
      <c r="I68" s="24">
        <f>IFERROR(VLOOKUP(Tabela3[[#This Row],[Conta]],'BD - E - Despesas'!$S$15:$W$500,5,0),0)</f>
        <v>3840.84</v>
      </c>
      <c r="J68" s="24">
        <f>IFERROR(VLOOKUP(Tabela3[[#This Row],[Conta]],'BD - E - Despesas'!$AB$15:$AF$500,5,0),0)</f>
        <v>3690.84</v>
      </c>
      <c r="K68" s="24">
        <f>IFERROR(VLOOKUP(Tabela3[[#This Row],[Conta]],'BD - E - Despesas'!$AK$15:$AO$500,5,0),0)</f>
        <v>0</v>
      </c>
      <c r="L68" s="24">
        <f>IFERROR(VLOOKUP(Tabela3[[#This Row],[Conta]],'BD - E - Despesas'!$AT$15:$AX$500,5,0),0)</f>
        <v>0</v>
      </c>
      <c r="M68" s="24">
        <f>IFERROR(VLOOKUP(Tabela3[[#This Row],[Conta]],'BD - E - Despesas'!$BC$15:$BG$500,5,0),0)</f>
        <v>0</v>
      </c>
      <c r="N68" s="24">
        <f>IFERROR(VLOOKUP(Tabela3[[#This Row],[Conta]],'BD - E - Despesas'!$BL$15:$BP$500,5,0),0)</f>
        <v>0</v>
      </c>
      <c r="O68" s="24">
        <f>IFERROR(VLOOKUP(Tabela3[[#This Row],[Conta]],'BD - E - Despesas'!$BU$15:$BY$500,5,0),0)</f>
        <v>0</v>
      </c>
      <c r="P68" s="24">
        <f>IFERROR(VLOOKUP(Tabela3[[#This Row],[Conta]],'BD - E - Despesas'!$CD$15:$CH$500,5,0),0)</f>
        <v>0</v>
      </c>
      <c r="Q68" s="24">
        <f>IFERROR(VLOOKUP(Tabela3[[#This Row],[Conta]],'BD - E - Despesas'!$CM$15:$CQ$500,5,0),0)</f>
        <v>0</v>
      </c>
      <c r="R68" s="24">
        <f>IFERROR(VLOOKUP(Tabela3[[#This Row],[Conta]],'BD - E - Despesas'!$CV$15:$CZ$500,5,0),0)</f>
        <v>0</v>
      </c>
      <c r="S68"/>
    </row>
    <row r="69" spans="3:19">
      <c r="C69" s="79" t="s">
        <v>347</v>
      </c>
      <c r="D69" s="80" t="s">
        <v>330</v>
      </c>
      <c r="E69" s="100">
        <v>331450</v>
      </c>
      <c r="F69" s="79" t="s">
        <v>297</v>
      </c>
      <c r="G69" s="12">
        <f>IFERROR(VLOOKUP(Tabela3[[#This Row],[Conta]],'BD - E - Despesas'!$A$15:$E$500,5,0),0)</f>
        <v>1475.72</v>
      </c>
      <c r="H69" s="24">
        <f>IFERROR(VLOOKUP(Tabela3[[#This Row],[Conta]],'BD - E - Despesas'!$J$15:$N$500,5,0),0)</f>
        <v>379.92</v>
      </c>
      <c r="I69" s="24">
        <f>IFERROR(VLOOKUP(Tabela3[[#This Row],[Conta]],'BD - E - Despesas'!$S$15:$W$500,5,0),0)</f>
        <v>379.93</v>
      </c>
      <c r="J69" s="24">
        <f>IFERROR(VLOOKUP(Tabela3[[#This Row],[Conta]],'BD - E - Despesas'!$AB$15:$AF$500,5,0),0)</f>
        <v>0</v>
      </c>
      <c r="K69" s="24">
        <f>IFERROR(VLOOKUP(Tabela3[[#This Row],[Conta]],'BD - E - Despesas'!$AK$15:$AO$500,5,0),0)</f>
        <v>0</v>
      </c>
      <c r="L69" s="24">
        <f>IFERROR(VLOOKUP(Tabela3[[#This Row],[Conta]],'BD - E - Despesas'!$AT$15:$AX$500,5,0),0)</f>
        <v>0</v>
      </c>
      <c r="M69" s="24">
        <f>IFERROR(VLOOKUP(Tabela3[[#This Row],[Conta]],'BD - E - Despesas'!$BC$15:$BG$500,5,0),0)</f>
        <v>0</v>
      </c>
      <c r="N69" s="24">
        <f>IFERROR(VLOOKUP(Tabela3[[#This Row],[Conta]],'BD - E - Despesas'!$BL$15:$BP$500,5,0),0)</f>
        <v>0</v>
      </c>
      <c r="O69" s="24">
        <f>IFERROR(VLOOKUP(Tabela3[[#This Row],[Conta]],'BD - E - Despesas'!$BU$15:$BY$500,5,0),0)</f>
        <v>0</v>
      </c>
      <c r="P69" s="24">
        <f>IFERROR(VLOOKUP(Tabela3[[#This Row],[Conta]],'BD - E - Despesas'!$CD$15:$CH$500,5,0),0)</f>
        <v>0</v>
      </c>
      <c r="Q69" s="24">
        <f>IFERROR(VLOOKUP(Tabela3[[#This Row],[Conta]],'BD - E - Despesas'!$CM$15:$CQ$500,5,0),0)</f>
        <v>0</v>
      </c>
      <c r="R69" s="24">
        <f>IFERROR(VLOOKUP(Tabela3[[#This Row],[Conta]],'BD - E - Despesas'!$CV$15:$CZ$500,5,0),0)</f>
        <v>0</v>
      </c>
      <c r="S69"/>
    </row>
    <row r="70" spans="3:19">
      <c r="C70" s="79" t="s">
        <v>347</v>
      </c>
      <c r="D70" s="80" t="s">
        <v>330</v>
      </c>
      <c r="E70" s="101">
        <v>331451</v>
      </c>
      <c r="F70" s="79" t="s">
        <v>298</v>
      </c>
      <c r="G70" s="14">
        <f>IFERROR(VLOOKUP(Tabela3[[#This Row],[Conta]],'BD - E - Despesas'!$A$15:$E$500,5,0),0)</f>
        <v>6958.84</v>
      </c>
      <c r="H70" s="24">
        <f>IFERROR(VLOOKUP(Tabela3[[#This Row],[Conta]],'BD - E - Despesas'!$J$15:$N$500,5,0),0)</f>
        <v>3757.38</v>
      </c>
      <c r="I70" s="24">
        <f>IFERROR(VLOOKUP(Tabela3[[#This Row],[Conta]],'BD - E - Despesas'!$S$15:$W$500,5,0),0)</f>
        <v>0</v>
      </c>
      <c r="J70" s="24">
        <f>IFERROR(VLOOKUP(Tabela3[[#This Row],[Conta]],'BD - E - Despesas'!$AB$15:$AF$500,5,0),0)</f>
        <v>7692.14</v>
      </c>
      <c r="K70" s="24">
        <f>IFERROR(VLOOKUP(Tabela3[[#This Row],[Conta]],'BD - E - Despesas'!$AK$15:$AO$500,5,0),0)</f>
        <v>0</v>
      </c>
      <c r="L70" s="24">
        <f>IFERROR(VLOOKUP(Tabela3[[#This Row],[Conta]],'BD - E - Despesas'!$AT$15:$AX$500,5,0),0)</f>
        <v>0</v>
      </c>
      <c r="M70" s="24">
        <f>IFERROR(VLOOKUP(Tabela3[[#This Row],[Conta]],'BD - E - Despesas'!$BC$15:$BG$500,5,0),0)</f>
        <v>0</v>
      </c>
      <c r="N70" s="24">
        <f>IFERROR(VLOOKUP(Tabela3[[#This Row],[Conta]],'BD - E - Despesas'!$BL$15:$BP$500,5,0),0)</f>
        <v>0</v>
      </c>
      <c r="O70" s="24">
        <f>IFERROR(VLOOKUP(Tabela3[[#This Row],[Conta]],'BD - E - Despesas'!$BU$15:$BY$500,5,0),0)</f>
        <v>0</v>
      </c>
      <c r="P70" s="24">
        <f>IFERROR(VLOOKUP(Tabela3[[#This Row],[Conta]],'BD - E - Despesas'!$CD$15:$CH$500,5,0),0)</f>
        <v>0</v>
      </c>
      <c r="Q70" s="24">
        <f>IFERROR(VLOOKUP(Tabela3[[#This Row],[Conta]],'BD - E - Despesas'!$CM$15:$CQ$500,5,0),0)</f>
        <v>0</v>
      </c>
      <c r="R70" s="24">
        <f>IFERROR(VLOOKUP(Tabela3[[#This Row],[Conta]],'BD - E - Despesas'!$CV$15:$CZ$500,5,0),0)</f>
        <v>0</v>
      </c>
      <c r="S70"/>
    </row>
    <row r="71" spans="3:19">
      <c r="C71" s="79" t="s">
        <v>347</v>
      </c>
      <c r="D71" s="80" t="s">
        <v>330</v>
      </c>
      <c r="E71" s="85">
        <v>331452</v>
      </c>
      <c r="F71" s="79" t="s">
        <v>299</v>
      </c>
      <c r="G71" s="14">
        <f>IFERROR(VLOOKUP(Tabela3[[#This Row],[Conta]],'BD - E - Despesas'!$A$15:$E$500,5,0),0)</f>
        <v>13694.92</v>
      </c>
      <c r="H71" s="24">
        <f>IFERROR(VLOOKUP(Tabela3[[#This Row],[Conta]],'BD - E - Despesas'!$J$15:$N$500,5,0),0)</f>
        <v>10730.87</v>
      </c>
      <c r="I71" s="24">
        <f>IFERROR(VLOOKUP(Tabela3[[#This Row],[Conta]],'BD - E - Despesas'!$S$15:$W$500,5,0),0)</f>
        <v>5058.6499999999996</v>
      </c>
      <c r="J71" s="24">
        <f>IFERROR(VLOOKUP(Tabela3[[#This Row],[Conta]],'BD - E - Despesas'!$AB$15:$AF$500,5,0),0)</f>
        <v>1974.4</v>
      </c>
      <c r="K71" s="24">
        <f>IFERROR(VLOOKUP(Tabela3[[#This Row],[Conta]],'BD - E - Despesas'!$AK$15:$AO$500,5,0),0)</f>
        <v>0</v>
      </c>
      <c r="L71" s="24">
        <f>IFERROR(VLOOKUP(Tabela3[[#This Row],[Conta]],'BD - E - Despesas'!$AT$15:$AX$500,5,0),0)</f>
        <v>0</v>
      </c>
      <c r="M71" s="24">
        <f>IFERROR(VLOOKUP(Tabela3[[#This Row],[Conta]],'BD - E - Despesas'!$BC$15:$BG$500,5,0),0)</f>
        <v>0</v>
      </c>
      <c r="N71" s="24">
        <f>IFERROR(VLOOKUP(Tabela3[[#This Row],[Conta]],'BD - E - Despesas'!$BL$15:$BP$500,5,0),0)</f>
        <v>0</v>
      </c>
      <c r="O71" s="24">
        <f>IFERROR(VLOOKUP(Tabela3[[#This Row],[Conta]],'BD - E - Despesas'!$BU$15:$BY$500,5,0),0)</f>
        <v>0</v>
      </c>
      <c r="P71" s="24">
        <f>IFERROR(VLOOKUP(Tabela3[[#This Row],[Conta]],'BD - E - Despesas'!$CD$15:$CH$500,5,0),0)</f>
        <v>0</v>
      </c>
      <c r="Q71" s="24">
        <f>IFERROR(VLOOKUP(Tabela3[[#This Row],[Conta]],'BD - E - Despesas'!$CM$15:$CQ$500,5,0),0)</f>
        <v>0</v>
      </c>
      <c r="R71" s="24">
        <f>IFERROR(VLOOKUP(Tabela3[[#This Row],[Conta]],'BD - E - Despesas'!$CV$15:$CZ$500,5,0),0)</f>
        <v>0</v>
      </c>
      <c r="S71"/>
    </row>
    <row r="72" spans="3:19">
      <c r="C72" s="79" t="s">
        <v>347</v>
      </c>
      <c r="D72" s="80" t="s">
        <v>330</v>
      </c>
      <c r="E72" s="100">
        <v>331453</v>
      </c>
      <c r="F72" s="79" t="s">
        <v>300</v>
      </c>
      <c r="G72" s="12">
        <f>IFERROR(VLOOKUP(Tabela3[[#This Row],[Conta]],'BD - E - Despesas'!$A$15:$E$500,5,0),0)</f>
        <v>0</v>
      </c>
      <c r="H72" s="24">
        <f>IFERROR(VLOOKUP(Tabela3[[#This Row],[Conta]],'BD - E - Despesas'!$J$15:$N$500,5,0),0)</f>
        <v>300</v>
      </c>
      <c r="I72" s="24">
        <f>IFERROR(VLOOKUP(Tabela3[[#This Row],[Conta]],'BD - E - Despesas'!$S$15:$W$500,5,0),0)</f>
        <v>0</v>
      </c>
      <c r="J72" s="24">
        <f>IFERROR(VLOOKUP(Tabela3[[#This Row],[Conta]],'BD - E - Despesas'!$AB$15:$AF$500,5,0),0)</f>
        <v>600</v>
      </c>
      <c r="K72" s="24">
        <f>IFERROR(VLOOKUP(Tabela3[[#This Row],[Conta]],'BD - E - Despesas'!$AK$15:$AO$500,5,0),0)</f>
        <v>0</v>
      </c>
      <c r="L72" s="24">
        <f>IFERROR(VLOOKUP(Tabela3[[#This Row],[Conta]],'BD - E - Despesas'!$AT$15:$AX$500,5,0),0)</f>
        <v>0</v>
      </c>
      <c r="M72" s="24">
        <f>IFERROR(VLOOKUP(Tabela3[[#This Row],[Conta]],'BD - E - Despesas'!$BC$15:$BG$500,5,0),0)</f>
        <v>0</v>
      </c>
      <c r="N72" s="24">
        <f>IFERROR(VLOOKUP(Tabela3[[#This Row],[Conta]],'BD - E - Despesas'!$BL$15:$BP$500,5,0),0)</f>
        <v>0</v>
      </c>
      <c r="O72" s="24">
        <f>IFERROR(VLOOKUP(Tabela3[[#This Row],[Conta]],'BD - E - Despesas'!$BU$15:$BY$500,5,0),0)</f>
        <v>0</v>
      </c>
      <c r="P72" s="24">
        <f>IFERROR(VLOOKUP(Tabela3[[#This Row],[Conta]],'BD - E - Despesas'!$CD$15:$CH$500,5,0),0)</f>
        <v>0</v>
      </c>
      <c r="Q72" s="24">
        <f>IFERROR(VLOOKUP(Tabela3[[#This Row],[Conta]],'BD - E - Despesas'!$CM$15:$CQ$500,5,0),0)</f>
        <v>0</v>
      </c>
      <c r="R72" s="24">
        <f>IFERROR(VLOOKUP(Tabela3[[#This Row],[Conta]],'BD - E - Despesas'!$CV$15:$CZ$500,5,0),0)</f>
        <v>0</v>
      </c>
      <c r="S72"/>
    </row>
    <row r="73" spans="3:19">
      <c r="C73" s="79" t="s">
        <v>347</v>
      </c>
      <c r="D73" s="80" t="s">
        <v>330</v>
      </c>
      <c r="E73" s="102">
        <v>331454</v>
      </c>
      <c r="F73" s="89" t="s">
        <v>301</v>
      </c>
      <c r="G73" s="12">
        <f>IFERROR(VLOOKUP(Tabela3[[#This Row],[Conta]],'BD - E - Despesas'!$A$15:$E$500,5,0),0)</f>
        <v>4433.41</v>
      </c>
      <c r="H73" s="24">
        <f>IFERROR(VLOOKUP(Tabela3[[#This Row],[Conta]],'BD - E - Despesas'!$J$15:$N$500,5,0),0)</f>
        <v>5828.91</v>
      </c>
      <c r="I73" s="24">
        <f>IFERROR(VLOOKUP(Tabela3[[#This Row],[Conta]],'BD - E - Despesas'!$S$15:$W$500,5,0),0)</f>
        <v>1020.16</v>
      </c>
      <c r="J73" s="24">
        <f>IFERROR(VLOOKUP(Tabela3[[#This Row],[Conta]],'BD - E - Despesas'!$AB$15:$AF$500,5,0),0)</f>
        <v>499.4</v>
      </c>
      <c r="K73" s="24">
        <f>IFERROR(VLOOKUP(Tabela3[[#This Row],[Conta]],'BD - E - Despesas'!$AK$15:$AO$500,5,0),0)</f>
        <v>0</v>
      </c>
      <c r="L73" s="24">
        <f>IFERROR(VLOOKUP(Tabela3[[#This Row],[Conta]],'BD - E - Despesas'!$AT$15:$AX$500,5,0),0)</f>
        <v>0</v>
      </c>
      <c r="M73" s="24">
        <f>IFERROR(VLOOKUP(Tabela3[[#This Row],[Conta]],'BD - E - Despesas'!$BC$15:$BG$500,5,0),0)</f>
        <v>0</v>
      </c>
      <c r="N73" s="24">
        <f>IFERROR(VLOOKUP(Tabela3[[#This Row],[Conta]],'BD - E - Despesas'!$BL$15:$BP$500,5,0),0)</f>
        <v>0</v>
      </c>
      <c r="O73" s="24">
        <f>IFERROR(VLOOKUP(Tabela3[[#This Row],[Conta]],'BD - E - Despesas'!$BU$15:$BY$500,5,0),0)</f>
        <v>0</v>
      </c>
      <c r="P73" s="24">
        <f>IFERROR(VLOOKUP(Tabela3[[#This Row],[Conta]],'BD - E - Despesas'!$CD$15:$CH$500,5,0),0)</f>
        <v>0</v>
      </c>
      <c r="Q73" s="24">
        <f>IFERROR(VLOOKUP(Tabela3[[#This Row],[Conta]],'BD - E - Despesas'!$CM$15:$CQ$500,5,0),0)</f>
        <v>0</v>
      </c>
      <c r="R73" s="24">
        <f>IFERROR(VLOOKUP(Tabela3[[#This Row],[Conta]],'BD - E - Despesas'!$CV$15:$CZ$500,5,0),0)</f>
        <v>0</v>
      </c>
      <c r="S73"/>
    </row>
    <row r="74" spans="3:19">
      <c r="C74" s="79" t="s">
        <v>347</v>
      </c>
      <c r="D74" s="80" t="s">
        <v>377</v>
      </c>
      <c r="E74" s="346">
        <v>331498</v>
      </c>
      <c r="F74" s="79" t="s">
        <v>562</v>
      </c>
      <c r="G74" s="12">
        <f>IFERROR(VLOOKUP(Tabela3[[#This Row],[Conta]],'BD - E - Despesas'!$A$15:$E$500,5,0),0)</f>
        <v>0</v>
      </c>
      <c r="H74" s="24">
        <f>IFERROR(VLOOKUP(Tabela3[[#This Row],[Conta]],'BD - E - Despesas'!$J$15:$N$500,5,0),0)</f>
        <v>0</v>
      </c>
      <c r="I74" s="24">
        <f>IFERROR(VLOOKUP(Tabela3[[#This Row],[Conta]],'BD - E - Despesas'!$S$15:$W$500,5,0),0)</f>
        <v>0</v>
      </c>
      <c r="J74" s="24">
        <f>IFERROR(VLOOKUP(Tabela3[[#This Row],[Conta]],'BD - E - Despesas'!$AB$15:$AF$500,5,0),0)</f>
        <v>0</v>
      </c>
      <c r="K74" s="24">
        <f>IFERROR(VLOOKUP(Tabela3[[#This Row],[Conta]],'BD - E - Despesas'!$AK$15:$AO$500,5,0),0)</f>
        <v>0</v>
      </c>
      <c r="L74" s="24">
        <f>IFERROR(VLOOKUP(Tabela3[[#This Row],[Conta]],'BD - E - Despesas'!$AT$15:$AX$500,5,0),0)</f>
        <v>0</v>
      </c>
      <c r="M74" s="24">
        <f>IFERROR(VLOOKUP(Tabela3[[#This Row],[Conta]],'BD - E - Despesas'!$BC$15:$BG$500,5,0),0)</f>
        <v>0</v>
      </c>
      <c r="N74" s="24">
        <f>IFERROR(VLOOKUP(Tabela3[[#This Row],[Conta]],'BD - E - Despesas'!$BL$15:$BP$500,5,0),0)</f>
        <v>0</v>
      </c>
      <c r="O74" s="24">
        <f>IFERROR(VLOOKUP(Tabela3[[#This Row],[Conta]],'BD - E - Despesas'!$BU$15:$BY$500,5,0),0)</f>
        <v>0</v>
      </c>
      <c r="P74" s="24">
        <f>IFERROR(VLOOKUP(Tabela3[[#This Row],[Conta]],'BD - E - Despesas'!$CD$15:$CH$500,5,0),0)</f>
        <v>0</v>
      </c>
      <c r="Q74" s="24">
        <f>IFERROR(VLOOKUP(Tabela3[[#This Row],[Conta]],'BD - E - Despesas'!$CM$15:$CQ$500,5,0),0)</f>
        <v>0</v>
      </c>
      <c r="R74" s="24">
        <f>IFERROR(VLOOKUP(Tabela3[[#This Row],[Conta]],'BD - E - Despesas'!$CV$15:$CZ$500,5,0),0)</f>
        <v>0</v>
      </c>
      <c r="S74"/>
    </row>
    <row r="75" spans="3:19">
      <c r="C75" s="79" t="s">
        <v>347</v>
      </c>
      <c r="D75" s="80" t="s">
        <v>339</v>
      </c>
      <c r="E75" s="30">
        <v>331501</v>
      </c>
      <c r="F75" s="89" t="s">
        <v>412</v>
      </c>
      <c r="G75" s="12">
        <f>IFERROR(VLOOKUP(Tabela3[[#This Row],[Conta]],'BD - E - Despesas'!$A$15:$E$500,5,0),0)</f>
        <v>174</v>
      </c>
      <c r="H75" s="24">
        <f>IFERROR(VLOOKUP(Tabela3[[#This Row],[Conta]],'BD - E - Despesas'!$J$15:$N$500,5,0),0)</f>
        <v>0</v>
      </c>
      <c r="I75" s="24">
        <f>IFERROR(VLOOKUP(Tabela3[[#This Row],[Conta]],'BD - E - Despesas'!$S$15:$W$500,5,0),0)</f>
        <v>632.4</v>
      </c>
      <c r="J75" s="24">
        <f>IFERROR(VLOOKUP(Tabela3[[#This Row],[Conta]],'BD - E - Despesas'!$AB$15:$AF$500,5,0),0)</f>
        <v>3299.3</v>
      </c>
      <c r="K75" s="24">
        <f>IFERROR(VLOOKUP(Tabela3[[#This Row],[Conta]],'BD - E - Despesas'!$AK$15:$AO$500,5,0),0)</f>
        <v>0</v>
      </c>
      <c r="L75" s="24">
        <f>IFERROR(VLOOKUP(Tabela3[[#This Row],[Conta]],'BD - E - Despesas'!$AT$15:$AX$500,5,0),0)</f>
        <v>0</v>
      </c>
      <c r="M75" s="24">
        <f>IFERROR(VLOOKUP(Tabela3[[#This Row],[Conta]],'BD - E - Despesas'!$BC$15:$BG$500,5,0),0)</f>
        <v>0</v>
      </c>
      <c r="N75" s="24">
        <f>IFERROR(VLOOKUP(Tabela3[[#This Row],[Conta]],'BD - E - Despesas'!$BL$15:$BP$500,5,0),0)</f>
        <v>0</v>
      </c>
      <c r="O75" s="24">
        <f>IFERROR(VLOOKUP(Tabela3[[#This Row],[Conta]],'BD - E - Despesas'!$BU$15:$BY$500,5,0),0)</f>
        <v>0</v>
      </c>
      <c r="P75" s="24">
        <f>IFERROR(VLOOKUP(Tabela3[[#This Row],[Conta]],'BD - E - Despesas'!$CD$15:$CH$500,5,0),0)</f>
        <v>0</v>
      </c>
      <c r="Q75" s="24">
        <f>IFERROR(VLOOKUP(Tabela3[[#This Row],[Conta]],'BD - E - Despesas'!$CM$15:$CQ$500,5,0),0)</f>
        <v>0</v>
      </c>
      <c r="R75" s="24">
        <f>IFERROR(VLOOKUP(Tabela3[[#This Row],[Conta]],'BD - E - Despesas'!$CV$15:$CZ$500,5,0),0)</f>
        <v>0</v>
      </c>
      <c r="S75"/>
    </row>
    <row r="76" spans="3:19">
      <c r="C76" s="79" t="s">
        <v>347</v>
      </c>
      <c r="D76" s="80" t="s">
        <v>339</v>
      </c>
      <c r="E76" s="85">
        <v>331502</v>
      </c>
      <c r="F76" s="89" t="s">
        <v>413</v>
      </c>
      <c r="G76" s="12">
        <f>IFERROR(VLOOKUP(Tabela3[[#This Row],[Conta]],'BD - E - Despesas'!$A$15:$E$500,5,0),0)</f>
        <v>1400</v>
      </c>
      <c r="H76" s="24">
        <f>IFERROR(VLOOKUP(Tabela3[[#This Row],[Conta]],'BD - E - Despesas'!$J$15:$N$500,5,0),0)</f>
        <v>0</v>
      </c>
      <c r="I76" s="24">
        <f>IFERROR(VLOOKUP(Tabela3[[#This Row],[Conta]],'BD - E - Despesas'!$S$15:$W$500,5,0),0)</f>
        <v>0</v>
      </c>
      <c r="J76" s="24">
        <f>IFERROR(VLOOKUP(Tabela3[[#This Row],[Conta]],'BD - E - Despesas'!$AB$15:$AF$500,5,0),0)</f>
        <v>720</v>
      </c>
      <c r="K76" s="24">
        <f>IFERROR(VLOOKUP(Tabela3[[#This Row],[Conta]],'BD - E - Despesas'!$AK$15:$AO$500,5,0),0)</f>
        <v>0</v>
      </c>
      <c r="L76" s="24">
        <f>IFERROR(VLOOKUP(Tabela3[[#This Row],[Conta]],'BD - E - Despesas'!$AT$15:$AX$500,5,0),0)</f>
        <v>0</v>
      </c>
      <c r="M76" s="24">
        <f>IFERROR(VLOOKUP(Tabela3[[#This Row],[Conta]],'BD - E - Despesas'!$BC$15:$BG$500,5,0),0)</f>
        <v>0</v>
      </c>
      <c r="N76" s="24">
        <f>IFERROR(VLOOKUP(Tabela3[[#This Row],[Conta]],'BD - E - Despesas'!$BL$15:$BP$500,5,0),0)</f>
        <v>0</v>
      </c>
      <c r="O76" s="24">
        <f>IFERROR(VLOOKUP(Tabela3[[#This Row],[Conta]],'BD - E - Despesas'!$BU$15:$BY$500,5,0),0)</f>
        <v>0</v>
      </c>
      <c r="P76" s="24">
        <f>IFERROR(VLOOKUP(Tabela3[[#This Row],[Conta]],'BD - E - Despesas'!$CD$15:$CH$500,5,0),0)</f>
        <v>0</v>
      </c>
      <c r="Q76" s="24">
        <f>IFERROR(VLOOKUP(Tabela3[[#This Row],[Conta]],'BD - E - Despesas'!$CM$15:$CQ$500,5,0),0)</f>
        <v>0</v>
      </c>
      <c r="R76" s="24">
        <f>IFERROR(VLOOKUP(Tabela3[[#This Row],[Conta]],'BD - E - Despesas'!$CV$15:$CZ$500,5,0),0)</f>
        <v>0</v>
      </c>
      <c r="S76"/>
    </row>
    <row r="77" spans="3:19">
      <c r="C77" s="79" t="s">
        <v>347</v>
      </c>
      <c r="D77" s="80" t="s">
        <v>339</v>
      </c>
      <c r="E77" s="100">
        <v>331503</v>
      </c>
      <c r="F77" s="91" t="s">
        <v>302</v>
      </c>
      <c r="G77" s="12">
        <f>IFERROR(VLOOKUP(Tabela3[[#This Row],[Conta]],'BD - E - Despesas'!$A$15:$E$500,5,0),0)</f>
        <v>1218.8399999999999</v>
      </c>
      <c r="H77" s="24">
        <f>IFERROR(VLOOKUP(Tabela3[[#This Row],[Conta]],'BD - E - Despesas'!$J$15:$N$500,5,0),0)</f>
        <v>1712.43</v>
      </c>
      <c r="I77" s="24">
        <f>IFERROR(VLOOKUP(Tabela3[[#This Row],[Conta]],'BD - E - Despesas'!$S$15:$W$500,5,0),0)</f>
        <v>1867.84</v>
      </c>
      <c r="J77" s="24">
        <f>IFERROR(VLOOKUP(Tabela3[[#This Row],[Conta]],'BD - E - Despesas'!$AB$15:$AF$500,5,0),0)</f>
        <v>596.98</v>
      </c>
      <c r="K77" s="24">
        <f>IFERROR(VLOOKUP(Tabela3[[#This Row],[Conta]],'BD - E - Despesas'!$AK$15:$AO$500,5,0),0)</f>
        <v>0</v>
      </c>
      <c r="L77" s="24">
        <f>IFERROR(VLOOKUP(Tabela3[[#This Row],[Conta]],'BD - E - Despesas'!$AT$15:$AX$500,5,0),0)</f>
        <v>0</v>
      </c>
      <c r="M77" s="24">
        <f>IFERROR(VLOOKUP(Tabela3[[#This Row],[Conta]],'BD - E - Despesas'!$BC$15:$BG$500,5,0),0)</f>
        <v>0</v>
      </c>
      <c r="N77" s="24">
        <f>IFERROR(VLOOKUP(Tabela3[[#This Row],[Conta]],'BD - E - Despesas'!$BL$15:$BP$500,5,0),0)</f>
        <v>0</v>
      </c>
      <c r="O77" s="24">
        <f>IFERROR(VLOOKUP(Tabela3[[#This Row],[Conta]],'BD - E - Despesas'!$BU$15:$BY$500,5,0),0)</f>
        <v>0</v>
      </c>
      <c r="P77" s="24">
        <f>IFERROR(VLOOKUP(Tabela3[[#This Row],[Conta]],'BD - E - Despesas'!$CD$15:$CH$500,5,0),0)</f>
        <v>0</v>
      </c>
      <c r="Q77" s="24">
        <f>IFERROR(VLOOKUP(Tabela3[[#This Row],[Conta]],'BD - E - Despesas'!$CM$15:$CQ$500,5,0),0)</f>
        <v>0</v>
      </c>
      <c r="R77" s="24">
        <f>IFERROR(VLOOKUP(Tabela3[[#This Row],[Conta]],'BD - E - Despesas'!$CV$15:$CZ$500,5,0),0)</f>
        <v>0</v>
      </c>
      <c r="S77"/>
    </row>
    <row r="78" spans="3:19">
      <c r="C78" s="79" t="s">
        <v>347</v>
      </c>
      <c r="D78" s="80" t="s">
        <v>339</v>
      </c>
      <c r="E78" s="100">
        <v>331504</v>
      </c>
      <c r="F78" s="79" t="s">
        <v>303</v>
      </c>
      <c r="G78" s="13">
        <f>IFERROR(VLOOKUP(Tabela3[[#This Row],[Conta]],'BD - E - Despesas'!$A$15:$E$500,5,0),0)</f>
        <v>3943.29</v>
      </c>
      <c r="H78" s="24">
        <f>IFERROR(VLOOKUP(Tabela3[[#This Row],[Conta]],'BD - E - Despesas'!$J$15:$N$500,5,0),0)</f>
        <v>1129.7</v>
      </c>
      <c r="I78" s="24">
        <f>IFERROR(VLOOKUP(Tabela3[[#This Row],[Conta]],'BD - E - Despesas'!$S$15:$W$500,5,0),0)</f>
        <v>1514.5</v>
      </c>
      <c r="J78" s="24">
        <f>IFERROR(VLOOKUP(Tabela3[[#This Row],[Conta]],'BD - E - Despesas'!$AB$15:$AF$500,5,0),0)</f>
        <v>3973</v>
      </c>
      <c r="K78" s="24">
        <f>IFERROR(VLOOKUP(Tabela3[[#This Row],[Conta]],'BD - E - Despesas'!$AK$15:$AO$500,5,0),0)</f>
        <v>0</v>
      </c>
      <c r="L78" s="24">
        <f>IFERROR(VLOOKUP(Tabela3[[#This Row],[Conta]],'BD - E - Despesas'!$AT$15:$AX$500,5,0),0)</f>
        <v>0</v>
      </c>
      <c r="M78" s="24">
        <f>IFERROR(VLOOKUP(Tabela3[[#This Row],[Conta]],'BD - E - Despesas'!$BC$15:$BG$500,5,0),0)</f>
        <v>0</v>
      </c>
      <c r="N78" s="24">
        <f>IFERROR(VLOOKUP(Tabela3[[#This Row],[Conta]],'BD - E - Despesas'!$BL$15:$BP$500,5,0),0)</f>
        <v>0</v>
      </c>
      <c r="O78" s="24">
        <f>IFERROR(VLOOKUP(Tabela3[[#This Row],[Conta]],'BD - E - Despesas'!$BU$15:$BY$500,5,0),0)</f>
        <v>0</v>
      </c>
      <c r="P78" s="24">
        <f>IFERROR(VLOOKUP(Tabela3[[#This Row],[Conta]],'BD - E - Despesas'!$CD$15:$CH$500,5,0),0)</f>
        <v>0</v>
      </c>
      <c r="Q78" s="24">
        <f>IFERROR(VLOOKUP(Tabela3[[#This Row],[Conta]],'BD - E - Despesas'!$CM$15:$CQ$500,5,0),0)</f>
        <v>0</v>
      </c>
      <c r="R78" s="24">
        <f>IFERROR(VLOOKUP(Tabela3[[#This Row],[Conta]],'BD - E - Despesas'!$CV$15:$CZ$500,5,0),0)</f>
        <v>0</v>
      </c>
      <c r="S78"/>
    </row>
    <row r="79" spans="3:19">
      <c r="C79" s="79" t="s">
        <v>347</v>
      </c>
      <c r="D79" s="80" t="s">
        <v>341</v>
      </c>
      <c r="E79" s="100">
        <v>331601</v>
      </c>
      <c r="F79" s="79" t="s">
        <v>43</v>
      </c>
      <c r="G79" s="13">
        <f>IFERROR(VLOOKUP(Tabela3[[#This Row],[Conta]],'BD - E - Despesas'!$A$15:$E$500,5,0),0)</f>
        <v>2671.14</v>
      </c>
      <c r="H79" s="24">
        <f>IFERROR(VLOOKUP(Tabela3[[#This Row],[Conta]],'BD - E - Despesas'!$J$15:$N$500,5,0),0)</f>
        <v>2831.14</v>
      </c>
      <c r="I79" s="24">
        <f>IFERROR(VLOOKUP(Tabela3[[#This Row],[Conta]],'BD - E - Despesas'!$S$15:$W$500,5,0),0)</f>
        <v>2828.71</v>
      </c>
      <c r="J79" s="24">
        <f>IFERROR(VLOOKUP(Tabela3[[#This Row],[Conta]],'BD - E - Despesas'!$AB$15:$AF$500,5,0),0)</f>
        <v>2823.88</v>
      </c>
      <c r="K79" s="24">
        <f>IFERROR(VLOOKUP(Tabela3[[#This Row],[Conta]],'BD - E - Despesas'!$AK$15:$AO$500,5,0),0)</f>
        <v>0</v>
      </c>
      <c r="L79" s="24">
        <f>IFERROR(VLOOKUP(Tabela3[[#This Row],[Conta]],'BD - E - Despesas'!$AT$15:$AX$500,5,0),0)</f>
        <v>0</v>
      </c>
      <c r="M79" s="24">
        <f>IFERROR(VLOOKUP(Tabela3[[#This Row],[Conta]],'BD - E - Despesas'!$BC$15:$BG$500,5,0),0)</f>
        <v>0</v>
      </c>
      <c r="N79" s="24">
        <f>IFERROR(VLOOKUP(Tabela3[[#This Row],[Conta]],'BD - E - Despesas'!$BL$15:$BP$500,5,0),0)</f>
        <v>0</v>
      </c>
      <c r="O79" s="24">
        <f>IFERROR(VLOOKUP(Tabela3[[#This Row],[Conta]],'BD - E - Despesas'!$BU$15:$BY$500,5,0),0)</f>
        <v>0</v>
      </c>
      <c r="P79" s="24">
        <f>IFERROR(VLOOKUP(Tabela3[[#This Row],[Conta]],'BD - E - Despesas'!$CD$15:$CH$500,5,0),0)</f>
        <v>0</v>
      </c>
      <c r="Q79" s="24">
        <f>IFERROR(VLOOKUP(Tabela3[[#This Row],[Conta]],'BD - E - Despesas'!$CM$15:$CQ$500,5,0),0)</f>
        <v>0</v>
      </c>
      <c r="R79" s="24">
        <f>IFERROR(VLOOKUP(Tabela3[[#This Row],[Conta]],'BD - E - Despesas'!$CV$15:$CZ$500,5,0),0)</f>
        <v>0</v>
      </c>
      <c r="S79"/>
    </row>
    <row r="80" spans="3:19">
      <c r="C80" s="79" t="s">
        <v>347</v>
      </c>
      <c r="D80" s="80" t="s">
        <v>341</v>
      </c>
      <c r="E80" s="100">
        <v>331602</v>
      </c>
      <c r="F80" s="79" t="s">
        <v>44</v>
      </c>
      <c r="G80" s="12">
        <f>IFERROR(VLOOKUP(Tabela3[[#This Row],[Conta]],'BD - E - Despesas'!$A$15:$E$500,5,0),0)</f>
        <v>3290</v>
      </c>
      <c r="H80" s="24">
        <f>IFERROR(VLOOKUP(Tabela3[[#This Row],[Conta]],'BD - E - Despesas'!$J$15:$N$500,5,0),0)</f>
        <v>3290</v>
      </c>
      <c r="I80" s="24">
        <f>IFERROR(VLOOKUP(Tabela3[[#This Row],[Conta]],'BD - E - Despesas'!$S$15:$W$500,5,0),0)</f>
        <v>3985.03</v>
      </c>
      <c r="J80" s="24">
        <f>IFERROR(VLOOKUP(Tabela3[[#This Row],[Conta]],'BD - E - Despesas'!$AB$15:$AF$500,5,0),0)</f>
        <v>3689</v>
      </c>
      <c r="K80" s="24">
        <f>IFERROR(VLOOKUP(Tabela3[[#This Row],[Conta]],'BD - E - Despesas'!$AK$15:$AO$500,5,0),0)</f>
        <v>0</v>
      </c>
      <c r="L80" s="24">
        <f>IFERROR(VLOOKUP(Tabela3[[#This Row],[Conta]],'BD - E - Despesas'!$AT$15:$AX$500,5,0),0)</f>
        <v>0</v>
      </c>
      <c r="M80" s="24">
        <f>IFERROR(VLOOKUP(Tabela3[[#This Row],[Conta]],'BD - E - Despesas'!$BC$15:$BG$500,5,0),0)</f>
        <v>0</v>
      </c>
      <c r="N80" s="24">
        <f>IFERROR(VLOOKUP(Tabela3[[#This Row],[Conta]],'BD - E - Despesas'!$BL$15:$BP$500,5,0),0)</f>
        <v>0</v>
      </c>
      <c r="O80" s="24">
        <f>IFERROR(VLOOKUP(Tabela3[[#This Row],[Conta]],'BD - E - Despesas'!$BU$15:$BY$500,5,0),0)</f>
        <v>0</v>
      </c>
      <c r="P80" s="24">
        <f>IFERROR(VLOOKUP(Tabela3[[#This Row],[Conta]],'BD - E - Despesas'!$CD$15:$CH$500,5,0),0)</f>
        <v>0</v>
      </c>
      <c r="Q80" s="24">
        <f>IFERROR(VLOOKUP(Tabela3[[#This Row],[Conta]],'BD - E - Despesas'!$CM$15:$CQ$500,5,0),0)</f>
        <v>0</v>
      </c>
      <c r="R80" s="24">
        <f>IFERROR(VLOOKUP(Tabela3[[#This Row],[Conta]],'BD - E - Despesas'!$CV$15:$CZ$500,5,0),0)</f>
        <v>0</v>
      </c>
      <c r="S80"/>
    </row>
    <row r="81" spans="3:19">
      <c r="C81" s="79" t="s">
        <v>347</v>
      </c>
      <c r="D81" s="80" t="s">
        <v>341</v>
      </c>
      <c r="E81" s="100">
        <v>331603</v>
      </c>
      <c r="F81" s="79" t="s">
        <v>304</v>
      </c>
      <c r="G81" s="12">
        <f>IFERROR(VLOOKUP(Tabela3[[#This Row],[Conta]],'BD - E - Despesas'!$A$15:$E$500,5,0),0)</f>
        <v>765.7</v>
      </c>
      <c r="H81" s="24">
        <f>IFERROR(VLOOKUP(Tabela3[[#This Row],[Conta]],'BD - E - Despesas'!$J$15:$N$500,5,0),0)</f>
        <v>1057.04</v>
      </c>
      <c r="I81" s="24">
        <f>IFERROR(VLOOKUP(Tabela3[[#This Row],[Conta]],'BD - E - Despesas'!$S$15:$W$500,5,0),0)</f>
        <v>1425.93</v>
      </c>
      <c r="J81" s="24">
        <f>IFERROR(VLOOKUP(Tabela3[[#This Row],[Conta]],'BD - E - Despesas'!$AB$15:$AF$500,5,0),0)</f>
        <v>1660.92</v>
      </c>
      <c r="K81" s="24">
        <f>IFERROR(VLOOKUP(Tabela3[[#This Row],[Conta]],'BD - E - Despesas'!$AK$15:$AO$500,5,0),0)</f>
        <v>0</v>
      </c>
      <c r="L81" s="24">
        <f>IFERROR(VLOOKUP(Tabela3[[#This Row],[Conta]],'BD - E - Despesas'!$AT$15:$AX$500,5,0),0)</f>
        <v>0</v>
      </c>
      <c r="M81" s="24">
        <f>IFERROR(VLOOKUP(Tabela3[[#This Row],[Conta]],'BD - E - Despesas'!$BC$15:$BG$500,5,0),0)</f>
        <v>0</v>
      </c>
      <c r="N81" s="24">
        <f>IFERROR(VLOOKUP(Tabela3[[#This Row],[Conta]],'BD - E - Despesas'!$BL$15:$BP$500,5,0),0)</f>
        <v>0</v>
      </c>
      <c r="O81" s="24">
        <f>IFERROR(VLOOKUP(Tabela3[[#This Row],[Conta]],'BD - E - Despesas'!$BU$15:$BY$500,5,0),0)</f>
        <v>0</v>
      </c>
      <c r="P81" s="24">
        <f>IFERROR(VLOOKUP(Tabela3[[#This Row],[Conta]],'BD - E - Despesas'!$CD$15:$CH$500,5,0),0)</f>
        <v>0</v>
      </c>
      <c r="Q81" s="24">
        <f>IFERROR(VLOOKUP(Tabela3[[#This Row],[Conta]],'BD - E - Despesas'!$CM$15:$CQ$500,5,0),0)</f>
        <v>0</v>
      </c>
      <c r="R81" s="24">
        <f>IFERROR(VLOOKUP(Tabela3[[#This Row],[Conta]],'BD - E - Despesas'!$CV$15:$CZ$500,5,0),0)</f>
        <v>0</v>
      </c>
      <c r="S81"/>
    </row>
    <row r="82" spans="3:19">
      <c r="C82" s="79" t="s">
        <v>347</v>
      </c>
      <c r="D82" s="80" t="s">
        <v>341</v>
      </c>
      <c r="E82" s="346">
        <v>331604</v>
      </c>
      <c r="F82" s="82" t="s">
        <v>305</v>
      </c>
      <c r="G82" s="12">
        <f>IFERROR(VLOOKUP(Tabela3[[#This Row],[Conta]],'BD - E - Despesas'!$A$15:$E$500,5,0),0)</f>
        <v>102964.56</v>
      </c>
      <c r="H82" s="24">
        <f>IFERROR(VLOOKUP(Tabela3[[#This Row],[Conta]],'BD - E - Despesas'!$J$15:$N$500,5,0),0)</f>
        <v>100067.15</v>
      </c>
      <c r="I82" s="24">
        <f>IFERROR(VLOOKUP(Tabela3[[#This Row],[Conta]],'BD - E - Despesas'!$S$15:$W$500,5,0),0)</f>
        <v>96312.7</v>
      </c>
      <c r="J82" s="24">
        <f>IFERROR(VLOOKUP(Tabela3[[#This Row],[Conta]],'BD - E - Despesas'!$AB$15:$AF$500,5,0),0)</f>
        <v>96138.96</v>
      </c>
      <c r="K82" s="24">
        <f>IFERROR(VLOOKUP(Tabela3[[#This Row],[Conta]],'BD - E - Despesas'!$AK$15:$AO$500,5,0),0)</f>
        <v>0</v>
      </c>
      <c r="L82" s="24">
        <f>IFERROR(VLOOKUP(Tabela3[[#This Row],[Conta]],'BD - E - Despesas'!$AT$15:$AX$500,5,0),0)</f>
        <v>0</v>
      </c>
      <c r="M82" s="24">
        <f>IFERROR(VLOOKUP(Tabela3[[#This Row],[Conta]],'BD - E - Despesas'!$BC$15:$BG$500,5,0),0)</f>
        <v>0</v>
      </c>
      <c r="N82" s="24">
        <f>IFERROR(VLOOKUP(Tabela3[[#This Row],[Conta]],'BD - E - Despesas'!$BL$15:$BP$500,5,0),0)</f>
        <v>0</v>
      </c>
      <c r="O82" s="24">
        <f>IFERROR(VLOOKUP(Tabela3[[#This Row],[Conta]],'BD - E - Despesas'!$BU$15:$BY$500,5,0),0)</f>
        <v>0</v>
      </c>
      <c r="P82" s="24">
        <f>IFERROR(VLOOKUP(Tabela3[[#This Row],[Conta]],'BD - E - Despesas'!$CD$15:$CH$500,5,0),0)</f>
        <v>0</v>
      </c>
      <c r="Q82" s="24">
        <f>IFERROR(VLOOKUP(Tabela3[[#This Row],[Conta]],'BD - E - Despesas'!$CM$15:$CQ$500,5,0),0)</f>
        <v>0</v>
      </c>
      <c r="R82" s="24">
        <f>IFERROR(VLOOKUP(Tabela3[[#This Row],[Conta]],'BD - E - Despesas'!$CV$15:$CZ$500,5,0),0)</f>
        <v>0</v>
      </c>
      <c r="S82"/>
    </row>
    <row r="83" spans="3:19">
      <c r="C83" s="79" t="s">
        <v>347</v>
      </c>
      <c r="D83" s="81" t="s">
        <v>338</v>
      </c>
      <c r="E83" s="85">
        <v>331799</v>
      </c>
      <c r="F83" s="82" t="s">
        <v>414</v>
      </c>
      <c r="G83" s="12">
        <f>IFERROR(VLOOKUP(Tabela3[[#This Row],[Conta]],'BD - E - Despesas'!$A$15:$E$500,5,0),0)</f>
        <v>0</v>
      </c>
      <c r="H83" s="24">
        <f>IFERROR(VLOOKUP(Tabela3[[#This Row],[Conta]],'BD - E - Despesas'!$J$15:$N$500,5,0),0)</f>
        <v>2404.41</v>
      </c>
      <c r="I83" s="24">
        <f>IFERROR(VLOOKUP(Tabela3[[#This Row],[Conta]],'BD - E - Despesas'!$S$15:$W$500,5,0),0)</f>
        <v>3775.21</v>
      </c>
      <c r="J83" s="24">
        <f>IFERROR(VLOOKUP(Tabela3[[#This Row],[Conta]],'BD - E - Despesas'!$AB$15:$AF$500,5,0),0)</f>
        <v>2073.5100000000002</v>
      </c>
      <c r="K83" s="24">
        <f>IFERROR(VLOOKUP(Tabela3[[#This Row],[Conta]],'BD - E - Despesas'!$AK$15:$AO$500,5,0),0)</f>
        <v>0</v>
      </c>
      <c r="L83" s="24">
        <f>IFERROR(VLOOKUP(Tabela3[[#This Row],[Conta]],'BD - E - Despesas'!$AT$15:$AX$500,5,0),0)</f>
        <v>0</v>
      </c>
      <c r="M83" s="24">
        <f>IFERROR(VLOOKUP(Tabela3[[#This Row],[Conta]],'BD - E - Despesas'!$BC$15:$BG$500,5,0),0)</f>
        <v>0</v>
      </c>
      <c r="N83" s="24">
        <f>IFERROR(VLOOKUP(Tabela3[[#This Row],[Conta]],'BD - E - Despesas'!$BL$15:$BP$500,5,0),0)</f>
        <v>0</v>
      </c>
      <c r="O83" s="24">
        <f>IFERROR(VLOOKUP(Tabela3[[#This Row],[Conta]],'BD - E - Despesas'!$BU$15:$BY$500,5,0),0)</f>
        <v>0</v>
      </c>
      <c r="P83" s="24">
        <f>IFERROR(VLOOKUP(Tabela3[[#This Row],[Conta]],'BD - E - Despesas'!$CD$15:$CH$500,5,0),0)</f>
        <v>0</v>
      </c>
      <c r="Q83" s="24">
        <f>IFERROR(VLOOKUP(Tabela3[[#This Row],[Conta]],'BD - E - Despesas'!$CM$15:$CQ$500,5,0),0)</f>
        <v>0</v>
      </c>
      <c r="R83" s="24">
        <f>IFERROR(VLOOKUP(Tabela3[[#This Row],[Conta]],'BD - E - Despesas'!$CV$15:$CZ$500,5,0),0)</f>
        <v>0</v>
      </c>
      <c r="S83"/>
    </row>
    <row r="84" spans="3:19">
      <c r="C84" s="79" t="s">
        <v>350</v>
      </c>
      <c r="D84" s="80" t="s">
        <v>342</v>
      </c>
      <c r="E84" s="346">
        <v>331801</v>
      </c>
      <c r="F84" s="79" t="s">
        <v>306</v>
      </c>
      <c r="G84" s="13">
        <f>IFERROR(VLOOKUP(Tabela3[[#This Row],[Conta]],'BD - E - Despesas'!$A$15:$E$500,5,0),0)</f>
        <v>8600</v>
      </c>
      <c r="H84" s="24">
        <f>IFERROR(VLOOKUP(Tabela3[[#This Row],[Conta]],'BD - E - Despesas'!$J$15:$N$500,5,0),0)</f>
        <v>2800</v>
      </c>
      <c r="I84" s="24">
        <f>IFERROR(VLOOKUP(Tabela3[[#This Row],[Conta]],'BD - E - Despesas'!$S$15:$W$500,5,0),0)</f>
        <v>0</v>
      </c>
      <c r="J84" s="24">
        <f>IFERROR(VLOOKUP(Tabela3[[#This Row],[Conta]],'BD - E - Despesas'!$AB$15:$AF$500,5,0),0)</f>
        <v>0</v>
      </c>
      <c r="K84" s="24">
        <f>IFERROR(VLOOKUP(Tabela3[[#This Row],[Conta]],'BD - E - Despesas'!$AK$15:$AO$500,5,0),0)</f>
        <v>0</v>
      </c>
      <c r="L84" s="24">
        <f>IFERROR(VLOOKUP(Tabela3[[#This Row],[Conta]],'BD - E - Despesas'!$AT$15:$AX$500,5,0),0)</f>
        <v>0</v>
      </c>
      <c r="M84" s="24">
        <f>IFERROR(VLOOKUP(Tabela3[[#This Row],[Conta]],'BD - E - Despesas'!$BC$15:$BG$500,5,0),0)</f>
        <v>0</v>
      </c>
      <c r="N84" s="24">
        <f>IFERROR(VLOOKUP(Tabela3[[#This Row],[Conta]],'BD - E - Despesas'!$BL$15:$BP$500,5,0),0)</f>
        <v>0</v>
      </c>
      <c r="O84" s="24">
        <f>IFERROR(VLOOKUP(Tabela3[[#This Row],[Conta]],'BD - E - Despesas'!$BU$15:$BY$500,5,0),0)</f>
        <v>0</v>
      </c>
      <c r="P84" s="24">
        <f>IFERROR(VLOOKUP(Tabela3[[#This Row],[Conta]],'BD - E - Despesas'!$CD$15:$CH$500,5,0),0)</f>
        <v>0</v>
      </c>
      <c r="Q84" s="24">
        <f>IFERROR(VLOOKUP(Tabela3[[#This Row],[Conta]],'BD - E - Despesas'!$CM$15:$CQ$500,5,0),0)</f>
        <v>0</v>
      </c>
      <c r="R84" s="24">
        <f>IFERROR(VLOOKUP(Tabela3[[#This Row],[Conta]],'BD - E - Despesas'!$CV$15:$CZ$500,5,0),0)</f>
        <v>0</v>
      </c>
      <c r="S84"/>
    </row>
    <row r="85" spans="3:19">
      <c r="C85" s="79" t="s">
        <v>350</v>
      </c>
      <c r="D85" s="80" t="s">
        <v>342</v>
      </c>
      <c r="E85" s="85">
        <v>331803</v>
      </c>
      <c r="F85" s="79" t="s">
        <v>415</v>
      </c>
      <c r="G85" s="13">
        <f>IFERROR(VLOOKUP(Tabela3[[#This Row],[Conta]],'BD - E - Despesas'!$A$15:$E$500,5,0),0)</f>
        <v>533.77</v>
      </c>
      <c r="H85" s="24">
        <f>IFERROR(VLOOKUP(Tabela3[[#This Row],[Conta]],'BD - E - Despesas'!$J$15:$N$500,5,0),0)</f>
        <v>0</v>
      </c>
      <c r="I85" s="24">
        <f>IFERROR(VLOOKUP(Tabela3[[#This Row],[Conta]],'BD - E - Despesas'!$S$15:$W$500,5,0),0)</f>
        <v>10947.13</v>
      </c>
      <c r="J85" s="24">
        <f>IFERROR(VLOOKUP(Tabela3[[#This Row],[Conta]],'BD - E - Despesas'!$AB$15:$AF$500,5,0),0)</f>
        <v>0</v>
      </c>
      <c r="K85" s="24">
        <f>IFERROR(VLOOKUP(Tabela3[[#This Row],[Conta]],'BD - E - Despesas'!$AK$15:$AO$500,5,0),0)</f>
        <v>0</v>
      </c>
      <c r="L85" s="24">
        <f>IFERROR(VLOOKUP(Tabela3[[#This Row],[Conta]],'BD - E - Despesas'!$AT$15:$AX$500,5,0),0)</f>
        <v>0</v>
      </c>
      <c r="M85" s="24">
        <f>IFERROR(VLOOKUP(Tabela3[[#This Row],[Conta]],'BD - E - Despesas'!$BC$15:$BG$500,5,0),0)</f>
        <v>0</v>
      </c>
      <c r="N85" s="24">
        <f>IFERROR(VLOOKUP(Tabela3[[#This Row],[Conta]],'BD - E - Despesas'!$BL$15:$BP$500,5,0),0)</f>
        <v>0</v>
      </c>
      <c r="O85" s="24">
        <f>IFERROR(VLOOKUP(Tabela3[[#This Row],[Conta]],'BD - E - Despesas'!$BU$15:$BY$500,5,0),0)</f>
        <v>0</v>
      </c>
      <c r="P85" s="24">
        <f>IFERROR(VLOOKUP(Tabela3[[#This Row],[Conta]],'BD - E - Despesas'!$CD$15:$CH$500,5,0),0)</f>
        <v>0</v>
      </c>
      <c r="Q85" s="24">
        <f>IFERROR(VLOOKUP(Tabela3[[#This Row],[Conta]],'BD - E - Despesas'!$CM$15:$CQ$500,5,0),0)</f>
        <v>0</v>
      </c>
      <c r="R85" s="24">
        <f>IFERROR(VLOOKUP(Tabela3[[#This Row],[Conta]],'BD - E - Despesas'!$CV$15:$CZ$500,5,0),0)</f>
        <v>0</v>
      </c>
      <c r="S85"/>
    </row>
    <row r="86" spans="3:19">
      <c r="C86" s="79" t="s">
        <v>343</v>
      </c>
      <c r="D86" s="80" t="s">
        <v>343</v>
      </c>
      <c r="E86" s="85">
        <v>331807</v>
      </c>
      <c r="F86" s="79" t="s">
        <v>458</v>
      </c>
      <c r="G86" s="13">
        <f>IFERROR(VLOOKUP(Tabela3[[#This Row],[Conta]],'BD - E - Despesas'!$A$15:$E$500,5,0),0)</f>
        <v>4660.43</v>
      </c>
      <c r="H86" s="24">
        <f>IFERROR(VLOOKUP(Tabela3[[#This Row],[Conta]],'BD - E - Despesas'!$J$15:$N$500,5,0),0)</f>
        <v>8340</v>
      </c>
      <c r="I86" s="24">
        <f>IFERROR(VLOOKUP(Tabela3[[#This Row],[Conta]],'BD - E - Despesas'!$S$15:$W$500,5,0),0)</f>
        <v>403.01</v>
      </c>
      <c r="J86" s="24">
        <f>IFERROR(VLOOKUP(Tabela3[[#This Row],[Conta]],'BD - E - Despesas'!$AB$15:$AF$500,5,0),0)</f>
        <v>0</v>
      </c>
      <c r="K86" s="24">
        <f>IFERROR(VLOOKUP(Tabela3[[#This Row],[Conta]],'BD - E - Despesas'!$AK$15:$AO$500,5,0),0)</f>
        <v>0</v>
      </c>
      <c r="L86" s="24">
        <f>IFERROR(VLOOKUP(Tabela3[[#This Row],[Conta]],'BD - E - Despesas'!$AT$15:$AX$500,5,0),0)</f>
        <v>0</v>
      </c>
      <c r="M86" s="24">
        <f>IFERROR(VLOOKUP(Tabela3[[#This Row],[Conta]],'BD - E - Despesas'!$BC$15:$BG$500,5,0),0)</f>
        <v>0</v>
      </c>
      <c r="N86" s="24">
        <f>IFERROR(VLOOKUP(Tabela3[[#This Row],[Conta]],'BD - E - Despesas'!$BL$15:$BP$500,5,0),0)</f>
        <v>0</v>
      </c>
      <c r="O86" s="24">
        <f>IFERROR(VLOOKUP(Tabela3[[#This Row],[Conta]],'BD - E - Despesas'!$BU$15:$BY$500,5,0),0)</f>
        <v>0</v>
      </c>
      <c r="P86" s="24">
        <f>IFERROR(VLOOKUP(Tabela3[[#This Row],[Conta]],'BD - E - Despesas'!$CD$15:$CH$500,5,0),0)</f>
        <v>0</v>
      </c>
      <c r="Q86" s="24">
        <f>IFERROR(VLOOKUP(Tabela3[[#This Row],[Conta]],'BD - E - Despesas'!$CM$15:$CQ$500,5,0),0)</f>
        <v>0</v>
      </c>
      <c r="R86" s="24">
        <f>IFERROR(VLOOKUP(Tabela3[[#This Row],[Conta]],'BD - E - Despesas'!$CV$15:$CZ$500,5,0),0)</f>
        <v>0</v>
      </c>
      <c r="S86"/>
    </row>
    <row r="87" spans="3:19">
      <c r="C87" s="79" t="s">
        <v>350</v>
      </c>
      <c r="D87" s="80" t="s">
        <v>342</v>
      </c>
      <c r="E87" s="100">
        <v>331810</v>
      </c>
      <c r="F87" s="83" t="s">
        <v>307</v>
      </c>
      <c r="G87" s="13">
        <f>IFERROR(VLOOKUP(Tabela3[[#This Row],[Conta]],'BD - E - Despesas'!$A$15:$E$500,5,0),0)</f>
        <v>385.89</v>
      </c>
      <c r="H87" s="24">
        <f>IFERROR(VLOOKUP(Tabela3[[#This Row],[Conta]],'BD - E - Despesas'!$J$15:$N$500,5,0),0)</f>
        <v>385.89</v>
      </c>
      <c r="I87" s="24">
        <f>IFERROR(VLOOKUP(Tabela3[[#This Row],[Conta]],'BD - E - Despesas'!$S$15:$W$500,5,0),0)</f>
        <v>385.89</v>
      </c>
      <c r="J87" s="24">
        <f>IFERROR(VLOOKUP(Tabela3[[#This Row],[Conta]],'BD - E - Despesas'!$AB$15:$AF$500,5,0),0)</f>
        <v>385.89</v>
      </c>
      <c r="K87" s="24">
        <f>IFERROR(VLOOKUP(Tabela3[[#This Row],[Conta]],'BD - E - Despesas'!$AK$15:$AO$500,5,0),0)</f>
        <v>0</v>
      </c>
      <c r="L87" s="24">
        <f>IFERROR(VLOOKUP(Tabela3[[#This Row],[Conta]],'BD - E - Despesas'!$AT$15:$AX$500,5,0),0)</f>
        <v>0</v>
      </c>
      <c r="M87" s="24">
        <f>IFERROR(VLOOKUP(Tabela3[[#This Row],[Conta]],'BD - E - Despesas'!$BC$15:$BG$500,5,0),0)</f>
        <v>0</v>
      </c>
      <c r="N87" s="24">
        <f>IFERROR(VLOOKUP(Tabela3[[#This Row],[Conta]],'BD - E - Despesas'!$BL$15:$BP$500,5,0),0)</f>
        <v>0</v>
      </c>
      <c r="O87" s="24">
        <f>IFERROR(VLOOKUP(Tabela3[[#This Row],[Conta]],'BD - E - Despesas'!$BU$15:$BY$500,5,0),0)</f>
        <v>0</v>
      </c>
      <c r="P87" s="24">
        <f>IFERROR(VLOOKUP(Tabela3[[#This Row],[Conta]],'BD - E - Despesas'!$CD$15:$CH$500,5,0),0)</f>
        <v>0</v>
      </c>
      <c r="Q87" s="24">
        <f>IFERROR(VLOOKUP(Tabela3[[#This Row],[Conta]],'BD - E - Despesas'!$CM$15:$CQ$500,5,0),0)</f>
        <v>0</v>
      </c>
      <c r="R87" s="24">
        <f>IFERROR(VLOOKUP(Tabela3[[#This Row],[Conta]],'BD - E - Despesas'!$CV$15:$CZ$500,5,0),0)</f>
        <v>0</v>
      </c>
      <c r="S87"/>
    </row>
    <row r="88" spans="3:19">
      <c r="C88" s="79" t="s">
        <v>350</v>
      </c>
      <c r="D88" s="80" t="s">
        <v>342</v>
      </c>
      <c r="E88" s="100">
        <v>331811</v>
      </c>
      <c r="F88" s="82" t="s">
        <v>308</v>
      </c>
      <c r="G88" s="13">
        <f>IFERROR(VLOOKUP(Tabela3[[#This Row],[Conta]],'BD - E - Despesas'!$A$15:$E$500,5,0),0)</f>
        <v>21976.43</v>
      </c>
      <c r="H88" s="24">
        <f>IFERROR(VLOOKUP(Tabela3[[#This Row],[Conta]],'BD - E - Despesas'!$J$15:$N$500,5,0),0)</f>
        <v>21976.43</v>
      </c>
      <c r="I88" s="24">
        <f>IFERROR(VLOOKUP(Tabela3[[#This Row],[Conta]],'BD - E - Despesas'!$S$15:$W$500,5,0),0)</f>
        <v>21976.43</v>
      </c>
      <c r="J88" s="24">
        <f>IFERROR(VLOOKUP(Tabela3[[#This Row],[Conta]],'BD - E - Despesas'!$AB$15:$AF$500,5,0),0)</f>
        <v>21976.43</v>
      </c>
      <c r="K88" s="24">
        <f>IFERROR(VLOOKUP(Tabela3[[#This Row],[Conta]],'BD - E - Despesas'!$AK$15:$AO$500,5,0),0)</f>
        <v>0</v>
      </c>
      <c r="L88" s="24">
        <f>IFERROR(VLOOKUP(Tabela3[[#This Row],[Conta]],'BD - E - Despesas'!$AT$15:$AX$500,5,0),0)</f>
        <v>0</v>
      </c>
      <c r="M88" s="24">
        <f>IFERROR(VLOOKUP(Tabela3[[#This Row],[Conta]],'BD - E - Despesas'!$BC$15:$BG$500,5,0),0)</f>
        <v>0</v>
      </c>
      <c r="N88" s="24">
        <f>IFERROR(VLOOKUP(Tabela3[[#This Row],[Conta]],'BD - E - Despesas'!$BL$15:$BP$500,5,0),0)</f>
        <v>0</v>
      </c>
      <c r="O88" s="24">
        <f>IFERROR(VLOOKUP(Tabela3[[#This Row],[Conta]],'BD - E - Despesas'!$BU$15:$BY$500,5,0),0)</f>
        <v>0</v>
      </c>
      <c r="P88" s="24">
        <f>IFERROR(VLOOKUP(Tabela3[[#This Row],[Conta]],'BD - E - Despesas'!$CD$15:$CH$500,5,0),0)</f>
        <v>0</v>
      </c>
      <c r="Q88" s="24">
        <f>IFERROR(VLOOKUP(Tabela3[[#This Row],[Conta]],'BD - E - Despesas'!$CM$15:$CQ$500,5,0),0)</f>
        <v>0</v>
      </c>
      <c r="R88" s="24">
        <f>IFERROR(VLOOKUP(Tabela3[[#This Row],[Conta]],'BD - E - Despesas'!$CV$15:$CZ$500,5,0),0)</f>
        <v>0</v>
      </c>
      <c r="S88"/>
    </row>
    <row r="89" spans="3:19">
      <c r="C89" s="455" t="s">
        <v>350</v>
      </c>
      <c r="D89" s="456" t="s">
        <v>342</v>
      </c>
      <c r="E89" s="100">
        <v>331814</v>
      </c>
      <c r="F89" s="82" t="s">
        <v>183</v>
      </c>
      <c r="G89" s="13">
        <f>IFERROR(VLOOKUP(Tabela3[[#This Row],[Conta]],'BD - E - Despesas'!$A$15:$E$500,5,0),0)</f>
        <v>0</v>
      </c>
      <c r="H89" s="24">
        <f>IFERROR(VLOOKUP(Tabela3[[#This Row],[Conta]],'BD - E - Despesas'!$J$15:$N$500,5,0),0)</f>
        <v>0</v>
      </c>
      <c r="I89" s="24">
        <f>IFERROR(VLOOKUP(Tabela3[[#This Row],[Conta]],'BD - E - Despesas'!$S$15:$W$500,5,0),0)</f>
        <v>0</v>
      </c>
      <c r="J89" s="24">
        <f>IFERROR(VLOOKUP(Tabela3[[#This Row],[Conta]],'BD - E - Despesas'!$AB$15:$AF$500,5,0),0)</f>
        <v>0</v>
      </c>
      <c r="K89" s="24">
        <f>IFERROR(VLOOKUP(Tabela3[[#This Row],[Conta]],'BD - E - Despesas'!$AK$15:$AO$500,5,0),0)</f>
        <v>0</v>
      </c>
      <c r="L89" s="24">
        <f>IFERROR(VLOOKUP(Tabela3[[#This Row],[Conta]],'BD - E - Despesas'!$AT$15:$AX$500,5,0),0)</f>
        <v>0</v>
      </c>
      <c r="M89" s="24">
        <f>IFERROR(VLOOKUP(Tabela3[[#This Row],[Conta]],'BD - E - Despesas'!$BC$15:$BG$500,5,0),0)</f>
        <v>0</v>
      </c>
      <c r="N89" s="24">
        <f>IFERROR(VLOOKUP(Tabela3[[#This Row],[Conta]],'BD - E - Despesas'!$BL$15:$BP$500,5,0),0)</f>
        <v>0</v>
      </c>
      <c r="O89" s="24">
        <f>IFERROR(VLOOKUP(Tabela3[[#This Row],[Conta]],'BD - E - Despesas'!$BU$15:$BY$500,5,0),0)</f>
        <v>0</v>
      </c>
      <c r="P89" s="24">
        <f>IFERROR(VLOOKUP(Tabela3[[#This Row],[Conta]],'BD - E - Despesas'!$CD$15:$CH$500,5,0),0)</f>
        <v>0</v>
      </c>
      <c r="Q89" s="24">
        <f>IFERROR(VLOOKUP(Tabela3[[#This Row],[Conta]],'BD - E - Despesas'!$CM$15:$CQ$500,5,0),0)</f>
        <v>0</v>
      </c>
      <c r="R89" s="24">
        <f>IFERROR(VLOOKUP(Tabela3[[#This Row],[Conta]],'BD - E - Despesas'!$CV$15:$CZ$500,5,0),0)</f>
        <v>0</v>
      </c>
      <c r="S89"/>
    </row>
    <row r="90" spans="3:19">
      <c r="C90" s="455" t="s">
        <v>347</v>
      </c>
      <c r="D90" s="456" t="s">
        <v>343</v>
      </c>
      <c r="E90" s="100">
        <v>332301</v>
      </c>
      <c r="F90" s="79" t="s">
        <v>446</v>
      </c>
      <c r="G90" s="13">
        <f>IFERROR(VLOOKUP(Tabela3[[#This Row],[Conta]],'BD - E - Despesas'!$A$15:$E$500,5,0),0)</f>
        <v>9474.49</v>
      </c>
      <c r="H90" s="24">
        <f>IFERROR(VLOOKUP(Tabela3[[#This Row],[Conta]],'BD - E - Despesas'!$J$15:$N$500,5,0),0)</f>
        <v>3445.28</v>
      </c>
      <c r="I90" s="24">
        <f>IFERROR(VLOOKUP(Tabela3[[#This Row],[Conta]],'BD - E - Despesas'!$S$15:$W$500,5,0),0)</f>
        <v>1296.58</v>
      </c>
      <c r="J90" s="24">
        <f>IFERROR(VLOOKUP(Tabela3[[#This Row],[Conta]],'BD - E - Despesas'!$AB$15:$AF$500,5,0),0)</f>
        <v>5186.3500000000004</v>
      </c>
      <c r="K90" s="24">
        <f>IFERROR(VLOOKUP(Tabela3[[#This Row],[Conta]],'BD - E - Despesas'!$AK$15:$AO$500,5,0),0)</f>
        <v>0</v>
      </c>
      <c r="L90" s="24">
        <f>IFERROR(VLOOKUP(Tabela3[[#This Row],[Conta]],'BD - E - Despesas'!$AT$15:$AX$500,5,0),0)</f>
        <v>0</v>
      </c>
      <c r="M90" s="24">
        <f>IFERROR(VLOOKUP(Tabela3[[#This Row],[Conta]],'BD - E - Despesas'!$BC$15:$BG$500,5,0),0)</f>
        <v>0</v>
      </c>
      <c r="N90" s="24">
        <f>IFERROR(VLOOKUP(Tabela3[[#This Row],[Conta]],'BD - E - Despesas'!$BL$15:$BP$500,5,0),0)</f>
        <v>0</v>
      </c>
      <c r="O90" s="24">
        <f>IFERROR(VLOOKUP(Tabela3[[#This Row],[Conta]],'BD - E - Despesas'!$BU$15:$BY$500,5,0),0)</f>
        <v>0</v>
      </c>
      <c r="P90" s="24">
        <f>IFERROR(VLOOKUP(Tabela3[[#This Row],[Conta]],'BD - E - Despesas'!$CD$15:$CH$500,5,0),0)</f>
        <v>0</v>
      </c>
      <c r="Q90" s="24">
        <f>IFERROR(VLOOKUP(Tabela3[[#This Row],[Conta]],'BD - E - Despesas'!$CM$15:$CQ$500,5,0),0)</f>
        <v>0</v>
      </c>
      <c r="R90" s="24">
        <f>IFERROR(VLOOKUP(Tabela3[[#This Row],[Conta]],'BD - E - Despesas'!$CV$15:$CZ$500,5,0),0)</f>
        <v>0</v>
      </c>
      <c r="S90"/>
    </row>
    <row r="91" spans="3:19">
      <c r="C91" s="455" t="s">
        <v>347</v>
      </c>
      <c r="D91" s="456" t="s">
        <v>343</v>
      </c>
      <c r="E91" s="100">
        <v>332302</v>
      </c>
      <c r="F91" s="79" t="s">
        <v>309</v>
      </c>
      <c r="G91" s="12">
        <f>IFERROR(VLOOKUP(Tabela3[[#This Row],[Conta]],'BD - E - Despesas'!$A$15:$E$500,5,0),0)</f>
        <v>1014</v>
      </c>
      <c r="H91" s="24">
        <f>IFERROR(VLOOKUP(Tabela3[[#This Row],[Conta]],'BD - E - Despesas'!$J$15:$N$500,5,0),0)</f>
        <v>1564.8</v>
      </c>
      <c r="I91" s="24">
        <f>IFERROR(VLOOKUP(Tabela3[[#This Row],[Conta]],'BD - E - Despesas'!$S$15:$W$500,5,0),0)</f>
        <v>782.4</v>
      </c>
      <c r="J91" s="24">
        <f>IFERROR(VLOOKUP(Tabela3[[#This Row],[Conta]],'BD - E - Despesas'!$AB$15:$AF$500,5,0),0)</f>
        <v>0</v>
      </c>
      <c r="K91" s="24">
        <f>IFERROR(VLOOKUP(Tabela3[[#This Row],[Conta]],'BD - E - Despesas'!$AK$15:$AO$500,5,0),0)</f>
        <v>0</v>
      </c>
      <c r="L91" s="24">
        <f>IFERROR(VLOOKUP(Tabela3[[#This Row],[Conta]],'BD - E - Despesas'!$AT$15:$AX$500,5,0),0)</f>
        <v>0</v>
      </c>
      <c r="M91" s="24">
        <f>IFERROR(VLOOKUP(Tabela3[[#This Row],[Conta]],'BD - E - Despesas'!$BC$15:$BG$500,5,0),0)</f>
        <v>0</v>
      </c>
      <c r="N91" s="24">
        <f>IFERROR(VLOOKUP(Tabela3[[#This Row],[Conta]],'BD - E - Despesas'!$BL$15:$BP$500,5,0),0)</f>
        <v>0</v>
      </c>
      <c r="O91" s="24">
        <f>IFERROR(VLOOKUP(Tabela3[[#This Row],[Conta]],'BD - E - Despesas'!$BU$15:$BY$500,5,0),0)</f>
        <v>0</v>
      </c>
      <c r="P91" s="24">
        <f>IFERROR(VLOOKUP(Tabela3[[#This Row],[Conta]],'BD - E - Despesas'!$CD$15:$CH$500,5,0),0)</f>
        <v>0</v>
      </c>
      <c r="Q91" s="24">
        <f>IFERROR(VLOOKUP(Tabela3[[#This Row],[Conta]],'BD - E - Despesas'!$CM$15:$CQ$500,5,0),0)</f>
        <v>0</v>
      </c>
      <c r="R91" s="24">
        <f>IFERROR(VLOOKUP(Tabela3[[#This Row],[Conta]],'BD - E - Despesas'!$CV$15:$CZ$500,5,0),0)</f>
        <v>0</v>
      </c>
      <c r="S91"/>
    </row>
    <row r="92" spans="3:19">
      <c r="C92" s="455" t="s">
        <v>347</v>
      </c>
      <c r="D92" s="456" t="s">
        <v>343</v>
      </c>
      <c r="E92" s="346">
        <v>332303</v>
      </c>
      <c r="F92" s="79" t="s">
        <v>565</v>
      </c>
      <c r="G92" s="13">
        <f>IFERROR(VLOOKUP(Tabela3[[#This Row],[Conta]],'BD - E - Despesas'!$A$15:$E$500,5,0),0)</f>
        <v>0</v>
      </c>
      <c r="H92" s="24">
        <f>IFERROR(VLOOKUP(Tabela3[[#This Row],[Conta]],'BD - E - Despesas'!$J$15:$N$500,5,0),0)</f>
        <v>0</v>
      </c>
      <c r="I92" s="24">
        <f>IFERROR(VLOOKUP(Tabela3[[#This Row],[Conta]],'BD - E - Despesas'!$S$15:$W$500,5,0),0)</f>
        <v>0</v>
      </c>
      <c r="J92" s="24">
        <f>IFERROR(VLOOKUP(Tabela3[[#This Row],[Conta]],'BD - E - Despesas'!$AB$15:$AF$500,5,0),0)</f>
        <v>0</v>
      </c>
      <c r="K92" s="24">
        <f>IFERROR(VLOOKUP(Tabela3[[#This Row],[Conta]],'BD - E - Despesas'!$AK$15:$AO$500,5,0),0)</f>
        <v>0</v>
      </c>
      <c r="L92" s="24">
        <f>IFERROR(VLOOKUP(Tabela3[[#This Row],[Conta]],'BD - E - Despesas'!$AT$15:$AX$500,5,0),0)</f>
        <v>0</v>
      </c>
      <c r="M92" s="24">
        <f>IFERROR(VLOOKUP(Tabela3[[#This Row],[Conta]],'BD - E - Despesas'!$BC$15:$BG$500,5,0),0)</f>
        <v>0</v>
      </c>
      <c r="N92" s="24">
        <f>IFERROR(VLOOKUP(Tabela3[[#This Row],[Conta]],'BD - E - Despesas'!$BL$15:$BP$500,5,0),0)</f>
        <v>0</v>
      </c>
      <c r="O92" s="24">
        <f>IFERROR(VLOOKUP(Tabela3[[#This Row],[Conta]],'BD - E - Despesas'!$BU$15:$BY$500,5,0),0)</f>
        <v>0</v>
      </c>
      <c r="P92" s="24">
        <f>IFERROR(VLOOKUP(Tabela3[[#This Row],[Conta]],'BD - E - Despesas'!$CD$15:$CH$500,5,0),0)</f>
        <v>0</v>
      </c>
      <c r="Q92" s="24">
        <f>IFERROR(VLOOKUP(Tabela3[[#This Row],[Conta]],'BD - E - Despesas'!$CM$15:$CQ$500,5,0),0)</f>
        <v>0</v>
      </c>
      <c r="R92" s="24">
        <f>IFERROR(VLOOKUP(Tabela3[[#This Row],[Conta]],'BD - E - Despesas'!$CV$15:$CZ$500,5,0),0)</f>
        <v>0</v>
      </c>
      <c r="S92"/>
    </row>
    <row r="93" spans="3:19">
      <c r="C93" s="455" t="s">
        <v>347</v>
      </c>
      <c r="D93" s="456" t="s">
        <v>343</v>
      </c>
      <c r="E93" s="100">
        <v>332305</v>
      </c>
      <c r="F93" s="79" t="s">
        <v>310</v>
      </c>
      <c r="G93" s="12">
        <f>IFERROR(VLOOKUP(Tabela3[[#This Row],[Conta]],'BD - E - Despesas'!$A$15:$E$500,5,0),0)</f>
        <v>14422.2</v>
      </c>
      <c r="H93" s="24">
        <f>IFERROR(VLOOKUP(Tabela3[[#This Row],[Conta]],'BD - E - Despesas'!$J$15:$N$500,5,0),0)</f>
        <v>7892.2</v>
      </c>
      <c r="I93" s="24">
        <f>IFERROR(VLOOKUP(Tabela3[[#This Row],[Conta]],'BD - E - Despesas'!$S$15:$W$500,5,0),0)</f>
        <v>5242.2</v>
      </c>
      <c r="J93" s="24">
        <f>IFERROR(VLOOKUP(Tabela3[[#This Row],[Conta]],'BD - E - Despesas'!$AB$15:$AF$500,5,0),0)</f>
        <v>4680</v>
      </c>
      <c r="K93" s="24">
        <f>IFERROR(VLOOKUP(Tabela3[[#This Row],[Conta]],'BD - E - Despesas'!$AK$15:$AO$500,5,0),0)</f>
        <v>0</v>
      </c>
      <c r="L93" s="24">
        <f>IFERROR(VLOOKUP(Tabela3[[#This Row],[Conta]],'BD - E - Despesas'!$AT$15:$AX$500,5,0),0)</f>
        <v>0</v>
      </c>
      <c r="M93" s="24">
        <f>IFERROR(VLOOKUP(Tabela3[[#This Row],[Conta]],'BD - E - Despesas'!$BC$15:$BG$500,5,0),0)</f>
        <v>0</v>
      </c>
      <c r="N93" s="24">
        <f>IFERROR(VLOOKUP(Tabela3[[#This Row],[Conta]],'BD - E - Despesas'!$BL$15:$BP$500,5,0),0)</f>
        <v>0</v>
      </c>
      <c r="O93" s="24">
        <f>IFERROR(VLOOKUP(Tabela3[[#This Row],[Conta]],'BD - E - Despesas'!$BU$15:$BY$500,5,0),0)</f>
        <v>0</v>
      </c>
      <c r="P93" s="24">
        <f>IFERROR(VLOOKUP(Tabela3[[#This Row],[Conta]],'BD - E - Despesas'!$CD$15:$CH$500,5,0),0)</f>
        <v>0</v>
      </c>
      <c r="Q93" s="24">
        <f>IFERROR(VLOOKUP(Tabela3[[#This Row],[Conta]],'BD - E - Despesas'!$CM$15:$CQ$500,5,0),0)</f>
        <v>0</v>
      </c>
      <c r="R93" s="24">
        <f>IFERROR(VLOOKUP(Tabela3[[#This Row],[Conta]],'BD - E - Despesas'!$CV$15:$CZ$500,5,0),0)</f>
        <v>0</v>
      </c>
      <c r="S93"/>
    </row>
    <row r="94" spans="3:19">
      <c r="C94" s="455" t="s">
        <v>347</v>
      </c>
      <c r="D94" s="456" t="s">
        <v>343</v>
      </c>
      <c r="E94" s="85">
        <v>332306</v>
      </c>
      <c r="F94" s="79" t="s">
        <v>416</v>
      </c>
      <c r="G94" s="12">
        <f>IFERROR(VLOOKUP(Tabela3[[#This Row],[Conta]],'BD - E - Despesas'!$A$15:$E$500,5,0),0)</f>
        <v>0</v>
      </c>
      <c r="H94" s="24">
        <f>IFERROR(VLOOKUP(Tabela3[[#This Row],[Conta]],'BD - E - Despesas'!$J$15:$N$500,5,0),0)</f>
        <v>0</v>
      </c>
      <c r="I94" s="24">
        <f>IFERROR(VLOOKUP(Tabela3[[#This Row],[Conta]],'BD - E - Despesas'!$S$15:$W$500,5,0),0)</f>
        <v>0</v>
      </c>
      <c r="J94" s="24">
        <f>IFERROR(VLOOKUP(Tabela3[[#This Row],[Conta]],'BD - E - Despesas'!$AB$15:$AF$500,5,0),0)</f>
        <v>0</v>
      </c>
      <c r="K94" s="24">
        <f>IFERROR(VLOOKUP(Tabela3[[#This Row],[Conta]],'BD - E - Despesas'!$AK$15:$AO$500,5,0),0)</f>
        <v>0</v>
      </c>
      <c r="L94" s="24">
        <f>IFERROR(VLOOKUP(Tabela3[[#This Row],[Conta]],'BD - E - Despesas'!$AT$15:$AX$500,5,0),0)</f>
        <v>0</v>
      </c>
      <c r="M94" s="24">
        <f>IFERROR(VLOOKUP(Tabela3[[#This Row],[Conta]],'BD - E - Despesas'!$BC$15:$BG$500,5,0),0)</f>
        <v>0</v>
      </c>
      <c r="N94" s="24">
        <f>IFERROR(VLOOKUP(Tabela3[[#This Row],[Conta]],'BD - E - Despesas'!$BL$15:$BP$500,5,0),0)</f>
        <v>0</v>
      </c>
      <c r="O94" s="24">
        <f>IFERROR(VLOOKUP(Tabela3[[#This Row],[Conta]],'BD - E - Despesas'!$BU$15:$BY$500,5,0),0)</f>
        <v>0</v>
      </c>
      <c r="P94" s="24">
        <f>IFERROR(VLOOKUP(Tabela3[[#This Row],[Conta]],'BD - E - Despesas'!$CD$15:$CH$500,5,0),0)</f>
        <v>0</v>
      </c>
      <c r="Q94" s="24">
        <f>IFERROR(VLOOKUP(Tabela3[[#This Row],[Conta]],'BD - E - Despesas'!$CM$15:$CQ$500,5,0),0)</f>
        <v>0</v>
      </c>
      <c r="R94" s="24">
        <f>IFERROR(VLOOKUP(Tabela3[[#This Row],[Conta]],'BD - E - Despesas'!$CV$15:$CZ$500,5,0),0)</f>
        <v>0</v>
      </c>
      <c r="S94"/>
    </row>
    <row r="95" spans="3:19">
      <c r="C95" s="456" t="s">
        <v>343</v>
      </c>
      <c r="D95" s="456" t="s">
        <v>343</v>
      </c>
      <c r="E95" s="100">
        <v>332308</v>
      </c>
      <c r="F95" s="79" t="s">
        <v>311</v>
      </c>
      <c r="G95" s="348">
        <f>IFERROR(VLOOKUP(Tabela3[[#This Row],[Conta]],'BD - E - Despesas'!$A$15:$E$500,5,0),0)</f>
        <v>41371.800000000003</v>
      </c>
      <c r="H95" s="24">
        <f>IFERROR(VLOOKUP(Tabela3[[#This Row],[Conta]],'BD - E - Despesas'!$J$15:$N$500,5,0),0)</f>
        <v>15234.48</v>
      </c>
      <c r="I95" s="24">
        <f>IFERROR(VLOOKUP(Tabela3[[#This Row],[Conta]],'BD - E - Despesas'!$S$15:$W$500,5,0),0)</f>
        <v>14292</v>
      </c>
      <c r="J95" s="24">
        <f>IFERROR(VLOOKUP(Tabela3[[#This Row],[Conta]],'BD - E - Despesas'!$AB$15:$AF$500,5,0),0)</f>
        <v>18780.05</v>
      </c>
      <c r="K95" s="24">
        <f>IFERROR(VLOOKUP(Tabela3[[#This Row],[Conta]],'BD - E - Despesas'!$AK$15:$AO$500,5,0),0)</f>
        <v>0</v>
      </c>
      <c r="L95" s="24">
        <f>IFERROR(VLOOKUP(Tabela3[[#This Row],[Conta]],'BD - E - Despesas'!$AT$15:$AX$500,5,0),0)</f>
        <v>0</v>
      </c>
      <c r="M95" s="24">
        <f>IFERROR(VLOOKUP(Tabela3[[#This Row],[Conta]],'BD - E - Despesas'!$BC$15:$BG$500,5,0),0)</f>
        <v>0</v>
      </c>
      <c r="N95" s="24">
        <f>IFERROR(VLOOKUP(Tabela3[[#This Row],[Conta]],'BD - E - Despesas'!$BL$15:$BP$500,5,0),0)</f>
        <v>0</v>
      </c>
      <c r="O95" s="24">
        <f>IFERROR(VLOOKUP(Tabela3[[#This Row],[Conta]],'BD - E - Despesas'!$BU$15:$BY$500,5,0),0)</f>
        <v>0</v>
      </c>
      <c r="P95" s="24">
        <f>IFERROR(VLOOKUP(Tabela3[[#This Row],[Conta]],'BD - E - Despesas'!$CD$15:$CH$500,5,0),0)</f>
        <v>0</v>
      </c>
      <c r="Q95" s="24">
        <f>IFERROR(VLOOKUP(Tabela3[[#This Row],[Conta]],'BD - E - Despesas'!$CM$15:$CQ$500,5,0),0)</f>
        <v>0</v>
      </c>
      <c r="R95" s="24">
        <f>IFERROR(VLOOKUP(Tabela3[[#This Row],[Conta]],'BD - E - Despesas'!$CV$15:$CZ$500,5,0),0)</f>
        <v>0</v>
      </c>
      <c r="S95"/>
    </row>
    <row r="96" spans="3:19">
      <c r="C96" s="455" t="s">
        <v>347</v>
      </c>
      <c r="D96" s="456" t="s">
        <v>343</v>
      </c>
      <c r="E96" s="100">
        <v>332310</v>
      </c>
      <c r="F96" s="79" t="s">
        <v>312</v>
      </c>
      <c r="G96" s="12">
        <f>IFERROR(VLOOKUP(Tabela3[[#This Row],[Conta]],'BD - E - Despesas'!$A$15:$E$500,5,0),0)</f>
        <v>16029.45</v>
      </c>
      <c r="H96" s="24">
        <f>IFERROR(VLOOKUP(Tabela3[[#This Row],[Conta]],'BD - E - Despesas'!$J$15:$N$500,5,0),0)</f>
        <v>15715.27</v>
      </c>
      <c r="I96" s="24">
        <f>IFERROR(VLOOKUP(Tabela3[[#This Row],[Conta]],'BD - E - Despesas'!$S$15:$W$500,5,0),0)</f>
        <v>15834.78</v>
      </c>
      <c r="J96" s="24">
        <f>IFERROR(VLOOKUP(Tabela3[[#This Row],[Conta]],'BD - E - Despesas'!$AB$15:$AF$500,5,0),0)</f>
        <v>14340.41</v>
      </c>
      <c r="K96" s="24">
        <f>IFERROR(VLOOKUP(Tabela3[[#This Row],[Conta]],'BD - E - Despesas'!$AK$15:$AO$500,5,0),0)</f>
        <v>0</v>
      </c>
      <c r="L96" s="24">
        <f>IFERROR(VLOOKUP(Tabela3[[#This Row],[Conta]],'BD - E - Despesas'!$AT$15:$AX$500,5,0),0)</f>
        <v>0</v>
      </c>
      <c r="M96" s="24">
        <f>IFERROR(VLOOKUP(Tabela3[[#This Row],[Conta]],'BD - E - Despesas'!$BC$15:$BG$500,5,0),0)</f>
        <v>0</v>
      </c>
      <c r="N96" s="24">
        <f>IFERROR(VLOOKUP(Tabela3[[#This Row],[Conta]],'BD - E - Despesas'!$BL$15:$BP$500,5,0),0)</f>
        <v>0</v>
      </c>
      <c r="O96" s="24">
        <f>IFERROR(VLOOKUP(Tabela3[[#This Row],[Conta]],'BD - E - Despesas'!$BU$15:$BY$500,5,0),0)</f>
        <v>0</v>
      </c>
      <c r="P96" s="24">
        <f>IFERROR(VLOOKUP(Tabela3[[#This Row],[Conta]],'BD - E - Despesas'!$CD$15:$CH$500,5,0),0)</f>
        <v>0</v>
      </c>
      <c r="Q96" s="24">
        <f>IFERROR(VLOOKUP(Tabela3[[#This Row],[Conta]],'BD - E - Despesas'!$CM$15:$CQ$500,5,0),0)</f>
        <v>0</v>
      </c>
      <c r="R96" s="24">
        <f>IFERROR(VLOOKUP(Tabela3[[#This Row],[Conta]],'BD - E - Despesas'!$CV$15:$CZ$500,5,0),0)</f>
        <v>0</v>
      </c>
      <c r="S96"/>
    </row>
    <row r="97" spans="3:19">
      <c r="C97" s="455" t="s">
        <v>347</v>
      </c>
      <c r="D97" s="456" t="s">
        <v>344</v>
      </c>
      <c r="E97" s="100">
        <v>332401</v>
      </c>
      <c r="F97" s="79" t="s">
        <v>544</v>
      </c>
      <c r="G97" s="12">
        <f>IFERROR(VLOOKUP(Tabela3[[#This Row],[Conta]],'BD - E - Despesas'!$A$15:$E$500,5,0),0)</f>
        <v>0</v>
      </c>
      <c r="H97" s="24">
        <f>IFERROR(VLOOKUP(Tabela3[[#This Row],[Conta]],'BD - E - Despesas'!$J$15:$N$500,5,0),0)</f>
        <v>0</v>
      </c>
      <c r="I97" s="24">
        <f>IFERROR(VLOOKUP(Tabela3[[#This Row],[Conta]],'BD - E - Despesas'!$S$15:$W$500,5,0),0)</f>
        <v>0</v>
      </c>
      <c r="J97" s="24">
        <f>IFERROR(VLOOKUP(Tabela3[[#This Row],[Conta]],'BD - E - Despesas'!$AB$15:$AF$500,5,0),0)</f>
        <v>0</v>
      </c>
      <c r="K97" s="24">
        <f>IFERROR(VLOOKUP(Tabela3[[#This Row],[Conta]],'BD - E - Despesas'!$AK$15:$AO$500,5,0),0)</f>
        <v>0</v>
      </c>
      <c r="L97" s="24">
        <f>IFERROR(VLOOKUP(Tabela3[[#This Row],[Conta]],'BD - E - Despesas'!$AT$15:$AX$500,5,0),0)</f>
        <v>0</v>
      </c>
      <c r="M97" s="24">
        <f>IFERROR(VLOOKUP(Tabela3[[#This Row],[Conta]],'BD - E - Despesas'!$BC$15:$BG$500,5,0),0)</f>
        <v>0</v>
      </c>
      <c r="N97" s="24">
        <f>IFERROR(VLOOKUP(Tabela3[[#This Row],[Conta]],'BD - E - Despesas'!$BL$15:$BP$500,5,0),0)</f>
        <v>0</v>
      </c>
      <c r="O97" s="24">
        <f>IFERROR(VLOOKUP(Tabela3[[#This Row],[Conta]],'BD - E - Despesas'!$BU$15:$BY$500,5,0),0)</f>
        <v>0</v>
      </c>
      <c r="P97" s="24">
        <f>IFERROR(VLOOKUP(Tabela3[[#This Row],[Conta]],'BD - E - Despesas'!$CD$15:$CH$500,5,0),0)</f>
        <v>0</v>
      </c>
      <c r="Q97" s="24">
        <f>IFERROR(VLOOKUP(Tabela3[[#This Row],[Conta]],'BD - E - Despesas'!$CM$15:$CQ$500,5,0),0)</f>
        <v>0</v>
      </c>
      <c r="R97" s="24">
        <f>IFERROR(VLOOKUP(Tabela3[[#This Row],[Conta]],'BD - E - Despesas'!$CV$15:$CZ$500,5,0),0)</f>
        <v>0</v>
      </c>
      <c r="S97"/>
    </row>
    <row r="98" spans="3:19">
      <c r="C98" s="455" t="s">
        <v>347</v>
      </c>
      <c r="D98" s="456" t="s">
        <v>344</v>
      </c>
      <c r="E98" s="100">
        <v>332404</v>
      </c>
      <c r="F98" s="79" t="s">
        <v>313</v>
      </c>
      <c r="G98" s="13">
        <f>IFERROR(VLOOKUP(Tabela3[[#This Row],[Conta]],'BD - E - Despesas'!$A$15:$E$500,5,0),0)</f>
        <v>7103</v>
      </c>
      <c r="H98" s="24">
        <f>IFERROR(VLOOKUP(Tabela3[[#This Row],[Conta]],'BD - E - Despesas'!$J$15:$N$500,5,0),0)</f>
        <v>7406</v>
      </c>
      <c r="I98" s="24">
        <f>IFERROR(VLOOKUP(Tabela3[[#This Row],[Conta]],'BD - E - Despesas'!$S$15:$W$500,5,0),0)</f>
        <v>7406</v>
      </c>
      <c r="J98" s="24">
        <f>IFERROR(VLOOKUP(Tabela3[[#This Row],[Conta]],'BD - E - Despesas'!$AB$15:$AF$500,5,0),0)</f>
        <v>7406</v>
      </c>
      <c r="K98" s="24">
        <f>IFERROR(VLOOKUP(Tabela3[[#This Row],[Conta]],'BD - E - Despesas'!$AK$15:$AO$500,5,0),0)</f>
        <v>0</v>
      </c>
      <c r="L98" s="24">
        <f>IFERROR(VLOOKUP(Tabela3[[#This Row],[Conta]],'BD - E - Despesas'!$AT$15:$AX$500,5,0),0)</f>
        <v>0</v>
      </c>
      <c r="M98" s="24">
        <f>IFERROR(VLOOKUP(Tabela3[[#This Row],[Conta]],'BD - E - Despesas'!$BC$15:$BG$500,5,0),0)</f>
        <v>0</v>
      </c>
      <c r="N98" s="24">
        <f>IFERROR(VLOOKUP(Tabela3[[#This Row],[Conta]],'BD - E - Despesas'!$BL$15:$BP$500,5,0),0)</f>
        <v>0</v>
      </c>
      <c r="O98" s="24">
        <f>IFERROR(VLOOKUP(Tabela3[[#This Row],[Conta]],'BD - E - Despesas'!$BU$15:$BY$500,5,0),0)</f>
        <v>0</v>
      </c>
      <c r="P98" s="24">
        <f>IFERROR(VLOOKUP(Tabela3[[#This Row],[Conta]],'BD - E - Despesas'!$CD$15:$CH$500,5,0),0)</f>
        <v>0</v>
      </c>
      <c r="Q98" s="24">
        <f>IFERROR(VLOOKUP(Tabela3[[#This Row],[Conta]],'BD - E - Despesas'!$CM$15:$CQ$500,5,0),0)</f>
        <v>0</v>
      </c>
      <c r="R98" s="24">
        <f>IFERROR(VLOOKUP(Tabela3[[#This Row],[Conta]],'BD - E - Despesas'!$CV$15:$CZ$500,5,0),0)</f>
        <v>0</v>
      </c>
      <c r="S98"/>
    </row>
    <row r="99" spans="3:19">
      <c r="C99" s="455" t="s">
        <v>347</v>
      </c>
      <c r="D99" s="456" t="s">
        <v>344</v>
      </c>
      <c r="E99" s="346">
        <v>332405</v>
      </c>
      <c r="F99" s="79" t="s">
        <v>314</v>
      </c>
      <c r="G99" s="13">
        <f>IFERROR(VLOOKUP(Tabela3[[#This Row],[Conta]],'BD - E - Despesas'!$A$15:$E$500,5,0),0)</f>
        <v>44481.59</v>
      </c>
      <c r="H99" s="24">
        <f>IFERROR(VLOOKUP(Tabela3[[#This Row],[Conta]],'BD - E - Despesas'!$J$15:$N$500,5,0),0)</f>
        <v>21519.13</v>
      </c>
      <c r="I99" s="24">
        <f>IFERROR(VLOOKUP(Tabela3[[#This Row],[Conta]],'BD - E - Despesas'!$S$15:$W$500,5,0),0)</f>
        <v>127452.17</v>
      </c>
      <c r="J99" s="24">
        <f>IFERROR(VLOOKUP(Tabela3[[#This Row],[Conta]],'BD - E - Despesas'!$AB$15:$AF$500,5,0),0)</f>
        <v>37292.6</v>
      </c>
      <c r="K99" s="24">
        <f>IFERROR(VLOOKUP(Tabela3[[#This Row],[Conta]],'BD - E - Despesas'!$AK$15:$AO$500,5,0),0)</f>
        <v>0</v>
      </c>
      <c r="L99" s="24">
        <f>IFERROR(VLOOKUP(Tabela3[[#This Row],[Conta]],'BD - E - Despesas'!$AT$15:$AX$500,5,0),0)</f>
        <v>0</v>
      </c>
      <c r="M99" s="24">
        <f>IFERROR(VLOOKUP(Tabela3[[#This Row],[Conta]],'BD - E - Despesas'!$BC$15:$BG$500,5,0),0)</f>
        <v>0</v>
      </c>
      <c r="N99" s="24">
        <f>IFERROR(VLOOKUP(Tabela3[[#This Row],[Conta]],'BD - E - Despesas'!$BL$15:$BP$500,5,0),0)</f>
        <v>0</v>
      </c>
      <c r="O99" s="24">
        <f>IFERROR(VLOOKUP(Tabela3[[#This Row],[Conta]],'BD - E - Despesas'!$BU$15:$BY$500,5,0),0)</f>
        <v>0</v>
      </c>
      <c r="P99" s="24">
        <f>IFERROR(VLOOKUP(Tabela3[[#This Row],[Conta]],'BD - E - Despesas'!$CD$15:$CH$500,5,0),0)</f>
        <v>0</v>
      </c>
      <c r="Q99" s="24">
        <f>IFERROR(VLOOKUP(Tabela3[[#This Row],[Conta]],'BD - E - Despesas'!$CM$15:$CQ$500,5,0),0)</f>
        <v>0</v>
      </c>
      <c r="R99" s="24">
        <f>IFERROR(VLOOKUP(Tabela3[[#This Row],[Conta]],'BD - E - Despesas'!$CV$15:$CZ$500,5,0),0)</f>
        <v>0</v>
      </c>
      <c r="S99"/>
    </row>
    <row r="100" spans="3:19">
      <c r="C100" s="455" t="s">
        <v>347</v>
      </c>
      <c r="D100" s="456" t="s">
        <v>344</v>
      </c>
      <c r="E100" s="85">
        <v>332406</v>
      </c>
      <c r="F100" s="79" t="s">
        <v>204</v>
      </c>
      <c r="G100" s="13">
        <f>IFERROR(VLOOKUP(Tabela3[[#This Row],[Conta]],'BD - E - Despesas'!$A$15:$E$500,5,0),0)</f>
        <v>0</v>
      </c>
      <c r="H100" s="24">
        <f>IFERROR(VLOOKUP(Tabela3[[#This Row],[Conta]],'BD - E - Despesas'!$J$15:$N$500,5,0),0)</f>
        <v>350.37</v>
      </c>
      <c r="I100" s="24">
        <f>IFERROR(VLOOKUP(Tabela3[[#This Row],[Conta]],'BD - E - Despesas'!$S$15:$W$500,5,0),0)</f>
        <v>1000</v>
      </c>
      <c r="J100" s="24">
        <f>IFERROR(VLOOKUP(Tabela3[[#This Row],[Conta]],'BD - E - Despesas'!$AB$15:$AF$500,5,0),0)</f>
        <v>0</v>
      </c>
      <c r="K100" s="24">
        <f>IFERROR(VLOOKUP(Tabela3[[#This Row],[Conta]],'BD - E - Despesas'!$AK$15:$AO$500,5,0),0)</f>
        <v>0</v>
      </c>
      <c r="L100" s="24">
        <f>IFERROR(VLOOKUP(Tabela3[[#This Row],[Conta]],'BD - E - Despesas'!$AT$15:$AX$500,5,0),0)</f>
        <v>0</v>
      </c>
      <c r="M100" s="24">
        <f>IFERROR(VLOOKUP(Tabela3[[#This Row],[Conta]],'BD - E - Despesas'!$BC$15:$BG$500,5,0),0)</f>
        <v>0</v>
      </c>
      <c r="N100" s="24">
        <f>IFERROR(VLOOKUP(Tabela3[[#This Row],[Conta]],'BD - E - Despesas'!$BL$15:$BP$500,5,0),0)</f>
        <v>0</v>
      </c>
      <c r="O100" s="24">
        <f>IFERROR(VLOOKUP(Tabela3[[#This Row],[Conta]],'BD - E - Despesas'!$BU$15:$BY$500,5,0),0)</f>
        <v>0</v>
      </c>
      <c r="P100" s="24">
        <f>IFERROR(VLOOKUP(Tabela3[[#This Row],[Conta]],'BD - E - Despesas'!$CD$15:$CH$500,5,0),0)</f>
        <v>0</v>
      </c>
      <c r="Q100" s="24">
        <f>IFERROR(VLOOKUP(Tabela3[[#This Row],[Conta]],'BD - E - Despesas'!$CM$15:$CQ$500,5,0),0)</f>
        <v>0</v>
      </c>
      <c r="R100" s="24">
        <f>IFERROR(VLOOKUP(Tabela3[[#This Row],[Conta]],'BD - E - Despesas'!$CV$15:$CZ$500,5,0),0)</f>
        <v>0</v>
      </c>
      <c r="S100"/>
    </row>
    <row r="101" spans="3:19">
      <c r="C101" s="455" t="s">
        <v>347</v>
      </c>
      <c r="D101" s="456" t="s">
        <v>344</v>
      </c>
      <c r="E101" s="346">
        <v>332407</v>
      </c>
      <c r="F101" s="79" t="s">
        <v>507</v>
      </c>
      <c r="G101" s="13">
        <f>IFERROR(VLOOKUP(Tabela3[[#This Row],[Conta]],'BD - E - Despesas'!$A$15:$E$500,5,0),0)</f>
        <v>0</v>
      </c>
      <c r="H101" s="24">
        <f>IFERROR(VLOOKUP(Tabela3[[#This Row],[Conta]],'BD - E - Despesas'!$J$15:$N$500,5,0),0)</f>
        <v>0</v>
      </c>
      <c r="I101" s="24">
        <f>IFERROR(VLOOKUP(Tabela3[[#This Row],[Conta]],'BD - E - Despesas'!$S$15:$W$500,5,0),0)</f>
        <v>0</v>
      </c>
      <c r="J101" s="24">
        <f>IFERROR(VLOOKUP(Tabela3[[#This Row],[Conta]],'BD - E - Despesas'!$AB$15:$AF$500,5,0),0)</f>
        <v>0</v>
      </c>
      <c r="K101" s="24">
        <f>IFERROR(VLOOKUP(Tabela3[[#This Row],[Conta]],'BD - E - Despesas'!$AK$15:$AO$500,5,0),0)</f>
        <v>0</v>
      </c>
      <c r="L101" s="24">
        <f>IFERROR(VLOOKUP(Tabela3[[#This Row],[Conta]],'BD - E - Despesas'!$AT$15:$AX$500,5,0),0)</f>
        <v>0</v>
      </c>
      <c r="M101" s="24">
        <f>IFERROR(VLOOKUP(Tabela3[[#This Row],[Conta]],'BD - E - Despesas'!$BC$15:$BG$500,5,0),0)</f>
        <v>0</v>
      </c>
      <c r="N101" s="24">
        <f>IFERROR(VLOOKUP(Tabela3[[#This Row],[Conta]],'BD - E - Despesas'!$BL$15:$BP$500,5,0),0)</f>
        <v>0</v>
      </c>
      <c r="O101" s="24">
        <f>IFERROR(VLOOKUP(Tabela3[[#This Row],[Conta]],'BD - E - Despesas'!$BU$15:$BY$500,5,0),0)</f>
        <v>0</v>
      </c>
      <c r="P101" s="24">
        <f>IFERROR(VLOOKUP(Tabela3[[#This Row],[Conta]],'BD - E - Despesas'!$CD$15:$CH$500,5,0),0)</f>
        <v>0</v>
      </c>
      <c r="Q101" s="24">
        <f>IFERROR(VLOOKUP(Tabela3[[#This Row],[Conta]],'BD - E - Despesas'!$CM$15:$CQ$500,5,0),0)</f>
        <v>0</v>
      </c>
      <c r="R101" s="24">
        <f>IFERROR(VLOOKUP(Tabela3[[#This Row],[Conta]],'BD - E - Despesas'!$CV$15:$CZ$500,5,0),0)</f>
        <v>0</v>
      </c>
      <c r="S101"/>
    </row>
    <row r="102" spans="3:19">
      <c r="C102" s="79" t="s">
        <v>347</v>
      </c>
      <c r="D102" s="80" t="s">
        <v>344</v>
      </c>
      <c r="E102" s="85">
        <v>332408</v>
      </c>
      <c r="F102" s="79" t="s">
        <v>417</v>
      </c>
      <c r="G102" s="13">
        <f>IFERROR(VLOOKUP(Tabela3[[#This Row],[Conta]],'BD - E - Despesas'!$A$15:$E$500,5,0),0)</f>
        <v>600</v>
      </c>
      <c r="H102" s="24">
        <f>IFERROR(VLOOKUP(Tabela3[[#This Row],[Conta]],'BD - E - Despesas'!$J$15:$N$500,5,0),0)</f>
        <v>0</v>
      </c>
      <c r="I102" s="24">
        <f>IFERROR(VLOOKUP(Tabela3[[#This Row],[Conta]],'BD - E - Despesas'!$S$15:$W$500,5,0),0)</f>
        <v>0</v>
      </c>
      <c r="J102" s="24">
        <f>IFERROR(VLOOKUP(Tabela3[[#This Row],[Conta]],'BD - E - Despesas'!$AB$15:$AF$500,5,0),0)</f>
        <v>0</v>
      </c>
      <c r="K102" s="24">
        <f>IFERROR(VLOOKUP(Tabela3[[#This Row],[Conta]],'BD - E - Despesas'!$AK$15:$AO$500,5,0),0)</f>
        <v>0</v>
      </c>
      <c r="L102" s="24">
        <f>IFERROR(VLOOKUP(Tabela3[[#This Row],[Conta]],'BD - E - Despesas'!$AT$15:$AX$500,5,0),0)</f>
        <v>0</v>
      </c>
      <c r="M102" s="24">
        <f>IFERROR(VLOOKUP(Tabela3[[#This Row],[Conta]],'BD - E - Despesas'!$BC$15:$BG$500,5,0),0)</f>
        <v>0</v>
      </c>
      <c r="N102" s="24">
        <f>IFERROR(VLOOKUP(Tabela3[[#This Row],[Conta]],'BD - E - Despesas'!$BL$15:$BP$500,5,0),0)</f>
        <v>0</v>
      </c>
      <c r="O102" s="24">
        <f>IFERROR(VLOOKUP(Tabela3[[#This Row],[Conta]],'BD - E - Despesas'!$BU$15:$BY$500,5,0),0)</f>
        <v>0</v>
      </c>
      <c r="P102" s="24">
        <f>IFERROR(VLOOKUP(Tabela3[[#This Row],[Conta]],'BD - E - Despesas'!$CD$15:$CH$500,5,0),0)</f>
        <v>0</v>
      </c>
      <c r="Q102" s="24">
        <f>IFERROR(VLOOKUP(Tabela3[[#This Row],[Conta]],'BD - E - Despesas'!$CM$15:$CQ$500,5,0),0)</f>
        <v>0</v>
      </c>
      <c r="R102" s="24">
        <f>IFERROR(VLOOKUP(Tabela3[[#This Row],[Conta]],'BD - E - Despesas'!$CV$15:$CZ$500,5,0),0)</f>
        <v>0</v>
      </c>
      <c r="S102"/>
    </row>
    <row r="103" spans="3:19">
      <c r="C103" s="79" t="s">
        <v>347</v>
      </c>
      <c r="D103" s="80" t="s">
        <v>344</v>
      </c>
      <c r="E103" s="101">
        <v>332409</v>
      </c>
      <c r="F103" s="79" t="s">
        <v>315</v>
      </c>
      <c r="G103" s="13">
        <f>IFERROR(VLOOKUP(Tabela3[[#This Row],[Conta]],'BD - E - Despesas'!$A$15:$E$500,5,0),0)</f>
        <v>35770</v>
      </c>
      <c r="H103" s="24">
        <f>IFERROR(VLOOKUP(Tabela3[[#This Row],[Conta]],'BD - E - Despesas'!$J$15:$N$500,5,0),0)</f>
        <v>7260</v>
      </c>
      <c r="I103" s="24">
        <f>IFERROR(VLOOKUP(Tabela3[[#This Row],[Conta]],'BD - E - Despesas'!$S$15:$W$500,5,0),0)</f>
        <v>9480</v>
      </c>
      <c r="J103" s="24">
        <f>IFERROR(VLOOKUP(Tabela3[[#This Row],[Conta]],'BD - E - Despesas'!$AB$15:$AF$500,5,0),0)</f>
        <v>0</v>
      </c>
      <c r="K103" s="24">
        <f>IFERROR(VLOOKUP(Tabela3[[#This Row],[Conta]],'BD - E - Despesas'!$AK$15:$AO$500,5,0),0)</f>
        <v>0</v>
      </c>
      <c r="L103" s="24">
        <f>IFERROR(VLOOKUP(Tabela3[[#This Row],[Conta]],'BD - E - Despesas'!$AT$15:$AX$500,5,0),0)</f>
        <v>0</v>
      </c>
      <c r="M103" s="24">
        <f>IFERROR(VLOOKUP(Tabela3[[#This Row],[Conta]],'BD - E - Despesas'!$BC$15:$BG$500,5,0),0)</f>
        <v>0</v>
      </c>
      <c r="N103" s="24">
        <f>IFERROR(VLOOKUP(Tabela3[[#This Row],[Conta]],'BD - E - Despesas'!$BL$15:$BP$500,5,0),0)</f>
        <v>0</v>
      </c>
      <c r="O103" s="24">
        <f>IFERROR(VLOOKUP(Tabela3[[#This Row],[Conta]],'BD - E - Despesas'!$BU$15:$BY$500,5,0),0)</f>
        <v>0</v>
      </c>
      <c r="P103" s="24">
        <f>IFERROR(VLOOKUP(Tabela3[[#This Row],[Conta]],'BD - E - Despesas'!$CD$15:$CH$500,5,0),0)</f>
        <v>0</v>
      </c>
      <c r="Q103" s="24">
        <f>IFERROR(VLOOKUP(Tabela3[[#This Row],[Conta]],'BD - E - Despesas'!$CM$15:$CQ$500,5,0),0)</f>
        <v>0</v>
      </c>
      <c r="R103" s="24">
        <f>IFERROR(VLOOKUP(Tabela3[[#This Row],[Conta]],'BD - E - Despesas'!$CV$15:$CZ$500,5,0),0)</f>
        <v>0</v>
      </c>
      <c r="S103"/>
    </row>
    <row r="104" spans="3:19">
      <c r="C104" s="79" t="s">
        <v>347</v>
      </c>
      <c r="D104" s="80" t="s">
        <v>344</v>
      </c>
      <c r="E104" s="85">
        <v>332410</v>
      </c>
      <c r="F104" s="79" t="s">
        <v>418</v>
      </c>
      <c r="G104" s="13">
        <f>IFERROR(VLOOKUP(Tabela3[[#This Row],[Conta]],'BD - E - Despesas'!$A$15:$E$500,5,0),0)</f>
        <v>0</v>
      </c>
      <c r="H104" s="24">
        <f>IFERROR(VLOOKUP(Tabela3[[#This Row],[Conta]],'BD - E - Despesas'!$J$15:$N$500,5,0),0)</f>
        <v>0</v>
      </c>
      <c r="I104" s="24">
        <f>IFERROR(VLOOKUP(Tabela3[[#This Row],[Conta]],'BD - E - Despesas'!$S$15:$W$500,5,0),0)</f>
        <v>0</v>
      </c>
      <c r="J104" s="24">
        <f>IFERROR(VLOOKUP(Tabela3[[#This Row],[Conta]],'BD - E - Despesas'!$AB$15:$AF$500,5,0),0)</f>
        <v>0</v>
      </c>
      <c r="K104" s="24">
        <f>IFERROR(VLOOKUP(Tabela3[[#This Row],[Conta]],'BD - E - Despesas'!$AK$15:$AO$500,5,0),0)</f>
        <v>0</v>
      </c>
      <c r="L104" s="24">
        <f>IFERROR(VLOOKUP(Tabela3[[#This Row],[Conta]],'BD - E - Despesas'!$AT$15:$AX$500,5,0),0)</f>
        <v>0</v>
      </c>
      <c r="M104" s="24">
        <f>IFERROR(VLOOKUP(Tabela3[[#This Row],[Conta]],'BD - E - Despesas'!$BC$15:$BG$500,5,0),0)</f>
        <v>0</v>
      </c>
      <c r="N104" s="24">
        <f>IFERROR(VLOOKUP(Tabela3[[#This Row],[Conta]],'BD - E - Despesas'!$BL$15:$BP$500,5,0),0)</f>
        <v>0</v>
      </c>
      <c r="O104" s="24">
        <f>IFERROR(VLOOKUP(Tabela3[[#This Row],[Conta]],'BD - E - Despesas'!$BU$15:$BY$500,5,0),0)</f>
        <v>0</v>
      </c>
      <c r="P104" s="24">
        <f>IFERROR(VLOOKUP(Tabela3[[#This Row],[Conta]],'BD - E - Despesas'!$CD$15:$CH$500,5,0),0)</f>
        <v>0</v>
      </c>
      <c r="Q104" s="24">
        <f>IFERROR(VLOOKUP(Tabela3[[#This Row],[Conta]],'BD - E - Despesas'!$CM$15:$CQ$500,5,0),0)</f>
        <v>0</v>
      </c>
      <c r="R104" s="24">
        <f>IFERROR(VLOOKUP(Tabela3[[#This Row],[Conta]],'BD - E - Despesas'!$CV$15:$CZ$500,5,0),0)</f>
        <v>0</v>
      </c>
      <c r="S104"/>
    </row>
    <row r="105" spans="3:19">
      <c r="C105" s="79" t="s">
        <v>347</v>
      </c>
      <c r="D105" s="80" t="s">
        <v>344</v>
      </c>
      <c r="E105" s="85">
        <v>332412</v>
      </c>
      <c r="F105" s="79" t="s">
        <v>373</v>
      </c>
      <c r="G105" s="13">
        <f>IFERROR(VLOOKUP(Tabela3[[#This Row],[Conta]],'BD - E - Despesas'!$A$15:$E$500,5,0),0)</f>
        <v>0</v>
      </c>
      <c r="H105" s="24">
        <f>IFERROR(VLOOKUP(Tabela3[[#This Row],[Conta]],'BD - E - Despesas'!$J$15:$N$500,5,0),0)</f>
        <v>0</v>
      </c>
      <c r="I105" s="24">
        <f>IFERROR(VLOOKUP(Tabela3[[#This Row],[Conta]],'BD - E - Despesas'!$S$15:$W$500,5,0),0)</f>
        <v>0</v>
      </c>
      <c r="J105" s="24">
        <f>IFERROR(VLOOKUP(Tabela3[[#This Row],[Conta]],'BD - E - Despesas'!$AB$15:$AF$500,5,0),0)</f>
        <v>0</v>
      </c>
      <c r="K105" s="24">
        <f>IFERROR(VLOOKUP(Tabela3[[#This Row],[Conta]],'BD - E - Despesas'!$AK$15:$AO$500,5,0),0)</f>
        <v>0</v>
      </c>
      <c r="L105" s="24">
        <f>IFERROR(VLOOKUP(Tabela3[[#This Row],[Conta]],'BD - E - Despesas'!$AT$15:$AX$500,5,0),0)</f>
        <v>0</v>
      </c>
      <c r="M105" s="24">
        <f>IFERROR(VLOOKUP(Tabela3[[#This Row],[Conta]],'BD - E - Despesas'!$BC$15:$BG$500,5,0),0)</f>
        <v>0</v>
      </c>
      <c r="N105" s="24">
        <f>IFERROR(VLOOKUP(Tabela3[[#This Row],[Conta]],'BD - E - Despesas'!$BL$15:$BP$500,5,0),0)</f>
        <v>0</v>
      </c>
      <c r="O105" s="24">
        <f>IFERROR(VLOOKUP(Tabela3[[#This Row],[Conta]],'BD - E - Despesas'!$BU$15:$BY$500,5,0),0)</f>
        <v>0</v>
      </c>
      <c r="P105" s="24">
        <f>IFERROR(VLOOKUP(Tabela3[[#This Row],[Conta]],'BD - E - Despesas'!$CD$15:$CH$500,5,0),0)</f>
        <v>0</v>
      </c>
      <c r="Q105" s="24">
        <f>IFERROR(VLOOKUP(Tabela3[[#This Row],[Conta]],'BD - E - Despesas'!$CM$15:$CQ$500,5,0),0)</f>
        <v>0</v>
      </c>
      <c r="R105" s="24">
        <f>IFERROR(VLOOKUP(Tabela3[[#This Row],[Conta]],'BD - E - Despesas'!$CV$15:$CZ$500,5,0),0)</f>
        <v>0</v>
      </c>
      <c r="S105"/>
    </row>
    <row r="106" spans="3:19">
      <c r="C106" s="79" t="s">
        <v>347</v>
      </c>
      <c r="D106" s="80" t="s">
        <v>344</v>
      </c>
      <c r="E106" s="85">
        <v>332414</v>
      </c>
      <c r="F106" s="79" t="s">
        <v>316</v>
      </c>
      <c r="G106" s="13">
        <f>IFERROR(VLOOKUP(Tabela3[[#This Row],[Conta]],'BD - E - Despesas'!$A$15:$E$500,5,0),0)</f>
        <v>20958.96</v>
      </c>
      <c r="H106" s="24">
        <f>IFERROR(VLOOKUP(Tabela3[[#This Row],[Conta]],'BD - E - Despesas'!$J$15:$N$500,5,0),0)</f>
        <v>14308.96</v>
      </c>
      <c r="I106" s="24">
        <f>IFERROR(VLOOKUP(Tabela3[[#This Row],[Conta]],'BD - E - Despesas'!$S$15:$W$500,5,0),0)</f>
        <v>28225</v>
      </c>
      <c r="J106" s="24">
        <f>IFERROR(VLOOKUP(Tabela3[[#This Row],[Conta]],'BD - E - Despesas'!$AB$15:$AF$500,5,0),0)</f>
        <v>26750</v>
      </c>
      <c r="K106" s="24">
        <f>IFERROR(VLOOKUP(Tabela3[[#This Row],[Conta]],'BD - E - Despesas'!$AK$15:$AO$500,5,0),0)</f>
        <v>0</v>
      </c>
      <c r="L106" s="24">
        <f>IFERROR(VLOOKUP(Tabela3[[#This Row],[Conta]],'BD - E - Despesas'!$AT$15:$AX$500,5,0),0)</f>
        <v>0</v>
      </c>
      <c r="M106" s="24">
        <f>IFERROR(VLOOKUP(Tabela3[[#This Row],[Conta]],'BD - E - Despesas'!$BC$15:$BG$500,5,0),0)</f>
        <v>0</v>
      </c>
      <c r="N106" s="24">
        <f>IFERROR(VLOOKUP(Tabela3[[#This Row],[Conta]],'BD - E - Despesas'!$BL$15:$BP$500,5,0),0)</f>
        <v>0</v>
      </c>
      <c r="O106" s="24">
        <f>IFERROR(VLOOKUP(Tabela3[[#This Row],[Conta]],'BD - E - Despesas'!$BU$15:$BY$500,5,0),0)</f>
        <v>0</v>
      </c>
      <c r="P106" s="24">
        <f>IFERROR(VLOOKUP(Tabela3[[#This Row],[Conta]],'BD - E - Despesas'!$CD$15:$CH$500,5,0),0)</f>
        <v>0</v>
      </c>
      <c r="Q106" s="24">
        <f>IFERROR(VLOOKUP(Tabela3[[#This Row],[Conta]],'BD - E - Despesas'!$CM$15:$CQ$500,5,0),0)</f>
        <v>0</v>
      </c>
      <c r="R106" s="24">
        <f>IFERROR(VLOOKUP(Tabela3[[#This Row],[Conta]],'BD - E - Despesas'!$CV$15:$CZ$500,5,0),0)</f>
        <v>0</v>
      </c>
      <c r="S106"/>
    </row>
    <row r="107" spans="3:19">
      <c r="C107" s="79" t="s">
        <v>347</v>
      </c>
      <c r="D107" s="80" t="s">
        <v>344</v>
      </c>
      <c r="E107" s="85">
        <v>332415</v>
      </c>
      <c r="F107" s="79" t="s">
        <v>317</v>
      </c>
      <c r="G107" s="13">
        <f>IFERROR(VLOOKUP(Tabela3[[#This Row],[Conta]],'BD - E - Despesas'!$A$15:$E$500,5,0),0)</f>
        <v>5000</v>
      </c>
      <c r="H107" s="24">
        <f>IFERROR(VLOOKUP(Tabela3[[#This Row],[Conta]],'BD - E - Despesas'!$J$15:$N$500,5,0),0)</f>
        <v>5000</v>
      </c>
      <c r="I107" s="24">
        <f>IFERROR(VLOOKUP(Tabela3[[#This Row],[Conta]],'BD - E - Despesas'!$S$15:$W$500,5,0),0)</f>
        <v>0</v>
      </c>
      <c r="J107" s="24">
        <f>IFERROR(VLOOKUP(Tabela3[[#This Row],[Conta]],'BD - E - Despesas'!$AB$15:$AF$500,5,0),0)</f>
        <v>0</v>
      </c>
      <c r="K107" s="24">
        <f>IFERROR(VLOOKUP(Tabela3[[#This Row],[Conta]],'BD - E - Despesas'!$AK$15:$AO$500,5,0),0)</f>
        <v>0</v>
      </c>
      <c r="L107" s="24">
        <f>IFERROR(VLOOKUP(Tabela3[[#This Row],[Conta]],'BD - E - Despesas'!$AT$15:$AX$500,5,0),0)</f>
        <v>0</v>
      </c>
      <c r="M107" s="24">
        <f>IFERROR(VLOOKUP(Tabela3[[#This Row],[Conta]],'BD - E - Despesas'!$BC$15:$BG$500,5,0),0)</f>
        <v>0</v>
      </c>
      <c r="N107" s="24">
        <f>IFERROR(VLOOKUP(Tabela3[[#This Row],[Conta]],'BD - E - Despesas'!$BL$15:$BP$500,5,0),0)</f>
        <v>0</v>
      </c>
      <c r="O107" s="24">
        <f>IFERROR(VLOOKUP(Tabela3[[#This Row],[Conta]],'BD - E - Despesas'!$BU$15:$BY$500,5,0),0)</f>
        <v>0</v>
      </c>
      <c r="P107" s="24">
        <f>IFERROR(VLOOKUP(Tabela3[[#This Row],[Conta]],'BD - E - Despesas'!$CD$15:$CH$500,5,0),0)</f>
        <v>0</v>
      </c>
      <c r="Q107" s="24">
        <f>IFERROR(VLOOKUP(Tabela3[[#This Row],[Conta]],'BD - E - Despesas'!$CM$15:$CQ$500,5,0),0)</f>
        <v>0</v>
      </c>
      <c r="R107" s="24">
        <f>IFERROR(VLOOKUP(Tabela3[[#This Row],[Conta]],'BD - E - Despesas'!$CV$15:$CZ$500,5,0),0)</f>
        <v>0</v>
      </c>
      <c r="S107"/>
    </row>
    <row r="108" spans="3:19">
      <c r="C108" s="79" t="s">
        <v>347</v>
      </c>
      <c r="D108" s="80" t="s">
        <v>344</v>
      </c>
      <c r="E108" s="85">
        <v>332416</v>
      </c>
      <c r="F108" s="79" t="s">
        <v>318</v>
      </c>
      <c r="G108" s="13">
        <f>IFERROR(VLOOKUP(Tabela3[[#This Row],[Conta]],'BD - E - Despesas'!$A$15:$E$500,5,0),0)</f>
        <v>0</v>
      </c>
      <c r="H108" s="24">
        <f>IFERROR(VLOOKUP(Tabela3[[#This Row],[Conta]],'BD - E - Despesas'!$J$15:$N$500,5,0),0)</f>
        <v>0</v>
      </c>
      <c r="I108" s="24">
        <f>IFERROR(VLOOKUP(Tabela3[[#This Row],[Conta]],'BD - E - Despesas'!$S$15:$W$500,5,0),0)</f>
        <v>0</v>
      </c>
      <c r="J108" s="24">
        <f>IFERROR(VLOOKUP(Tabela3[[#This Row],[Conta]],'BD - E - Despesas'!$AB$15:$AF$500,5,0),0)</f>
        <v>0</v>
      </c>
      <c r="K108" s="24">
        <f>IFERROR(VLOOKUP(Tabela3[[#This Row],[Conta]],'BD - E - Despesas'!$AK$15:$AO$500,5,0),0)</f>
        <v>0</v>
      </c>
      <c r="L108" s="24">
        <f>IFERROR(VLOOKUP(Tabela3[[#This Row],[Conta]],'BD - E - Despesas'!$AT$15:$AX$500,5,0),0)</f>
        <v>0</v>
      </c>
      <c r="M108" s="24">
        <f>IFERROR(VLOOKUP(Tabela3[[#This Row],[Conta]],'BD - E - Despesas'!$BC$15:$BG$500,5,0),0)</f>
        <v>0</v>
      </c>
      <c r="N108" s="24">
        <f>IFERROR(VLOOKUP(Tabela3[[#This Row],[Conta]],'BD - E - Despesas'!$BL$15:$BP$500,5,0),0)</f>
        <v>0</v>
      </c>
      <c r="O108" s="24">
        <f>IFERROR(VLOOKUP(Tabela3[[#This Row],[Conta]],'BD - E - Despesas'!$BU$15:$BY$500,5,0),0)</f>
        <v>0</v>
      </c>
      <c r="P108" s="24">
        <f>IFERROR(VLOOKUP(Tabela3[[#This Row],[Conta]],'BD - E - Despesas'!$CD$15:$CH$500,5,0),0)</f>
        <v>0</v>
      </c>
      <c r="Q108" s="24">
        <f>IFERROR(VLOOKUP(Tabela3[[#This Row],[Conta]],'BD - E - Despesas'!$CM$15:$CQ$500,5,0),0)</f>
        <v>0</v>
      </c>
      <c r="R108" s="24">
        <f>IFERROR(VLOOKUP(Tabela3[[#This Row],[Conta]],'BD - E - Despesas'!$CV$15:$CZ$500,5,0),0)</f>
        <v>0</v>
      </c>
      <c r="S108"/>
    </row>
    <row r="109" spans="3:19">
      <c r="C109" s="79" t="s">
        <v>347</v>
      </c>
      <c r="D109" s="80" t="s">
        <v>344</v>
      </c>
      <c r="E109" s="101">
        <v>332490</v>
      </c>
      <c r="F109" s="79" t="s">
        <v>319</v>
      </c>
      <c r="G109" s="13">
        <f>IFERROR(VLOOKUP(Tabela3[[#This Row],[Conta]],'BD - E - Despesas'!$A$15:$E$500,5,0),0)</f>
        <v>11280</v>
      </c>
      <c r="H109" s="24">
        <f>IFERROR(VLOOKUP(Tabela3[[#This Row],[Conta]],'BD - E - Despesas'!$J$15:$N$500,5,0),0)</f>
        <v>4472.0200000000004</v>
      </c>
      <c r="I109" s="24">
        <f>IFERROR(VLOOKUP(Tabela3[[#This Row],[Conta]],'BD - E - Despesas'!$S$15:$W$500,5,0),0)</f>
        <v>14200</v>
      </c>
      <c r="J109" s="24">
        <f>IFERROR(VLOOKUP(Tabela3[[#This Row],[Conta]],'BD - E - Despesas'!$AB$15:$AF$500,5,0),0)</f>
        <v>18200</v>
      </c>
      <c r="K109" s="24">
        <f>IFERROR(VLOOKUP(Tabela3[[#This Row],[Conta]],'BD - E - Despesas'!$AK$15:$AO$500,5,0),0)</f>
        <v>0</v>
      </c>
      <c r="L109" s="24">
        <f>IFERROR(VLOOKUP(Tabela3[[#This Row],[Conta]],'BD - E - Despesas'!$AT$15:$AX$500,5,0),0)</f>
        <v>0</v>
      </c>
      <c r="M109" s="24">
        <f>IFERROR(VLOOKUP(Tabela3[[#This Row],[Conta]],'BD - E - Despesas'!$BC$15:$BG$500,5,0),0)</f>
        <v>0</v>
      </c>
      <c r="N109" s="24">
        <f>IFERROR(VLOOKUP(Tabela3[[#This Row],[Conta]],'BD - E - Despesas'!$BL$15:$BP$500,5,0),0)</f>
        <v>0</v>
      </c>
      <c r="O109" s="24">
        <f>IFERROR(VLOOKUP(Tabela3[[#This Row],[Conta]],'BD - E - Despesas'!$BU$15:$BY$500,5,0),0)</f>
        <v>0</v>
      </c>
      <c r="P109" s="24">
        <f>IFERROR(VLOOKUP(Tabela3[[#This Row],[Conta]],'BD - E - Despesas'!$CD$15:$CH$500,5,0),0)</f>
        <v>0</v>
      </c>
      <c r="Q109" s="24">
        <f>IFERROR(VLOOKUP(Tabela3[[#This Row],[Conta]],'BD - E - Despesas'!$CM$15:$CQ$500,5,0),0)</f>
        <v>0</v>
      </c>
      <c r="R109" s="24">
        <f>IFERROR(VLOOKUP(Tabela3[[#This Row],[Conta]],'BD - E - Despesas'!$CV$15:$CZ$500,5,0),0)</f>
        <v>0</v>
      </c>
      <c r="S109"/>
    </row>
    <row r="110" spans="3:19">
      <c r="C110" s="79" t="s">
        <v>347</v>
      </c>
      <c r="D110" s="80" t="s">
        <v>344</v>
      </c>
      <c r="E110" s="85">
        <v>332498</v>
      </c>
      <c r="F110" s="79" t="s">
        <v>793</v>
      </c>
      <c r="G110" s="13">
        <f>IFERROR(VLOOKUP(Tabela3[[#This Row],[Conta]],'BD - E - Despesas'!$A$15:$E$500,5,0),0)</f>
        <v>9898.02</v>
      </c>
      <c r="H110" s="24">
        <f>IFERROR(VLOOKUP(Tabela3[[#This Row],[Conta]],'BD - E - Despesas'!$J$15:$N$500,5,0),0)</f>
        <v>0</v>
      </c>
      <c r="I110" s="24">
        <f>IFERROR(VLOOKUP(Tabela3[[#This Row],[Conta]],'BD - E - Despesas'!$S$15:$W$500,5,0),0)</f>
        <v>0</v>
      </c>
      <c r="J110" s="24">
        <f>IFERROR(VLOOKUP(Tabela3[[#This Row],[Conta]],'BD - E - Despesas'!$AB$15:$AF$500,5,0),0)</f>
        <v>0</v>
      </c>
      <c r="K110" s="24">
        <f>IFERROR(VLOOKUP(Tabela3[[#This Row],[Conta]],'BD - E - Despesas'!$AK$15:$AO$500,5,0),0)</f>
        <v>0</v>
      </c>
      <c r="L110" s="24">
        <f>IFERROR(VLOOKUP(Tabela3[[#This Row],[Conta]],'BD - E - Despesas'!$AT$15:$AX$500,5,0),0)</f>
        <v>0</v>
      </c>
      <c r="M110" s="24">
        <f>IFERROR(VLOOKUP(Tabela3[[#This Row],[Conta]],'BD - E - Despesas'!$BC$15:$BG$500,5,0),0)</f>
        <v>0</v>
      </c>
      <c r="N110" s="24">
        <f>IFERROR(VLOOKUP(Tabela3[[#This Row],[Conta]],'BD - E - Despesas'!$BL$15:$BP$500,5,0),0)</f>
        <v>0</v>
      </c>
      <c r="O110" s="24">
        <f>IFERROR(VLOOKUP(Tabela3[[#This Row],[Conta]],'BD - E - Despesas'!$BU$15:$BY$500,5,0),0)</f>
        <v>0</v>
      </c>
      <c r="P110" s="24">
        <f>IFERROR(VLOOKUP(Tabela3[[#This Row],[Conta]],'BD - E - Despesas'!$CD$15:$CH$500,5,0),0)</f>
        <v>0</v>
      </c>
      <c r="Q110" s="24">
        <f>IFERROR(VLOOKUP(Tabela3[[#This Row],[Conta]],'BD - E - Despesas'!$CM$15:$CQ$500,5,0),0)</f>
        <v>0</v>
      </c>
      <c r="R110" s="24">
        <f>IFERROR(VLOOKUP(Tabela3[[#This Row],[Conta]],'BD - E - Despesas'!$CV$15:$CZ$500,5,0),0)</f>
        <v>0</v>
      </c>
      <c r="S110"/>
    </row>
    <row r="111" spans="3:19">
      <c r="C111" s="79" t="s">
        <v>347</v>
      </c>
      <c r="D111" s="80" t="s">
        <v>335</v>
      </c>
      <c r="E111" s="347">
        <v>332501</v>
      </c>
      <c r="F111" s="79" t="s">
        <v>320</v>
      </c>
      <c r="G111" s="13">
        <f>IFERROR(VLOOKUP(Tabela3[[#This Row],[Conta]],'BD - E - Despesas'!$A$15:$E$500,5,0),0)</f>
        <v>5584.02</v>
      </c>
      <c r="H111" s="24">
        <f>IFERROR(VLOOKUP(Tabela3[[#This Row],[Conta]],'BD - E - Despesas'!$J$15:$N$500,5,0),0)</f>
        <v>5364.43</v>
      </c>
      <c r="I111" s="24">
        <f>IFERROR(VLOOKUP(Tabela3[[#This Row],[Conta]],'BD - E - Despesas'!$S$15:$W$500,5,0),0)</f>
        <v>6649.54</v>
      </c>
      <c r="J111" s="24">
        <f>IFERROR(VLOOKUP(Tabela3[[#This Row],[Conta]],'BD - E - Despesas'!$AB$15:$AF$500,5,0),0)</f>
        <v>7000.39</v>
      </c>
      <c r="K111" s="24">
        <f>IFERROR(VLOOKUP(Tabela3[[#This Row],[Conta]],'BD - E - Despesas'!$AK$15:$AO$500,5,0),0)</f>
        <v>0</v>
      </c>
      <c r="L111" s="24">
        <f>IFERROR(VLOOKUP(Tabela3[[#This Row],[Conta]],'BD - E - Despesas'!$AT$15:$AX$500,5,0),0)</f>
        <v>0</v>
      </c>
      <c r="M111" s="24">
        <f>IFERROR(VLOOKUP(Tabela3[[#This Row],[Conta]],'BD - E - Despesas'!$BC$15:$BG$500,5,0),0)</f>
        <v>0</v>
      </c>
      <c r="N111" s="24">
        <f>IFERROR(VLOOKUP(Tabela3[[#This Row],[Conta]],'BD - E - Despesas'!$BL$15:$BP$500,5,0),0)</f>
        <v>0</v>
      </c>
      <c r="O111" s="24">
        <f>IFERROR(VLOOKUP(Tabela3[[#This Row],[Conta]],'BD - E - Despesas'!$BU$15:$BY$500,5,0),0)</f>
        <v>0</v>
      </c>
      <c r="P111" s="24">
        <f>IFERROR(VLOOKUP(Tabela3[[#This Row],[Conta]],'BD - E - Despesas'!$CD$15:$CH$500,5,0),0)</f>
        <v>0</v>
      </c>
      <c r="Q111" s="24">
        <f>IFERROR(VLOOKUP(Tabela3[[#This Row],[Conta]],'BD - E - Despesas'!$CM$15:$CQ$500,5,0),0)</f>
        <v>0</v>
      </c>
      <c r="R111" s="24">
        <f>IFERROR(VLOOKUP(Tabela3[[#This Row],[Conta]],'BD - E - Despesas'!$CV$15:$CZ$500,5,0),0)</f>
        <v>0</v>
      </c>
      <c r="S111"/>
    </row>
    <row r="112" spans="3:19">
      <c r="C112" s="79" t="s">
        <v>347</v>
      </c>
      <c r="D112" s="80" t="s">
        <v>335</v>
      </c>
      <c r="E112" s="85">
        <v>332502</v>
      </c>
      <c r="F112" s="79" t="s">
        <v>321</v>
      </c>
      <c r="G112" s="13">
        <f>IFERROR(VLOOKUP(Tabela3[[#This Row],[Conta]],'BD - E - Despesas'!$A$15:$E$500,5,0),0)</f>
        <v>5218</v>
      </c>
      <c r="H112" s="24">
        <f>IFERROR(VLOOKUP(Tabela3[[#This Row],[Conta]],'BD - E - Despesas'!$J$15:$N$500,5,0),0)</f>
        <v>4476.38</v>
      </c>
      <c r="I112" s="24">
        <f>IFERROR(VLOOKUP(Tabela3[[#This Row],[Conta]],'BD - E - Despesas'!$S$15:$W$500,5,0),0)</f>
        <v>18230.68</v>
      </c>
      <c r="J112" s="24">
        <f>IFERROR(VLOOKUP(Tabela3[[#This Row],[Conta]],'BD - E - Despesas'!$AB$15:$AF$500,5,0),0)</f>
        <v>15966.35</v>
      </c>
      <c r="K112" s="24">
        <f>IFERROR(VLOOKUP(Tabela3[[#This Row],[Conta]],'BD - E - Despesas'!$AK$15:$AO$500,5,0),0)</f>
        <v>0</v>
      </c>
      <c r="L112" s="24">
        <f>IFERROR(VLOOKUP(Tabela3[[#This Row],[Conta]],'BD - E - Despesas'!$AT$15:$AX$500,5,0),0)</f>
        <v>0</v>
      </c>
      <c r="M112" s="24">
        <f>IFERROR(VLOOKUP(Tabela3[[#This Row],[Conta]],'BD - E - Despesas'!$BC$15:$BG$500,5,0),0)</f>
        <v>0</v>
      </c>
      <c r="N112" s="24">
        <f>IFERROR(VLOOKUP(Tabela3[[#This Row],[Conta]],'BD - E - Despesas'!$BL$15:$BP$500,5,0),0)</f>
        <v>0</v>
      </c>
      <c r="O112" s="24">
        <f>IFERROR(VLOOKUP(Tabela3[[#This Row],[Conta]],'BD - E - Despesas'!$BU$15:$BY$500,5,0),0)</f>
        <v>0</v>
      </c>
      <c r="P112" s="24">
        <f>IFERROR(VLOOKUP(Tabela3[[#This Row],[Conta]],'BD - E - Despesas'!$CD$15:$CH$500,5,0),0)</f>
        <v>0</v>
      </c>
      <c r="Q112" s="24">
        <f>IFERROR(VLOOKUP(Tabela3[[#This Row],[Conta]],'BD - E - Despesas'!$CM$15:$CQ$500,5,0),0)</f>
        <v>0</v>
      </c>
      <c r="R112" s="24">
        <f>IFERROR(VLOOKUP(Tabela3[[#This Row],[Conta]],'BD - E - Despesas'!$CV$15:$CZ$500,5,0),0)</f>
        <v>0</v>
      </c>
      <c r="S112"/>
    </row>
    <row r="113" spans="3:19">
      <c r="C113" s="79" t="s">
        <v>347</v>
      </c>
      <c r="D113" s="80" t="s">
        <v>335</v>
      </c>
      <c r="E113" s="85">
        <v>332503</v>
      </c>
      <c r="F113" s="79" t="s">
        <v>322</v>
      </c>
      <c r="G113" s="13">
        <f>IFERROR(VLOOKUP(Tabela3[[#This Row],[Conta]],'BD - E - Despesas'!$A$15:$E$500,5,0),0)</f>
        <v>30139.23</v>
      </c>
      <c r="H113" s="24">
        <f>IFERROR(VLOOKUP(Tabela3[[#This Row],[Conta]],'BD - E - Despesas'!$J$15:$N$500,5,0),0)</f>
        <v>29042.07</v>
      </c>
      <c r="I113" s="24">
        <f>IFERROR(VLOOKUP(Tabela3[[#This Row],[Conta]],'BD - E - Despesas'!$S$15:$W$500,5,0),0)</f>
        <v>23431.99</v>
      </c>
      <c r="J113" s="24">
        <f>IFERROR(VLOOKUP(Tabela3[[#This Row],[Conta]],'BD - E - Despesas'!$AB$15:$AF$500,5,0),0)</f>
        <v>32595.23</v>
      </c>
      <c r="K113" s="24">
        <f>IFERROR(VLOOKUP(Tabela3[[#This Row],[Conta]],'BD - E - Despesas'!$AK$15:$AO$500,5,0),0)</f>
        <v>0</v>
      </c>
      <c r="L113" s="24">
        <f>IFERROR(VLOOKUP(Tabela3[[#This Row],[Conta]],'BD - E - Despesas'!$AT$15:$AX$500,5,0),0)</f>
        <v>0</v>
      </c>
      <c r="M113" s="24">
        <f>IFERROR(VLOOKUP(Tabela3[[#This Row],[Conta]],'BD - E - Despesas'!$BC$15:$BG$500,5,0),0)</f>
        <v>0</v>
      </c>
      <c r="N113" s="24">
        <f>IFERROR(VLOOKUP(Tabela3[[#This Row],[Conta]],'BD - E - Despesas'!$BL$15:$BP$500,5,0),0)</f>
        <v>0</v>
      </c>
      <c r="O113" s="24">
        <f>IFERROR(VLOOKUP(Tabela3[[#This Row],[Conta]],'BD - E - Despesas'!$BU$15:$BY$500,5,0),0)</f>
        <v>0</v>
      </c>
      <c r="P113" s="24">
        <f>IFERROR(VLOOKUP(Tabela3[[#This Row],[Conta]],'BD - E - Despesas'!$CD$15:$CH$500,5,0),0)</f>
        <v>0</v>
      </c>
      <c r="Q113" s="24">
        <f>IFERROR(VLOOKUP(Tabela3[[#This Row],[Conta]],'BD - E - Despesas'!$CM$15:$CQ$500,5,0),0)</f>
        <v>0</v>
      </c>
      <c r="R113" s="24">
        <f>IFERROR(VLOOKUP(Tabela3[[#This Row],[Conta]],'BD - E - Despesas'!$CV$15:$CZ$500,5,0),0)</f>
        <v>0</v>
      </c>
      <c r="S113"/>
    </row>
    <row r="114" spans="3:19">
      <c r="C114" s="79" t="s">
        <v>347</v>
      </c>
      <c r="D114" s="80" t="s">
        <v>335</v>
      </c>
      <c r="E114" s="85">
        <v>332505</v>
      </c>
      <c r="F114" s="79" t="s">
        <v>419</v>
      </c>
      <c r="G114" s="13">
        <f>IFERROR(VLOOKUP(Tabela3[[#This Row],[Conta]],'BD - E - Despesas'!$A$15:$E$500,5,0),0)</f>
        <v>0</v>
      </c>
      <c r="H114" s="24">
        <f>IFERROR(VLOOKUP(Tabela3[[#This Row],[Conta]],'BD - E - Despesas'!$J$15:$N$500,5,0),0)</f>
        <v>300</v>
      </c>
      <c r="I114" s="24">
        <f>IFERROR(VLOOKUP(Tabela3[[#This Row],[Conta]],'BD - E - Despesas'!$S$15:$W$500,5,0),0)</f>
        <v>780</v>
      </c>
      <c r="J114" s="24">
        <f>IFERROR(VLOOKUP(Tabela3[[#This Row],[Conta]],'BD - E - Despesas'!$AB$15:$AF$500,5,0),0)</f>
        <v>650</v>
      </c>
      <c r="K114" s="24">
        <f>IFERROR(VLOOKUP(Tabela3[[#This Row],[Conta]],'BD - E - Despesas'!$AK$15:$AO$500,5,0),0)</f>
        <v>0</v>
      </c>
      <c r="L114" s="24">
        <f>IFERROR(VLOOKUP(Tabela3[[#This Row],[Conta]],'BD - E - Despesas'!$AT$15:$AX$500,5,0),0)</f>
        <v>0</v>
      </c>
      <c r="M114" s="24">
        <f>IFERROR(VLOOKUP(Tabela3[[#This Row],[Conta]],'BD - E - Despesas'!$BC$15:$BG$500,5,0),0)</f>
        <v>0</v>
      </c>
      <c r="N114" s="24">
        <f>IFERROR(VLOOKUP(Tabela3[[#This Row],[Conta]],'BD - E - Despesas'!$BL$15:$BP$500,5,0),0)</f>
        <v>0</v>
      </c>
      <c r="O114" s="24">
        <f>IFERROR(VLOOKUP(Tabela3[[#This Row],[Conta]],'BD - E - Despesas'!$BU$15:$BY$500,5,0),0)</f>
        <v>0</v>
      </c>
      <c r="P114" s="24">
        <f>IFERROR(VLOOKUP(Tabela3[[#This Row],[Conta]],'BD - E - Despesas'!$CD$15:$CH$500,5,0),0)</f>
        <v>0</v>
      </c>
      <c r="Q114" s="24">
        <f>IFERROR(VLOOKUP(Tabela3[[#This Row],[Conta]],'BD - E - Despesas'!$CM$15:$CQ$500,5,0),0)</f>
        <v>0</v>
      </c>
      <c r="R114" s="24">
        <f>IFERROR(VLOOKUP(Tabela3[[#This Row],[Conta]],'BD - E - Despesas'!$CV$15:$CZ$500,5,0),0)</f>
        <v>0</v>
      </c>
      <c r="S114"/>
    </row>
    <row r="115" spans="3:19">
      <c r="C115" s="79" t="s">
        <v>347</v>
      </c>
      <c r="D115" s="80" t="s">
        <v>335</v>
      </c>
      <c r="E115" s="85">
        <v>332508</v>
      </c>
      <c r="F115" s="79" t="s">
        <v>374</v>
      </c>
      <c r="G115" s="13">
        <f>IFERROR(VLOOKUP(Tabela3[[#This Row],[Conta]],'BD - E - Despesas'!$A$15:$E$500,5,0),0)</f>
        <v>0</v>
      </c>
      <c r="H115" s="24">
        <f>IFERROR(VLOOKUP(Tabela3[[#This Row],[Conta]],'BD - E - Despesas'!$J$15:$N$500,5,0),0)</f>
        <v>0</v>
      </c>
      <c r="I115" s="24">
        <f>IFERROR(VLOOKUP(Tabela3[[#This Row],[Conta]],'BD - E - Despesas'!$S$15:$W$500,5,0),0)</f>
        <v>983.17</v>
      </c>
      <c r="J115" s="24">
        <f>IFERROR(VLOOKUP(Tabela3[[#This Row],[Conta]],'BD - E - Despesas'!$AB$15:$AF$500,5,0),0)</f>
        <v>0</v>
      </c>
      <c r="K115" s="24">
        <f>IFERROR(VLOOKUP(Tabela3[[#This Row],[Conta]],'BD - E - Despesas'!$AK$15:$AO$500,5,0),0)</f>
        <v>0</v>
      </c>
      <c r="L115" s="24">
        <f>IFERROR(VLOOKUP(Tabela3[[#This Row],[Conta]],'BD - E - Despesas'!$AT$15:$AX$500,5,0),0)</f>
        <v>0</v>
      </c>
      <c r="M115" s="24">
        <f>IFERROR(VLOOKUP(Tabela3[[#This Row],[Conta]],'BD - E - Despesas'!$BC$15:$BG$500,5,0),0)</f>
        <v>0</v>
      </c>
      <c r="N115" s="24">
        <f>IFERROR(VLOOKUP(Tabela3[[#This Row],[Conta]],'BD - E - Despesas'!$BL$15:$BP$500,5,0),0)</f>
        <v>0</v>
      </c>
      <c r="O115" s="24">
        <f>IFERROR(VLOOKUP(Tabela3[[#This Row],[Conta]],'BD - E - Despesas'!$BU$15:$BY$500,5,0),0)</f>
        <v>0</v>
      </c>
      <c r="P115" s="24">
        <f>IFERROR(VLOOKUP(Tabela3[[#This Row],[Conta]],'BD - E - Despesas'!$CD$15:$CH$500,5,0),0)</f>
        <v>0</v>
      </c>
      <c r="Q115" s="24">
        <f>IFERROR(VLOOKUP(Tabela3[[#This Row],[Conta]],'BD - E - Despesas'!$CM$15:$CQ$500,5,0),0)</f>
        <v>0</v>
      </c>
      <c r="R115" s="24">
        <f>IFERROR(VLOOKUP(Tabela3[[#This Row],[Conta]],'BD - E - Despesas'!$CV$15:$CZ$500,5,0),0)</f>
        <v>0</v>
      </c>
      <c r="S115"/>
    </row>
    <row r="116" spans="3:19">
      <c r="C116" s="79" t="s">
        <v>347</v>
      </c>
      <c r="D116" s="80" t="s">
        <v>335</v>
      </c>
      <c r="E116" s="85">
        <v>332509</v>
      </c>
      <c r="F116" s="79" t="s">
        <v>323</v>
      </c>
      <c r="G116" s="13">
        <f>IFERROR(VLOOKUP(Tabela3[[#This Row],[Conta]],'BD - E - Despesas'!$A$15:$E$500,5,0),0)</f>
        <v>12300</v>
      </c>
      <c r="H116" s="24">
        <f>IFERROR(VLOOKUP(Tabela3[[#This Row],[Conta]],'BD - E - Despesas'!$J$15:$N$500,5,0),0)</f>
        <v>500</v>
      </c>
      <c r="I116" s="24">
        <f>IFERROR(VLOOKUP(Tabela3[[#This Row],[Conta]],'BD - E - Despesas'!$S$15:$W$500,5,0),0)</f>
        <v>21460</v>
      </c>
      <c r="J116" s="24">
        <f>IFERROR(VLOOKUP(Tabela3[[#This Row],[Conta]],'BD - E - Despesas'!$AB$15:$AF$500,5,0),0)</f>
        <v>0</v>
      </c>
      <c r="K116" s="24">
        <f>IFERROR(VLOOKUP(Tabela3[[#This Row],[Conta]],'BD - E - Despesas'!$AK$15:$AO$500,5,0),0)</f>
        <v>0</v>
      </c>
      <c r="L116" s="24">
        <f>IFERROR(VLOOKUP(Tabela3[[#This Row],[Conta]],'BD - E - Despesas'!$AT$15:$AX$500,5,0),0)</f>
        <v>0</v>
      </c>
      <c r="M116" s="24">
        <f>IFERROR(VLOOKUP(Tabela3[[#This Row],[Conta]],'BD - E - Despesas'!$BC$15:$BG$500,5,0),0)</f>
        <v>0</v>
      </c>
      <c r="N116" s="24">
        <f>IFERROR(VLOOKUP(Tabela3[[#This Row],[Conta]],'BD - E - Despesas'!$BL$15:$BP$500,5,0),0)</f>
        <v>0</v>
      </c>
      <c r="O116" s="24">
        <f>IFERROR(VLOOKUP(Tabela3[[#This Row],[Conta]],'BD - E - Despesas'!$BU$15:$BY$500,5,0),0)</f>
        <v>0</v>
      </c>
      <c r="P116" s="24">
        <f>IFERROR(VLOOKUP(Tabela3[[#This Row],[Conta]],'BD - E - Despesas'!$CD$15:$CH$500,5,0),0)</f>
        <v>0</v>
      </c>
      <c r="Q116" s="24">
        <f>IFERROR(VLOOKUP(Tabela3[[#This Row],[Conta]],'BD - E - Despesas'!$CM$15:$CQ$500,5,0),0)</f>
        <v>0</v>
      </c>
      <c r="R116" s="24">
        <f>IFERROR(VLOOKUP(Tabela3[[#This Row],[Conta]],'BD - E - Despesas'!$CV$15:$CZ$500,5,0),0)</f>
        <v>0</v>
      </c>
      <c r="S116"/>
    </row>
    <row r="117" spans="3:19">
      <c r="C117" s="79" t="s">
        <v>347</v>
      </c>
      <c r="D117" s="80" t="s">
        <v>335</v>
      </c>
      <c r="E117" s="85">
        <v>332510</v>
      </c>
      <c r="F117" s="48" t="s">
        <v>324</v>
      </c>
      <c r="G117" s="13">
        <f>IFERROR(VLOOKUP(Tabela3[[#This Row],[Conta]],'BD - E - Despesas'!$A$15:$E$500,5,0),0)</f>
        <v>39950</v>
      </c>
      <c r="H117" s="24">
        <f>IFERROR(VLOOKUP(Tabela3[[#This Row],[Conta]],'BD - E - Despesas'!$J$15:$N$500,5,0),0)</f>
        <v>5100</v>
      </c>
      <c r="I117" s="24">
        <f>IFERROR(VLOOKUP(Tabela3[[#This Row],[Conta]],'BD - E - Despesas'!$S$15:$W$500,5,0),0)</f>
        <v>5950</v>
      </c>
      <c r="J117" s="24">
        <f>IFERROR(VLOOKUP(Tabela3[[#This Row],[Conta]],'BD - E - Despesas'!$AB$15:$AF$500,5,0),0)</f>
        <v>16150</v>
      </c>
      <c r="K117" s="24">
        <f>IFERROR(VLOOKUP(Tabela3[[#This Row],[Conta]],'BD - E - Despesas'!$AK$15:$AO$500,5,0),0)</f>
        <v>0</v>
      </c>
      <c r="L117" s="24">
        <f>IFERROR(VLOOKUP(Tabela3[[#This Row],[Conta]],'BD - E - Despesas'!$AT$15:$AX$500,5,0),0)</f>
        <v>0</v>
      </c>
      <c r="M117" s="24">
        <f>IFERROR(VLOOKUP(Tabela3[[#This Row],[Conta]],'BD - E - Despesas'!$BC$15:$BG$500,5,0),0)</f>
        <v>0</v>
      </c>
      <c r="N117" s="24">
        <f>IFERROR(VLOOKUP(Tabela3[[#This Row],[Conta]],'BD - E - Despesas'!$BL$15:$BP$500,5,0),0)</f>
        <v>0</v>
      </c>
      <c r="O117" s="24">
        <f>IFERROR(VLOOKUP(Tabela3[[#This Row],[Conta]],'BD - E - Despesas'!$BU$15:$BY$500,5,0),0)</f>
        <v>0</v>
      </c>
      <c r="P117" s="24">
        <f>IFERROR(VLOOKUP(Tabela3[[#This Row],[Conta]],'BD - E - Despesas'!$CD$15:$CH$500,5,0),0)</f>
        <v>0</v>
      </c>
      <c r="Q117" s="24">
        <f>IFERROR(VLOOKUP(Tabela3[[#This Row],[Conta]],'BD - E - Despesas'!$CM$15:$CQ$500,5,0),0)</f>
        <v>0</v>
      </c>
      <c r="R117" s="24">
        <f>IFERROR(VLOOKUP(Tabela3[[#This Row],[Conta]],'BD - E - Despesas'!$CV$15:$CZ$500,5,0),0)</f>
        <v>0</v>
      </c>
      <c r="S117"/>
    </row>
    <row r="118" spans="3:19">
      <c r="C118" s="79" t="s">
        <v>347</v>
      </c>
      <c r="D118" s="80" t="s">
        <v>335</v>
      </c>
      <c r="E118" s="85">
        <v>332590</v>
      </c>
      <c r="F118" s="82" t="s">
        <v>325</v>
      </c>
      <c r="G118" s="13">
        <f>IFERROR(VLOOKUP(Tabela3[[#This Row],[Conta]],'BD - E - Despesas'!$A$15:$E$500,5,0),0)</f>
        <v>239.18</v>
      </c>
      <c r="H118" s="24">
        <f>IFERROR(VLOOKUP(Tabela3[[#This Row],[Conta]],'BD - E - Despesas'!$J$15:$N$500,5,0),0)</f>
        <v>1052.44</v>
      </c>
      <c r="I118" s="24">
        <f>IFERROR(VLOOKUP(Tabela3[[#This Row],[Conta]],'BD - E - Despesas'!$S$15:$W$500,5,0),0)</f>
        <v>818.68</v>
      </c>
      <c r="J118" s="24">
        <f>IFERROR(VLOOKUP(Tabela3[[#This Row],[Conta]],'BD - E - Despesas'!$AB$15:$AF$500,5,0),0)</f>
        <v>196.1</v>
      </c>
      <c r="K118" s="24">
        <f>IFERROR(VLOOKUP(Tabela3[[#This Row],[Conta]],'BD - E - Despesas'!$AK$15:$AO$500,5,0),0)</f>
        <v>0</v>
      </c>
      <c r="L118" s="24">
        <f>IFERROR(VLOOKUP(Tabela3[[#This Row],[Conta]],'BD - E - Despesas'!$AT$15:$AX$500,5,0),0)</f>
        <v>0</v>
      </c>
      <c r="M118" s="24">
        <f>IFERROR(VLOOKUP(Tabela3[[#This Row],[Conta]],'BD - E - Despesas'!$BC$15:$BG$500,5,0),0)</f>
        <v>0</v>
      </c>
      <c r="N118" s="24">
        <f>IFERROR(VLOOKUP(Tabela3[[#This Row],[Conta]],'BD - E - Despesas'!$BL$15:$BP$500,5,0),0)</f>
        <v>0</v>
      </c>
      <c r="O118" s="24">
        <f>IFERROR(VLOOKUP(Tabela3[[#This Row],[Conta]],'BD - E - Despesas'!$BU$15:$BY$500,5,0),0)</f>
        <v>0</v>
      </c>
      <c r="P118" s="24">
        <f>IFERROR(VLOOKUP(Tabela3[[#This Row],[Conta]],'BD - E - Despesas'!$CD$15:$CH$500,5,0),0)</f>
        <v>0</v>
      </c>
      <c r="Q118" s="24">
        <f>IFERROR(VLOOKUP(Tabela3[[#This Row],[Conta]],'BD - E - Despesas'!$CM$15:$CQ$500,5,0),0)</f>
        <v>0</v>
      </c>
      <c r="R118" s="24">
        <f>IFERROR(VLOOKUP(Tabela3[[#This Row],[Conta]],'BD - E - Despesas'!$CV$15:$CZ$500,5,0),0)</f>
        <v>0</v>
      </c>
      <c r="S118"/>
    </row>
    <row r="119" spans="3:19">
      <c r="C119" s="79" t="s">
        <v>347</v>
      </c>
      <c r="D119" s="80" t="s">
        <v>335</v>
      </c>
      <c r="E119" s="85">
        <v>332598</v>
      </c>
      <c r="F119" s="82" t="s">
        <v>502</v>
      </c>
      <c r="G119" s="13">
        <f>IFERROR(VLOOKUP(Tabela3[[#This Row],[Conta]],'BD - E - Despesas'!$A$15:$E$500,5,0),0)</f>
        <v>0</v>
      </c>
      <c r="H119" s="24">
        <f>IFERROR(VLOOKUP(Tabela3[[#This Row],[Conta]],'BD - E - Despesas'!$J$15:$N$500,5,0),0)</f>
        <v>0</v>
      </c>
      <c r="I119" s="24">
        <f>IFERROR(VLOOKUP(Tabela3[[#This Row],[Conta]],'BD - E - Despesas'!$S$15:$W$500,5,0),0)</f>
        <v>0</v>
      </c>
      <c r="J119" s="24">
        <f>IFERROR(VLOOKUP(Tabela3[[#This Row],[Conta]],'BD - E - Despesas'!$AB$15:$AF$500,5,0),0)</f>
        <v>0</v>
      </c>
      <c r="K119" s="24">
        <f>IFERROR(VLOOKUP(Tabela3[[#This Row],[Conta]],'BD - E - Despesas'!$AK$15:$AO$500,5,0),0)</f>
        <v>0</v>
      </c>
      <c r="L119" s="24">
        <f>IFERROR(VLOOKUP(Tabela3[[#This Row],[Conta]],'BD - E - Despesas'!$AT$15:$AX$500,5,0),0)</f>
        <v>0</v>
      </c>
      <c r="M119" s="24">
        <f>IFERROR(VLOOKUP(Tabela3[[#This Row],[Conta]],'BD - E - Despesas'!$BC$15:$BG$500,5,0),0)</f>
        <v>0</v>
      </c>
      <c r="N119" s="24">
        <f>IFERROR(VLOOKUP(Tabela3[[#This Row],[Conta]],'BD - E - Despesas'!$BL$15:$BP$500,5,0),0)</f>
        <v>0</v>
      </c>
      <c r="O119" s="24">
        <f>IFERROR(VLOOKUP(Tabela3[[#This Row],[Conta]],'BD - E - Despesas'!$BU$15:$BY$500,5,0),0)</f>
        <v>0</v>
      </c>
      <c r="P119" s="24">
        <f>IFERROR(VLOOKUP(Tabela3[[#This Row],[Conta]],'BD - E - Despesas'!$CD$15:$CH$500,5,0),0)</f>
        <v>0</v>
      </c>
      <c r="Q119" s="24">
        <f>IFERROR(VLOOKUP(Tabela3[[#This Row],[Conta]],'BD - E - Despesas'!$CM$15:$CQ$500,5,0),0)</f>
        <v>0</v>
      </c>
      <c r="R119" s="24">
        <f>IFERROR(VLOOKUP(Tabela3[[#This Row],[Conta]],'BD - E - Despesas'!$CV$15:$CZ$500,5,0),0)</f>
        <v>0</v>
      </c>
      <c r="S119"/>
    </row>
    <row r="120" spans="3:19">
      <c r="C120" s="79" t="s">
        <v>347</v>
      </c>
      <c r="D120" s="80" t="s">
        <v>336</v>
      </c>
      <c r="E120" s="85">
        <v>332601</v>
      </c>
      <c r="F120" s="152" t="s">
        <v>491</v>
      </c>
      <c r="G120" s="13">
        <f>IFERROR(VLOOKUP(Tabela3[[#This Row],[Conta]],'BD - E - Despesas'!$A$15:$E$500,5,0),0)</f>
        <v>0</v>
      </c>
      <c r="H120" s="24">
        <f>IFERROR(VLOOKUP(Tabela3[[#This Row],[Conta]],'BD - E - Despesas'!$J$15:$N$500,5,0),0)</f>
        <v>0</v>
      </c>
      <c r="I120" s="24">
        <f>IFERROR(VLOOKUP(Tabela3[[#This Row],[Conta]],'BD - E - Despesas'!$S$15:$W$500,5,0),0)</f>
        <v>0</v>
      </c>
      <c r="J120" s="24">
        <f>IFERROR(VLOOKUP(Tabela3[[#This Row],[Conta]],'BD - E - Despesas'!$AB$15:$AF$500,5,0),0)</f>
        <v>0</v>
      </c>
      <c r="K120" s="24">
        <f>IFERROR(VLOOKUP(Tabela3[[#This Row],[Conta]],'BD - E - Despesas'!$AK$15:$AO$500,5,0),0)</f>
        <v>0</v>
      </c>
      <c r="L120" s="24">
        <f>IFERROR(VLOOKUP(Tabela3[[#This Row],[Conta]],'BD - E - Despesas'!$AT$15:$AX$500,5,0),0)</f>
        <v>0</v>
      </c>
      <c r="M120" s="24">
        <f>IFERROR(VLOOKUP(Tabela3[[#This Row],[Conta]],'BD - E - Despesas'!$BC$15:$BG$500,5,0),0)</f>
        <v>0</v>
      </c>
      <c r="N120" s="24">
        <f>IFERROR(VLOOKUP(Tabela3[[#This Row],[Conta]],'BD - E - Despesas'!$BL$15:$BP$500,5,0),0)</f>
        <v>0</v>
      </c>
      <c r="O120" s="24">
        <f>IFERROR(VLOOKUP(Tabela3[[#This Row],[Conta]],'BD - E - Despesas'!$BU$15:$BY$500,5,0),0)</f>
        <v>0</v>
      </c>
      <c r="P120" s="24">
        <f>IFERROR(VLOOKUP(Tabela3[[#This Row],[Conta]],'BD - E - Despesas'!$CD$15:$CH$500,5,0),0)</f>
        <v>0</v>
      </c>
      <c r="Q120" s="24">
        <f>IFERROR(VLOOKUP(Tabela3[[#This Row],[Conta]],'BD - E - Despesas'!$CM$15:$CQ$500,5,0),0)</f>
        <v>0</v>
      </c>
      <c r="R120" s="24">
        <f>IFERROR(VLOOKUP(Tabela3[[#This Row],[Conta]],'BD - E - Despesas'!$CV$15:$CZ$500,5,0),0)</f>
        <v>0</v>
      </c>
      <c r="S120"/>
    </row>
    <row r="121" spans="3:19">
      <c r="C121" s="79" t="s">
        <v>347</v>
      </c>
      <c r="D121" s="80" t="s">
        <v>336</v>
      </c>
      <c r="E121" s="100">
        <v>332602</v>
      </c>
      <c r="F121" s="79" t="s">
        <v>326</v>
      </c>
      <c r="G121" s="12">
        <f>IFERROR(VLOOKUP(Tabela3[[#This Row],[Conta]],'BD - E - Despesas'!$A$15:$E$500,5,0),0)</f>
        <v>340</v>
      </c>
      <c r="H121" s="24">
        <f>IFERROR(VLOOKUP(Tabela3[[#This Row],[Conta]],'BD - E - Despesas'!$J$15:$N$500,5,0),0)</f>
        <v>1729.6</v>
      </c>
      <c r="I121" s="24">
        <f>IFERROR(VLOOKUP(Tabela3[[#This Row],[Conta]],'BD - E - Despesas'!$S$15:$W$500,5,0),0)</f>
        <v>11158.62</v>
      </c>
      <c r="J121" s="24">
        <f>IFERROR(VLOOKUP(Tabela3[[#This Row],[Conta]],'BD - E - Despesas'!$AB$15:$AF$500,5,0),0)</f>
        <v>5932.07</v>
      </c>
      <c r="K121" s="24">
        <f>IFERROR(VLOOKUP(Tabela3[[#This Row],[Conta]],'BD - E - Despesas'!$AK$15:$AO$500,5,0),0)</f>
        <v>0</v>
      </c>
      <c r="L121" s="24">
        <f>IFERROR(VLOOKUP(Tabela3[[#This Row],[Conta]],'BD - E - Despesas'!$AT$15:$AX$500,5,0),0)</f>
        <v>0</v>
      </c>
      <c r="M121" s="24">
        <f>IFERROR(VLOOKUP(Tabela3[[#This Row],[Conta]],'BD - E - Despesas'!$BC$15:$BG$500,5,0),0)</f>
        <v>0</v>
      </c>
      <c r="N121" s="24">
        <f>IFERROR(VLOOKUP(Tabela3[[#This Row],[Conta]],'BD - E - Despesas'!$BL$15:$BP$500,5,0),0)</f>
        <v>0</v>
      </c>
      <c r="O121" s="24">
        <f>IFERROR(VLOOKUP(Tabela3[[#This Row],[Conta]],'BD - E - Despesas'!$BU$15:$BY$500,5,0),0)</f>
        <v>0</v>
      </c>
      <c r="P121" s="24">
        <f>IFERROR(VLOOKUP(Tabela3[[#This Row],[Conta]],'BD - E - Despesas'!$CD$15:$CH$500,5,0),0)</f>
        <v>0</v>
      </c>
      <c r="Q121" s="24">
        <f>IFERROR(VLOOKUP(Tabela3[[#This Row],[Conta]],'BD - E - Despesas'!$CM$15:$CQ$500,5,0),0)</f>
        <v>0</v>
      </c>
      <c r="R121" s="24">
        <f>IFERROR(VLOOKUP(Tabela3[[#This Row],[Conta]],'BD - E - Despesas'!$CV$15:$CZ$500,5,0),0)</f>
        <v>0</v>
      </c>
      <c r="S121"/>
    </row>
    <row r="122" spans="3:19">
      <c r="C122" s="79" t="s">
        <v>347</v>
      </c>
      <c r="D122" s="80" t="s">
        <v>336</v>
      </c>
      <c r="E122" s="100">
        <v>332603</v>
      </c>
      <c r="F122" s="79" t="s">
        <v>509</v>
      </c>
      <c r="G122" s="12">
        <f>IFERROR(VLOOKUP(Tabela3[[#This Row],[Conta]],'BD - E - Despesas'!$A$15:$E$500,5,0),0)</f>
        <v>0</v>
      </c>
      <c r="H122" s="24">
        <f>IFERROR(VLOOKUP(Tabela3[[#This Row],[Conta]],'BD - E - Despesas'!$J$15:$N$500,5,0),0)</f>
        <v>0</v>
      </c>
      <c r="I122" s="24">
        <f>IFERROR(VLOOKUP(Tabela3[[#This Row],[Conta]],'BD - E - Despesas'!$S$15:$W$500,5,0),0)</f>
        <v>0</v>
      </c>
      <c r="J122" s="24">
        <f>IFERROR(VLOOKUP(Tabela3[[#This Row],[Conta]],'BD - E - Despesas'!$AB$15:$AF$500,5,0),0)</f>
        <v>0</v>
      </c>
      <c r="K122" s="24">
        <f>IFERROR(VLOOKUP(Tabela3[[#This Row],[Conta]],'BD - E - Despesas'!$AK$15:$AO$500,5,0),0)</f>
        <v>0</v>
      </c>
      <c r="L122" s="24">
        <f>IFERROR(VLOOKUP(Tabela3[[#This Row],[Conta]],'BD - E - Despesas'!$AT$15:$AX$500,5,0),0)</f>
        <v>0</v>
      </c>
      <c r="M122" s="24">
        <f>IFERROR(VLOOKUP(Tabela3[[#This Row],[Conta]],'BD - E - Despesas'!$BC$15:$BG$500,5,0),0)</f>
        <v>0</v>
      </c>
      <c r="N122" s="24">
        <f>IFERROR(VLOOKUP(Tabela3[[#This Row],[Conta]],'BD - E - Despesas'!$BL$15:$BP$500,5,0),0)</f>
        <v>0</v>
      </c>
      <c r="O122" s="24">
        <f>IFERROR(VLOOKUP(Tabela3[[#This Row],[Conta]],'BD - E - Despesas'!$BU$15:$BY$500,5,0),0)</f>
        <v>0</v>
      </c>
      <c r="P122" s="24">
        <f>IFERROR(VLOOKUP(Tabela3[[#This Row],[Conta]],'BD - E - Despesas'!$CD$15:$CH$500,5,0),0)</f>
        <v>0</v>
      </c>
      <c r="Q122" s="24">
        <f>IFERROR(VLOOKUP(Tabela3[[#This Row],[Conta]],'BD - E - Despesas'!$CM$15:$CQ$500,5,0),0)</f>
        <v>0</v>
      </c>
      <c r="R122" s="24">
        <f>IFERROR(VLOOKUP(Tabela3[[#This Row],[Conta]],'BD - E - Despesas'!$CV$15:$CZ$500,5,0),0)</f>
        <v>0</v>
      </c>
      <c r="S122"/>
    </row>
    <row r="123" spans="3:19">
      <c r="C123" s="79" t="s">
        <v>347</v>
      </c>
      <c r="D123" s="80" t="s">
        <v>336</v>
      </c>
      <c r="E123" s="85">
        <v>332604</v>
      </c>
      <c r="F123" s="79" t="s">
        <v>375</v>
      </c>
      <c r="G123" s="12">
        <f>IFERROR(VLOOKUP(Tabela3[[#This Row],[Conta]],'BD - E - Despesas'!$A$15:$E$500,5,0),0)</f>
        <v>0</v>
      </c>
      <c r="H123" s="24">
        <f>IFERROR(VLOOKUP(Tabela3[[#This Row],[Conta]],'BD - E - Despesas'!$J$15:$N$500,5,0),0)</f>
        <v>0</v>
      </c>
      <c r="I123" s="24">
        <f>IFERROR(VLOOKUP(Tabela3[[#This Row],[Conta]],'BD - E - Despesas'!$S$15:$W$500,5,0),0)</f>
        <v>0</v>
      </c>
      <c r="J123" s="24">
        <f>IFERROR(VLOOKUP(Tabela3[[#This Row],[Conta]],'BD - E - Despesas'!$AB$15:$AF$500,5,0),0)</f>
        <v>0</v>
      </c>
      <c r="K123" s="24">
        <f>IFERROR(VLOOKUP(Tabela3[[#This Row],[Conta]],'BD - E - Despesas'!$AK$15:$AO$500,5,0),0)</f>
        <v>0</v>
      </c>
      <c r="L123" s="24">
        <f>IFERROR(VLOOKUP(Tabela3[[#This Row],[Conta]],'BD - E - Despesas'!$AT$15:$AX$500,5,0),0)</f>
        <v>0</v>
      </c>
      <c r="M123" s="24">
        <f>IFERROR(VLOOKUP(Tabela3[[#This Row],[Conta]],'BD - E - Despesas'!$BC$15:$BG$500,5,0),0)</f>
        <v>0</v>
      </c>
      <c r="N123" s="24">
        <f>IFERROR(VLOOKUP(Tabela3[[#This Row],[Conta]],'BD - E - Despesas'!$BL$15:$BP$500,5,0),0)</f>
        <v>0</v>
      </c>
      <c r="O123" s="24">
        <f>IFERROR(VLOOKUP(Tabela3[[#This Row],[Conta]],'BD - E - Despesas'!$BU$15:$BY$500,5,0),0)</f>
        <v>0</v>
      </c>
      <c r="P123" s="24">
        <f>IFERROR(VLOOKUP(Tabela3[[#This Row],[Conta]],'BD - E - Despesas'!$CD$15:$CH$500,5,0),0)</f>
        <v>0</v>
      </c>
      <c r="Q123" s="24">
        <f>IFERROR(VLOOKUP(Tabela3[[#This Row],[Conta]],'BD - E - Despesas'!$CM$15:$CQ$500,5,0),0)</f>
        <v>0</v>
      </c>
      <c r="R123" s="24">
        <f>IFERROR(VLOOKUP(Tabela3[[#This Row],[Conta]],'BD - E - Despesas'!$CV$15:$CZ$500,5,0),0)</f>
        <v>0</v>
      </c>
      <c r="S123"/>
    </row>
    <row r="124" spans="3:19">
      <c r="C124" s="79" t="s">
        <v>349</v>
      </c>
      <c r="D124" s="80" t="s">
        <v>38</v>
      </c>
      <c r="E124" s="100">
        <v>332908</v>
      </c>
      <c r="F124" s="79" t="s">
        <v>327</v>
      </c>
      <c r="G124" s="13">
        <f>IFERROR(VLOOKUP(Tabela3[[#This Row],[Conta]],'BD - E - Despesas'!$A$15:$E$500,5,0),0)</f>
        <v>28320.68</v>
      </c>
      <c r="H124" s="24">
        <f>IFERROR(VLOOKUP(Tabela3[[#This Row],[Conta]],'BD - E - Despesas'!$J$15:$N$500,5,0),0)</f>
        <v>3259.57</v>
      </c>
      <c r="I124" s="24">
        <f>IFERROR(VLOOKUP(Tabela3[[#This Row],[Conta]],'BD - E - Despesas'!$S$15:$W$500,5,0),0)</f>
        <v>25834.23</v>
      </c>
      <c r="J124" s="24">
        <f>IFERROR(VLOOKUP(Tabela3[[#This Row],[Conta]],'BD - E - Despesas'!$AB$15:$AF$500,5,0),0)</f>
        <v>13454.5</v>
      </c>
      <c r="K124" s="24">
        <f>IFERROR(VLOOKUP(Tabela3[[#This Row],[Conta]],'BD - E - Despesas'!$AK$15:$AO$500,5,0),0)</f>
        <v>0</v>
      </c>
      <c r="L124" s="24">
        <f>IFERROR(VLOOKUP(Tabela3[[#This Row],[Conta]],'BD - E - Despesas'!$AT$15:$AX$500,5,0),0)</f>
        <v>0</v>
      </c>
      <c r="M124" s="24">
        <f>IFERROR(VLOOKUP(Tabela3[[#This Row],[Conta]],'BD - E - Despesas'!$BC$15:$BG$500,5,0),0)</f>
        <v>0</v>
      </c>
      <c r="N124" s="24">
        <f>IFERROR(VLOOKUP(Tabela3[[#This Row],[Conta]],'BD - E - Despesas'!$BL$15:$BP$500,5,0),0)</f>
        <v>0</v>
      </c>
      <c r="O124" s="24">
        <f>IFERROR(VLOOKUP(Tabela3[[#This Row],[Conta]],'BD - E - Despesas'!$BU$15:$BY$500,5,0),0)</f>
        <v>0</v>
      </c>
      <c r="P124" s="24">
        <f>IFERROR(VLOOKUP(Tabela3[[#This Row],[Conta]],'BD - E - Despesas'!$CD$15:$CH$500,5,0),0)</f>
        <v>0</v>
      </c>
      <c r="Q124" s="24">
        <f>IFERROR(VLOOKUP(Tabela3[[#This Row],[Conta]],'BD - E - Despesas'!$CM$15:$CQ$500,5,0),0)</f>
        <v>0</v>
      </c>
      <c r="R124" s="24">
        <f>IFERROR(VLOOKUP(Tabela3[[#This Row],[Conta]],'BD - E - Despesas'!$CV$15:$CZ$500,5,0),0)</f>
        <v>0</v>
      </c>
      <c r="S124"/>
    </row>
    <row r="125" spans="3:19">
      <c r="C125" s="79" t="s">
        <v>347</v>
      </c>
      <c r="D125" s="80" t="s">
        <v>377</v>
      </c>
      <c r="E125" s="100">
        <v>332909</v>
      </c>
      <c r="F125" s="79" t="s">
        <v>555</v>
      </c>
      <c r="G125" s="14">
        <f>IFERROR(VLOOKUP(Tabela3[[#This Row],[Conta]],'BD - E - Despesas'!$A$15:$E$500,5,0),0)</f>
        <v>0</v>
      </c>
      <c r="H125" s="24">
        <f>IFERROR(VLOOKUP(Tabela3[[#This Row],[Conta]],'BD - E - Despesas'!$J$15:$N$500,5,0),0)</f>
        <v>0</v>
      </c>
      <c r="I125" s="24">
        <f>IFERROR(VLOOKUP(Tabela3[[#This Row],[Conta]],'BD - E - Despesas'!$S$15:$W$500,5,0),0)</f>
        <v>0</v>
      </c>
      <c r="J125" s="24">
        <f>IFERROR(VLOOKUP(Tabela3[[#This Row],[Conta]],'BD - E - Despesas'!$AB$15:$AF$500,5,0),0)</f>
        <v>0</v>
      </c>
      <c r="K125" s="24">
        <f>IFERROR(VLOOKUP(Tabela3[[#This Row],[Conta]],'BD - E - Despesas'!$AK$15:$AO$500,5,0),0)</f>
        <v>0</v>
      </c>
      <c r="L125" s="24">
        <f>IFERROR(VLOOKUP(Tabela3[[#This Row],[Conta]],'BD - E - Despesas'!$AT$15:$AX$500,5,0),0)</f>
        <v>0</v>
      </c>
      <c r="M125" s="24">
        <f>IFERROR(VLOOKUP(Tabela3[[#This Row],[Conta]],'BD - E - Despesas'!$BC$15:$BG$500,5,0),0)</f>
        <v>0</v>
      </c>
      <c r="N125" s="24">
        <f>IFERROR(VLOOKUP(Tabela3[[#This Row],[Conta]],'BD - E - Despesas'!$BL$15:$BP$500,5,0),0)</f>
        <v>0</v>
      </c>
      <c r="O125" s="24">
        <f>IFERROR(VLOOKUP(Tabela3[[#This Row],[Conta]],'BD - E - Despesas'!$BU$15:$BY$500,5,0),0)</f>
        <v>0</v>
      </c>
      <c r="P125" s="24">
        <f>IFERROR(VLOOKUP(Tabela3[[#This Row],[Conta]],'BD - E - Despesas'!$CD$15:$CH$500,5,0),0)</f>
        <v>0</v>
      </c>
      <c r="Q125" s="24">
        <f>IFERROR(VLOOKUP(Tabela3[[#This Row],[Conta]],'BD - E - Despesas'!$CM$15:$CQ$500,5,0),0)</f>
        <v>0</v>
      </c>
      <c r="R125" s="24">
        <f>IFERROR(VLOOKUP(Tabela3[[#This Row],[Conta]],'BD - E - Despesas'!$CV$15:$CZ$500,5,0),0)</f>
        <v>0</v>
      </c>
      <c r="S125"/>
    </row>
    <row r="126" spans="3:19">
      <c r="C126" s="79" t="s">
        <v>349</v>
      </c>
      <c r="D126" s="80" t="s">
        <v>38</v>
      </c>
      <c r="E126" s="100">
        <v>332990</v>
      </c>
      <c r="F126" s="82" t="s">
        <v>328</v>
      </c>
      <c r="G126" s="12">
        <f>IFERROR(VLOOKUP(Tabela3[[#This Row],[Conta]],'BD - E - Despesas'!$A$15:$E$500,5,0),0)</f>
        <v>261.36</v>
      </c>
      <c r="H126" s="24">
        <f>IFERROR(VLOOKUP(Tabela3[[#This Row],[Conta]],'BD - E - Despesas'!$J$15:$N$500,5,0),0)</f>
        <v>0</v>
      </c>
      <c r="I126" s="24">
        <f>IFERROR(VLOOKUP(Tabela3[[#This Row],[Conta]],'BD - E - Despesas'!$S$15:$W$500,5,0),0)</f>
        <v>208.56</v>
      </c>
      <c r="J126" s="24">
        <f>IFERROR(VLOOKUP(Tabela3[[#This Row],[Conta]],'BD - E - Despesas'!$AB$15:$AF$500,5,0),0)</f>
        <v>2865.34</v>
      </c>
      <c r="K126" s="24">
        <f>IFERROR(VLOOKUP(Tabela3[[#This Row],[Conta]],'BD - E - Despesas'!$AK$15:$AO$500,5,0),0)</f>
        <v>0</v>
      </c>
      <c r="L126" s="24">
        <f>IFERROR(VLOOKUP(Tabela3[[#This Row],[Conta]],'BD - E - Despesas'!$AT$15:$AX$500,5,0),0)</f>
        <v>0</v>
      </c>
      <c r="M126" s="24">
        <f>IFERROR(VLOOKUP(Tabela3[[#This Row],[Conta]],'BD - E - Despesas'!$BC$15:$BG$500,5,0),0)</f>
        <v>0</v>
      </c>
      <c r="N126" s="24">
        <f>IFERROR(VLOOKUP(Tabela3[[#This Row],[Conta]],'BD - E - Despesas'!$BL$15:$BP$500,5,0),0)</f>
        <v>0</v>
      </c>
      <c r="O126" s="24">
        <f>IFERROR(VLOOKUP(Tabela3[[#This Row],[Conta]],'BD - E - Despesas'!$BU$15:$BY$500,5,0),0)</f>
        <v>0</v>
      </c>
      <c r="P126" s="24">
        <f>IFERROR(VLOOKUP(Tabela3[[#This Row],[Conta]],'BD - E - Despesas'!$CD$15:$CH$500,5,0),0)</f>
        <v>0</v>
      </c>
      <c r="Q126" s="24">
        <f>IFERROR(VLOOKUP(Tabela3[[#This Row],[Conta]],'BD - E - Despesas'!$CM$15:$CQ$500,5,0),0)</f>
        <v>0</v>
      </c>
      <c r="R126" s="24">
        <f>IFERROR(VLOOKUP(Tabela3[[#This Row],[Conta]],'BD - E - Despesas'!$CV$15:$CZ$500,5,0),0)</f>
        <v>0</v>
      </c>
      <c r="S126"/>
    </row>
    <row r="127" spans="3:19">
      <c r="C127" s="79" t="s">
        <v>420</v>
      </c>
      <c r="D127" s="80" t="s">
        <v>127</v>
      </c>
      <c r="E127" s="100">
        <v>333104</v>
      </c>
      <c r="F127" s="82" t="s">
        <v>206</v>
      </c>
      <c r="G127" s="12">
        <f>IFERROR(VLOOKUP(Tabela3[[#This Row],[Conta]],'BD - E - Despesas'!$A$15:$E$500,5,0),0)</f>
        <v>0</v>
      </c>
      <c r="H127" s="24">
        <f>IFERROR(VLOOKUP(Tabela3[[#This Row],[Conta]],'BD - E - Despesas'!$J$15:$N$500,5,0),0)</f>
        <v>0</v>
      </c>
      <c r="I127" s="24">
        <f>IFERROR(VLOOKUP(Tabela3[[#This Row],[Conta]],'BD - E - Despesas'!$S$15:$W$500,5,0),0)</f>
        <v>0</v>
      </c>
      <c r="J127" s="24">
        <f>IFERROR(VLOOKUP(Tabela3[[#This Row],[Conta]],'BD - E - Despesas'!$AB$15:$AF$500,5,0),0)</f>
        <v>0</v>
      </c>
      <c r="K127" s="24">
        <f>IFERROR(VLOOKUP(Tabela3[[#This Row],[Conta]],'BD - E - Despesas'!$AK$15:$AO$500,5,0),0)</f>
        <v>0</v>
      </c>
      <c r="L127" s="24">
        <f>IFERROR(VLOOKUP(Tabela3[[#This Row],[Conta]],'BD - E - Despesas'!$AT$15:$AX$500,5,0),0)</f>
        <v>0</v>
      </c>
      <c r="M127" s="24">
        <f>IFERROR(VLOOKUP(Tabela3[[#This Row],[Conta]],'BD - E - Despesas'!$BC$15:$BG$500,5,0),0)</f>
        <v>0</v>
      </c>
      <c r="N127" s="24">
        <f>IFERROR(VLOOKUP(Tabela3[[#This Row],[Conta]],'BD - E - Despesas'!$BL$15:$BP$500,5,0),0)</f>
        <v>0</v>
      </c>
      <c r="O127" s="24">
        <f>IFERROR(VLOOKUP(Tabela3[[#This Row],[Conta]],'BD - E - Despesas'!$BU$15:$BY$500,5,0),0)</f>
        <v>0</v>
      </c>
      <c r="P127" s="24">
        <f>IFERROR(VLOOKUP(Tabela3[[#This Row],[Conta]],'BD - E - Despesas'!$CD$15:$CH$500,5,0),0)</f>
        <v>0</v>
      </c>
      <c r="Q127" s="24">
        <f>IFERROR(VLOOKUP(Tabela3[[#This Row],[Conta]],'BD - E - Despesas'!$CM$15:$CQ$500,5,0),0)</f>
        <v>0</v>
      </c>
      <c r="R127" s="24">
        <f>IFERROR(VLOOKUP(Tabela3[[#This Row],[Conta]],'BD - E - Despesas'!$CV$15:$CZ$500,5,0),0)</f>
        <v>0</v>
      </c>
      <c r="S127"/>
    </row>
    <row r="128" spans="3:19">
      <c r="C128" s="79" t="s">
        <v>347</v>
      </c>
      <c r="D128" s="80" t="s">
        <v>345</v>
      </c>
      <c r="E128" s="85">
        <v>333290</v>
      </c>
      <c r="F128" s="79" t="s">
        <v>329</v>
      </c>
      <c r="G128" s="13">
        <f>IFERROR(VLOOKUP(Tabela3[[#This Row],[Conta]],'BD - E - Despesas'!$A$15:$E$500,5,0),0)</f>
        <v>0</v>
      </c>
      <c r="H128" s="24">
        <f>IFERROR(VLOOKUP(Tabela3[[#This Row],[Conta]],'BD - E - Despesas'!$J$15:$N$500,5,0),0)</f>
        <v>0</v>
      </c>
      <c r="I128" s="24">
        <f>IFERROR(VLOOKUP(Tabela3[[#This Row],[Conta]],'BD - E - Despesas'!$S$15:$W$500,5,0),0)</f>
        <v>0</v>
      </c>
      <c r="J128" s="24">
        <f>IFERROR(VLOOKUP(Tabela3[[#This Row],[Conta]],'BD - E - Despesas'!$AB$15:$AF$500,5,0),0)</f>
        <v>0</v>
      </c>
      <c r="K128" s="24">
        <f>IFERROR(VLOOKUP(Tabela3[[#This Row],[Conta]],'BD - E - Despesas'!$AK$15:$AO$500,5,0),0)</f>
        <v>0</v>
      </c>
      <c r="L128" s="24">
        <f>IFERROR(VLOOKUP(Tabela3[[#This Row],[Conta]],'BD - E - Despesas'!$AT$15:$AX$500,5,0),0)</f>
        <v>0</v>
      </c>
      <c r="M128" s="24">
        <f>IFERROR(VLOOKUP(Tabela3[[#This Row],[Conta]],'BD - E - Despesas'!$BC$15:$BG$500,5,0),0)</f>
        <v>0</v>
      </c>
      <c r="N128" s="24">
        <f>IFERROR(VLOOKUP(Tabela3[[#This Row],[Conta]],'BD - E - Despesas'!$BL$15:$BP$500,5,0),0)</f>
        <v>0</v>
      </c>
      <c r="O128" s="24">
        <f>IFERROR(VLOOKUP(Tabela3[[#This Row],[Conta]],'BD - E - Despesas'!$BU$15:$BY$500,5,0),0)</f>
        <v>0</v>
      </c>
      <c r="P128" s="24">
        <f>IFERROR(VLOOKUP(Tabela3[[#This Row],[Conta]],'BD - E - Despesas'!$CD$15:$CH$500,5,0),0)</f>
        <v>0</v>
      </c>
      <c r="Q128" s="24">
        <f>IFERROR(VLOOKUP(Tabela3[[#This Row],[Conta]],'BD - E - Despesas'!$CM$15:$CQ$500,5,0),0)</f>
        <v>0</v>
      </c>
      <c r="R128" s="24">
        <f>IFERROR(VLOOKUP(Tabela3[[#This Row],[Conta]],'BD - E - Despesas'!$CV$15:$CZ$500,5,0),0)</f>
        <v>0</v>
      </c>
      <c r="S128"/>
    </row>
    <row r="129" spans="3:19">
      <c r="C129" s="84" t="s">
        <v>384</v>
      </c>
      <c r="D129" s="80" t="s">
        <v>377</v>
      </c>
      <c r="E129" s="85">
        <v>333291</v>
      </c>
      <c r="F129" s="86" t="s">
        <v>376</v>
      </c>
      <c r="G129" s="13">
        <f>IFERROR(VLOOKUP(Tabela3[[#This Row],[Conta]],'BD - E - Despesas'!$A$15:$E$500,5,0),0)</f>
        <v>0</v>
      </c>
      <c r="H129" s="24">
        <f>IFERROR(VLOOKUP(Tabela3[[#This Row],[Conta]],'BD - E - Despesas'!$J$15:$N$500,5,0),0)</f>
        <v>157.38999999999999</v>
      </c>
      <c r="I129" s="24">
        <f>IFERROR(VLOOKUP(Tabela3[[#This Row],[Conta]],'BD - E - Despesas'!$S$15:$W$500,5,0),0)</f>
        <v>0</v>
      </c>
      <c r="J129" s="24">
        <f>IFERROR(VLOOKUP(Tabela3[[#This Row],[Conta]],'BD - E - Despesas'!$AB$15:$AF$500,5,0),0)</f>
        <v>0</v>
      </c>
      <c r="K129" s="24">
        <f>IFERROR(VLOOKUP(Tabela3[[#This Row],[Conta]],'BD - E - Despesas'!$AK$15:$AO$500,5,0),0)</f>
        <v>0</v>
      </c>
      <c r="L129" s="24">
        <f>IFERROR(VLOOKUP(Tabela3[[#This Row],[Conta]],'BD - E - Despesas'!$AT$15:$AX$500,5,0),0)</f>
        <v>0</v>
      </c>
      <c r="M129" s="24">
        <f>IFERROR(VLOOKUP(Tabela3[[#This Row],[Conta]],'BD - E - Despesas'!$BC$15:$BG$500,5,0),0)</f>
        <v>0</v>
      </c>
      <c r="N129" s="24">
        <f>IFERROR(VLOOKUP(Tabela3[[#This Row],[Conta]],'BD - E - Despesas'!$BL$15:$BP$500,5,0),0)</f>
        <v>0</v>
      </c>
      <c r="O129" s="24">
        <f>IFERROR(VLOOKUP(Tabela3[[#This Row],[Conta]],'BD - E - Despesas'!$BU$15:$BY$500,5,0),0)</f>
        <v>0</v>
      </c>
      <c r="P129" s="24">
        <f>IFERROR(VLOOKUP(Tabela3[[#This Row],[Conta]],'BD - E - Despesas'!$CD$15:$CH$500,5,0),0)</f>
        <v>0</v>
      </c>
      <c r="Q129" s="24">
        <f>IFERROR(VLOOKUP(Tabela3[[#This Row],[Conta]],'BD - E - Despesas'!$CM$15:$CQ$500,5,0),0)</f>
        <v>0</v>
      </c>
      <c r="R129" s="24">
        <f>IFERROR(VLOOKUP(Tabela3[[#This Row],[Conta]],'BD - E - Despesas'!$CV$15:$CZ$500,5,0),0)</f>
        <v>0</v>
      </c>
      <c r="S129"/>
    </row>
    <row r="130" spans="3:19">
      <c r="C130" s="79" t="s">
        <v>347</v>
      </c>
      <c r="D130" s="80" t="s">
        <v>332</v>
      </c>
      <c r="E130" s="85">
        <v>119108</v>
      </c>
      <c r="F130" s="79" t="s">
        <v>1003</v>
      </c>
      <c r="G130" s="14">
        <f>IFERROR(VLOOKUP(Tabela3[[#This Row],[Conta]],'BD - E - Despesas'!$A$15:$E$500,5,0),0)</f>
        <v>0</v>
      </c>
      <c r="H130" s="24">
        <f>IFERROR(VLOOKUP(Tabela3[[#This Row],[Conta]],'BD - E - Despesas'!$J$15:$N$500,5,0),0)</f>
        <v>0</v>
      </c>
      <c r="I130" s="24">
        <f>IFERROR(VLOOKUP(Tabela3[[#This Row],[Conta]],'BD - E - Despesas'!$S$15:$W$500,5,0),0)</f>
        <v>26559.3</v>
      </c>
      <c r="J130" s="24">
        <f>IFERROR(VLOOKUP(Tabela3[[#This Row],[Conta]],'BD - E - Despesas'!$AB$15:$AF$500,5,0),0)</f>
        <v>0</v>
      </c>
      <c r="K130" s="24">
        <f>IFERROR(VLOOKUP(Tabela3[[#This Row],[Conta]],'BD - E - Despesas'!$AK$15:$AO$500,5,0),0)</f>
        <v>0</v>
      </c>
      <c r="L130" s="24">
        <f>IFERROR(VLOOKUP(Tabela3[[#This Row],[Conta]],'BD - E - Despesas'!$AT$15:$AX$500,5,0),0)</f>
        <v>0</v>
      </c>
      <c r="M130" s="24">
        <f>IFERROR(VLOOKUP(Tabela3[[#This Row],[Conta]],'BD - E - Despesas'!$BC$15:$BG$500,5,0),0)</f>
        <v>0</v>
      </c>
      <c r="N130" s="24">
        <f>IFERROR(VLOOKUP(Tabela3[[#This Row],[Conta]],'BD - E - Despesas'!$BL$15:$BP$500,5,0),0)</f>
        <v>0</v>
      </c>
      <c r="O130" s="24">
        <f>IFERROR(VLOOKUP(Tabela3[[#This Row],[Conta]],'BD - E - Despesas'!$BU$15:$BY$500,5,0),0)</f>
        <v>0</v>
      </c>
      <c r="P130" s="24">
        <f>IFERROR(VLOOKUP(Tabela3[[#This Row],[Conta]],'BD - E - Despesas'!$CD$15:$CH$500,5,0),0)</f>
        <v>0</v>
      </c>
      <c r="Q130" s="24">
        <f>IFERROR(VLOOKUP(Tabela3[[#This Row],[Conta]],'BD - E - Despesas'!$CM$15:$CQ$500,5,0),0)</f>
        <v>0</v>
      </c>
      <c r="R130" s="24">
        <f>IFERROR(VLOOKUP(Tabela3[[#This Row],[Conta]],'BD - E - Despesas'!$CV$15:$CZ$500,5,0),0)</f>
        <v>0</v>
      </c>
      <c r="S130"/>
    </row>
    <row r="131" spans="3:19">
      <c r="C131" s="79"/>
      <c r="D131" s="92"/>
      <c r="E131" s="85"/>
      <c r="F131" s="79"/>
      <c r="G131" s="14">
        <f>IFERROR(VLOOKUP(Tabela3[[#This Row],[Conta]],'BD - E - Despesas'!$A$15:$E$500,5,0),0)</f>
        <v>0</v>
      </c>
      <c r="H131" s="24">
        <f>IFERROR(VLOOKUP(Tabela3[[#This Row],[Conta]],'BD - E - Despesas'!$J$15:$N$500,5,0),0)</f>
        <v>0</v>
      </c>
      <c r="I131" s="24">
        <f>IFERROR(VLOOKUP(Tabela3[[#This Row],[Conta]],'BD - E - Despesas'!$S$15:$W$500,5,0),0)</f>
        <v>0</v>
      </c>
      <c r="J131" s="24">
        <f>IFERROR(VLOOKUP(Tabela3[[#This Row],[Conta]],'BD - E - Despesas'!$AB$15:$AF$500,5,0),0)</f>
        <v>0</v>
      </c>
      <c r="K131" s="24">
        <f>IFERROR(VLOOKUP(Tabela3[[#This Row],[Conta]],'BD - E - Despesas'!$AK$15:$AO$500,5,0),0)</f>
        <v>0</v>
      </c>
      <c r="L131" s="24">
        <f>IFERROR(VLOOKUP(Tabela3[[#This Row],[Conta]],'BD - E - Despesas'!$AT$15:$AX$500,5,0),0)</f>
        <v>0</v>
      </c>
      <c r="M131" s="24">
        <f>IFERROR(VLOOKUP(Tabela3[[#This Row],[Conta]],'BD - E - Despesas'!$BC$15:$BG$500,5,0),0)</f>
        <v>0</v>
      </c>
      <c r="N131" s="24">
        <f>IFERROR(VLOOKUP(Tabela3[[#This Row],[Conta]],'BD - E - Despesas'!$BL$15:$BP$500,5,0),0)</f>
        <v>0</v>
      </c>
      <c r="O131" s="24">
        <f>IFERROR(VLOOKUP(Tabela3[[#This Row],[Conta]],'BD - E - Despesas'!$BU$15:$BY$500,5,0),0)</f>
        <v>0</v>
      </c>
      <c r="P131" s="24">
        <f>IFERROR(VLOOKUP(Tabela3[[#This Row],[Conta]],'BD - E - Despesas'!$CD$15:$CH$500,5,0),0)</f>
        <v>0</v>
      </c>
      <c r="Q131" s="24">
        <f>IFERROR(VLOOKUP(Tabela3[[#This Row],[Conta]],'BD - E - Despesas'!$CM$15:$CQ$500,5,0),0)</f>
        <v>0</v>
      </c>
      <c r="R131" s="24">
        <f>IFERROR(VLOOKUP(Tabela3[[#This Row],[Conta]],'BD - E - Despesas'!$CV$15:$CZ$500,5,0),0)</f>
        <v>0</v>
      </c>
      <c r="S131"/>
    </row>
    <row r="132" spans="3:19">
      <c r="C132" s="79"/>
      <c r="D132" s="92"/>
      <c r="E132" s="85"/>
      <c r="F132" s="79"/>
      <c r="G132" s="12">
        <f>IFERROR(VLOOKUP(Tabela3[[#This Row],[Conta]],'BD - E - Despesas'!$A$15:$E$500,5,0),0)</f>
        <v>0</v>
      </c>
      <c r="H132" s="24">
        <f>IFERROR(VLOOKUP(Tabela3[[#This Row],[Conta]],'BD - E - Despesas'!$J$15:$N$500,5,0),0)</f>
        <v>0</v>
      </c>
      <c r="I132" s="24">
        <f>IFERROR(VLOOKUP(Tabela3[[#This Row],[Conta]],'BD - E - Despesas'!$S$15:$W$500,5,0),0)</f>
        <v>0</v>
      </c>
      <c r="J132" s="24">
        <f>IFERROR(VLOOKUP(Tabela3[[#This Row],[Conta]],'BD - E - Despesas'!$AB$15:$AF$500,5,0),0)</f>
        <v>0</v>
      </c>
      <c r="K132" s="24">
        <f>IFERROR(VLOOKUP(Tabela3[[#This Row],[Conta]],'BD - E - Despesas'!$AK$15:$AO$500,5,0),0)</f>
        <v>0</v>
      </c>
      <c r="L132" s="24">
        <f>IFERROR(VLOOKUP(Tabela3[[#This Row],[Conta]],'BD - E - Despesas'!$AT$15:$AX$500,5,0),0)</f>
        <v>0</v>
      </c>
      <c r="M132" s="24">
        <f>IFERROR(VLOOKUP(Tabela3[[#This Row],[Conta]],'BD - E - Despesas'!$BC$15:$BG$500,5,0),0)</f>
        <v>0</v>
      </c>
      <c r="N132" s="24">
        <f>IFERROR(VLOOKUP(Tabela3[[#This Row],[Conta]],'BD - E - Despesas'!$BL$15:$BP$500,5,0),0)</f>
        <v>0</v>
      </c>
      <c r="O132" s="24">
        <f>IFERROR(VLOOKUP(Tabela3[[#This Row],[Conta]],'BD - E - Despesas'!$BU$15:$BY$500,5,0),0)</f>
        <v>0</v>
      </c>
      <c r="P132" s="24">
        <f>IFERROR(VLOOKUP(Tabela3[[#This Row],[Conta]],'BD - E - Despesas'!$CD$15:$CH$500,5,0),0)</f>
        <v>0</v>
      </c>
      <c r="Q132" s="24">
        <f>IFERROR(VLOOKUP(Tabela3[[#This Row],[Conta]],'BD - E - Despesas'!$CM$15:$CQ$500,5,0),0)</f>
        <v>0</v>
      </c>
      <c r="R132" s="24">
        <f>IFERROR(VLOOKUP(Tabela3[[#This Row],[Conta]],'BD - E - Despesas'!$CV$15:$CZ$500,5,0),0)</f>
        <v>0</v>
      </c>
      <c r="S132"/>
    </row>
    <row r="133" spans="3:19">
      <c r="C133" s="79"/>
      <c r="D133" s="92"/>
      <c r="E133" s="85"/>
      <c r="F133" s="79"/>
      <c r="G133" s="13">
        <f>IFERROR(VLOOKUP(Tabela3[[#This Row],[Conta]],'BD - E - Despesas'!$A$15:$E$500,5,0),0)</f>
        <v>0</v>
      </c>
      <c r="H133" s="24">
        <f>IFERROR(VLOOKUP(Tabela3[[#This Row],[Conta]],'BD - E - Despesas'!$J$15:$N$500,5,0),0)</f>
        <v>0</v>
      </c>
      <c r="I133" s="24">
        <f>IFERROR(VLOOKUP(Tabela3[[#This Row],[Conta]],'BD - E - Despesas'!$S$15:$W$500,5,0),0)</f>
        <v>0</v>
      </c>
      <c r="J133" s="24">
        <f>IFERROR(VLOOKUP(Tabela3[[#This Row],[Conta]],'BD - E - Despesas'!$AB$15:$AF$500,5,0),0)</f>
        <v>0</v>
      </c>
      <c r="K133" s="24">
        <f>IFERROR(VLOOKUP(Tabela3[[#This Row],[Conta]],'BD - E - Despesas'!$AK$15:$AO$500,5,0),0)</f>
        <v>0</v>
      </c>
      <c r="L133" s="24">
        <f>IFERROR(VLOOKUP(Tabela3[[#This Row],[Conta]],'BD - E - Despesas'!$AT$15:$AX$500,5,0),0)</f>
        <v>0</v>
      </c>
      <c r="M133" s="24">
        <f>IFERROR(VLOOKUP(Tabela3[[#This Row],[Conta]],'BD - E - Despesas'!$BC$15:$BG$500,5,0),0)</f>
        <v>0</v>
      </c>
      <c r="N133" s="24">
        <f>IFERROR(VLOOKUP(Tabela3[[#This Row],[Conta]],'BD - E - Despesas'!$BL$15:$BP$500,5,0),0)</f>
        <v>0</v>
      </c>
      <c r="O133" s="24">
        <f>IFERROR(VLOOKUP(Tabela3[[#This Row],[Conta]],'BD - E - Despesas'!$BU$15:$BY$500,5,0),0)</f>
        <v>0</v>
      </c>
      <c r="P133" s="24">
        <f>IFERROR(VLOOKUP(Tabela3[[#This Row],[Conta]],'BD - E - Despesas'!$CD$15:$CH$500,5,0),0)</f>
        <v>0</v>
      </c>
      <c r="Q133" s="24">
        <f>IFERROR(VLOOKUP(Tabela3[[#This Row],[Conta]],'BD - E - Despesas'!$CM$15:$CQ$500,5,0),0)</f>
        <v>0</v>
      </c>
      <c r="R133" s="24">
        <f>IFERROR(VLOOKUP(Tabela3[[#This Row],[Conta]],'BD - E - Despesas'!$CV$15:$CZ$500,5,0),0)</f>
        <v>0</v>
      </c>
      <c r="S133"/>
    </row>
    <row r="134" spans="3:19">
      <c r="C134" s="79"/>
      <c r="D134" s="92"/>
      <c r="E134" s="85"/>
      <c r="F134" s="79"/>
      <c r="G134" s="13">
        <f>IFERROR(VLOOKUP(Tabela3[[#This Row],[Conta]],'BD - E - Despesas'!$A$15:$E$500,5,0),0)</f>
        <v>0</v>
      </c>
      <c r="H134" s="24">
        <f>IFERROR(VLOOKUP(Tabela3[[#This Row],[Conta]],'BD - E - Despesas'!$J$15:$N$500,5,0),0)</f>
        <v>0</v>
      </c>
      <c r="I134" s="24">
        <f>IFERROR(VLOOKUP(Tabela3[[#This Row],[Conta]],'BD - E - Despesas'!$S$15:$W$500,5,0),0)</f>
        <v>0</v>
      </c>
      <c r="J134" s="24">
        <f>IFERROR(VLOOKUP(Tabela3[[#This Row],[Conta]],'BD - E - Despesas'!$AB$15:$AF$500,5,0),0)</f>
        <v>0</v>
      </c>
      <c r="K134" s="24">
        <f>IFERROR(VLOOKUP(Tabela3[[#This Row],[Conta]],'BD - E - Despesas'!$AK$15:$AO$500,5,0),0)</f>
        <v>0</v>
      </c>
      <c r="L134" s="24">
        <f>IFERROR(VLOOKUP(Tabela3[[#This Row],[Conta]],'BD - E - Despesas'!$AT$15:$AX$500,5,0),0)</f>
        <v>0</v>
      </c>
      <c r="M134" s="24">
        <f>IFERROR(VLOOKUP(Tabela3[[#This Row],[Conta]],'BD - E - Despesas'!$BC$15:$BG$500,5,0),0)</f>
        <v>0</v>
      </c>
      <c r="N134" s="24">
        <f>IFERROR(VLOOKUP(Tabela3[[#This Row],[Conta]],'BD - E - Despesas'!$BL$15:$BP$500,5,0),0)</f>
        <v>0</v>
      </c>
      <c r="O134" s="24">
        <f>IFERROR(VLOOKUP(Tabela3[[#This Row],[Conta]],'BD - E - Despesas'!$BU$15:$BY$500,5,0),0)</f>
        <v>0</v>
      </c>
      <c r="P134" s="24">
        <f>IFERROR(VLOOKUP(Tabela3[[#This Row],[Conta]],'BD - E - Despesas'!$CD$15:$CH$500,5,0),0)</f>
        <v>0</v>
      </c>
      <c r="Q134" s="24">
        <f>IFERROR(VLOOKUP(Tabela3[[#This Row],[Conta]],'BD - E - Despesas'!$CM$15:$CQ$500,5,0),0)</f>
        <v>0</v>
      </c>
      <c r="R134" s="24">
        <f>IFERROR(VLOOKUP(Tabela3[[#This Row],[Conta]],'BD - E - Despesas'!$CV$15:$CZ$500,5,0),0)</f>
        <v>0</v>
      </c>
      <c r="S134"/>
    </row>
    <row r="135" spans="3:19">
      <c r="C135" s="79"/>
      <c r="D135" s="92"/>
      <c r="E135" s="101"/>
      <c r="F135" s="79"/>
      <c r="G135" s="12">
        <f>IFERROR(VLOOKUP(Tabela3[[#This Row],[Conta]],'BD - E - Despesas'!$A$15:$E$500,5,0),0)</f>
        <v>0</v>
      </c>
      <c r="H135" s="24">
        <f>IFERROR(VLOOKUP(Tabela3[[#This Row],[Conta]],'BD - E - Despesas'!$J$15:$N$500,5,0),0)</f>
        <v>0</v>
      </c>
      <c r="I135" s="24">
        <f>IFERROR(VLOOKUP(Tabela3[[#This Row],[Conta]],'BD - E - Despesas'!$S$15:$W$500,5,0),0)</f>
        <v>0</v>
      </c>
      <c r="J135" s="24">
        <f>IFERROR(VLOOKUP(Tabela3[[#This Row],[Conta]],'BD - E - Despesas'!$AB$15:$AF$500,5,0),0)</f>
        <v>0</v>
      </c>
      <c r="K135" s="24">
        <f>IFERROR(VLOOKUP(Tabela3[[#This Row],[Conta]],'BD - E - Despesas'!$AK$15:$AO$500,5,0),0)</f>
        <v>0</v>
      </c>
      <c r="L135" s="24">
        <f>IFERROR(VLOOKUP(Tabela3[[#This Row],[Conta]],'BD - E - Despesas'!$AT$15:$AX$500,5,0),0)</f>
        <v>0</v>
      </c>
      <c r="M135" s="24">
        <f>IFERROR(VLOOKUP(Tabela3[[#This Row],[Conta]],'BD - E - Despesas'!$BC$15:$BG$500,5,0),0)</f>
        <v>0</v>
      </c>
      <c r="N135" s="24">
        <f>IFERROR(VLOOKUP(Tabela3[[#This Row],[Conta]],'BD - E - Despesas'!$BL$15:$BP$500,5,0),0)</f>
        <v>0</v>
      </c>
      <c r="O135" s="24">
        <f>IFERROR(VLOOKUP(Tabela3[[#This Row],[Conta]],'BD - E - Despesas'!$BU$15:$BY$500,5,0),0)</f>
        <v>0</v>
      </c>
      <c r="P135" s="24">
        <f>IFERROR(VLOOKUP(Tabela3[[#This Row],[Conta]],'BD - E - Despesas'!$CD$15:$CH$500,5,0),0)</f>
        <v>0</v>
      </c>
      <c r="Q135" s="24">
        <f>IFERROR(VLOOKUP(Tabela3[[#This Row],[Conta]],'BD - E - Despesas'!$CM$15:$CQ$500,5,0),0)</f>
        <v>0</v>
      </c>
      <c r="R135" s="24">
        <f>IFERROR(VLOOKUP(Tabela3[[#This Row],[Conta]],'BD - E - Despesas'!$CV$15:$CZ$500,5,0),0)</f>
        <v>0</v>
      </c>
      <c r="S135"/>
    </row>
    <row r="136" spans="3:19">
      <c r="C136" s="79"/>
      <c r="D136" s="92"/>
      <c r="E136" s="100"/>
      <c r="F136" s="79"/>
      <c r="G136" s="12">
        <f>IFERROR(VLOOKUP(Tabela3[[#This Row],[Conta]],'BD - E - Despesas'!$A$15:$E$500,5,0),0)</f>
        <v>0</v>
      </c>
      <c r="H136" s="24">
        <f>IFERROR(VLOOKUP(Tabela3[[#This Row],[Conta]],'BD - E - Despesas'!$J$15:$N$500,5,0),0)</f>
        <v>0</v>
      </c>
      <c r="I136" s="24">
        <f>IFERROR(VLOOKUP(Tabela3[[#This Row],[Conta]],'BD - E - Despesas'!$S$15:$W$500,5,0),0)</f>
        <v>0</v>
      </c>
      <c r="J136" s="24">
        <f>IFERROR(VLOOKUP(Tabela3[[#This Row],[Conta]],'BD - E - Despesas'!$AB$15:$AF$500,5,0),0)</f>
        <v>0</v>
      </c>
      <c r="K136" s="24">
        <f>IFERROR(VLOOKUP(Tabela3[[#This Row],[Conta]],'BD - E - Despesas'!$AK$15:$AO$500,5,0),0)</f>
        <v>0</v>
      </c>
      <c r="L136" s="24">
        <f>IFERROR(VLOOKUP(Tabela3[[#This Row],[Conta]],'BD - E - Despesas'!$AT$15:$AX$500,5,0),0)</f>
        <v>0</v>
      </c>
      <c r="M136" s="24">
        <f>IFERROR(VLOOKUP(Tabela3[[#This Row],[Conta]],'BD - E - Despesas'!$BC$15:$BG$500,5,0),0)</f>
        <v>0</v>
      </c>
      <c r="N136" s="24">
        <f>IFERROR(VLOOKUP(Tabela3[[#This Row],[Conta]],'BD - E - Despesas'!$BL$15:$BP$500,5,0),0)</f>
        <v>0</v>
      </c>
      <c r="O136" s="24">
        <f>IFERROR(VLOOKUP(Tabela3[[#This Row],[Conta]],'BD - E - Despesas'!$BU$15:$BY$500,5,0),0)</f>
        <v>0</v>
      </c>
      <c r="P136" s="24">
        <f>IFERROR(VLOOKUP(Tabela3[[#This Row],[Conta]],'BD - E - Despesas'!$CD$15:$CH$500,5,0),0)</f>
        <v>0</v>
      </c>
      <c r="Q136" s="24">
        <f>IFERROR(VLOOKUP(Tabela3[[#This Row],[Conta]],'BD - E - Despesas'!$CM$15:$CQ$500,5,0),0)</f>
        <v>0</v>
      </c>
      <c r="R136" s="24">
        <f>IFERROR(VLOOKUP(Tabela3[[#This Row],[Conta]],'BD - E - Despesas'!$CV$15:$CZ$500,5,0),0)</f>
        <v>0</v>
      </c>
      <c r="S136"/>
    </row>
    <row r="137" spans="3:19">
      <c r="C137" s="79"/>
      <c r="D137" s="92"/>
      <c r="E137" s="100"/>
      <c r="F137" s="79"/>
      <c r="G137" s="13">
        <f>IFERROR(VLOOKUP(Tabela3[[#This Row],[Conta]],'BD - E - Despesas'!$A$15:$E$500,5,0),0)</f>
        <v>0</v>
      </c>
      <c r="H137" s="24">
        <f>IFERROR(VLOOKUP(Tabela3[[#This Row],[Conta]],'BD - E - Despesas'!$J$15:$N$500,5,0),0)</f>
        <v>0</v>
      </c>
      <c r="I137" s="24">
        <f>IFERROR(VLOOKUP(Tabela3[[#This Row],[Conta]],'BD - E - Despesas'!$S$15:$W$500,5,0),0)</f>
        <v>0</v>
      </c>
      <c r="J137" s="24">
        <f>IFERROR(VLOOKUP(Tabela3[[#This Row],[Conta]],'BD - E - Despesas'!$AB$15:$AF$500,5,0),0)</f>
        <v>0</v>
      </c>
      <c r="K137" s="24">
        <f>IFERROR(VLOOKUP(Tabela3[[#This Row],[Conta]],'BD - E - Despesas'!$AK$15:$AO$500,5,0),0)</f>
        <v>0</v>
      </c>
      <c r="L137" s="24">
        <f>IFERROR(VLOOKUP(Tabela3[[#This Row],[Conta]],'BD - E - Despesas'!$AT$15:$AX$500,5,0),0)</f>
        <v>0</v>
      </c>
      <c r="M137" s="24">
        <f>IFERROR(VLOOKUP(Tabela3[[#This Row],[Conta]],'BD - E - Despesas'!$BC$15:$BG$500,5,0),0)</f>
        <v>0</v>
      </c>
      <c r="N137" s="24">
        <f>IFERROR(VLOOKUP(Tabela3[[#This Row],[Conta]],'BD - E - Despesas'!$BL$15:$BP$500,5,0),0)</f>
        <v>0</v>
      </c>
      <c r="O137" s="24">
        <f>IFERROR(VLOOKUP(Tabela3[[#This Row],[Conta]],'BD - E - Despesas'!$BU$15:$BY$500,5,0),0)</f>
        <v>0</v>
      </c>
      <c r="P137" s="24">
        <f>IFERROR(VLOOKUP(Tabela3[[#This Row],[Conta]],'BD - E - Despesas'!$CD$15:$CH$500,5,0),0)</f>
        <v>0</v>
      </c>
      <c r="Q137" s="24">
        <f>IFERROR(VLOOKUP(Tabela3[[#This Row],[Conta]],'BD - E - Despesas'!$CM$15:$CQ$500,5,0),0)</f>
        <v>0</v>
      </c>
      <c r="R137" s="24">
        <f>IFERROR(VLOOKUP(Tabela3[[#This Row],[Conta]],'BD - E - Despesas'!$CV$15:$CZ$500,5,0),0)</f>
        <v>0</v>
      </c>
      <c r="S137"/>
    </row>
    <row r="138" spans="3:19">
      <c r="C138" s="79"/>
      <c r="D138" s="92"/>
      <c r="E138" s="85"/>
      <c r="F138" s="82"/>
      <c r="G138" s="12">
        <f>IFERROR(VLOOKUP(Tabela3[[#This Row],[Conta]],'BD - E - Despesas'!$A$15:$E$500,5,0),0)</f>
        <v>0</v>
      </c>
      <c r="H138" s="24">
        <f>IFERROR(VLOOKUP(Tabela3[[#This Row],[Conta]],'BD - E - Despesas'!$J$15:$N$500,5,0),0)</f>
        <v>0</v>
      </c>
      <c r="I138" s="24">
        <f>IFERROR(VLOOKUP(Tabela3[[#This Row],[Conta]],'BD - E - Despesas'!$S$15:$W$500,5,0),0)</f>
        <v>0</v>
      </c>
      <c r="J138" s="24">
        <f>IFERROR(VLOOKUP(Tabela3[[#This Row],[Conta]],'BD - E - Despesas'!$AB$15:$AF$500,5,0),0)</f>
        <v>0</v>
      </c>
      <c r="K138" s="24">
        <f>IFERROR(VLOOKUP(Tabela3[[#This Row],[Conta]],'BD - E - Despesas'!$AK$15:$AO$500,5,0),0)</f>
        <v>0</v>
      </c>
      <c r="L138" s="24">
        <f>IFERROR(VLOOKUP(Tabela3[[#This Row],[Conta]],'BD - E - Despesas'!$AT$15:$AX$500,5,0),0)</f>
        <v>0</v>
      </c>
      <c r="M138" s="24">
        <f>IFERROR(VLOOKUP(Tabela3[[#This Row],[Conta]],'BD - E - Despesas'!$BC$15:$BG$500,5,0),0)</f>
        <v>0</v>
      </c>
      <c r="N138" s="24">
        <f>IFERROR(VLOOKUP(Tabela3[[#This Row],[Conta]],'BD - E - Despesas'!$BL$15:$BP$500,5,0),0)</f>
        <v>0</v>
      </c>
      <c r="O138" s="24">
        <f>IFERROR(VLOOKUP(Tabela3[[#This Row],[Conta]],'BD - E - Despesas'!$BU$15:$BY$500,5,0),0)</f>
        <v>0</v>
      </c>
      <c r="P138" s="24">
        <f>IFERROR(VLOOKUP(Tabela3[[#This Row],[Conta]],'BD - E - Despesas'!$CD$15:$CH$500,5,0),0)</f>
        <v>0</v>
      </c>
      <c r="Q138" s="24">
        <f>IFERROR(VLOOKUP(Tabela3[[#This Row],[Conta]],'BD - E - Despesas'!$CM$15:$CQ$500,5,0),0)</f>
        <v>0</v>
      </c>
      <c r="R138" s="24">
        <f>IFERROR(VLOOKUP(Tabela3[[#This Row],[Conta]],'BD - E - Despesas'!$CV$15:$CZ$500,5,0),0)</f>
        <v>0</v>
      </c>
      <c r="S138"/>
    </row>
    <row r="139" spans="3:19">
      <c r="C139" s="79"/>
      <c r="D139" s="92"/>
      <c r="E139" s="100"/>
      <c r="F139" s="79"/>
      <c r="G139" s="12">
        <f>IFERROR(VLOOKUP(Tabela3[[#This Row],[Conta]],'BD - E - Despesas'!$A$15:$E$500,5,0),0)</f>
        <v>0</v>
      </c>
      <c r="H139" s="24">
        <f>IFERROR(VLOOKUP(Tabela3[[#This Row],[Conta]],'BD - E - Despesas'!$J$15:$N$500,5,0),0)</f>
        <v>0</v>
      </c>
      <c r="I139" s="24">
        <f>IFERROR(VLOOKUP(Tabela3[[#This Row],[Conta]],'BD - E - Despesas'!$S$15:$W$500,5,0),0)</f>
        <v>0</v>
      </c>
      <c r="J139" s="24">
        <f>IFERROR(VLOOKUP(Tabela3[[#This Row],[Conta]],'BD - E - Despesas'!$AB$15:$AF$500,5,0),0)</f>
        <v>0</v>
      </c>
      <c r="K139" s="24">
        <f>IFERROR(VLOOKUP(Tabela3[[#This Row],[Conta]],'BD - E - Despesas'!$AK$15:$AO$500,5,0),0)</f>
        <v>0</v>
      </c>
      <c r="L139" s="24">
        <f>IFERROR(VLOOKUP(Tabela3[[#This Row],[Conta]],'BD - E - Despesas'!$AT$15:$AX$500,5,0),0)</f>
        <v>0</v>
      </c>
      <c r="M139" s="24">
        <f>IFERROR(VLOOKUP(Tabela3[[#This Row],[Conta]],'BD - E - Despesas'!$BC$15:$BG$500,5,0),0)</f>
        <v>0</v>
      </c>
      <c r="N139" s="24">
        <f>IFERROR(VLOOKUP(Tabela3[[#This Row],[Conta]],'BD - E - Despesas'!$BL$15:$BP$500,5,0),0)</f>
        <v>0</v>
      </c>
      <c r="O139" s="24">
        <f>IFERROR(VLOOKUP(Tabela3[[#This Row],[Conta]],'BD - E - Despesas'!$BU$15:$BY$500,5,0),0)</f>
        <v>0</v>
      </c>
      <c r="P139" s="24">
        <f>IFERROR(VLOOKUP(Tabela3[[#This Row],[Conta]],'BD - E - Despesas'!$CD$15:$CH$500,5,0),0)</f>
        <v>0</v>
      </c>
      <c r="Q139" s="24">
        <f>IFERROR(VLOOKUP(Tabela3[[#This Row],[Conta]],'BD - E - Despesas'!$CM$15:$CQ$500,5,0),0)</f>
        <v>0</v>
      </c>
      <c r="R139" s="24">
        <f>IFERROR(VLOOKUP(Tabela3[[#This Row],[Conta]],'BD - E - Despesas'!$CV$15:$CZ$500,5,0),0)</f>
        <v>0</v>
      </c>
      <c r="S139"/>
    </row>
    <row r="140" spans="3:19">
      <c r="C140" s="79"/>
      <c r="D140" s="92"/>
      <c r="E140" s="100"/>
      <c r="F140" s="79"/>
      <c r="G140" s="12">
        <f>IFERROR(VLOOKUP(Tabela3[[#This Row],[Conta]],'BD - E - Despesas'!$A$15:$E$500,5,0),0)</f>
        <v>0</v>
      </c>
      <c r="H140" s="24">
        <f>IFERROR(VLOOKUP(Tabela3[[#This Row],[Conta]],'BD - E - Despesas'!$J$15:$N$500,5,0),0)</f>
        <v>0</v>
      </c>
      <c r="I140" s="24">
        <f>IFERROR(VLOOKUP(Tabela3[[#This Row],[Conta]],'BD - E - Despesas'!$S$15:$W$500,5,0),0)</f>
        <v>0</v>
      </c>
      <c r="J140" s="24">
        <f>IFERROR(VLOOKUP(Tabela3[[#This Row],[Conta]],'BD - E - Despesas'!$AB$15:$AF$500,5,0),0)</f>
        <v>0</v>
      </c>
      <c r="K140" s="24">
        <f>IFERROR(VLOOKUP(Tabela3[[#This Row],[Conta]],'BD - E - Despesas'!$AK$15:$AO$500,5,0),0)</f>
        <v>0</v>
      </c>
      <c r="L140" s="24">
        <f>IFERROR(VLOOKUP(Tabela3[[#This Row],[Conta]],'BD - E - Despesas'!$AT$15:$AX$500,5,0),0)</f>
        <v>0</v>
      </c>
      <c r="M140" s="24">
        <f>IFERROR(VLOOKUP(Tabela3[[#This Row],[Conta]],'BD - E - Despesas'!$BC$15:$BG$500,5,0),0)</f>
        <v>0</v>
      </c>
      <c r="N140" s="24">
        <f>IFERROR(VLOOKUP(Tabela3[[#This Row],[Conta]],'BD - E - Despesas'!$BL$15:$BP$500,5,0),0)</f>
        <v>0</v>
      </c>
      <c r="O140" s="24">
        <f>IFERROR(VLOOKUP(Tabela3[[#This Row],[Conta]],'BD - E - Despesas'!$BU$15:$BY$500,5,0),0)</f>
        <v>0</v>
      </c>
      <c r="P140" s="24">
        <f>IFERROR(VLOOKUP(Tabela3[[#This Row],[Conta]],'BD - E - Despesas'!$CD$15:$CH$500,5,0),0)</f>
        <v>0</v>
      </c>
      <c r="Q140" s="24">
        <f>IFERROR(VLOOKUP(Tabela3[[#This Row],[Conta]],'BD - E - Despesas'!$CM$15:$CQ$500,5,0),0)</f>
        <v>0</v>
      </c>
      <c r="R140" s="24">
        <f>IFERROR(VLOOKUP(Tabela3[[#This Row],[Conta]],'BD - E - Despesas'!$CV$15:$CZ$500,5,0),0)</f>
        <v>0</v>
      </c>
      <c r="S140"/>
    </row>
    <row r="141" spans="3:19">
      <c r="C141" s="79"/>
      <c r="D141" s="92"/>
      <c r="E141" s="100"/>
      <c r="F141" s="79"/>
      <c r="G141" s="12">
        <f>IFERROR(VLOOKUP(Tabela3[[#This Row],[Conta]],'BD - E - Despesas'!$A$15:$E$500,5,0),0)</f>
        <v>0</v>
      </c>
      <c r="H141" s="24">
        <f>IFERROR(VLOOKUP(Tabela3[[#This Row],[Conta]],'BD - E - Despesas'!$J$15:$N$500,5,0),0)</f>
        <v>0</v>
      </c>
      <c r="I141" s="24">
        <f>IFERROR(VLOOKUP(Tabela3[[#This Row],[Conta]],'BD - E - Despesas'!$S$15:$W$500,5,0),0)</f>
        <v>0</v>
      </c>
      <c r="J141" s="24">
        <f>IFERROR(VLOOKUP(Tabela3[[#This Row],[Conta]],'BD - E - Despesas'!$AB$15:$AF$500,5,0),0)</f>
        <v>0</v>
      </c>
      <c r="K141" s="24">
        <f>IFERROR(VLOOKUP(Tabela3[[#This Row],[Conta]],'BD - E - Despesas'!$AK$15:$AO$500,5,0),0)</f>
        <v>0</v>
      </c>
      <c r="L141" s="24">
        <f>IFERROR(VLOOKUP(Tabela3[[#This Row],[Conta]],'BD - E - Despesas'!$AT$15:$AX$500,5,0),0)</f>
        <v>0</v>
      </c>
      <c r="M141" s="24">
        <f>IFERROR(VLOOKUP(Tabela3[[#This Row],[Conta]],'BD - E - Despesas'!$BC$15:$BG$500,5,0),0)</f>
        <v>0</v>
      </c>
      <c r="N141" s="24">
        <f>IFERROR(VLOOKUP(Tabela3[[#This Row],[Conta]],'BD - E - Despesas'!$BL$15:$BP$500,5,0),0)</f>
        <v>0</v>
      </c>
      <c r="O141" s="24">
        <f>IFERROR(VLOOKUP(Tabela3[[#This Row],[Conta]],'BD - E - Despesas'!$BU$15:$BY$500,5,0),0)</f>
        <v>0</v>
      </c>
      <c r="P141" s="24">
        <f>IFERROR(VLOOKUP(Tabela3[[#This Row],[Conta]],'BD - E - Despesas'!$CD$15:$CH$500,5,0),0)</f>
        <v>0</v>
      </c>
      <c r="Q141" s="24">
        <f>IFERROR(VLOOKUP(Tabela3[[#This Row],[Conta]],'BD - E - Despesas'!$CM$15:$CQ$500,5,0),0)</f>
        <v>0</v>
      </c>
      <c r="R141" s="24">
        <f>IFERROR(VLOOKUP(Tabela3[[#This Row],[Conta]],'BD - E - Despesas'!$CV$15:$CZ$500,5,0),0)</f>
        <v>0</v>
      </c>
      <c r="S141"/>
    </row>
    <row r="142" spans="3:19">
      <c r="C142" s="79"/>
      <c r="D142" s="92"/>
      <c r="E142" s="100"/>
      <c r="F142" s="79"/>
      <c r="G142" s="12">
        <f>IFERROR(VLOOKUP(Tabela3[[#This Row],[Conta]],'BD - E - Despesas'!$A$15:$E$500,5,0),0)</f>
        <v>0</v>
      </c>
      <c r="H142" s="24">
        <f>IFERROR(VLOOKUP(Tabela3[[#This Row],[Conta]],'BD - E - Despesas'!$J$15:$N$500,5,0),0)</f>
        <v>0</v>
      </c>
      <c r="I142" s="24">
        <f>IFERROR(VLOOKUP(Tabela3[[#This Row],[Conta]],'BD - E - Despesas'!$S$15:$W$500,5,0),0)</f>
        <v>0</v>
      </c>
      <c r="J142" s="24">
        <f>IFERROR(VLOOKUP(Tabela3[[#This Row],[Conta]],'BD - E - Despesas'!$AB$15:$AF$500,5,0),0)</f>
        <v>0</v>
      </c>
      <c r="K142" s="24">
        <f>IFERROR(VLOOKUP(Tabela3[[#This Row],[Conta]],'BD - E - Despesas'!$AK$15:$AO$500,5,0),0)</f>
        <v>0</v>
      </c>
      <c r="L142" s="24">
        <f>IFERROR(VLOOKUP(Tabela3[[#This Row],[Conta]],'BD - E - Despesas'!$AT$15:$AX$500,5,0),0)</f>
        <v>0</v>
      </c>
      <c r="M142" s="24">
        <f>IFERROR(VLOOKUP(Tabela3[[#This Row],[Conta]],'BD - E - Despesas'!$BC$15:$BG$500,5,0),0)</f>
        <v>0</v>
      </c>
      <c r="N142" s="24">
        <f>IFERROR(VLOOKUP(Tabela3[[#This Row],[Conta]],'BD - E - Despesas'!$BL$15:$BP$500,5,0),0)</f>
        <v>0</v>
      </c>
      <c r="O142" s="24">
        <f>IFERROR(VLOOKUP(Tabela3[[#This Row],[Conta]],'BD - E - Despesas'!$BU$15:$BY$500,5,0),0)</f>
        <v>0</v>
      </c>
      <c r="P142" s="24">
        <f>IFERROR(VLOOKUP(Tabela3[[#This Row],[Conta]],'BD - E - Despesas'!$CD$15:$CH$500,5,0),0)</f>
        <v>0</v>
      </c>
      <c r="Q142" s="24">
        <f>IFERROR(VLOOKUP(Tabela3[[#This Row],[Conta]],'BD - E - Despesas'!$CM$15:$CQ$500,5,0),0)</f>
        <v>0</v>
      </c>
      <c r="R142" s="24">
        <f>IFERROR(VLOOKUP(Tabela3[[#This Row],[Conta]],'BD - E - Despesas'!$CV$15:$CZ$500,5,0),0)</f>
        <v>0</v>
      </c>
      <c r="S142"/>
    </row>
    <row r="143" spans="3:19">
      <c r="C143" s="79"/>
      <c r="D143" s="92"/>
      <c r="E143" s="100"/>
      <c r="F143" s="79"/>
      <c r="G143" s="12">
        <f>IFERROR(VLOOKUP(Tabela3[[#This Row],[Conta]],'BD - E - Despesas'!$A$15:$E$500,5,0),0)</f>
        <v>0</v>
      </c>
      <c r="H143" s="24">
        <f>IFERROR(VLOOKUP(Tabela3[[#This Row],[Conta]],'BD - E - Despesas'!$J$15:$N$500,5,0),0)</f>
        <v>0</v>
      </c>
      <c r="I143" s="24" t="s">
        <v>459</v>
      </c>
      <c r="J143" s="24" t="s">
        <v>459</v>
      </c>
      <c r="K143" s="24" t="s">
        <v>459</v>
      </c>
      <c r="L143" s="24" t="s">
        <v>459</v>
      </c>
      <c r="M143" s="24" t="s">
        <v>459</v>
      </c>
      <c r="N143" s="24" t="s">
        <v>459</v>
      </c>
      <c r="O143" s="24" t="s">
        <v>459</v>
      </c>
      <c r="P143" s="24">
        <f>IFERROR(VLOOKUP(Tabela3[[#This Row],[Conta]],'BD - E - Despesas'!$CD$15:$CH$500,5,0),0)</f>
        <v>0</v>
      </c>
      <c r="Q143" s="24">
        <f>IFERROR(VLOOKUP(Tabela3[[#This Row],[Conta]],'BD - E - Despesas'!$CM$15:$CQ$500,5,0),0)</f>
        <v>0</v>
      </c>
      <c r="R143" s="24">
        <f>IFERROR(VLOOKUP(Tabela3[[#This Row],[Conta]],'BD - E - Despesas'!$CV$15:$CZ$500,5,0),0)</f>
        <v>0</v>
      </c>
      <c r="S143"/>
    </row>
    <row r="144" spans="3:19">
      <c r="C144" s="79"/>
      <c r="D144" s="92"/>
      <c r="E144" s="100"/>
      <c r="F144" s="79"/>
      <c r="G144" s="13">
        <f>IFERROR(VLOOKUP(Tabela3[[#This Row],[Conta]],'BD - E - Despesas'!$A$15:$E$500,5,0),0)</f>
        <v>0</v>
      </c>
      <c r="H144" s="24">
        <f>IFERROR(VLOOKUP(Tabela3[[#This Row],[Conta]],'BD - E - Despesas'!$J$15:$N$500,5,0),0)</f>
        <v>0</v>
      </c>
      <c r="I144" s="24">
        <f>IFERROR(VLOOKUP(Tabela3[[#This Row],[Conta]],'BD - E - Despesas'!$S$15:$W$500,5,0),0)</f>
        <v>0</v>
      </c>
      <c r="J144" s="24">
        <f>IFERROR(VLOOKUP(Tabela3[[#This Row],[Conta]],'BD - E - Despesas'!$AB$15:$AF$500,5,0),0)</f>
        <v>0</v>
      </c>
      <c r="K144" s="24">
        <f>IFERROR(VLOOKUP(Tabela3[[#This Row],[Conta]],'BD - E - Despesas'!$AK$15:$AO$500,5,0),0)</f>
        <v>0</v>
      </c>
      <c r="L144" s="24">
        <f>IFERROR(VLOOKUP(Tabela3[[#This Row],[Conta]],'BD - E - Despesas'!$AT$15:$AX$500,5,0),0)</f>
        <v>0</v>
      </c>
      <c r="M144" s="24">
        <f>IFERROR(VLOOKUP(Tabela3[[#This Row],[Conta]],'BD - E - Despesas'!$BC$15:$BG$500,5,0),0)</f>
        <v>0</v>
      </c>
      <c r="N144" s="24">
        <f>IFERROR(VLOOKUP(Tabela3[[#This Row],[Conta]],'BD - E - Despesas'!$BL$15:$BP$500,5,0),0)</f>
        <v>0</v>
      </c>
      <c r="O144" s="24">
        <f>IFERROR(VLOOKUP(Tabela3[[#This Row],[Conta]],'BD - E - Despesas'!$BU$15:$BY$500,5,0),0)</f>
        <v>0</v>
      </c>
      <c r="P144" s="24">
        <f>IFERROR(VLOOKUP(Tabela3[[#This Row],[Conta]],'BD - E - Despesas'!$CD$15:$CH$500,5,0),0)</f>
        <v>0</v>
      </c>
      <c r="Q144" s="24">
        <f>IFERROR(VLOOKUP(Tabela3[[#This Row],[Conta]],'BD - E - Despesas'!$CM$15:$CQ$500,5,0),0)</f>
        <v>0</v>
      </c>
      <c r="R144" s="24">
        <f>IFERROR(VLOOKUP(Tabela3[[#This Row],[Conta]],'BD - E - Despesas'!$CV$15:$CZ$500,5,0),0)</f>
        <v>0</v>
      </c>
      <c r="S144"/>
    </row>
    <row r="145" spans="3:19">
      <c r="C145" s="79"/>
      <c r="D145" s="92"/>
      <c r="E145" s="100"/>
      <c r="F145" s="79"/>
      <c r="G145" s="13">
        <f>IFERROR(VLOOKUP(Tabela3[[#This Row],[Conta]],'BD - E - Despesas'!$A$15:$E$500,5,0),0)</f>
        <v>0</v>
      </c>
      <c r="H145" s="24">
        <f>IFERROR(VLOOKUP(Tabela3[[#This Row],[Conta]],'BD - E - Despesas'!$J$15:$N$500,5,0),0)</f>
        <v>0</v>
      </c>
      <c r="I145" s="24">
        <f>IFERROR(VLOOKUP(Tabela3[[#This Row],[Conta]],'BD - E - Despesas'!$S$15:$W$500,5,0),0)</f>
        <v>0</v>
      </c>
      <c r="J145" s="24">
        <f>IFERROR(VLOOKUP(Tabela3[[#This Row],[Conta]],'BD - E - Despesas'!$AB$15:$AF$500,5,0),0)</f>
        <v>0</v>
      </c>
      <c r="K145" s="24">
        <f>IFERROR(VLOOKUP(Tabela3[[#This Row],[Conta]],'BD - E - Despesas'!$AK$15:$AO$500,5,0),0)</f>
        <v>0</v>
      </c>
      <c r="L145" s="24">
        <f>IFERROR(VLOOKUP(Tabela3[[#This Row],[Conta]],'BD - E - Despesas'!$AT$15:$AX$500,5,0),0)</f>
        <v>0</v>
      </c>
      <c r="M145" s="24">
        <f>IFERROR(VLOOKUP(Tabela3[[#This Row],[Conta]],'BD - E - Despesas'!$BC$15:$BG$500,5,0),0)</f>
        <v>0</v>
      </c>
      <c r="N145" s="24">
        <f>IFERROR(VLOOKUP(Tabela3[[#This Row],[Conta]],'BD - E - Despesas'!$BL$15:$BP$500,5,0),0)</f>
        <v>0</v>
      </c>
      <c r="O145" s="24">
        <f>IFERROR(VLOOKUP(Tabela3[[#This Row],[Conta]],'BD - E - Despesas'!$BU$15:$BY$500,5,0),0)</f>
        <v>0</v>
      </c>
      <c r="P145" s="24">
        <f>IFERROR(VLOOKUP(Tabela3[[#This Row],[Conta]],'BD - E - Despesas'!$CD$15:$CH$500,5,0),0)</f>
        <v>0</v>
      </c>
      <c r="Q145" s="24">
        <f>IFERROR(VLOOKUP(Tabela3[[#This Row],[Conta]],'BD - E - Despesas'!$CM$15:$CQ$500,5,0),0)</f>
        <v>0</v>
      </c>
      <c r="R145" s="24">
        <f>IFERROR(VLOOKUP(Tabela3[[#This Row],[Conta]],'BD - E - Despesas'!$CV$15:$CZ$500,5,0),0)</f>
        <v>0</v>
      </c>
      <c r="S145"/>
    </row>
    <row r="146" spans="3:19">
      <c r="C146" s="79"/>
      <c r="D146" s="92"/>
      <c r="E146" s="100"/>
      <c r="F146" s="79"/>
      <c r="G146" s="12">
        <f>IFERROR(VLOOKUP(Tabela3[[#This Row],[Conta]],'BD - E - Despesas'!$A$15:$E$500,5,0),0)</f>
        <v>0</v>
      </c>
      <c r="H146" s="24">
        <f>IFERROR(VLOOKUP(Tabela3[[#This Row],[Conta]],'BD - E - Despesas'!$J$15:$N$500,5,0),0)</f>
        <v>0</v>
      </c>
      <c r="I146" s="24">
        <f>IFERROR(VLOOKUP(Tabela3[[#This Row],[Conta]],'BD - E - Despesas'!$S$15:$W$500,5,0),0)</f>
        <v>0</v>
      </c>
      <c r="J146" s="24">
        <f>IFERROR(VLOOKUP(Tabela3[[#This Row],[Conta]],'BD - E - Despesas'!$AB$15:$AF$500,5,0),0)</f>
        <v>0</v>
      </c>
      <c r="K146" s="24">
        <f>IFERROR(VLOOKUP(Tabela3[[#This Row],[Conta]],'BD - E - Despesas'!$AK$15:$AO$500,5,0),0)</f>
        <v>0</v>
      </c>
      <c r="L146" s="24">
        <f>IFERROR(VLOOKUP(Tabela3[[#This Row],[Conta]],'BD - E - Despesas'!$AT$15:$AX$500,5,0),0)</f>
        <v>0</v>
      </c>
      <c r="M146" s="24">
        <f>IFERROR(VLOOKUP(Tabela3[[#This Row],[Conta]],'BD - E - Despesas'!$BC$15:$BG$500,5,0),0)</f>
        <v>0</v>
      </c>
      <c r="N146" s="24">
        <f>IFERROR(VLOOKUP(Tabela3[[#This Row],[Conta]],'BD - E - Despesas'!$BL$15:$BP$500,5,0),0)</f>
        <v>0</v>
      </c>
      <c r="O146" s="24">
        <f>IFERROR(VLOOKUP(Tabela3[[#This Row],[Conta]],'BD - E - Despesas'!$BU$15:$BY$500,5,0),0)</f>
        <v>0</v>
      </c>
      <c r="P146" s="24">
        <f>IFERROR(VLOOKUP(Tabela3[[#This Row],[Conta]],'BD - E - Despesas'!$CD$15:$CH$500,5,0),0)</f>
        <v>0</v>
      </c>
      <c r="Q146" s="24">
        <f>IFERROR(VLOOKUP(Tabela3[[#This Row],[Conta]],'BD - E - Despesas'!$CM$15:$CQ$500,5,0),0)</f>
        <v>0</v>
      </c>
      <c r="R146" s="24">
        <f>IFERROR(VLOOKUP(Tabela3[[#This Row],[Conta]],'BD - E - Despesas'!$CV$15:$CZ$500,5,0),0)</f>
        <v>0</v>
      </c>
      <c r="S146"/>
    </row>
    <row r="147" spans="3:19">
      <c r="C147" s="79"/>
      <c r="D147" s="93"/>
      <c r="E147" s="100"/>
      <c r="F147" s="94"/>
      <c r="G147" s="22">
        <f>IFERROR(VLOOKUP(Tabela3[[#This Row],[Conta]],'BD - E - Despesas'!$A$15:$E$500,5,0),0)</f>
        <v>0</v>
      </c>
      <c r="H147" s="24">
        <f>IFERROR(VLOOKUP(Tabela3[[#This Row],[Conta]],'BD - E - Despesas'!$J$15:$N$500,5,0),0)</f>
        <v>0</v>
      </c>
      <c r="I147" s="24">
        <f>IFERROR(VLOOKUP(Tabela3[[#This Row],[Conta]],'BD - E - Despesas'!$S$15:$W$500,5,0),0)</f>
        <v>0</v>
      </c>
      <c r="J147" s="24">
        <f>IFERROR(VLOOKUP(Tabela3[[#This Row],[Conta]],'BD - E - Despesas'!$AB$15:$AF$500,5,0),0)</f>
        <v>0</v>
      </c>
      <c r="K147" s="24">
        <f>IFERROR(VLOOKUP(Tabela3[[#This Row],[Conta]],'BD - E - Despesas'!$AK$15:$AO$500,5,0),0)</f>
        <v>0</v>
      </c>
      <c r="L147" s="24">
        <f>IFERROR(VLOOKUP(Tabela3[[#This Row],[Conta]],'BD - E - Despesas'!$AT$15:$AX$500,5,0),0)</f>
        <v>0</v>
      </c>
      <c r="M147" s="24">
        <f>IFERROR(VLOOKUP(Tabela3[[#This Row],[Conta]],'BD - E - Despesas'!$BC$15:$BG$500,5,0),0)</f>
        <v>0</v>
      </c>
      <c r="N147" s="24">
        <f>IFERROR(VLOOKUP(Tabela3[[#This Row],[Conta]],'BD - E - Despesas'!$BL$15:$BP$500,5,0),0)</f>
        <v>0</v>
      </c>
      <c r="O147" s="24">
        <f>IFERROR(VLOOKUP(Tabela3[[#This Row],[Conta]],'BD - E - Despesas'!$BU$15:$BY$500,5,0),0)</f>
        <v>0</v>
      </c>
      <c r="P147" s="24">
        <f>IFERROR(VLOOKUP(Tabela3[[#This Row],[Conta]],'BD - E - Despesas'!$CD$15:$CH$500,5,0),0)</f>
        <v>0</v>
      </c>
      <c r="Q147" s="24">
        <f>IFERROR(VLOOKUP(Tabela3[[#This Row],[Conta]],'BD - E - Despesas'!$CM$15:$CQ$500,5,0),0)</f>
        <v>0</v>
      </c>
      <c r="R147" s="24">
        <f>IFERROR(VLOOKUP(Tabela3[[#This Row],[Conta]],'BD - E - Despesas'!$CV$15:$CZ$500,5,0),0)</f>
        <v>0</v>
      </c>
      <c r="S147"/>
    </row>
    <row r="148" spans="3:19">
      <c r="C148" s="79"/>
      <c r="D148" s="79"/>
      <c r="E148" s="85"/>
      <c r="F148" s="94" t="s">
        <v>9</v>
      </c>
      <c r="G148" s="16">
        <f t="shared" ref="G148:R148" si="0">SUM(G3:G147)</f>
        <v>2988282.9400000009</v>
      </c>
      <c r="H148" s="16">
        <f t="shared" si="0"/>
        <v>2391135.4899999993</v>
      </c>
      <c r="I148" s="16">
        <f>SUM(I3:I147)</f>
        <v>3586460.61</v>
      </c>
      <c r="J148" s="16">
        <f t="shared" si="0"/>
        <v>3346598.91</v>
      </c>
      <c r="K148" s="16">
        <f t="shared" si="0"/>
        <v>0</v>
      </c>
      <c r="L148" s="16">
        <f t="shared" si="0"/>
        <v>0</v>
      </c>
      <c r="M148" s="16">
        <f t="shared" si="0"/>
        <v>0</v>
      </c>
      <c r="N148" s="16">
        <f t="shared" si="0"/>
        <v>0</v>
      </c>
      <c r="O148" s="16">
        <f t="shared" si="0"/>
        <v>0</v>
      </c>
      <c r="P148" s="16">
        <f t="shared" si="0"/>
        <v>0</v>
      </c>
      <c r="Q148" s="16">
        <f t="shared" si="0"/>
        <v>0</v>
      </c>
      <c r="R148" s="16">
        <f t="shared" si="0"/>
        <v>0</v>
      </c>
      <c r="S148"/>
    </row>
    <row r="149" spans="3:19">
      <c r="C149" s="79"/>
      <c r="D149" s="79"/>
      <c r="E149" s="85"/>
      <c r="F149" s="94" t="s">
        <v>4</v>
      </c>
      <c r="G149" s="16">
        <f>'MVTO E'!G128+'MVTO E'!G129+'MVTO E'!G178</f>
        <v>2988282.94</v>
      </c>
      <c r="H149" s="16">
        <f>'MVTO E'!H128+'MVTO E'!H129+'MVTO E'!H178</f>
        <v>2391135.4899999998</v>
      </c>
      <c r="I149" s="16">
        <f>'MVTO E'!I128+'MVTO E'!I129+'MVTO E'!I178</f>
        <v>3586460.6099999994</v>
      </c>
      <c r="J149" s="16">
        <f>'MVTO E'!J128+'MVTO E'!J129+'MVTO E'!J178</f>
        <v>3346598.9099999997</v>
      </c>
      <c r="K149" s="16">
        <f>'MVTO E'!K128+'MVTO E'!K129+'MVTO E'!K178</f>
        <v>0</v>
      </c>
      <c r="L149" s="16">
        <f>'MVTO E'!L128+'MVTO E'!L129+'MVTO E'!L178</f>
        <v>0</v>
      </c>
      <c r="M149" s="16">
        <f>'MVTO E'!M128+'MVTO E'!M129+'MVTO E'!M178</f>
        <v>0</v>
      </c>
      <c r="N149" s="16">
        <f>'MVTO E'!N128+'MVTO E'!N129+'MVTO E'!N178</f>
        <v>0</v>
      </c>
      <c r="O149" s="16">
        <f>'MVTO E'!O128+'MVTO E'!O129+'MVTO E'!O178</f>
        <v>0</v>
      </c>
      <c r="P149" s="16">
        <f>'MVTO E'!P128+'MVTO E'!P129+'MVTO E'!P178</f>
        <v>0</v>
      </c>
      <c r="Q149" s="16">
        <f>'MVTO E'!Q128+'MVTO E'!Q129+'MVTO E'!Q178</f>
        <v>0</v>
      </c>
      <c r="R149" s="16">
        <f>'MVTO E'!R128+'MVTO E'!R129+'MVTO E'!R178</f>
        <v>0</v>
      </c>
      <c r="S149" s="8"/>
    </row>
    <row r="150" spans="3:19" ht="15" thickBot="1">
      <c r="C150" s="95"/>
      <c r="D150" s="95"/>
      <c r="E150" s="103"/>
      <c r="F150" s="96" t="s">
        <v>10</v>
      </c>
      <c r="G150" s="17">
        <f t="shared" ref="G150:O150" si="1">G148-G149</f>
        <v>0</v>
      </c>
      <c r="H150" s="17">
        <f t="shared" si="1"/>
        <v>0</v>
      </c>
      <c r="I150" s="17">
        <f>I148-I149</f>
        <v>0</v>
      </c>
      <c r="J150" s="17">
        <f t="shared" si="1"/>
        <v>0</v>
      </c>
      <c r="K150" s="17">
        <f t="shared" si="1"/>
        <v>0</v>
      </c>
      <c r="L150" s="17">
        <f t="shared" si="1"/>
        <v>0</v>
      </c>
      <c r="M150" s="17">
        <f t="shared" si="1"/>
        <v>0</v>
      </c>
      <c r="N150" s="17">
        <f t="shared" si="1"/>
        <v>0</v>
      </c>
      <c r="O150" s="17">
        <f t="shared" si="1"/>
        <v>0</v>
      </c>
      <c r="P150" s="24">
        <f>IFERROR(VLOOKUP(Tabela3[[#This Row],[Conta]],'BD - E - Despesas'!$CD$15:$CH$500,5,0),0)</f>
        <v>0</v>
      </c>
      <c r="Q150" s="24">
        <f>IFERROR(VLOOKUP(Tabela3[[#This Row],[Conta]],'BD - E - Despesas'!$CM$15:$CQ$500,5,0),0)</f>
        <v>0</v>
      </c>
      <c r="R150" s="17">
        <f>R148-R149</f>
        <v>0</v>
      </c>
      <c r="S150"/>
    </row>
    <row r="151" spans="3:19">
      <c r="G151" s="122"/>
    </row>
    <row r="159" spans="3:19">
      <c r="G159" s="34"/>
    </row>
    <row r="160" spans="3:19">
      <c r="G160" s="34"/>
    </row>
    <row r="161" spans="7:7">
      <c r="G161" s="34"/>
    </row>
    <row r="162" spans="7:7">
      <c r="G162" s="34"/>
    </row>
  </sheetData>
  <phoneticPr fontId="60" type="noConversion"/>
  <conditionalFormatting sqref="F3:F125">
    <cfRule type="duplicateValues" dxfId="1" priority="1"/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useFirstPageNumber="1" horizontalDpi="300" verticalDpi="30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D0B09"/>
  </sheetPr>
  <dimension ref="A2:DF155"/>
  <sheetViews>
    <sheetView topLeftCell="U37" zoomScale="90" zoomScaleNormal="90" workbookViewId="0">
      <selection activeCell="AC58" sqref="AC58"/>
    </sheetView>
  </sheetViews>
  <sheetFormatPr defaultColWidth="9.33203125" defaultRowHeight="14.4"/>
  <cols>
    <col min="1" max="1" width="9.5546875" customWidth="1"/>
    <col min="2" max="2" width="41.6640625" style="108" customWidth="1"/>
    <col min="3" max="3" width="16.6640625" style="109" customWidth="1"/>
    <col min="4" max="4" width="15.44140625" style="109" bestFit="1" customWidth="1"/>
    <col min="5" max="5" width="14.44140625" style="109" customWidth="1"/>
    <col min="6" max="6" width="38.6640625" style="109" customWidth="1"/>
    <col min="7" max="7" width="15.44140625" style="109" bestFit="1" customWidth="1"/>
    <col min="8" max="8" width="14.44140625" style="109" bestFit="1" customWidth="1"/>
    <col min="9" max="9" width="2.88671875" style="113" customWidth="1"/>
    <col min="10" max="10" width="8.6640625" style="108" customWidth="1"/>
    <col min="11" max="11" width="41.6640625" style="108" customWidth="1"/>
    <col min="12" max="12" width="16.6640625" style="109" customWidth="1"/>
    <col min="13" max="13" width="15" style="109" bestFit="1" customWidth="1"/>
    <col min="14" max="14" width="7.6640625" style="109" bestFit="1" customWidth="1"/>
    <col min="15" max="15" width="43.44140625" style="109" customWidth="1"/>
    <col min="16" max="16" width="15" style="109" bestFit="1" customWidth="1"/>
    <col min="17" max="17" width="14.88671875" style="109" customWidth="1"/>
    <col min="18" max="18" width="2.88671875" style="113" customWidth="1"/>
    <col min="19" max="19" width="8.6640625" style="108" customWidth="1"/>
    <col min="20" max="20" width="41.6640625" style="108" customWidth="1"/>
    <col min="21" max="21" width="16.6640625" style="109" customWidth="1"/>
    <col min="22" max="22" width="15" style="109" bestFit="1" customWidth="1"/>
    <col min="23" max="23" width="8.44140625" style="109" bestFit="1" customWidth="1"/>
    <col min="24" max="24" width="32.33203125" style="109" customWidth="1"/>
    <col min="25" max="25" width="15" style="109" bestFit="1" customWidth="1"/>
    <col min="26" max="26" width="13.6640625" style="109" customWidth="1"/>
    <col min="27" max="27" width="2.88671875" style="113" customWidth="1"/>
    <col min="28" max="28" width="11.109375" customWidth="1"/>
    <col min="29" max="29" width="34.6640625" customWidth="1"/>
    <col min="30" max="30" width="14.33203125" bestFit="1" customWidth="1"/>
    <col min="31" max="31" width="15" bestFit="1" customWidth="1"/>
    <col min="32" max="32" width="11" customWidth="1"/>
    <col min="33" max="33" width="55" customWidth="1"/>
    <col min="34" max="34" width="15" bestFit="1" customWidth="1"/>
    <col min="35" max="35" width="13.33203125" bestFit="1" customWidth="1"/>
    <col min="36" max="36" width="2.88671875" style="113" customWidth="1"/>
    <col min="38" max="38" width="22.44140625" customWidth="1"/>
    <col min="39" max="39" width="13.109375" bestFit="1" customWidth="1"/>
    <col min="40" max="40" width="15" bestFit="1" customWidth="1"/>
    <col min="42" max="42" width="37.109375" customWidth="1"/>
    <col min="43" max="43" width="15" bestFit="1" customWidth="1"/>
    <col min="44" max="44" width="12.5546875" bestFit="1" customWidth="1"/>
    <col min="45" max="45" width="2.88671875" style="113" customWidth="1"/>
    <col min="47" max="47" width="33" customWidth="1"/>
    <col min="48" max="48" width="14" customWidth="1"/>
    <col min="49" max="49" width="15" bestFit="1" customWidth="1"/>
    <col min="51" max="51" width="29.33203125" customWidth="1"/>
    <col min="52" max="53" width="15" bestFit="1" customWidth="1"/>
    <col min="55" max="55" width="30.33203125" customWidth="1"/>
    <col min="57" max="57" width="2.88671875" style="113" customWidth="1"/>
    <col min="60" max="60" width="13.6640625" customWidth="1"/>
    <col min="61" max="61" width="15" bestFit="1" customWidth="1"/>
    <col min="62" max="62" width="7" bestFit="1" customWidth="1"/>
    <col min="63" max="63" width="31.33203125" customWidth="1"/>
    <col min="64" max="64" width="15" bestFit="1" customWidth="1"/>
    <col min="65" max="65" width="13.6640625" bestFit="1" customWidth="1"/>
    <col min="66" max="66" width="2.88671875" style="113" customWidth="1"/>
    <col min="68" max="68" width="27.109375" customWidth="1"/>
    <col min="69" max="69" width="14.88671875" customWidth="1"/>
    <col min="70" max="70" width="15.5546875" customWidth="1"/>
    <col min="71" max="71" width="10.88671875" customWidth="1"/>
    <col min="72" max="72" width="27.109375" customWidth="1"/>
    <col min="73" max="73" width="15.88671875" customWidth="1"/>
    <col min="74" max="74" width="13.6640625" bestFit="1" customWidth="1"/>
    <col min="75" max="75" width="2.88671875" style="113" customWidth="1"/>
    <col min="77" max="77" width="45.6640625" bestFit="1" customWidth="1"/>
    <col min="78" max="78" width="13.5546875" customWidth="1"/>
    <col min="79" max="79" width="15.6640625" customWidth="1"/>
    <col min="82" max="82" width="15.109375" customWidth="1"/>
    <col min="83" max="83" width="12.5546875" bestFit="1" customWidth="1"/>
    <col min="84" max="84" width="2.88671875" style="113" customWidth="1"/>
    <col min="86" max="86" width="21.6640625" bestFit="1" customWidth="1"/>
    <col min="87" max="87" width="12.88671875" bestFit="1" customWidth="1"/>
    <col min="88" max="88" width="15" bestFit="1" customWidth="1"/>
    <col min="89" max="89" width="9" customWidth="1"/>
    <col min="90" max="90" width="21.6640625" bestFit="1" customWidth="1"/>
    <col min="91" max="91" width="15" bestFit="1" customWidth="1"/>
    <col min="92" max="92" width="12.88671875" bestFit="1" customWidth="1"/>
    <col min="93" max="93" width="2.88671875" style="113" customWidth="1"/>
    <col min="95" max="95" width="22.88671875" customWidth="1"/>
    <col min="96" max="96" width="13.109375" customWidth="1"/>
    <col min="97" max="97" width="13.6640625" bestFit="1" customWidth="1"/>
    <col min="99" max="99" width="68.5546875" bestFit="1" customWidth="1"/>
    <col min="100" max="100" width="13.6640625" bestFit="1" customWidth="1"/>
    <col min="101" max="101" width="12.5546875" bestFit="1" customWidth="1"/>
    <col min="102" max="102" width="2.88671875" style="113" customWidth="1"/>
    <col min="104" max="104" width="49.5546875" bestFit="1" customWidth="1"/>
    <col min="105" max="105" width="27.109375" bestFit="1" customWidth="1"/>
    <col min="106" max="106" width="13.6640625" bestFit="1" customWidth="1"/>
    <col min="108" max="108" width="66.6640625" bestFit="1" customWidth="1"/>
    <col min="109" max="109" width="13.6640625" bestFit="1" customWidth="1"/>
    <col min="110" max="110" width="13.33203125" bestFit="1" customWidth="1"/>
  </cols>
  <sheetData>
    <row r="2" spans="1:110">
      <c r="A2" s="439" t="s">
        <v>919</v>
      </c>
      <c r="B2" s="438"/>
      <c r="C2" s="440" t="s">
        <v>1048</v>
      </c>
      <c r="D2" s="438"/>
      <c r="J2" s="403" t="s">
        <v>659</v>
      </c>
      <c r="L2" s="109" t="s">
        <v>426</v>
      </c>
      <c r="S2" s="458" t="s">
        <v>919</v>
      </c>
      <c r="T2" s="465"/>
      <c r="U2" s="459" t="s">
        <v>1084</v>
      </c>
      <c r="V2" s="465"/>
      <c r="AB2" s="470" t="s">
        <v>1103</v>
      </c>
      <c r="AC2" s="469"/>
      <c r="AD2" s="471" t="s">
        <v>1230</v>
      </c>
      <c r="AE2" s="469"/>
      <c r="AF2" s="139"/>
      <c r="AK2" s="353" t="s">
        <v>568</v>
      </c>
      <c r="AL2" s="139"/>
      <c r="AM2" t="s">
        <v>569</v>
      </c>
      <c r="AT2" s="391" t="s">
        <v>568</v>
      </c>
      <c r="AU2" s="352"/>
      <c r="AV2" s="354" t="s">
        <v>571</v>
      </c>
      <c r="AW2" s="352"/>
      <c r="AX2" s="139"/>
      <c r="BF2" s="407" t="s">
        <v>568</v>
      </c>
      <c r="BG2" s="352"/>
      <c r="BH2" s="354" t="s">
        <v>572</v>
      </c>
      <c r="BI2" s="352"/>
      <c r="BJ2" s="139"/>
      <c r="BO2" s="146" t="s">
        <v>467</v>
      </c>
      <c r="BP2" s="139"/>
      <c r="BQ2" s="137" t="s">
        <v>481</v>
      </c>
      <c r="BR2" s="139"/>
      <c r="BS2" s="139"/>
      <c r="BX2" s="136" t="s">
        <v>467</v>
      </c>
      <c r="BY2" s="139"/>
      <c r="BZ2" s="137" t="s">
        <v>484</v>
      </c>
      <c r="CA2" s="139"/>
      <c r="CB2" s="139"/>
      <c r="CG2" s="349" t="s">
        <v>568</v>
      </c>
      <c r="CH2" s="352"/>
      <c r="CI2" s="354" t="s">
        <v>573</v>
      </c>
      <c r="CJ2" s="352"/>
      <c r="CP2" s="349" t="s">
        <v>568</v>
      </c>
      <c r="CQ2" s="352"/>
      <c r="CR2" s="354" t="s">
        <v>574</v>
      </c>
      <c r="CS2" s="352"/>
      <c r="CY2" s="338" t="s">
        <v>552</v>
      </c>
      <c r="CZ2" s="337"/>
      <c r="DA2" s="340" t="s">
        <v>558</v>
      </c>
      <c r="DB2" s="337"/>
    </row>
    <row r="5" spans="1:110">
      <c r="A5" t="s">
        <v>657</v>
      </c>
      <c r="J5" t="s">
        <v>858</v>
      </c>
      <c r="S5" s="439" t="s">
        <v>920</v>
      </c>
      <c r="T5" s="438"/>
      <c r="U5" s="438"/>
      <c r="V5" s="438"/>
      <c r="AB5" s="470" t="s">
        <v>1107</v>
      </c>
      <c r="AC5" s="469"/>
      <c r="AD5" s="469"/>
      <c r="AE5" s="469"/>
      <c r="AF5" s="139"/>
      <c r="AK5" s="136" t="s">
        <v>470</v>
      </c>
      <c r="AL5" s="139"/>
      <c r="AT5" s="136" t="s">
        <v>471</v>
      </c>
      <c r="AU5" s="139"/>
      <c r="AV5" s="139"/>
      <c r="AW5" s="139"/>
      <c r="AX5" s="139"/>
      <c r="BF5" s="136" t="s">
        <v>480</v>
      </c>
      <c r="BG5" s="139"/>
      <c r="BH5" s="139"/>
      <c r="BI5" s="139"/>
      <c r="BJ5" s="139"/>
      <c r="BO5" s="136" t="s">
        <v>482</v>
      </c>
      <c r="BP5" s="139"/>
      <c r="BQ5" s="139"/>
      <c r="BR5" s="139"/>
      <c r="BS5" s="139"/>
      <c r="BX5" s="136" t="s">
        <v>485</v>
      </c>
      <c r="BY5" s="139"/>
      <c r="BZ5" s="139"/>
      <c r="CA5" s="139"/>
      <c r="CB5" s="139"/>
      <c r="CG5" s="325" t="s">
        <v>537</v>
      </c>
      <c r="CH5" s="329"/>
      <c r="CI5" s="329"/>
      <c r="CJ5" s="329"/>
      <c r="CP5" s="325" t="s">
        <v>539</v>
      </c>
      <c r="CQ5" s="329"/>
      <c r="CR5" s="329"/>
      <c r="CY5" s="338" t="s">
        <v>557</v>
      </c>
      <c r="CZ5" s="337"/>
      <c r="DA5" s="337"/>
      <c r="DB5" s="337"/>
    </row>
    <row r="6" spans="1:110">
      <c r="A6" t="s">
        <v>393</v>
      </c>
      <c r="J6" t="s">
        <v>393</v>
      </c>
      <c r="S6" s="108" t="s">
        <v>393</v>
      </c>
      <c r="AB6" s="136" t="s">
        <v>393</v>
      </c>
      <c r="AC6" s="139"/>
      <c r="AD6" s="139"/>
      <c r="AE6" s="139"/>
      <c r="AF6" s="139"/>
      <c r="AK6" s="136" t="s">
        <v>393</v>
      </c>
      <c r="AL6" s="139"/>
      <c r="AT6" s="136" t="s">
        <v>393</v>
      </c>
      <c r="AU6" s="139"/>
      <c r="AV6" s="139"/>
      <c r="AW6" s="139"/>
      <c r="AX6" s="139"/>
      <c r="BF6" s="136" t="s">
        <v>393</v>
      </c>
      <c r="BG6" s="139"/>
      <c r="BH6" s="139"/>
      <c r="BI6" s="139"/>
      <c r="BJ6" s="139"/>
      <c r="BO6" s="136" t="s">
        <v>393</v>
      </c>
      <c r="BP6" s="139"/>
      <c r="BQ6" s="139"/>
      <c r="BR6" s="139"/>
      <c r="BS6" s="139"/>
      <c r="BX6" s="136" t="s">
        <v>393</v>
      </c>
      <c r="BY6" s="139"/>
      <c r="BZ6" s="139"/>
      <c r="CA6" s="139"/>
      <c r="CB6" s="139"/>
      <c r="CG6" s="325" t="s">
        <v>538</v>
      </c>
      <c r="CH6" s="329"/>
      <c r="CI6" s="329"/>
      <c r="CJ6" s="329"/>
      <c r="CP6" s="325" t="s">
        <v>538</v>
      </c>
      <c r="CQ6" s="329"/>
      <c r="CR6" s="329"/>
      <c r="CY6" s="338" t="s">
        <v>538</v>
      </c>
      <c r="CZ6" s="337"/>
      <c r="DA6" s="337"/>
      <c r="DB6" s="337"/>
    </row>
    <row r="7" spans="1:110">
      <c r="A7" t="s">
        <v>394</v>
      </c>
      <c r="J7" t="s">
        <v>394</v>
      </c>
      <c r="S7" s="108" t="s">
        <v>1085</v>
      </c>
      <c r="AB7" s="108" t="s">
        <v>1229</v>
      </c>
      <c r="AC7" s="139"/>
      <c r="AD7" s="139"/>
      <c r="AE7" s="139"/>
      <c r="AF7" s="139"/>
      <c r="AK7" s="353" t="s">
        <v>570</v>
      </c>
      <c r="AL7" s="139"/>
      <c r="AT7" s="136" t="s">
        <v>468</v>
      </c>
      <c r="AU7" s="139"/>
      <c r="AV7" s="139"/>
      <c r="AW7" s="139"/>
      <c r="AX7" s="139"/>
      <c r="BF7" s="136" t="s">
        <v>468</v>
      </c>
      <c r="BG7" s="139"/>
      <c r="BH7" s="139"/>
      <c r="BI7" s="139"/>
      <c r="BJ7" s="139"/>
      <c r="BO7" s="136" t="s">
        <v>468</v>
      </c>
      <c r="BP7" s="139"/>
      <c r="BQ7" s="139"/>
      <c r="BR7" s="139"/>
      <c r="BS7" s="139"/>
      <c r="BX7" s="136" t="s">
        <v>468</v>
      </c>
      <c r="BY7" s="139"/>
      <c r="BZ7" s="139"/>
      <c r="CA7" s="139"/>
      <c r="CB7" s="139"/>
      <c r="CG7" s="325" t="s">
        <v>468</v>
      </c>
      <c r="CH7" s="329"/>
      <c r="CI7" s="329"/>
      <c r="CJ7" s="329"/>
      <c r="CP7" s="325" t="s">
        <v>468</v>
      </c>
      <c r="CQ7" s="329"/>
      <c r="CR7" s="329"/>
      <c r="CY7" s="338" t="s">
        <v>468</v>
      </c>
      <c r="CZ7" s="337"/>
      <c r="DA7" s="337"/>
      <c r="DB7" s="337"/>
    </row>
    <row r="9" spans="1:110">
      <c r="A9" s="324" t="s">
        <v>583</v>
      </c>
      <c r="J9" s="324" t="s">
        <v>583</v>
      </c>
      <c r="S9" s="324" t="s">
        <v>583</v>
      </c>
      <c r="AB9" s="324" t="s">
        <v>583</v>
      </c>
      <c r="AK9" s="324" t="s">
        <v>533</v>
      </c>
      <c r="BX9" s="324" t="s">
        <v>533</v>
      </c>
      <c r="CG9" s="324" t="s">
        <v>533</v>
      </c>
      <c r="CP9" s="324" t="s">
        <v>583</v>
      </c>
      <c r="CV9" s="124">
        <f>1342279.32-CV43</f>
        <v>1342279.32</v>
      </c>
      <c r="CY9" s="324" t="s">
        <v>533</v>
      </c>
    </row>
    <row r="10" spans="1:110">
      <c r="AZ10" s="140"/>
    </row>
    <row r="11" spans="1:110">
      <c r="D11" s="109">
        <f>D14-'MVTO E'!G248</f>
        <v>0</v>
      </c>
      <c r="G11" s="109">
        <f>G14-'MVTO E'!G249</f>
        <v>0</v>
      </c>
      <c r="M11" s="109">
        <f>M14-'MVTO E'!H248</f>
        <v>0</v>
      </c>
      <c r="P11" s="109">
        <f>P14-'MVTO E'!H249</f>
        <v>0</v>
      </c>
      <c r="AZ11" s="57"/>
    </row>
    <row r="13" spans="1:110">
      <c r="A13" s="112" t="s">
        <v>1</v>
      </c>
      <c r="B13" s="110" t="s">
        <v>72</v>
      </c>
      <c r="C13" s="111" t="s">
        <v>395</v>
      </c>
      <c r="D13" s="111" t="s">
        <v>30</v>
      </c>
      <c r="E13" s="112" t="s">
        <v>1</v>
      </c>
      <c r="F13" s="110" t="s">
        <v>72</v>
      </c>
      <c r="G13" s="111" t="s">
        <v>27</v>
      </c>
      <c r="H13" s="111" t="s">
        <v>396</v>
      </c>
      <c r="J13" s="110" t="s">
        <v>1</v>
      </c>
      <c r="K13" s="110" t="s">
        <v>72</v>
      </c>
      <c r="L13" s="111" t="s">
        <v>395</v>
      </c>
      <c r="M13" s="111" t="s">
        <v>30</v>
      </c>
      <c r="N13" s="112" t="s">
        <v>1</v>
      </c>
      <c r="O13" s="110" t="s">
        <v>72</v>
      </c>
      <c r="P13" s="111" t="s">
        <v>27</v>
      </c>
      <c r="Q13" s="111" t="s">
        <v>396</v>
      </c>
      <c r="S13" s="110" t="s">
        <v>1</v>
      </c>
      <c r="T13" s="110" t="s">
        <v>72</v>
      </c>
      <c r="U13" s="111" t="s">
        <v>395</v>
      </c>
      <c r="V13" s="111" t="s">
        <v>30</v>
      </c>
      <c r="W13" s="112" t="s">
        <v>1</v>
      </c>
      <c r="X13" s="110" t="s">
        <v>72</v>
      </c>
      <c r="Y13" s="111" t="s">
        <v>27</v>
      </c>
      <c r="Z13" s="111" t="s">
        <v>396</v>
      </c>
      <c r="AB13" s="110" t="s">
        <v>1</v>
      </c>
      <c r="AC13" s="110" t="s">
        <v>72</v>
      </c>
      <c r="AD13" s="111" t="s">
        <v>395</v>
      </c>
      <c r="AE13" s="111" t="s">
        <v>30</v>
      </c>
      <c r="AF13" s="112" t="s">
        <v>1</v>
      </c>
      <c r="AG13" s="110" t="s">
        <v>72</v>
      </c>
      <c r="AH13" s="111" t="s">
        <v>27</v>
      </c>
      <c r="AI13" s="111" t="s">
        <v>396</v>
      </c>
      <c r="AK13" s="110" t="s">
        <v>1</v>
      </c>
      <c r="AL13" s="110" t="s">
        <v>72</v>
      </c>
      <c r="AM13" s="111" t="s">
        <v>395</v>
      </c>
      <c r="AN13" s="111" t="s">
        <v>30</v>
      </c>
      <c r="AO13" s="112" t="s">
        <v>1</v>
      </c>
      <c r="AP13" s="110" t="s">
        <v>72</v>
      </c>
      <c r="AQ13" s="111" t="s">
        <v>27</v>
      </c>
      <c r="AR13" s="111" t="s">
        <v>396</v>
      </c>
      <c r="AT13" s="110" t="s">
        <v>1</v>
      </c>
      <c r="AU13" s="110" t="s">
        <v>72</v>
      </c>
      <c r="AV13" s="111" t="s">
        <v>395</v>
      </c>
      <c r="AW13" s="111" t="s">
        <v>30</v>
      </c>
      <c r="AX13" s="112" t="s">
        <v>1</v>
      </c>
      <c r="AY13" s="110" t="s">
        <v>72</v>
      </c>
      <c r="AZ13" s="111" t="s">
        <v>27</v>
      </c>
      <c r="BA13" s="111" t="s">
        <v>396</v>
      </c>
      <c r="BF13" s="110" t="s">
        <v>1</v>
      </c>
      <c r="BG13" s="110" t="s">
        <v>72</v>
      </c>
      <c r="BH13" s="111" t="s">
        <v>395</v>
      </c>
      <c r="BI13" s="111" t="s">
        <v>30</v>
      </c>
      <c r="BJ13" s="112" t="s">
        <v>1</v>
      </c>
      <c r="BK13" s="110" t="s">
        <v>72</v>
      </c>
      <c r="BL13" s="111" t="s">
        <v>27</v>
      </c>
      <c r="BM13" s="111" t="s">
        <v>396</v>
      </c>
      <c r="BO13" s="110" t="s">
        <v>1</v>
      </c>
      <c r="BP13" s="110" t="s">
        <v>72</v>
      </c>
      <c r="BQ13" s="111" t="s">
        <v>395</v>
      </c>
      <c r="BR13" s="111" t="s">
        <v>30</v>
      </c>
      <c r="BS13" s="112" t="s">
        <v>1</v>
      </c>
      <c r="BT13" s="110" t="s">
        <v>72</v>
      </c>
      <c r="BU13" s="111" t="s">
        <v>27</v>
      </c>
      <c r="BV13" s="111" t="s">
        <v>396</v>
      </c>
      <c r="BX13" s="110" t="s">
        <v>1</v>
      </c>
      <c r="BY13" s="110" t="s">
        <v>72</v>
      </c>
      <c r="BZ13" s="111" t="s">
        <v>395</v>
      </c>
      <c r="CA13" s="72" t="s">
        <v>30</v>
      </c>
      <c r="CB13" s="112" t="s">
        <v>1</v>
      </c>
      <c r="CC13" s="110" t="s">
        <v>72</v>
      </c>
      <c r="CD13" s="72" t="s">
        <v>27</v>
      </c>
      <c r="CE13" s="111" t="s">
        <v>396</v>
      </c>
      <c r="CG13" s="110" t="s">
        <v>1</v>
      </c>
      <c r="CH13" s="110" t="s">
        <v>72</v>
      </c>
      <c r="CI13" s="111" t="s">
        <v>395</v>
      </c>
      <c r="CJ13" s="72" t="s">
        <v>30</v>
      </c>
      <c r="CK13" s="112" t="s">
        <v>1</v>
      </c>
      <c r="CL13" s="110" t="s">
        <v>72</v>
      </c>
      <c r="CM13" s="72" t="s">
        <v>27</v>
      </c>
      <c r="CN13" s="111" t="s">
        <v>396</v>
      </c>
      <c r="CP13" s="110" t="s">
        <v>1</v>
      </c>
      <c r="CQ13" s="110" t="s">
        <v>72</v>
      </c>
      <c r="CR13" s="111" t="s">
        <v>395</v>
      </c>
      <c r="CS13" s="72" t="s">
        <v>30</v>
      </c>
      <c r="CT13" s="112" t="s">
        <v>1</v>
      </c>
      <c r="CU13" s="110" t="s">
        <v>72</v>
      </c>
      <c r="CV13" s="72" t="s">
        <v>27</v>
      </c>
      <c r="CW13" s="111" t="s">
        <v>396</v>
      </c>
      <c r="CY13" s="110" t="s">
        <v>1</v>
      </c>
      <c r="CZ13" s="110" t="s">
        <v>72</v>
      </c>
      <c r="DA13" s="111" t="s">
        <v>395</v>
      </c>
      <c r="DB13" s="72" t="s">
        <v>30</v>
      </c>
      <c r="DC13" s="112" t="s">
        <v>1</v>
      </c>
      <c r="DD13" s="110" t="s">
        <v>72</v>
      </c>
      <c r="DE13" s="72" t="s">
        <v>27</v>
      </c>
      <c r="DF13" s="111" t="s">
        <v>396</v>
      </c>
    </row>
    <row r="14" spans="1:110">
      <c r="A14" t="s">
        <v>397</v>
      </c>
      <c r="B14" s="108" t="s">
        <v>397</v>
      </c>
      <c r="C14" s="404">
        <v>20778063.890000001</v>
      </c>
      <c r="D14" s="109">
        <f>SUBTOTAL(9,D15:D76)</f>
        <v>38147555.14000003</v>
      </c>
      <c r="G14" s="109">
        <f>SUBTOTAL(9,G15:G500)</f>
        <v>44961900.359999985</v>
      </c>
      <c r="H14" s="441">
        <v>13963718.67</v>
      </c>
      <c r="J14" t="s">
        <v>397</v>
      </c>
      <c r="K14" s="108" t="s">
        <v>397</v>
      </c>
      <c r="L14" s="440">
        <v>13963718.67</v>
      </c>
      <c r="M14" s="109">
        <f>SUBTOTAL(9,M15:M500)</f>
        <v>27559093.68</v>
      </c>
      <c r="P14" s="109">
        <f>SUBTOTAL(9,P15:P500)</f>
        <v>27929524.040000014</v>
      </c>
      <c r="Q14" s="440">
        <v>13593288.310000001</v>
      </c>
      <c r="S14" s="439" t="s">
        <v>397</v>
      </c>
      <c r="T14" s="439" t="s">
        <v>397</v>
      </c>
      <c r="U14" s="440">
        <v>13593288.310000001</v>
      </c>
      <c r="V14" s="109">
        <f>SUBTOTAL(9,V15:V500)</f>
        <v>31345359.5</v>
      </c>
      <c r="Y14" s="109">
        <f>SUBTOTAL(9,Y15:Y500)</f>
        <v>37870113.93999999</v>
      </c>
      <c r="Z14" s="462">
        <v>7068533.8700000001</v>
      </c>
      <c r="AD14" s="471">
        <v>7068533.8700000001</v>
      </c>
      <c r="AE14" s="471">
        <v>28141305.68</v>
      </c>
      <c r="AH14" s="471">
        <v>31671452.77</v>
      </c>
      <c r="AI14" s="471">
        <v>3538386.78</v>
      </c>
      <c r="AK14" s="48"/>
      <c r="AL14" s="48"/>
      <c r="AM14" s="388"/>
      <c r="AN14" s="51"/>
      <c r="AO14" s="7"/>
      <c r="AP14" s="48"/>
      <c r="AQ14" s="51"/>
      <c r="AR14" s="389"/>
      <c r="AT14" s="136"/>
      <c r="AU14" s="136"/>
      <c r="AV14" s="389"/>
      <c r="AW14" s="109"/>
      <c r="AZ14" s="109"/>
      <c r="BA14" s="34"/>
      <c r="BF14" s="110"/>
      <c r="BG14" s="110"/>
      <c r="BH14" s="413"/>
      <c r="BI14" s="109"/>
      <c r="BJ14" s="112"/>
      <c r="BK14" s="110"/>
      <c r="BL14" s="109"/>
      <c r="BM14" s="413"/>
      <c r="BO14" s="136"/>
      <c r="BP14" s="136"/>
      <c r="BQ14" s="413"/>
      <c r="BR14" s="109"/>
      <c r="BU14" s="109"/>
      <c r="BV14" s="390"/>
      <c r="BX14" s="136"/>
      <c r="BY14" s="136"/>
      <c r="BZ14" s="389"/>
      <c r="CA14" s="109"/>
      <c r="CB14" s="146"/>
      <c r="CC14" s="146"/>
      <c r="CD14" s="109"/>
      <c r="CE14" s="389"/>
      <c r="CI14" s="389"/>
      <c r="CJ14" s="109"/>
      <c r="CK14" s="146"/>
      <c r="CL14" s="146"/>
      <c r="CM14" s="109"/>
      <c r="CN14" s="389"/>
      <c r="CR14" s="389"/>
      <c r="CS14" s="328"/>
      <c r="CV14" s="328"/>
      <c r="CW14" s="390"/>
      <c r="CY14" s="338"/>
      <c r="CZ14" s="338"/>
      <c r="DA14" s="390"/>
      <c r="DB14" s="328"/>
      <c r="DE14" s="328"/>
      <c r="DF14" s="389"/>
    </row>
    <row r="15" spans="1:110">
      <c r="A15" s="443">
        <v>111103</v>
      </c>
      <c r="B15" s="442" t="s">
        <v>74</v>
      </c>
      <c r="C15" s="441">
        <v>0</v>
      </c>
      <c r="D15" s="441">
        <v>1548105.2</v>
      </c>
      <c r="E15" s="443">
        <v>111103</v>
      </c>
      <c r="F15" s="442" t="s">
        <v>74</v>
      </c>
      <c r="G15" s="441">
        <v>95118</v>
      </c>
      <c r="H15" s="111"/>
      <c r="J15" s="443">
        <v>111103</v>
      </c>
      <c r="K15" s="442" t="s">
        <v>74</v>
      </c>
      <c r="L15" s="441">
        <v>0</v>
      </c>
      <c r="M15" s="441">
        <v>1440937.05</v>
      </c>
      <c r="N15" s="431">
        <v>111103</v>
      </c>
      <c r="O15" s="432" t="s">
        <v>74</v>
      </c>
      <c r="P15" s="434">
        <v>78091.3</v>
      </c>
      <c r="S15" s="464">
        <v>111103</v>
      </c>
      <c r="T15" s="461" t="s">
        <v>74</v>
      </c>
      <c r="U15" s="462">
        <v>0</v>
      </c>
      <c r="V15" s="462">
        <v>1426719</v>
      </c>
      <c r="W15" s="464">
        <v>111103</v>
      </c>
      <c r="X15" s="461" t="s">
        <v>74</v>
      </c>
      <c r="Y15" s="462">
        <v>62054.8</v>
      </c>
      <c r="Z15" s="111"/>
      <c r="AB15" s="474">
        <v>111103</v>
      </c>
      <c r="AC15" s="472" t="s">
        <v>74</v>
      </c>
      <c r="AD15" s="473">
        <v>0</v>
      </c>
      <c r="AE15" s="473">
        <v>1367072.55</v>
      </c>
      <c r="AF15" s="474">
        <v>111103</v>
      </c>
      <c r="AG15" s="472" t="s">
        <v>74</v>
      </c>
      <c r="AH15" s="473">
        <v>67527.95</v>
      </c>
      <c r="AI15" s="138"/>
      <c r="AK15" s="402"/>
      <c r="AL15" s="401"/>
      <c r="AM15" s="138"/>
      <c r="AN15" s="405"/>
      <c r="AO15" s="406"/>
      <c r="AP15" s="403"/>
      <c r="AQ15" s="404"/>
      <c r="AR15" s="137"/>
      <c r="AT15" s="402"/>
      <c r="AU15" s="401"/>
      <c r="AV15" s="355"/>
      <c r="AW15" s="405"/>
      <c r="AX15" s="402"/>
      <c r="AY15" s="401"/>
      <c r="AZ15" s="405"/>
      <c r="BA15" s="138"/>
      <c r="BB15" s="7"/>
      <c r="BC15" s="48"/>
      <c r="BF15" s="410"/>
      <c r="BG15" s="409"/>
      <c r="BH15" s="138"/>
      <c r="BI15" s="413"/>
      <c r="BJ15" s="411"/>
      <c r="BK15" s="408"/>
      <c r="BL15" s="412"/>
      <c r="BM15" s="137"/>
      <c r="BO15" s="410"/>
      <c r="BP15" s="409"/>
      <c r="BQ15" s="157"/>
      <c r="BR15" s="413"/>
      <c r="BS15" s="410"/>
      <c r="BT15" s="409"/>
      <c r="BU15" s="413"/>
      <c r="BV15" s="138"/>
      <c r="BX15" s="410"/>
      <c r="BY15" s="409"/>
      <c r="BZ15" s="138"/>
      <c r="CA15" s="413"/>
      <c r="CB15" s="410"/>
      <c r="CC15" s="409"/>
      <c r="CD15" s="413"/>
      <c r="CE15" s="138"/>
      <c r="CG15" s="410"/>
      <c r="CH15" s="409"/>
      <c r="CI15" s="328"/>
      <c r="CJ15" s="413"/>
      <c r="CK15" s="411"/>
      <c r="CL15" s="408"/>
      <c r="CM15" s="412"/>
      <c r="CP15" s="410"/>
      <c r="CQ15" s="409"/>
      <c r="CR15" s="328"/>
      <c r="CS15" s="413"/>
      <c r="CT15" s="411"/>
      <c r="CU15" s="408"/>
      <c r="CV15" s="412"/>
      <c r="CY15" s="410"/>
      <c r="CZ15" s="409"/>
      <c r="DA15" s="343"/>
      <c r="DB15" s="413"/>
      <c r="DC15" s="411"/>
      <c r="DD15" s="408"/>
      <c r="DE15" s="412"/>
    </row>
    <row r="16" spans="1:110">
      <c r="A16" s="438">
        <v>112101</v>
      </c>
      <c r="B16" s="439" t="s">
        <v>77</v>
      </c>
      <c r="C16" s="440">
        <v>0</v>
      </c>
      <c r="D16" s="440">
        <v>188781.8</v>
      </c>
      <c r="E16" s="438">
        <v>112110</v>
      </c>
      <c r="F16" s="439" t="s">
        <v>595</v>
      </c>
      <c r="G16" s="440">
        <v>1408.99</v>
      </c>
      <c r="J16" s="438">
        <v>112116</v>
      </c>
      <c r="K16" s="439" t="s">
        <v>577</v>
      </c>
      <c r="L16" s="440">
        <v>0</v>
      </c>
      <c r="M16" s="440">
        <v>2759481.68</v>
      </c>
      <c r="N16" s="430">
        <v>112116</v>
      </c>
      <c r="O16" s="433" t="s">
        <v>577</v>
      </c>
      <c r="P16" s="435">
        <v>132572.29</v>
      </c>
      <c r="Q16" s="111"/>
      <c r="S16" s="465">
        <v>112116</v>
      </c>
      <c r="T16" s="458" t="s">
        <v>577</v>
      </c>
      <c r="U16" s="459">
        <v>0</v>
      </c>
      <c r="V16" s="459">
        <v>3071350.73</v>
      </c>
      <c r="W16" s="465">
        <v>112105</v>
      </c>
      <c r="X16" s="458" t="s">
        <v>594</v>
      </c>
      <c r="Y16" s="459">
        <v>522.91</v>
      </c>
      <c r="AB16" s="469">
        <v>112102</v>
      </c>
      <c r="AC16" s="470" t="s">
        <v>78</v>
      </c>
      <c r="AD16" s="471">
        <v>0</v>
      </c>
      <c r="AE16" s="471">
        <v>244159.39</v>
      </c>
      <c r="AF16" s="469">
        <v>112103</v>
      </c>
      <c r="AG16" s="470" t="s">
        <v>79</v>
      </c>
      <c r="AH16" s="471">
        <v>3281.63</v>
      </c>
      <c r="AI16" s="137"/>
      <c r="AK16" s="406"/>
      <c r="AL16" s="403"/>
      <c r="AM16" s="137"/>
      <c r="AN16" s="404"/>
      <c r="AO16" s="402"/>
      <c r="AP16" s="401"/>
      <c r="AQ16" s="405"/>
      <c r="AT16" s="406"/>
      <c r="AU16" s="403"/>
      <c r="AV16" s="354"/>
      <c r="AW16" s="404"/>
      <c r="AX16" s="406"/>
      <c r="AY16" s="403"/>
      <c r="AZ16" s="404"/>
      <c r="BA16" s="137"/>
      <c r="BB16" s="7"/>
      <c r="BC16" s="48"/>
      <c r="BF16" s="411"/>
      <c r="BG16" s="408"/>
      <c r="BH16" s="137"/>
      <c r="BI16" s="412"/>
      <c r="BJ16" s="410"/>
      <c r="BK16" s="409"/>
      <c r="BL16" s="413"/>
      <c r="BM16" s="138"/>
      <c r="BO16" s="411"/>
      <c r="BP16" s="408"/>
      <c r="BQ16" s="156"/>
      <c r="BR16" s="412"/>
      <c r="BS16" s="411"/>
      <c r="BT16" s="408"/>
      <c r="BU16" s="412"/>
      <c r="BV16" s="137"/>
      <c r="BX16" s="411"/>
      <c r="BY16" s="408"/>
      <c r="BZ16" s="137"/>
      <c r="CA16" s="412"/>
      <c r="CB16" s="411"/>
      <c r="CC16" s="408"/>
      <c r="CD16" s="412"/>
      <c r="CE16" s="137"/>
      <c r="CG16" s="411"/>
      <c r="CH16" s="408"/>
      <c r="CI16" s="326"/>
      <c r="CJ16" s="412"/>
      <c r="CK16" s="410"/>
      <c r="CL16" s="409"/>
      <c r="CM16" s="413"/>
      <c r="CP16" s="411"/>
      <c r="CQ16" s="408"/>
      <c r="CR16" s="326"/>
      <c r="CS16" s="412"/>
      <c r="CT16" s="410"/>
      <c r="CU16" s="409"/>
      <c r="CV16" s="413"/>
      <c r="CY16" s="411"/>
      <c r="CZ16" s="408"/>
      <c r="DA16" s="340"/>
      <c r="DB16" s="412"/>
      <c r="DC16" s="410"/>
      <c r="DD16" s="409"/>
      <c r="DE16" s="413"/>
    </row>
    <row r="17" spans="1:109">
      <c r="A17" s="443">
        <v>112112</v>
      </c>
      <c r="B17" s="442" t="s">
        <v>80</v>
      </c>
      <c r="C17" s="441">
        <v>0</v>
      </c>
      <c r="D17" s="441">
        <v>376979.75</v>
      </c>
      <c r="E17" s="443">
        <v>112116</v>
      </c>
      <c r="F17" s="442" t="s">
        <v>577</v>
      </c>
      <c r="G17" s="441">
        <v>151013.56</v>
      </c>
      <c r="H17" s="111"/>
      <c r="J17" s="443">
        <v>112201</v>
      </c>
      <c r="K17" s="442" t="s">
        <v>82</v>
      </c>
      <c r="L17" s="441">
        <v>0</v>
      </c>
      <c r="M17" s="441">
        <v>192509.6</v>
      </c>
      <c r="N17" s="431">
        <v>112301</v>
      </c>
      <c r="O17" s="432" t="s">
        <v>83</v>
      </c>
      <c r="P17" s="434">
        <v>208359.15</v>
      </c>
      <c r="S17" s="464">
        <v>112201</v>
      </c>
      <c r="T17" s="461" t="s">
        <v>82</v>
      </c>
      <c r="U17" s="462">
        <v>0</v>
      </c>
      <c r="V17" s="462">
        <v>192065.55</v>
      </c>
      <c r="W17" s="464">
        <v>112116</v>
      </c>
      <c r="X17" s="461" t="s">
        <v>577</v>
      </c>
      <c r="Y17" s="462">
        <v>107548.18</v>
      </c>
      <c r="Z17" s="111"/>
      <c r="AB17" s="474">
        <v>112116</v>
      </c>
      <c r="AC17" s="472" t="s">
        <v>577</v>
      </c>
      <c r="AD17" s="473">
        <v>0</v>
      </c>
      <c r="AE17" s="473">
        <v>2920386.89</v>
      </c>
      <c r="AF17" s="474">
        <v>112105</v>
      </c>
      <c r="AG17" s="472" t="s">
        <v>594</v>
      </c>
      <c r="AH17" s="473">
        <v>1532.29</v>
      </c>
      <c r="AI17" s="138"/>
      <c r="AK17" s="402"/>
      <c r="AL17" s="401"/>
      <c r="AM17" s="138"/>
      <c r="AN17" s="405"/>
      <c r="AO17" s="406"/>
      <c r="AP17" s="403"/>
      <c r="AQ17" s="404"/>
      <c r="AT17" s="402"/>
      <c r="AU17" s="401"/>
      <c r="AV17" s="355"/>
      <c r="AW17" s="405"/>
      <c r="AX17" s="402"/>
      <c r="AY17" s="401"/>
      <c r="AZ17" s="405"/>
      <c r="BA17" s="138"/>
      <c r="BB17" s="7"/>
      <c r="BC17" s="48"/>
      <c r="BF17" s="410"/>
      <c r="BG17" s="409"/>
      <c r="BH17" s="138"/>
      <c r="BI17" s="413"/>
      <c r="BJ17" s="411"/>
      <c r="BK17" s="408"/>
      <c r="BL17" s="412"/>
      <c r="BM17" s="137"/>
      <c r="BO17" s="410"/>
      <c r="BP17" s="409"/>
      <c r="BQ17" s="157"/>
      <c r="BR17" s="413"/>
      <c r="BS17" s="410"/>
      <c r="BT17" s="409"/>
      <c r="BU17" s="413"/>
      <c r="BV17" s="138"/>
      <c r="BX17" s="410"/>
      <c r="BY17" s="409"/>
      <c r="BZ17" s="138"/>
      <c r="CA17" s="413"/>
      <c r="CB17" s="410"/>
      <c r="CC17" s="409"/>
      <c r="CD17" s="413"/>
      <c r="CE17" s="138"/>
      <c r="CG17" s="410"/>
      <c r="CH17" s="409"/>
      <c r="CI17" s="395"/>
      <c r="CJ17" s="413"/>
      <c r="CK17" s="411"/>
      <c r="CL17" s="408"/>
      <c r="CM17" s="412"/>
      <c r="CP17" s="410"/>
      <c r="CQ17" s="409"/>
      <c r="CR17" s="328"/>
      <c r="CS17" s="413"/>
      <c r="CT17" s="411"/>
      <c r="CU17" s="408"/>
      <c r="CV17" s="412"/>
      <c r="CY17" s="410"/>
      <c r="CZ17" s="409"/>
      <c r="DA17" s="343"/>
      <c r="DB17" s="413"/>
      <c r="DC17" s="411"/>
      <c r="DD17" s="408"/>
      <c r="DE17" s="412"/>
    </row>
    <row r="18" spans="1:109">
      <c r="A18" s="438">
        <v>112116</v>
      </c>
      <c r="B18" s="439" t="s">
        <v>577</v>
      </c>
      <c r="C18" s="440">
        <v>0</v>
      </c>
      <c r="D18" s="440">
        <v>3033549.58</v>
      </c>
      <c r="E18" s="438">
        <v>112301</v>
      </c>
      <c r="F18" s="439" t="s">
        <v>83</v>
      </c>
      <c r="G18" s="440">
        <v>306485.34999999998</v>
      </c>
      <c r="J18" s="438">
        <v>112301</v>
      </c>
      <c r="K18" s="439" t="s">
        <v>83</v>
      </c>
      <c r="L18" s="440">
        <v>0</v>
      </c>
      <c r="M18" s="440">
        <v>5155776.04</v>
      </c>
      <c r="N18" s="430">
        <v>112302</v>
      </c>
      <c r="O18" s="433" t="s">
        <v>84</v>
      </c>
      <c r="P18" s="435">
        <v>220166.28</v>
      </c>
      <c r="Q18" s="111"/>
      <c r="S18" s="465">
        <v>112301</v>
      </c>
      <c r="T18" s="458" t="s">
        <v>83</v>
      </c>
      <c r="U18" s="459">
        <v>0</v>
      </c>
      <c r="V18" s="459">
        <v>5672495.5899999999</v>
      </c>
      <c r="W18" s="465">
        <v>112301</v>
      </c>
      <c r="X18" s="458" t="s">
        <v>83</v>
      </c>
      <c r="Y18" s="459">
        <v>201912.32000000001</v>
      </c>
      <c r="AB18" s="469">
        <v>112201</v>
      </c>
      <c r="AC18" s="470" t="s">
        <v>82</v>
      </c>
      <c r="AD18" s="471">
        <v>0</v>
      </c>
      <c r="AE18" s="471">
        <v>166550.01</v>
      </c>
      <c r="AF18" s="469">
        <v>112110</v>
      </c>
      <c r="AG18" s="470" t="s">
        <v>595</v>
      </c>
      <c r="AH18" s="471">
        <v>1804.12</v>
      </c>
      <c r="AI18" s="137"/>
      <c r="AK18" s="406"/>
      <c r="AL18" s="403"/>
      <c r="AM18" s="137"/>
      <c r="AN18" s="404"/>
      <c r="AO18" s="402"/>
      <c r="AP18" s="401"/>
      <c r="AQ18" s="405"/>
      <c r="AT18" s="406"/>
      <c r="AU18" s="403"/>
      <c r="AV18" s="354"/>
      <c r="AW18" s="404"/>
      <c r="AX18" s="406"/>
      <c r="AY18" s="403"/>
      <c r="AZ18" s="404"/>
      <c r="BA18" s="137"/>
      <c r="BB18" s="7"/>
      <c r="BC18" s="48"/>
      <c r="BF18" s="411"/>
      <c r="BG18" s="408"/>
      <c r="BH18" s="137"/>
      <c r="BI18" s="412"/>
      <c r="BJ18" s="410"/>
      <c r="BK18" s="409"/>
      <c r="BL18" s="413"/>
      <c r="BM18" s="138"/>
      <c r="BO18" s="411"/>
      <c r="BP18" s="408"/>
      <c r="BQ18" s="156"/>
      <c r="BR18" s="412"/>
      <c r="BS18" s="411"/>
      <c r="BT18" s="408"/>
      <c r="BU18" s="412"/>
      <c r="BV18" s="137"/>
      <c r="BX18" s="411"/>
      <c r="BY18" s="408"/>
      <c r="BZ18" s="137"/>
      <c r="CA18" s="412"/>
      <c r="CB18" s="411"/>
      <c r="CC18" s="408"/>
      <c r="CD18" s="412"/>
      <c r="CE18" s="137"/>
      <c r="CG18" s="411"/>
      <c r="CH18" s="408"/>
      <c r="CI18" s="326"/>
      <c r="CJ18" s="412"/>
      <c r="CK18" s="410"/>
      <c r="CL18" s="409"/>
      <c r="CM18" s="413"/>
      <c r="CP18" s="411"/>
      <c r="CQ18" s="408"/>
      <c r="CR18" s="326"/>
      <c r="CS18" s="412"/>
      <c r="CT18" s="410"/>
      <c r="CU18" s="409"/>
      <c r="CV18" s="413"/>
      <c r="CY18" s="411"/>
      <c r="CZ18" s="408"/>
      <c r="DA18" s="340"/>
      <c r="DB18" s="412"/>
      <c r="DC18" s="410"/>
      <c r="DD18" s="409"/>
      <c r="DE18" s="413"/>
    </row>
    <row r="19" spans="1:109">
      <c r="A19" s="443">
        <v>112117</v>
      </c>
      <c r="B19" s="442" t="s">
        <v>81</v>
      </c>
      <c r="C19" s="441">
        <v>0</v>
      </c>
      <c r="D19" s="441">
        <v>27676.12</v>
      </c>
      <c r="E19" s="443">
        <v>112302</v>
      </c>
      <c r="F19" s="442" t="s">
        <v>84</v>
      </c>
      <c r="G19" s="441">
        <v>273098.03999999998</v>
      </c>
      <c r="H19" s="111"/>
      <c r="J19" s="443">
        <v>112302</v>
      </c>
      <c r="K19" s="442" t="s">
        <v>84</v>
      </c>
      <c r="L19" s="441">
        <v>0</v>
      </c>
      <c r="M19" s="441">
        <v>4965542.95</v>
      </c>
      <c r="N19" s="431">
        <v>112304</v>
      </c>
      <c r="O19" s="432" t="s">
        <v>86</v>
      </c>
      <c r="P19" s="434">
        <v>18697.75</v>
      </c>
      <c r="S19" s="464">
        <v>112302</v>
      </c>
      <c r="T19" s="461" t="s">
        <v>84</v>
      </c>
      <c r="U19" s="462">
        <v>0</v>
      </c>
      <c r="V19" s="462">
        <v>5675454.96</v>
      </c>
      <c r="W19" s="464">
        <v>112302</v>
      </c>
      <c r="X19" s="461" t="s">
        <v>84</v>
      </c>
      <c r="Y19" s="462">
        <v>193644.45</v>
      </c>
      <c r="Z19" s="111"/>
      <c r="AB19" s="474">
        <v>112301</v>
      </c>
      <c r="AC19" s="472" t="s">
        <v>83</v>
      </c>
      <c r="AD19" s="473">
        <v>0</v>
      </c>
      <c r="AE19" s="473">
        <v>5152687.05</v>
      </c>
      <c r="AF19" s="474">
        <v>112116</v>
      </c>
      <c r="AG19" s="472" t="s">
        <v>577</v>
      </c>
      <c r="AH19" s="473">
        <v>98496.73</v>
      </c>
      <c r="AI19" s="138"/>
      <c r="AK19" s="402"/>
      <c r="AL19" s="401"/>
      <c r="AM19" s="138"/>
      <c r="AN19" s="405"/>
      <c r="AO19" s="406"/>
      <c r="AP19" s="403"/>
      <c r="AQ19" s="404"/>
      <c r="AT19" s="402"/>
      <c r="AU19" s="401"/>
      <c r="AV19" s="355"/>
      <c r="AW19" s="405"/>
      <c r="AX19" s="402"/>
      <c r="AY19" s="401"/>
      <c r="AZ19" s="405"/>
      <c r="BA19" s="138"/>
      <c r="BB19" s="7"/>
      <c r="BC19" s="48"/>
      <c r="BF19" s="410"/>
      <c r="BG19" s="409"/>
      <c r="BH19" s="138"/>
      <c r="BI19" s="413"/>
      <c r="BJ19" s="411"/>
      <c r="BK19" s="408"/>
      <c r="BL19" s="412"/>
      <c r="BM19" s="137"/>
      <c r="BO19" s="410"/>
      <c r="BP19" s="409"/>
      <c r="BQ19" s="157"/>
      <c r="BR19" s="413"/>
      <c r="BS19" s="410"/>
      <c r="BT19" s="409"/>
      <c r="BU19" s="413"/>
      <c r="BV19" s="138"/>
      <c r="BX19" s="410"/>
      <c r="BY19" s="409"/>
      <c r="BZ19" s="138"/>
      <c r="CA19" s="413"/>
      <c r="CB19" s="410"/>
      <c r="CC19" s="409"/>
      <c r="CD19" s="413"/>
      <c r="CE19" s="138"/>
      <c r="CG19" s="410"/>
      <c r="CH19" s="409"/>
      <c r="CI19" s="328"/>
      <c r="CJ19" s="413"/>
      <c r="CK19" s="411"/>
      <c r="CL19" s="408"/>
      <c r="CM19" s="412"/>
      <c r="CP19" s="410"/>
      <c r="CQ19" s="409"/>
      <c r="CR19" s="328"/>
      <c r="CS19" s="413"/>
      <c r="CT19" s="411"/>
      <c r="CU19" s="408"/>
      <c r="CV19" s="412"/>
      <c r="CY19" s="410"/>
      <c r="CZ19" s="409"/>
      <c r="DA19" s="343"/>
      <c r="DB19" s="413"/>
      <c r="DC19" s="411"/>
      <c r="DD19" s="408"/>
      <c r="DE19" s="412"/>
    </row>
    <row r="20" spans="1:109">
      <c r="A20" s="438">
        <v>112201</v>
      </c>
      <c r="B20" s="439" t="s">
        <v>82</v>
      </c>
      <c r="C20" s="440">
        <v>0</v>
      </c>
      <c r="D20" s="440">
        <v>229444.45</v>
      </c>
      <c r="E20" s="438">
        <v>112304</v>
      </c>
      <c r="F20" s="439" t="s">
        <v>86</v>
      </c>
      <c r="G20" s="440">
        <v>18345.5</v>
      </c>
      <c r="J20" s="438">
        <v>112304</v>
      </c>
      <c r="K20" s="439" t="s">
        <v>86</v>
      </c>
      <c r="L20" s="440">
        <v>0</v>
      </c>
      <c r="M20" s="440">
        <v>291655.59999999998</v>
      </c>
      <c r="N20" s="430">
        <v>112306</v>
      </c>
      <c r="O20" s="433" t="s">
        <v>87</v>
      </c>
      <c r="P20" s="435">
        <v>20556.349999999999</v>
      </c>
      <c r="Q20" s="111"/>
      <c r="S20" s="465">
        <v>112304</v>
      </c>
      <c r="T20" s="458" t="s">
        <v>86</v>
      </c>
      <c r="U20" s="459">
        <v>0</v>
      </c>
      <c r="V20" s="459">
        <v>319250.14</v>
      </c>
      <c r="W20" s="465">
        <v>112304</v>
      </c>
      <c r="X20" s="458" t="s">
        <v>86</v>
      </c>
      <c r="Y20" s="459">
        <v>6785.47</v>
      </c>
      <c r="AB20" s="469">
        <v>112302</v>
      </c>
      <c r="AC20" s="470" t="s">
        <v>84</v>
      </c>
      <c r="AD20" s="471">
        <v>0</v>
      </c>
      <c r="AE20" s="471">
        <v>5001108.22</v>
      </c>
      <c r="AF20" s="469">
        <v>112301</v>
      </c>
      <c r="AG20" s="470" t="s">
        <v>83</v>
      </c>
      <c r="AH20" s="471">
        <v>205580.95</v>
      </c>
      <c r="AI20" s="137"/>
      <c r="AK20" s="406"/>
      <c r="AL20" s="403"/>
      <c r="AM20" s="137"/>
      <c r="AN20" s="404"/>
      <c r="AO20" s="402"/>
      <c r="AP20" s="401"/>
      <c r="AQ20" s="405"/>
      <c r="AT20" s="406"/>
      <c r="AU20" s="403"/>
      <c r="AV20" s="354"/>
      <c r="AW20" s="404"/>
      <c r="AX20" s="406"/>
      <c r="AY20" s="403"/>
      <c r="AZ20" s="404"/>
      <c r="BA20" s="137"/>
      <c r="BB20" s="7"/>
      <c r="BC20" s="48"/>
      <c r="BF20" s="411"/>
      <c r="BG20" s="408"/>
      <c r="BH20" s="137"/>
      <c r="BI20" s="412"/>
      <c r="BJ20" s="410"/>
      <c r="BK20" s="409"/>
      <c r="BL20" s="413"/>
      <c r="BM20" s="138"/>
      <c r="BO20" s="411"/>
      <c r="BP20" s="408"/>
      <c r="BQ20" s="156"/>
      <c r="BR20" s="412"/>
      <c r="BS20" s="411"/>
      <c r="BT20" s="408"/>
      <c r="BU20" s="412"/>
      <c r="BV20" s="137"/>
      <c r="BX20" s="411"/>
      <c r="BY20" s="408"/>
      <c r="BZ20" s="137"/>
      <c r="CA20" s="412"/>
      <c r="CB20" s="411"/>
      <c r="CC20" s="408"/>
      <c r="CD20" s="412"/>
      <c r="CE20" s="137"/>
      <c r="CG20" s="411"/>
      <c r="CH20" s="408"/>
      <c r="CI20" s="326"/>
      <c r="CJ20" s="412"/>
      <c r="CK20" s="410"/>
      <c r="CL20" s="409"/>
      <c r="CM20" s="413"/>
      <c r="CP20" s="411"/>
      <c r="CQ20" s="408"/>
      <c r="CR20" s="326"/>
      <c r="CS20" s="412"/>
      <c r="CT20" s="410"/>
      <c r="CU20" s="409"/>
      <c r="CV20" s="413"/>
      <c r="CY20" s="411"/>
      <c r="CZ20" s="408"/>
      <c r="DA20" s="340"/>
      <c r="DB20" s="412"/>
      <c r="DC20" s="410"/>
      <c r="DD20" s="409"/>
      <c r="DE20" s="413"/>
    </row>
    <row r="21" spans="1:109">
      <c r="A21" s="443">
        <v>112301</v>
      </c>
      <c r="B21" s="442" t="s">
        <v>83</v>
      </c>
      <c r="C21" s="441">
        <v>0</v>
      </c>
      <c r="D21" s="441">
        <v>9288362.4299999997</v>
      </c>
      <c r="E21" s="443">
        <v>112306</v>
      </c>
      <c r="F21" s="442" t="s">
        <v>87</v>
      </c>
      <c r="G21" s="441">
        <v>32036.98</v>
      </c>
      <c r="H21" s="111"/>
      <c r="J21" s="443">
        <v>112306</v>
      </c>
      <c r="K21" s="442" t="s">
        <v>87</v>
      </c>
      <c r="L21" s="441">
        <v>0</v>
      </c>
      <c r="M21" s="441">
        <v>506302.11</v>
      </c>
      <c r="N21" s="431">
        <v>112401</v>
      </c>
      <c r="O21" s="432" t="s">
        <v>89</v>
      </c>
      <c r="P21" s="434">
        <v>66428.960000000006</v>
      </c>
      <c r="S21" s="464">
        <v>112306</v>
      </c>
      <c r="T21" s="461" t="s">
        <v>87</v>
      </c>
      <c r="U21" s="462">
        <v>0</v>
      </c>
      <c r="V21" s="462">
        <v>592548.81000000006</v>
      </c>
      <c r="W21" s="464">
        <v>112306</v>
      </c>
      <c r="X21" s="461" t="s">
        <v>87</v>
      </c>
      <c r="Y21" s="462">
        <v>21778.79</v>
      </c>
      <c r="Z21" s="111"/>
      <c r="AB21" s="474">
        <v>112304</v>
      </c>
      <c r="AC21" s="472" t="s">
        <v>86</v>
      </c>
      <c r="AD21" s="473">
        <v>0</v>
      </c>
      <c r="AE21" s="473">
        <v>282395.08</v>
      </c>
      <c r="AF21" s="474">
        <v>112302</v>
      </c>
      <c r="AG21" s="472" t="s">
        <v>84</v>
      </c>
      <c r="AH21" s="473">
        <v>194053.92</v>
      </c>
      <c r="AI21" s="138"/>
      <c r="AK21" s="402"/>
      <c r="AL21" s="401"/>
      <c r="AM21" s="138"/>
      <c r="AN21" s="405"/>
      <c r="AO21" s="406"/>
      <c r="AP21" s="403"/>
      <c r="AQ21" s="404"/>
      <c r="AT21" s="402"/>
      <c r="AU21" s="401"/>
      <c r="AV21" s="355"/>
      <c r="AW21" s="405"/>
      <c r="AX21" s="402"/>
      <c r="AY21" s="401"/>
      <c r="AZ21" s="405"/>
      <c r="BA21" s="138"/>
      <c r="BB21" s="7"/>
      <c r="BC21" s="48"/>
      <c r="BF21" s="410"/>
      <c r="BG21" s="409"/>
      <c r="BH21" s="138"/>
      <c r="BI21" s="413"/>
      <c r="BJ21" s="411"/>
      <c r="BK21" s="408"/>
      <c r="BL21" s="412"/>
      <c r="BM21" s="137"/>
      <c r="BO21" s="410"/>
      <c r="BP21" s="409"/>
      <c r="BQ21" s="157"/>
      <c r="BR21" s="413"/>
      <c r="BS21" s="410"/>
      <c r="BT21" s="409"/>
      <c r="BU21" s="413"/>
      <c r="BV21" s="138"/>
      <c r="BX21" s="410"/>
      <c r="BY21" s="409"/>
      <c r="BZ21" s="138"/>
      <c r="CA21" s="413"/>
      <c r="CB21" s="410"/>
      <c r="CC21" s="409"/>
      <c r="CD21" s="413"/>
      <c r="CE21" s="138"/>
      <c r="CG21" s="410"/>
      <c r="CH21" s="409"/>
      <c r="CI21" s="328"/>
      <c r="CJ21" s="413"/>
      <c r="CK21" s="411"/>
      <c r="CL21" s="408"/>
      <c r="CM21" s="412"/>
      <c r="CP21" s="410"/>
      <c r="CQ21" s="409"/>
      <c r="CR21" s="328"/>
      <c r="CS21" s="413"/>
      <c r="CT21" s="411"/>
      <c r="CU21" s="408"/>
      <c r="CV21" s="412"/>
      <c r="CY21" s="410"/>
      <c r="CZ21" s="409"/>
      <c r="DA21" s="343"/>
      <c r="DB21" s="413"/>
      <c r="DC21" s="411"/>
      <c r="DD21" s="408"/>
      <c r="DE21" s="412"/>
    </row>
    <row r="22" spans="1:109">
      <c r="A22" s="438">
        <v>112302</v>
      </c>
      <c r="B22" s="439" t="s">
        <v>84</v>
      </c>
      <c r="C22" s="440">
        <v>0</v>
      </c>
      <c r="D22" s="440">
        <v>9100305.0099999998</v>
      </c>
      <c r="E22" s="438">
        <v>112401</v>
      </c>
      <c r="F22" s="439" t="s">
        <v>89</v>
      </c>
      <c r="G22" s="440">
        <v>106273.85</v>
      </c>
      <c r="J22" s="438">
        <v>112401</v>
      </c>
      <c r="K22" s="439" t="s">
        <v>89</v>
      </c>
      <c r="L22" s="440">
        <v>0</v>
      </c>
      <c r="M22" s="440">
        <v>1747075.99</v>
      </c>
      <c r="N22" s="430">
        <v>112402</v>
      </c>
      <c r="O22" s="433" t="s">
        <v>90</v>
      </c>
      <c r="P22" s="435">
        <v>102592.19</v>
      </c>
      <c r="Q22" s="111"/>
      <c r="S22" s="465">
        <v>112401</v>
      </c>
      <c r="T22" s="458" t="s">
        <v>89</v>
      </c>
      <c r="U22" s="459">
        <v>0</v>
      </c>
      <c r="V22" s="459">
        <v>1993552.73</v>
      </c>
      <c r="W22" s="465">
        <v>112401</v>
      </c>
      <c r="X22" s="458" t="s">
        <v>89</v>
      </c>
      <c r="Y22" s="459">
        <v>68192.149999999994</v>
      </c>
      <c r="AB22" s="469">
        <v>112306</v>
      </c>
      <c r="AC22" s="470" t="s">
        <v>87</v>
      </c>
      <c r="AD22" s="471">
        <v>0</v>
      </c>
      <c r="AE22" s="471">
        <v>528227.06999999995</v>
      </c>
      <c r="AF22" s="469">
        <v>112304</v>
      </c>
      <c r="AG22" s="470" t="s">
        <v>86</v>
      </c>
      <c r="AH22" s="471">
        <v>11167.03</v>
      </c>
      <c r="AI22" s="137"/>
      <c r="AK22" s="406"/>
      <c r="AL22" s="403"/>
      <c r="AM22" s="137"/>
      <c r="AN22" s="404"/>
      <c r="AO22" s="402"/>
      <c r="AP22" s="401"/>
      <c r="AQ22" s="405"/>
      <c r="AT22" s="406"/>
      <c r="AU22" s="403"/>
      <c r="AV22" s="354"/>
      <c r="AW22" s="404"/>
      <c r="AX22" s="406"/>
      <c r="AY22" s="403"/>
      <c r="AZ22" s="404"/>
      <c r="BA22" s="137"/>
      <c r="BB22" s="7"/>
      <c r="BC22" s="48"/>
      <c r="BF22" s="411"/>
      <c r="BG22" s="408"/>
      <c r="BH22" s="137"/>
      <c r="BI22" s="412"/>
      <c r="BJ22" s="410"/>
      <c r="BK22" s="409"/>
      <c r="BL22" s="413"/>
      <c r="BM22" s="138"/>
      <c r="BO22" s="411"/>
      <c r="BP22" s="408"/>
      <c r="BQ22" s="156"/>
      <c r="BR22" s="412"/>
      <c r="BS22" s="411"/>
      <c r="BT22" s="408"/>
      <c r="BU22" s="412"/>
      <c r="BV22" s="137"/>
      <c r="BX22" s="411"/>
      <c r="BY22" s="408"/>
      <c r="BZ22" s="137"/>
      <c r="CA22" s="412"/>
      <c r="CB22" s="411"/>
      <c r="CC22" s="408"/>
      <c r="CD22" s="412"/>
      <c r="CE22" s="137"/>
      <c r="CG22" s="411"/>
      <c r="CH22" s="408"/>
      <c r="CI22" s="326"/>
      <c r="CJ22" s="412"/>
      <c r="CK22" s="410"/>
      <c r="CL22" s="409"/>
      <c r="CM22" s="413"/>
      <c r="CP22" s="411"/>
      <c r="CQ22" s="408"/>
      <c r="CR22" s="326"/>
      <c r="CS22" s="412"/>
      <c r="CT22" s="410"/>
      <c r="CU22" s="409"/>
      <c r="CV22" s="413"/>
      <c r="CY22" s="411"/>
      <c r="CZ22" s="408"/>
      <c r="DA22" s="340"/>
      <c r="DB22" s="412"/>
      <c r="DC22" s="410"/>
      <c r="DD22" s="409"/>
      <c r="DE22" s="413"/>
    </row>
    <row r="23" spans="1:109">
      <c r="A23" s="443">
        <v>112304</v>
      </c>
      <c r="B23" s="442" t="s">
        <v>86</v>
      </c>
      <c r="C23" s="441">
        <v>0</v>
      </c>
      <c r="D23" s="441">
        <v>598551.1</v>
      </c>
      <c r="E23" s="443">
        <v>112402</v>
      </c>
      <c r="F23" s="442" t="s">
        <v>90</v>
      </c>
      <c r="G23" s="441">
        <v>136662.14000000001</v>
      </c>
      <c r="H23" s="111"/>
      <c r="J23" s="443">
        <v>112402</v>
      </c>
      <c r="K23" s="442" t="s">
        <v>90</v>
      </c>
      <c r="L23" s="441">
        <v>0</v>
      </c>
      <c r="M23" s="441">
        <v>2401801</v>
      </c>
      <c r="N23" s="431">
        <v>112405</v>
      </c>
      <c r="O23" s="432" t="s">
        <v>91</v>
      </c>
      <c r="P23" s="434">
        <v>18193.7</v>
      </c>
      <c r="S23" s="464">
        <v>112402</v>
      </c>
      <c r="T23" s="461" t="s">
        <v>90</v>
      </c>
      <c r="U23" s="462">
        <v>0</v>
      </c>
      <c r="V23" s="462">
        <v>2707339.99</v>
      </c>
      <c r="W23" s="464">
        <v>112402</v>
      </c>
      <c r="X23" s="461" t="s">
        <v>90</v>
      </c>
      <c r="Y23" s="462">
        <v>108251.07</v>
      </c>
      <c r="Z23" s="111"/>
      <c r="AB23" s="474">
        <v>112401</v>
      </c>
      <c r="AC23" s="472" t="s">
        <v>89</v>
      </c>
      <c r="AD23" s="473">
        <v>0</v>
      </c>
      <c r="AE23" s="473">
        <v>1761577.69</v>
      </c>
      <c r="AF23" s="474">
        <v>112306</v>
      </c>
      <c r="AG23" s="472" t="s">
        <v>87</v>
      </c>
      <c r="AH23" s="473">
        <v>23185.64</v>
      </c>
      <c r="AI23" s="138"/>
      <c r="AK23" s="402"/>
      <c r="AL23" s="401"/>
      <c r="AM23" s="138"/>
      <c r="AN23" s="405"/>
      <c r="AO23" s="406"/>
      <c r="AP23" s="403"/>
      <c r="AQ23" s="404"/>
      <c r="AT23" s="402"/>
      <c r="AU23" s="401"/>
      <c r="AV23" s="355"/>
      <c r="AW23" s="405"/>
      <c r="AX23" s="402"/>
      <c r="AY23" s="401"/>
      <c r="AZ23" s="405"/>
      <c r="BA23" s="138"/>
      <c r="BB23" s="7"/>
      <c r="BC23" s="48"/>
      <c r="BF23" s="410"/>
      <c r="BG23" s="409"/>
      <c r="BH23" s="138"/>
      <c r="BI23" s="413"/>
      <c r="BJ23" s="411"/>
      <c r="BK23" s="408"/>
      <c r="BL23" s="412"/>
      <c r="BM23" s="137"/>
      <c r="BO23" s="410"/>
      <c r="BP23" s="409"/>
      <c r="BQ23" s="157"/>
      <c r="BR23" s="413"/>
      <c r="BS23" s="410"/>
      <c r="BT23" s="409"/>
      <c r="BU23" s="413"/>
      <c r="BV23" s="138"/>
      <c r="BX23" s="410"/>
      <c r="BY23" s="409"/>
      <c r="BZ23" s="138"/>
      <c r="CA23" s="413"/>
      <c r="CB23" s="410"/>
      <c r="CC23" s="409"/>
      <c r="CD23" s="413"/>
      <c r="CE23" s="138"/>
      <c r="CG23" s="410"/>
      <c r="CH23" s="409"/>
      <c r="CI23" s="328"/>
      <c r="CJ23" s="413"/>
      <c r="CK23" s="411"/>
      <c r="CL23" s="408"/>
      <c r="CM23" s="412"/>
      <c r="CP23" s="410"/>
      <c r="CQ23" s="409"/>
      <c r="CR23" s="328"/>
      <c r="CS23" s="413"/>
      <c r="CT23" s="411"/>
      <c r="CU23" s="408"/>
      <c r="CV23" s="412"/>
      <c r="CY23" s="410"/>
      <c r="CZ23" s="409"/>
      <c r="DA23" s="343"/>
      <c r="DB23" s="413"/>
      <c r="DC23" s="411"/>
      <c r="DD23" s="408"/>
      <c r="DE23" s="412"/>
    </row>
    <row r="24" spans="1:109">
      <c r="A24" s="438">
        <v>112306</v>
      </c>
      <c r="B24" s="439" t="s">
        <v>87</v>
      </c>
      <c r="C24" s="440">
        <v>0</v>
      </c>
      <c r="D24" s="440">
        <v>1097337.05</v>
      </c>
      <c r="E24" s="438">
        <v>112405</v>
      </c>
      <c r="F24" s="439" t="s">
        <v>91</v>
      </c>
      <c r="G24" s="440">
        <v>25474.39</v>
      </c>
      <c r="J24" s="438">
        <v>112405</v>
      </c>
      <c r="K24" s="439" t="s">
        <v>91</v>
      </c>
      <c r="L24" s="440">
        <v>0</v>
      </c>
      <c r="M24" s="440">
        <v>418706.4</v>
      </c>
      <c r="N24" s="430">
        <v>112501</v>
      </c>
      <c r="O24" s="433" t="s">
        <v>92</v>
      </c>
      <c r="P24" s="435">
        <v>4316.49</v>
      </c>
      <c r="Q24" s="111"/>
      <c r="S24" s="465">
        <v>112405</v>
      </c>
      <c r="T24" s="458" t="s">
        <v>91</v>
      </c>
      <c r="U24" s="459">
        <v>0</v>
      </c>
      <c r="V24" s="459">
        <v>483346.07</v>
      </c>
      <c r="W24" s="465">
        <v>112405</v>
      </c>
      <c r="X24" s="458" t="s">
        <v>91</v>
      </c>
      <c r="Y24" s="459">
        <v>14264.22</v>
      </c>
      <c r="AB24" s="469">
        <v>112402</v>
      </c>
      <c r="AC24" s="470" t="s">
        <v>90</v>
      </c>
      <c r="AD24" s="471">
        <v>0</v>
      </c>
      <c r="AE24" s="471">
        <v>2481777.9500000002</v>
      </c>
      <c r="AF24" s="469">
        <v>112401</v>
      </c>
      <c r="AG24" s="470" t="s">
        <v>89</v>
      </c>
      <c r="AH24" s="471">
        <v>65767.05</v>
      </c>
      <c r="AI24" s="137"/>
      <c r="AK24" s="406"/>
      <c r="AL24" s="403"/>
      <c r="AM24" s="137"/>
      <c r="AN24" s="404"/>
      <c r="AO24" s="402"/>
      <c r="AP24" s="401"/>
      <c r="AQ24" s="405"/>
      <c r="AT24" s="406"/>
      <c r="AU24" s="403"/>
      <c r="AV24" s="354"/>
      <c r="AW24" s="404"/>
      <c r="AX24" s="406"/>
      <c r="AY24" s="403"/>
      <c r="AZ24" s="404"/>
      <c r="BA24" s="137"/>
      <c r="BB24" s="7"/>
      <c r="BC24" s="48"/>
      <c r="BF24" s="411"/>
      <c r="BG24" s="408"/>
      <c r="BH24" s="137"/>
      <c r="BI24" s="412"/>
      <c r="BJ24" s="410"/>
      <c r="BK24" s="409"/>
      <c r="BL24" s="413"/>
      <c r="BM24" s="138"/>
      <c r="BO24" s="411"/>
      <c r="BP24" s="408"/>
      <c r="BQ24" s="156"/>
      <c r="BR24" s="412"/>
      <c r="BS24" s="411"/>
      <c r="BT24" s="408"/>
      <c r="BU24" s="412"/>
      <c r="BV24" s="137"/>
      <c r="BX24" s="411"/>
      <c r="BY24" s="408"/>
      <c r="BZ24" s="137"/>
      <c r="CA24" s="412"/>
      <c r="CB24" s="411"/>
      <c r="CC24" s="408"/>
      <c r="CD24" s="412"/>
      <c r="CE24" s="137"/>
      <c r="CG24" s="411"/>
      <c r="CH24" s="408"/>
      <c r="CI24" s="326"/>
      <c r="CJ24" s="412"/>
      <c r="CK24" s="410"/>
      <c r="CL24" s="409"/>
      <c r="CM24" s="413"/>
      <c r="CP24" s="411"/>
      <c r="CQ24" s="408"/>
      <c r="CR24" s="326"/>
      <c r="CS24" s="412"/>
      <c r="CT24" s="410"/>
      <c r="CU24" s="409"/>
      <c r="CV24" s="413"/>
      <c r="CY24" s="411"/>
      <c r="CZ24" s="408"/>
      <c r="DA24" s="340"/>
      <c r="DB24" s="412"/>
      <c r="DC24" s="410"/>
      <c r="DD24" s="409"/>
      <c r="DE24" s="413"/>
    </row>
    <row r="25" spans="1:109">
      <c r="A25" s="443">
        <v>112401</v>
      </c>
      <c r="B25" s="442" t="s">
        <v>89</v>
      </c>
      <c r="C25" s="441">
        <v>0</v>
      </c>
      <c r="D25" s="441">
        <v>2244640.9</v>
      </c>
      <c r="E25" s="443">
        <v>112501</v>
      </c>
      <c r="F25" s="442" t="s">
        <v>92</v>
      </c>
      <c r="G25" s="441">
        <v>3866.4</v>
      </c>
      <c r="H25" s="111"/>
      <c r="J25" s="443">
        <v>112501</v>
      </c>
      <c r="K25" s="442" t="s">
        <v>92</v>
      </c>
      <c r="L25" s="441">
        <v>0</v>
      </c>
      <c r="M25" s="441">
        <v>118854.6</v>
      </c>
      <c r="N25" s="431">
        <v>112502</v>
      </c>
      <c r="O25" s="432" t="s">
        <v>93</v>
      </c>
      <c r="P25" s="434">
        <v>170.46</v>
      </c>
      <c r="S25" s="464">
        <v>112501</v>
      </c>
      <c r="T25" s="461" t="s">
        <v>92</v>
      </c>
      <c r="U25" s="462">
        <v>0</v>
      </c>
      <c r="V25" s="462">
        <v>160427.35</v>
      </c>
      <c r="W25" s="464">
        <v>112501</v>
      </c>
      <c r="X25" s="461" t="s">
        <v>92</v>
      </c>
      <c r="Y25" s="462">
        <v>5468.47</v>
      </c>
      <c r="Z25" s="111"/>
      <c r="AB25" s="474">
        <v>112405</v>
      </c>
      <c r="AC25" s="472" t="s">
        <v>91</v>
      </c>
      <c r="AD25" s="473">
        <v>0</v>
      </c>
      <c r="AE25" s="473">
        <v>427099.03</v>
      </c>
      <c r="AF25" s="474">
        <v>112402</v>
      </c>
      <c r="AG25" s="472" t="s">
        <v>90</v>
      </c>
      <c r="AH25" s="473">
        <v>105356.18</v>
      </c>
      <c r="AI25" s="138"/>
      <c r="AK25" s="402"/>
      <c r="AL25" s="401"/>
      <c r="AM25" s="138"/>
      <c r="AN25" s="405"/>
      <c r="AO25" s="406"/>
      <c r="AP25" s="403"/>
      <c r="AQ25" s="404"/>
      <c r="AT25" s="402"/>
      <c r="AU25" s="401"/>
      <c r="AV25" s="355"/>
      <c r="AW25" s="405"/>
      <c r="AX25" s="402"/>
      <c r="AY25" s="401"/>
      <c r="AZ25" s="405"/>
      <c r="BA25" s="138"/>
      <c r="BB25" s="7"/>
      <c r="BC25" s="48"/>
      <c r="BF25" s="410"/>
      <c r="BG25" s="409"/>
      <c r="BH25" s="138"/>
      <c r="BI25" s="413"/>
      <c r="BJ25" s="411"/>
      <c r="BK25" s="408"/>
      <c r="BL25" s="412"/>
      <c r="BM25" s="137"/>
      <c r="BO25" s="410"/>
      <c r="BP25" s="409"/>
      <c r="BQ25" s="157"/>
      <c r="BR25" s="413"/>
      <c r="BS25" s="410"/>
      <c r="BT25" s="409"/>
      <c r="BU25" s="413"/>
      <c r="BV25" s="138"/>
      <c r="BX25" s="410"/>
      <c r="BY25" s="409"/>
      <c r="BZ25" s="138"/>
      <c r="CA25" s="413"/>
      <c r="CB25" s="410"/>
      <c r="CC25" s="409"/>
      <c r="CD25" s="413"/>
      <c r="CE25" s="138"/>
      <c r="CG25" s="410"/>
      <c r="CH25" s="409"/>
      <c r="CI25" s="328"/>
      <c r="CJ25" s="413"/>
      <c r="CK25" s="411"/>
      <c r="CL25" s="408"/>
      <c r="CM25" s="412"/>
      <c r="CP25" s="410"/>
      <c r="CQ25" s="409"/>
      <c r="CR25" s="328"/>
      <c r="CS25" s="413"/>
      <c r="CT25" s="411"/>
      <c r="CU25" s="408"/>
      <c r="CV25" s="412"/>
      <c r="CY25" s="410"/>
      <c r="CZ25" s="409"/>
      <c r="DA25" s="343"/>
      <c r="DB25" s="413"/>
      <c r="DC25" s="411"/>
      <c r="DD25" s="408"/>
      <c r="DE25" s="412"/>
    </row>
    <row r="26" spans="1:109">
      <c r="A26" s="438">
        <v>112402</v>
      </c>
      <c r="B26" s="439" t="s">
        <v>90</v>
      </c>
      <c r="C26" s="440">
        <v>0</v>
      </c>
      <c r="D26" s="440">
        <v>2845673.46</v>
      </c>
      <c r="E26" s="438">
        <v>112502</v>
      </c>
      <c r="F26" s="439" t="s">
        <v>93</v>
      </c>
      <c r="G26" s="440">
        <v>103.04</v>
      </c>
      <c r="J26" s="438">
        <v>112502</v>
      </c>
      <c r="K26" s="439" t="s">
        <v>93</v>
      </c>
      <c r="L26" s="440">
        <v>0</v>
      </c>
      <c r="M26" s="440">
        <v>28001.88</v>
      </c>
      <c r="N26" s="430">
        <v>112503</v>
      </c>
      <c r="O26" s="433" t="s">
        <v>94</v>
      </c>
      <c r="P26" s="435">
        <v>6800.98</v>
      </c>
      <c r="Q26" s="111"/>
      <c r="S26" s="465">
        <v>112503</v>
      </c>
      <c r="T26" s="458" t="s">
        <v>94</v>
      </c>
      <c r="U26" s="459">
        <v>0</v>
      </c>
      <c r="V26" s="459">
        <v>463857.22</v>
      </c>
      <c r="W26" s="465">
        <v>112503</v>
      </c>
      <c r="X26" s="458" t="s">
        <v>94</v>
      </c>
      <c r="Y26" s="459">
        <v>7681.02</v>
      </c>
      <c r="AB26" s="469">
        <v>112501</v>
      </c>
      <c r="AC26" s="470" t="s">
        <v>92</v>
      </c>
      <c r="AD26" s="471">
        <v>0</v>
      </c>
      <c r="AE26" s="471">
        <v>147719.28</v>
      </c>
      <c r="AF26" s="469">
        <v>112405</v>
      </c>
      <c r="AG26" s="470" t="s">
        <v>91</v>
      </c>
      <c r="AH26" s="471">
        <v>14739.56</v>
      </c>
      <c r="AI26" s="137"/>
      <c r="AK26" s="406"/>
      <c r="AL26" s="403"/>
      <c r="AM26" s="137"/>
      <c r="AN26" s="404"/>
      <c r="AO26" s="402"/>
      <c r="AP26" s="401"/>
      <c r="AQ26" s="405"/>
      <c r="AT26" s="406"/>
      <c r="AU26" s="403"/>
      <c r="AV26" s="354"/>
      <c r="AW26" s="404"/>
      <c r="AX26" s="406"/>
      <c r="AY26" s="403"/>
      <c r="AZ26" s="404"/>
      <c r="BA26" s="137"/>
      <c r="BB26" s="7"/>
      <c r="BC26" s="48"/>
      <c r="BF26" s="411"/>
      <c r="BG26" s="408"/>
      <c r="BH26" s="137"/>
      <c r="BI26" s="412"/>
      <c r="BJ26" s="410"/>
      <c r="BK26" s="409"/>
      <c r="BL26" s="413"/>
      <c r="BM26" s="138"/>
      <c r="BO26" s="411"/>
      <c r="BP26" s="408"/>
      <c r="BQ26" s="156"/>
      <c r="BR26" s="412"/>
      <c r="BS26" s="411"/>
      <c r="BT26" s="408"/>
      <c r="BU26" s="412"/>
      <c r="BV26" s="137"/>
      <c r="BX26" s="411"/>
      <c r="BY26" s="408"/>
      <c r="BZ26" s="137"/>
      <c r="CA26" s="412"/>
      <c r="CB26" s="411"/>
      <c r="CC26" s="408"/>
      <c r="CD26" s="412"/>
      <c r="CE26" s="137"/>
      <c r="CG26" s="411"/>
      <c r="CH26" s="408"/>
      <c r="CI26" s="326"/>
      <c r="CJ26" s="412"/>
      <c r="CK26" s="410"/>
      <c r="CL26" s="409"/>
      <c r="CM26" s="413"/>
      <c r="CP26" s="411"/>
      <c r="CQ26" s="408"/>
      <c r="CR26" s="326"/>
      <c r="CS26" s="412"/>
      <c r="CT26" s="410"/>
      <c r="CU26" s="409"/>
      <c r="CV26" s="413"/>
      <c r="CY26" s="411"/>
      <c r="CZ26" s="408"/>
      <c r="DA26" s="340"/>
      <c r="DB26" s="412"/>
      <c r="DC26" s="410"/>
      <c r="DD26" s="409"/>
      <c r="DE26" s="413"/>
    </row>
    <row r="27" spans="1:109">
      <c r="A27" s="443">
        <v>112405</v>
      </c>
      <c r="B27" s="442" t="s">
        <v>91</v>
      </c>
      <c r="C27" s="441">
        <v>0</v>
      </c>
      <c r="D27" s="441">
        <v>510414.57</v>
      </c>
      <c r="E27" s="443">
        <v>112503</v>
      </c>
      <c r="F27" s="442" t="s">
        <v>94</v>
      </c>
      <c r="G27" s="441">
        <v>11692.27</v>
      </c>
      <c r="H27" s="111"/>
      <c r="J27" s="443">
        <v>112503</v>
      </c>
      <c r="K27" s="442" t="s">
        <v>94</v>
      </c>
      <c r="L27" s="441">
        <v>0</v>
      </c>
      <c r="M27" s="441">
        <v>302725.14</v>
      </c>
      <c r="N27" s="431">
        <v>112505</v>
      </c>
      <c r="O27" s="432" t="s">
        <v>95</v>
      </c>
      <c r="P27" s="434">
        <v>11191.02</v>
      </c>
      <c r="S27" s="464">
        <v>112505</v>
      </c>
      <c r="T27" s="461" t="s">
        <v>95</v>
      </c>
      <c r="U27" s="462">
        <v>0</v>
      </c>
      <c r="V27" s="462">
        <v>323247.32</v>
      </c>
      <c r="W27" s="464">
        <v>112505</v>
      </c>
      <c r="X27" s="461" t="s">
        <v>95</v>
      </c>
      <c r="Y27" s="462">
        <v>9937.34</v>
      </c>
      <c r="Z27" s="111"/>
      <c r="AB27" s="474">
        <v>112502</v>
      </c>
      <c r="AC27" s="472" t="s">
        <v>93</v>
      </c>
      <c r="AD27" s="473">
        <v>0</v>
      </c>
      <c r="AE27" s="473">
        <v>33437.21</v>
      </c>
      <c r="AF27" s="474">
        <v>112501</v>
      </c>
      <c r="AG27" s="472" t="s">
        <v>92</v>
      </c>
      <c r="AH27" s="473">
        <v>3331.21</v>
      </c>
      <c r="AI27" s="138"/>
      <c r="AK27" s="402"/>
      <c r="AL27" s="401"/>
      <c r="AM27" s="138"/>
      <c r="AN27" s="405"/>
      <c r="AO27" s="406"/>
      <c r="AP27" s="403"/>
      <c r="AQ27" s="404"/>
      <c r="AT27" s="402"/>
      <c r="AU27" s="401"/>
      <c r="AV27" s="355"/>
      <c r="AW27" s="405"/>
      <c r="AX27" s="402"/>
      <c r="AY27" s="401"/>
      <c r="AZ27" s="405"/>
      <c r="BA27" s="138"/>
      <c r="BB27" s="7"/>
      <c r="BC27" s="48"/>
      <c r="BF27" s="410"/>
      <c r="BG27" s="409"/>
      <c r="BH27" s="138"/>
      <c r="BI27" s="413"/>
      <c r="BJ27" s="411"/>
      <c r="BK27" s="408"/>
      <c r="BL27" s="412"/>
      <c r="BM27" s="137"/>
      <c r="BO27" s="410"/>
      <c r="BP27" s="409"/>
      <c r="BQ27" s="157"/>
      <c r="BR27" s="413"/>
      <c r="BS27" s="410"/>
      <c r="BT27" s="409"/>
      <c r="BU27" s="413"/>
      <c r="BV27" s="138"/>
      <c r="BX27" s="410"/>
      <c r="BY27" s="409"/>
      <c r="BZ27" s="138"/>
      <c r="CA27" s="413"/>
      <c r="CB27" s="410"/>
      <c r="CC27" s="409"/>
      <c r="CD27" s="413"/>
      <c r="CE27" s="138"/>
      <c r="CG27" s="410"/>
      <c r="CH27" s="409"/>
      <c r="CI27" s="328"/>
      <c r="CJ27" s="413"/>
      <c r="CK27" s="411"/>
      <c r="CL27" s="408"/>
      <c r="CM27" s="412"/>
      <c r="CP27" s="410"/>
      <c r="CQ27" s="409"/>
      <c r="CR27" s="328"/>
      <c r="CS27" s="413"/>
      <c r="CT27" s="411"/>
      <c r="CU27" s="408"/>
      <c r="CV27" s="412"/>
      <c r="CY27" s="410"/>
      <c r="CZ27" s="409"/>
      <c r="DA27" s="343"/>
      <c r="DB27" s="413"/>
      <c r="DC27" s="411"/>
      <c r="DD27" s="408"/>
      <c r="DE27" s="412"/>
    </row>
    <row r="28" spans="1:109">
      <c r="A28" s="438">
        <v>112501</v>
      </c>
      <c r="B28" s="439" t="s">
        <v>92</v>
      </c>
      <c r="C28" s="440">
        <v>0</v>
      </c>
      <c r="D28" s="440">
        <v>209182.11</v>
      </c>
      <c r="E28" s="438">
        <v>112505</v>
      </c>
      <c r="F28" s="439" t="s">
        <v>95</v>
      </c>
      <c r="G28" s="440">
        <v>13041.55</v>
      </c>
      <c r="J28" s="438">
        <v>112505</v>
      </c>
      <c r="K28" s="439" t="s">
        <v>95</v>
      </c>
      <c r="L28" s="440">
        <v>0</v>
      </c>
      <c r="M28" s="440">
        <v>297381.65999999997</v>
      </c>
      <c r="N28" s="430">
        <v>112506</v>
      </c>
      <c r="O28" s="433" t="s">
        <v>96</v>
      </c>
      <c r="P28" s="435">
        <v>7150.88</v>
      </c>
      <c r="Q28" s="111"/>
      <c r="S28" s="465">
        <v>112506</v>
      </c>
      <c r="T28" s="458" t="s">
        <v>96</v>
      </c>
      <c r="U28" s="459">
        <v>0</v>
      </c>
      <c r="V28" s="459">
        <v>331790.09000000003</v>
      </c>
      <c r="W28" s="465">
        <v>112506</v>
      </c>
      <c r="X28" s="458" t="s">
        <v>96</v>
      </c>
      <c r="Y28" s="459">
        <v>5988.22</v>
      </c>
      <c r="AB28" s="469">
        <v>112503</v>
      </c>
      <c r="AC28" s="470" t="s">
        <v>94</v>
      </c>
      <c r="AD28" s="471">
        <v>0</v>
      </c>
      <c r="AE28" s="471">
        <v>269612.2</v>
      </c>
      <c r="AF28" s="469">
        <v>112502</v>
      </c>
      <c r="AG28" s="470" t="s">
        <v>93</v>
      </c>
      <c r="AH28" s="471">
        <v>505.84</v>
      </c>
      <c r="AI28" s="137"/>
      <c r="AK28" s="406"/>
      <c r="AL28" s="403"/>
      <c r="AM28" s="137"/>
      <c r="AN28" s="404"/>
      <c r="AO28" s="402"/>
      <c r="AP28" s="401"/>
      <c r="AQ28" s="405"/>
      <c r="AT28" s="406"/>
      <c r="AU28" s="403"/>
      <c r="AV28" s="354"/>
      <c r="AW28" s="404"/>
      <c r="AX28" s="406"/>
      <c r="AY28" s="403"/>
      <c r="AZ28" s="404"/>
      <c r="BA28" s="137"/>
      <c r="BB28" s="7"/>
      <c r="BC28" s="48"/>
      <c r="BF28" s="411"/>
      <c r="BG28" s="408"/>
      <c r="BH28" s="137"/>
      <c r="BI28" s="412"/>
      <c r="BJ28" s="410"/>
      <c r="BK28" s="409"/>
      <c r="BL28" s="413"/>
      <c r="BM28" s="138"/>
      <c r="BO28" s="411"/>
      <c r="BP28" s="408"/>
      <c r="BQ28" s="156"/>
      <c r="BR28" s="412"/>
      <c r="BS28" s="411"/>
      <c r="BT28" s="408"/>
      <c r="BU28" s="412"/>
      <c r="BV28" s="137"/>
      <c r="BX28" s="411"/>
      <c r="BY28" s="408"/>
      <c r="BZ28" s="137"/>
      <c r="CA28" s="412"/>
      <c r="CB28" s="411"/>
      <c r="CC28" s="408"/>
      <c r="CD28" s="412"/>
      <c r="CE28" s="137"/>
      <c r="CG28" s="411"/>
      <c r="CH28" s="408"/>
      <c r="CI28" s="326"/>
      <c r="CJ28" s="412"/>
      <c r="CK28" s="410"/>
      <c r="CL28" s="409"/>
      <c r="CM28" s="413"/>
      <c r="CP28" s="411"/>
      <c r="CQ28" s="408"/>
      <c r="CR28" s="326"/>
      <c r="CS28" s="412"/>
      <c r="CT28" s="410"/>
      <c r="CU28" s="409"/>
      <c r="CV28" s="413"/>
      <c r="CY28" s="411"/>
      <c r="CZ28" s="408"/>
      <c r="DA28" s="340"/>
      <c r="DB28" s="412"/>
      <c r="DC28" s="410"/>
      <c r="DD28" s="409"/>
      <c r="DE28" s="413"/>
    </row>
    <row r="29" spans="1:109">
      <c r="A29" s="443">
        <v>112502</v>
      </c>
      <c r="B29" s="442" t="s">
        <v>93</v>
      </c>
      <c r="C29" s="441">
        <v>0</v>
      </c>
      <c r="D29" s="441">
        <v>46851.95</v>
      </c>
      <c r="E29" s="443">
        <v>112506</v>
      </c>
      <c r="F29" s="442" t="s">
        <v>96</v>
      </c>
      <c r="G29" s="441">
        <v>10540.49</v>
      </c>
      <c r="H29" s="111"/>
      <c r="J29" s="443">
        <v>112506</v>
      </c>
      <c r="K29" s="442" t="s">
        <v>96</v>
      </c>
      <c r="L29" s="441">
        <v>0</v>
      </c>
      <c r="M29" s="441">
        <v>221493.12</v>
      </c>
      <c r="N29" s="431">
        <v>211101</v>
      </c>
      <c r="O29" s="432" t="s">
        <v>132</v>
      </c>
      <c r="P29" s="434">
        <v>10982805.060000001</v>
      </c>
      <c r="S29" s="464">
        <v>117302</v>
      </c>
      <c r="T29" s="461" t="s">
        <v>107</v>
      </c>
      <c r="U29" s="462">
        <v>0</v>
      </c>
      <c r="V29" s="462">
        <v>566</v>
      </c>
      <c r="W29" s="464">
        <v>211101</v>
      </c>
      <c r="X29" s="461" t="s">
        <v>132</v>
      </c>
      <c r="Y29" s="462">
        <v>13047262.689999999</v>
      </c>
      <c r="Z29" s="111"/>
      <c r="AB29" s="474">
        <v>112505</v>
      </c>
      <c r="AC29" s="472" t="s">
        <v>95</v>
      </c>
      <c r="AD29" s="473">
        <v>0</v>
      </c>
      <c r="AE29" s="473">
        <v>299921.32</v>
      </c>
      <c r="AF29" s="474">
        <v>112503</v>
      </c>
      <c r="AG29" s="472" t="s">
        <v>94</v>
      </c>
      <c r="AH29" s="473">
        <v>8000.64</v>
      </c>
      <c r="AI29" s="138"/>
      <c r="AK29" s="402"/>
      <c r="AL29" s="401"/>
      <c r="AM29" s="138"/>
      <c r="AN29" s="405"/>
      <c r="AO29" s="406"/>
      <c r="AP29" s="403"/>
      <c r="AQ29" s="404"/>
      <c r="AT29" s="402"/>
      <c r="AU29" s="401"/>
      <c r="AV29" s="355"/>
      <c r="AW29" s="405"/>
      <c r="AX29" s="402"/>
      <c r="AY29" s="401"/>
      <c r="AZ29" s="405"/>
      <c r="BA29" s="138"/>
      <c r="BB29" s="7"/>
      <c r="BC29" s="48"/>
      <c r="BF29" s="410"/>
      <c r="BG29" s="409"/>
      <c r="BH29" s="138"/>
      <c r="BI29" s="413"/>
      <c r="BJ29" s="411"/>
      <c r="BK29" s="408"/>
      <c r="BL29" s="412"/>
      <c r="BM29" s="137"/>
      <c r="BO29" s="410"/>
      <c r="BP29" s="409"/>
      <c r="BQ29" s="157"/>
      <c r="BR29" s="413"/>
      <c r="BS29" s="410"/>
      <c r="BT29" s="409"/>
      <c r="BU29" s="413"/>
      <c r="BV29" s="138"/>
      <c r="BX29" s="410"/>
      <c r="BY29" s="409"/>
      <c r="BZ29" s="138"/>
      <c r="CA29" s="413"/>
      <c r="CB29" s="410"/>
      <c r="CC29" s="409"/>
      <c r="CD29" s="413"/>
      <c r="CE29" s="138"/>
      <c r="CG29" s="410"/>
      <c r="CH29" s="409"/>
      <c r="CI29" s="328"/>
      <c r="CJ29" s="413"/>
      <c r="CK29" s="411"/>
      <c r="CL29" s="408"/>
      <c r="CM29" s="412"/>
      <c r="CP29" s="410"/>
      <c r="CQ29" s="409"/>
      <c r="CR29" s="328"/>
      <c r="CS29" s="413"/>
      <c r="CT29" s="411"/>
      <c r="CU29" s="408"/>
      <c r="CV29" s="412"/>
      <c r="CY29" s="410"/>
      <c r="CZ29" s="409"/>
      <c r="DA29" s="343"/>
      <c r="DB29" s="413"/>
      <c r="DC29" s="411"/>
      <c r="DD29" s="408"/>
      <c r="DE29" s="412"/>
    </row>
    <row r="30" spans="1:109">
      <c r="A30" s="438">
        <v>112503</v>
      </c>
      <c r="B30" s="439" t="s">
        <v>94</v>
      </c>
      <c r="C30" s="440">
        <v>0</v>
      </c>
      <c r="D30" s="440">
        <v>506836.65</v>
      </c>
      <c r="E30" s="438">
        <v>113118</v>
      </c>
      <c r="F30" s="439" t="s">
        <v>129</v>
      </c>
      <c r="G30" s="440">
        <v>18229.41</v>
      </c>
      <c r="J30" s="438">
        <v>112512</v>
      </c>
      <c r="K30" s="439" t="s">
        <v>99</v>
      </c>
      <c r="L30" s="440">
        <v>0</v>
      </c>
      <c r="M30" s="440">
        <v>4413.6899999999996</v>
      </c>
      <c r="N30" s="430">
        <v>211103</v>
      </c>
      <c r="O30" s="433" t="s">
        <v>134</v>
      </c>
      <c r="P30" s="435">
        <v>694086.3</v>
      </c>
      <c r="Q30" s="111"/>
      <c r="S30" s="465">
        <v>215110</v>
      </c>
      <c r="T30" s="458" t="s">
        <v>169</v>
      </c>
      <c r="U30" s="459">
        <v>0</v>
      </c>
      <c r="V30" s="459">
        <v>21.36</v>
      </c>
      <c r="W30" s="465">
        <v>211103</v>
      </c>
      <c r="X30" s="458" t="s">
        <v>134</v>
      </c>
      <c r="Y30" s="459">
        <v>1307159.97</v>
      </c>
      <c r="AB30" s="469">
        <v>112506</v>
      </c>
      <c r="AC30" s="470" t="s">
        <v>96</v>
      </c>
      <c r="AD30" s="471">
        <v>0</v>
      </c>
      <c r="AE30" s="471">
        <v>252616.26</v>
      </c>
      <c r="AF30" s="469">
        <v>112505</v>
      </c>
      <c r="AG30" s="470" t="s">
        <v>95</v>
      </c>
      <c r="AH30" s="471">
        <v>8912.66</v>
      </c>
      <c r="AI30" s="137"/>
      <c r="AK30" s="406"/>
      <c r="AL30" s="403"/>
      <c r="AM30" s="137"/>
      <c r="AN30" s="404"/>
      <c r="AO30" s="402"/>
      <c r="AP30" s="401"/>
      <c r="AQ30" s="405"/>
      <c r="AT30" s="406"/>
      <c r="AU30" s="403"/>
      <c r="AV30" s="354"/>
      <c r="AW30" s="404"/>
      <c r="AX30" s="406"/>
      <c r="AY30" s="403"/>
      <c r="AZ30" s="404"/>
      <c r="BA30" s="137"/>
      <c r="BB30" s="7"/>
      <c r="BC30" s="48"/>
      <c r="BF30" s="411"/>
      <c r="BG30" s="408"/>
      <c r="BH30" s="137"/>
      <c r="BI30" s="412"/>
      <c r="BJ30" s="410"/>
      <c r="BK30" s="409"/>
      <c r="BL30" s="413"/>
      <c r="BM30" s="138"/>
      <c r="BO30" s="411"/>
      <c r="BP30" s="408"/>
      <c r="BQ30" s="156"/>
      <c r="BR30" s="412"/>
      <c r="BS30" s="411"/>
      <c r="BT30" s="408"/>
      <c r="BU30" s="412"/>
      <c r="BV30" s="137"/>
      <c r="BX30" s="411"/>
      <c r="BY30" s="408"/>
      <c r="BZ30" s="137"/>
      <c r="CA30" s="412"/>
      <c r="CB30" s="411"/>
      <c r="CC30" s="408"/>
      <c r="CD30" s="412"/>
      <c r="CE30" s="137"/>
      <c r="CG30" s="411"/>
      <c r="CH30" s="408"/>
      <c r="CI30" s="326"/>
      <c r="CJ30" s="412"/>
      <c r="CK30" s="410"/>
      <c r="CL30" s="409"/>
      <c r="CM30" s="413"/>
      <c r="CP30" s="411"/>
      <c r="CQ30" s="408"/>
      <c r="CR30" s="326"/>
      <c r="CS30" s="412"/>
      <c r="CT30" s="410"/>
      <c r="CU30" s="409"/>
      <c r="CV30" s="413"/>
      <c r="CY30" s="411"/>
      <c r="CZ30" s="408"/>
      <c r="DA30" s="340"/>
      <c r="DB30" s="412"/>
      <c r="DC30" s="410"/>
      <c r="DD30" s="409"/>
      <c r="DE30" s="413"/>
    </row>
    <row r="31" spans="1:109">
      <c r="A31" s="443">
        <v>112505</v>
      </c>
      <c r="B31" s="442" t="s">
        <v>95</v>
      </c>
      <c r="C31" s="441">
        <v>0</v>
      </c>
      <c r="D31" s="441">
        <v>415475.34</v>
      </c>
      <c r="E31" s="443">
        <v>119103</v>
      </c>
      <c r="F31" s="442" t="s">
        <v>130</v>
      </c>
      <c r="G31" s="441">
        <v>100287.46</v>
      </c>
      <c r="H31" s="111"/>
      <c r="J31" s="443">
        <v>112513</v>
      </c>
      <c r="K31" s="442" t="s">
        <v>100</v>
      </c>
      <c r="L31" s="441">
        <v>0</v>
      </c>
      <c r="M31" s="441">
        <v>452.65</v>
      </c>
      <c r="N31" s="431">
        <v>211104</v>
      </c>
      <c r="O31" s="432" t="s">
        <v>135</v>
      </c>
      <c r="P31" s="434">
        <v>1605086.96</v>
      </c>
      <c r="S31" s="464">
        <v>215315</v>
      </c>
      <c r="T31" s="461" t="s">
        <v>590</v>
      </c>
      <c r="U31" s="462">
        <v>0</v>
      </c>
      <c r="V31" s="462">
        <v>3979.12</v>
      </c>
      <c r="W31" s="464">
        <v>211104</v>
      </c>
      <c r="X31" s="461" t="s">
        <v>135</v>
      </c>
      <c r="Y31" s="462">
        <v>2075149.88</v>
      </c>
      <c r="Z31" s="111"/>
      <c r="AB31" s="474">
        <v>122601</v>
      </c>
      <c r="AC31" s="472" t="s">
        <v>109</v>
      </c>
      <c r="AD31" s="473">
        <v>0</v>
      </c>
      <c r="AE31" s="473">
        <v>1811000</v>
      </c>
      <c r="AF31" s="474">
        <v>112506</v>
      </c>
      <c r="AG31" s="472" t="s">
        <v>96</v>
      </c>
      <c r="AH31" s="473">
        <v>7530.09</v>
      </c>
      <c r="AI31" s="138"/>
      <c r="AK31" s="402"/>
      <c r="AL31" s="401"/>
      <c r="AM31" s="138"/>
      <c r="AN31" s="405"/>
      <c r="AO31" s="406"/>
      <c r="AP31" s="403"/>
      <c r="AQ31" s="404"/>
      <c r="AT31" s="402"/>
      <c r="AU31" s="401"/>
      <c r="AV31" s="355"/>
      <c r="AW31" s="405"/>
      <c r="AX31" s="402"/>
      <c r="AY31" s="401"/>
      <c r="AZ31" s="405"/>
      <c r="BA31" s="138"/>
      <c r="BB31" s="7"/>
      <c r="BC31" s="48"/>
      <c r="BF31" s="410"/>
      <c r="BG31" s="409"/>
      <c r="BH31" s="138"/>
      <c r="BI31" s="413"/>
      <c r="BJ31" s="411"/>
      <c r="BK31" s="408"/>
      <c r="BL31" s="412"/>
      <c r="BM31" s="137"/>
      <c r="BO31" s="410"/>
      <c r="BP31" s="409"/>
      <c r="BQ31" s="157"/>
      <c r="BR31" s="413"/>
      <c r="BS31" s="410"/>
      <c r="BT31" s="409"/>
      <c r="BU31" s="413"/>
      <c r="BV31" s="138"/>
      <c r="BX31" s="410"/>
      <c r="BY31" s="409"/>
      <c r="BZ31" s="138"/>
      <c r="CA31" s="413"/>
      <c r="CB31" s="410"/>
      <c r="CC31" s="409"/>
      <c r="CD31" s="413"/>
      <c r="CE31" s="138"/>
      <c r="CG31" s="410"/>
      <c r="CH31" s="409"/>
      <c r="CI31" s="328"/>
      <c r="CJ31" s="413"/>
      <c r="CK31" s="411"/>
      <c r="CL31" s="408"/>
      <c r="CM31" s="412"/>
      <c r="CP31" s="410"/>
      <c r="CQ31" s="409"/>
      <c r="CR31" s="328"/>
      <c r="CS31" s="413"/>
      <c r="CT31" s="411"/>
      <c r="CU31" s="408"/>
      <c r="CV31" s="412"/>
      <c r="CY31" s="410"/>
      <c r="CZ31" s="409"/>
      <c r="DA31" s="343"/>
      <c r="DB31" s="413"/>
      <c r="DC31" s="411"/>
      <c r="DD31" s="408"/>
      <c r="DE31" s="412"/>
    </row>
    <row r="32" spans="1:109">
      <c r="A32" s="438">
        <v>112506</v>
      </c>
      <c r="B32" s="439" t="s">
        <v>96</v>
      </c>
      <c r="C32" s="440">
        <v>0</v>
      </c>
      <c r="D32" s="440">
        <v>383868.44</v>
      </c>
      <c r="E32" s="438">
        <v>211101</v>
      </c>
      <c r="F32" s="439" t="s">
        <v>132</v>
      </c>
      <c r="G32" s="440">
        <v>19415988.280000001</v>
      </c>
      <c r="J32" s="438">
        <v>114796</v>
      </c>
      <c r="K32" s="439" t="s">
        <v>103</v>
      </c>
      <c r="L32" s="440">
        <v>0</v>
      </c>
      <c r="M32" s="440">
        <v>110966.93</v>
      </c>
      <c r="N32" s="430">
        <v>211301</v>
      </c>
      <c r="O32" s="433" t="s">
        <v>137</v>
      </c>
      <c r="P32" s="435">
        <v>362458.41</v>
      </c>
      <c r="Q32" s="111"/>
      <c r="S32" s="465">
        <v>311101</v>
      </c>
      <c r="T32" s="458" t="s">
        <v>578</v>
      </c>
      <c r="U32" s="459">
        <v>0</v>
      </c>
      <c r="V32" s="459">
        <v>116407.11</v>
      </c>
      <c r="W32" s="465">
        <v>212102</v>
      </c>
      <c r="X32" s="458" t="s">
        <v>138</v>
      </c>
      <c r="Y32" s="459">
        <v>6856.81</v>
      </c>
      <c r="AB32" s="469">
        <v>215110</v>
      </c>
      <c r="AC32" s="470" t="s">
        <v>169</v>
      </c>
      <c r="AD32" s="471">
        <v>0</v>
      </c>
      <c r="AE32" s="471">
        <v>21.79</v>
      </c>
      <c r="AF32" s="469">
        <v>211101</v>
      </c>
      <c r="AG32" s="470" t="s">
        <v>132</v>
      </c>
      <c r="AH32" s="471">
        <v>12688488.779999999</v>
      </c>
      <c r="AI32" s="137"/>
      <c r="AK32" s="406"/>
      <c r="AL32" s="403"/>
      <c r="AM32" s="137"/>
      <c r="AN32" s="404"/>
      <c r="AO32" s="402"/>
      <c r="AP32" s="401"/>
      <c r="AQ32" s="405"/>
      <c r="AT32" s="406"/>
      <c r="AU32" s="403"/>
      <c r="AV32" s="354"/>
      <c r="AW32" s="404"/>
      <c r="AX32" s="406"/>
      <c r="AY32" s="403"/>
      <c r="AZ32" s="404"/>
      <c r="BA32" s="137"/>
      <c r="BB32" s="7"/>
      <c r="BC32" s="48"/>
      <c r="BF32" s="411"/>
      <c r="BG32" s="408"/>
      <c r="BH32" s="137"/>
      <c r="BI32" s="412"/>
      <c r="BJ32" s="410"/>
      <c r="BK32" s="409"/>
      <c r="BL32" s="413"/>
      <c r="BM32" s="138"/>
      <c r="BO32" s="411"/>
      <c r="BP32" s="408"/>
      <c r="BQ32" s="156"/>
      <c r="BR32" s="412"/>
      <c r="BS32" s="411"/>
      <c r="BT32" s="408"/>
      <c r="BU32" s="412"/>
      <c r="BV32" s="137"/>
      <c r="BX32" s="411"/>
      <c r="BY32" s="408"/>
      <c r="BZ32" s="137"/>
      <c r="CA32" s="412"/>
      <c r="CB32" s="411"/>
      <c r="CC32" s="408"/>
      <c r="CD32" s="412"/>
      <c r="CE32" s="137"/>
      <c r="CG32" s="411"/>
      <c r="CH32" s="408"/>
      <c r="CI32" s="326"/>
      <c r="CJ32" s="412"/>
      <c r="CK32" s="410"/>
      <c r="CL32" s="409"/>
      <c r="CM32" s="413"/>
      <c r="CP32" s="411"/>
      <c r="CQ32" s="408"/>
      <c r="CR32" s="326"/>
      <c r="CS32" s="412"/>
      <c r="CT32" s="410"/>
      <c r="CU32" s="409"/>
      <c r="CV32" s="413"/>
      <c r="CY32" s="411"/>
      <c r="CZ32" s="408"/>
      <c r="DA32" s="340"/>
      <c r="DB32" s="412"/>
      <c r="DC32" s="410"/>
      <c r="DD32" s="409"/>
      <c r="DE32" s="413"/>
    </row>
    <row r="33" spans="1:109">
      <c r="A33" s="443">
        <v>114796</v>
      </c>
      <c r="B33" s="442" t="s">
        <v>103</v>
      </c>
      <c r="C33" s="441">
        <v>0</v>
      </c>
      <c r="D33" s="441">
        <v>70932</v>
      </c>
      <c r="E33" s="443">
        <v>211102</v>
      </c>
      <c r="F33" s="442" t="s">
        <v>133</v>
      </c>
      <c r="G33" s="441">
        <v>2587559.7599999998</v>
      </c>
      <c r="H33" s="111"/>
      <c r="J33" s="443">
        <v>122601</v>
      </c>
      <c r="K33" s="442" t="s">
        <v>109</v>
      </c>
      <c r="L33" s="441">
        <v>0</v>
      </c>
      <c r="M33" s="441">
        <v>1690471.26</v>
      </c>
      <c r="N33" s="431">
        <v>213306</v>
      </c>
      <c r="O33" s="432" t="s">
        <v>150</v>
      </c>
      <c r="P33" s="434">
        <v>458017.76</v>
      </c>
      <c r="S33" s="464">
        <v>311104</v>
      </c>
      <c r="T33" s="461" t="s">
        <v>579</v>
      </c>
      <c r="U33" s="462">
        <v>0</v>
      </c>
      <c r="V33" s="462">
        <v>423648.11</v>
      </c>
      <c r="W33" s="464">
        <v>214198</v>
      </c>
      <c r="X33" s="461" t="s">
        <v>161</v>
      </c>
      <c r="Y33" s="462">
        <v>1268982.44</v>
      </c>
      <c r="Z33" s="111"/>
      <c r="AB33" s="474">
        <v>215320</v>
      </c>
      <c r="AC33" s="472" t="s">
        <v>118</v>
      </c>
      <c r="AD33" s="473">
        <v>0</v>
      </c>
      <c r="AE33" s="473">
        <v>541143.31000000006</v>
      </c>
      <c r="AF33" s="474">
        <v>211102</v>
      </c>
      <c r="AG33" s="472" t="s">
        <v>133</v>
      </c>
      <c r="AH33" s="473">
        <v>1624943.56</v>
      </c>
      <c r="AI33" s="138"/>
      <c r="AK33" s="402"/>
      <c r="AL33" s="401"/>
      <c r="AM33" s="138"/>
      <c r="AN33" s="405"/>
      <c r="AO33" s="406"/>
      <c r="AP33" s="403"/>
      <c r="AQ33" s="404"/>
      <c r="AT33" s="402"/>
      <c r="AU33" s="401"/>
      <c r="AV33" s="355"/>
      <c r="AW33" s="405"/>
      <c r="AX33" s="402"/>
      <c r="AY33" s="401"/>
      <c r="AZ33" s="405"/>
      <c r="BA33" s="138"/>
      <c r="BB33" s="7"/>
      <c r="BC33" s="48"/>
      <c r="BF33" s="410"/>
      <c r="BG33" s="409"/>
      <c r="BH33" s="138"/>
      <c r="BI33" s="413"/>
      <c r="BJ33" s="411"/>
      <c r="BK33" s="408"/>
      <c r="BL33" s="412"/>
      <c r="BM33" s="137"/>
      <c r="BO33" s="410"/>
      <c r="BP33" s="409"/>
      <c r="BQ33" s="157"/>
      <c r="BR33" s="413"/>
      <c r="BS33" s="410"/>
      <c r="BT33" s="409"/>
      <c r="BU33" s="413"/>
      <c r="BV33" s="138"/>
      <c r="BX33" s="410"/>
      <c r="BY33" s="409"/>
      <c r="BZ33" s="138"/>
      <c r="CA33" s="413"/>
      <c r="CB33" s="410"/>
      <c r="CC33" s="409"/>
      <c r="CD33" s="413"/>
      <c r="CE33" s="138"/>
      <c r="CG33" s="410"/>
      <c r="CH33" s="409"/>
      <c r="CI33" s="328"/>
      <c r="CJ33" s="413"/>
      <c r="CK33" s="411"/>
      <c r="CL33" s="408"/>
      <c r="CM33" s="412"/>
      <c r="CP33" s="410"/>
      <c r="CQ33" s="409"/>
      <c r="CR33" s="328"/>
      <c r="CS33" s="413"/>
      <c r="CT33" s="411"/>
      <c r="CU33" s="408"/>
      <c r="CV33" s="412"/>
      <c r="CY33" s="410"/>
      <c r="CZ33" s="409"/>
      <c r="DA33" s="343"/>
      <c r="DB33" s="413"/>
      <c r="DC33" s="411"/>
      <c r="DD33" s="408"/>
      <c r="DE33" s="412"/>
    </row>
    <row r="34" spans="1:109">
      <c r="A34" s="438">
        <v>215110</v>
      </c>
      <c r="B34" s="439" t="s">
        <v>169</v>
      </c>
      <c r="C34" s="440">
        <v>0</v>
      </c>
      <c r="D34" s="440">
        <v>17.59</v>
      </c>
      <c r="E34" s="438">
        <v>211103</v>
      </c>
      <c r="F34" s="439" t="s">
        <v>134</v>
      </c>
      <c r="G34" s="440">
        <v>777811.93</v>
      </c>
      <c r="J34" s="438">
        <v>213406</v>
      </c>
      <c r="K34" s="439" t="s">
        <v>116</v>
      </c>
      <c r="L34" s="440">
        <v>0</v>
      </c>
      <c r="M34" s="440">
        <v>29354.65</v>
      </c>
      <c r="N34" s="430">
        <v>214102</v>
      </c>
      <c r="O34" s="433" t="s">
        <v>153</v>
      </c>
      <c r="P34" s="435">
        <v>568284.41</v>
      </c>
      <c r="Q34" s="111"/>
      <c r="S34" s="465">
        <v>311105</v>
      </c>
      <c r="T34" s="458" t="s">
        <v>580</v>
      </c>
      <c r="U34" s="459">
        <v>0</v>
      </c>
      <c r="V34" s="459">
        <v>190258.13</v>
      </c>
      <c r="W34" s="465">
        <v>214199</v>
      </c>
      <c r="X34" s="458" t="s">
        <v>162</v>
      </c>
      <c r="Y34" s="459">
        <v>145095.32999999999</v>
      </c>
      <c r="AB34" s="469">
        <v>311101</v>
      </c>
      <c r="AC34" s="470" t="s">
        <v>578</v>
      </c>
      <c r="AD34" s="471">
        <v>0</v>
      </c>
      <c r="AE34" s="471">
        <v>130642.75</v>
      </c>
      <c r="AF34" s="469">
        <v>211103</v>
      </c>
      <c r="AG34" s="470" t="s">
        <v>134</v>
      </c>
      <c r="AH34" s="471">
        <v>1256300.69</v>
      </c>
      <c r="AI34" s="137"/>
      <c r="AK34" s="406"/>
      <c r="AL34" s="403"/>
      <c r="AM34" s="137"/>
      <c r="AN34" s="404"/>
      <c r="AO34" s="402"/>
      <c r="AP34" s="401"/>
      <c r="AQ34" s="405"/>
      <c r="AT34" s="406"/>
      <c r="AU34" s="403"/>
      <c r="AV34" s="354"/>
      <c r="AW34" s="404"/>
      <c r="AX34" s="406"/>
      <c r="AY34" s="403"/>
      <c r="AZ34" s="404"/>
      <c r="BA34" s="137"/>
      <c r="BB34" s="7"/>
      <c r="BC34" s="48"/>
      <c r="BF34" s="411"/>
      <c r="BG34" s="408"/>
      <c r="BH34" s="137"/>
      <c r="BI34" s="412"/>
      <c r="BJ34" s="410"/>
      <c r="BK34" s="409"/>
      <c r="BL34" s="413"/>
      <c r="BM34" s="138"/>
      <c r="BO34" s="411"/>
      <c r="BP34" s="408"/>
      <c r="BQ34" s="156"/>
      <c r="BR34" s="412"/>
      <c r="BS34" s="411"/>
      <c r="BT34" s="408"/>
      <c r="BU34" s="412"/>
      <c r="BV34" s="137"/>
      <c r="BX34" s="411"/>
      <c r="BY34" s="408"/>
      <c r="BZ34" s="137"/>
      <c r="CA34" s="412"/>
      <c r="CB34" s="411"/>
      <c r="CC34" s="408"/>
      <c r="CD34" s="412"/>
      <c r="CE34" s="137"/>
      <c r="CG34" s="411"/>
      <c r="CH34" s="408"/>
      <c r="CI34" s="326"/>
      <c r="CJ34" s="412"/>
      <c r="CK34" s="410"/>
      <c r="CL34" s="409"/>
      <c r="CM34" s="413"/>
      <c r="CP34" s="411"/>
      <c r="CQ34" s="408"/>
      <c r="CR34" s="395"/>
      <c r="CS34" s="412"/>
      <c r="CT34" s="410"/>
      <c r="CU34" s="409"/>
      <c r="CV34" s="413"/>
      <c r="CY34" s="411"/>
      <c r="CZ34" s="408"/>
      <c r="DA34" s="340"/>
      <c r="DB34" s="412"/>
      <c r="DC34" s="410"/>
      <c r="DD34" s="409"/>
      <c r="DE34" s="413"/>
    </row>
    <row r="35" spans="1:109">
      <c r="A35" s="443">
        <v>215320</v>
      </c>
      <c r="B35" s="442" t="s">
        <v>118</v>
      </c>
      <c r="C35" s="441">
        <v>0</v>
      </c>
      <c r="D35" s="441">
        <v>775931.97</v>
      </c>
      <c r="E35" s="443">
        <v>211104</v>
      </c>
      <c r="F35" s="442" t="s">
        <v>135</v>
      </c>
      <c r="G35" s="441">
        <v>2080860.26</v>
      </c>
      <c r="H35" s="111"/>
      <c r="J35" s="443">
        <v>215110</v>
      </c>
      <c r="K35" s="442" t="s">
        <v>169</v>
      </c>
      <c r="L35" s="441">
        <v>0</v>
      </c>
      <c r="M35" s="441">
        <v>26</v>
      </c>
      <c r="N35" s="431">
        <v>214119</v>
      </c>
      <c r="O35" s="432" t="s">
        <v>158</v>
      </c>
      <c r="P35" s="434">
        <v>79967.600000000006</v>
      </c>
      <c r="S35" s="464">
        <v>311106</v>
      </c>
      <c r="T35" s="461" t="s">
        <v>584</v>
      </c>
      <c r="U35" s="462">
        <v>0</v>
      </c>
      <c r="V35" s="462">
        <v>29495.59</v>
      </c>
      <c r="W35" s="464">
        <v>215101</v>
      </c>
      <c r="X35" s="461" t="s">
        <v>165</v>
      </c>
      <c r="Y35" s="462">
        <v>204150.76</v>
      </c>
      <c r="Z35" s="111"/>
      <c r="AB35" s="474">
        <v>311104</v>
      </c>
      <c r="AC35" s="472" t="s">
        <v>579</v>
      </c>
      <c r="AD35" s="473">
        <v>0</v>
      </c>
      <c r="AE35" s="473">
        <v>433050.54</v>
      </c>
      <c r="AF35" s="474">
        <v>211104</v>
      </c>
      <c r="AG35" s="472" t="s">
        <v>135</v>
      </c>
      <c r="AH35" s="473">
        <v>1968707.74</v>
      </c>
      <c r="AI35" s="138"/>
      <c r="AK35" s="402"/>
      <c r="AL35" s="401"/>
      <c r="AM35" s="138"/>
      <c r="AN35" s="405"/>
      <c r="AO35" s="406"/>
      <c r="AP35" s="403"/>
      <c r="AQ35" s="404"/>
      <c r="AT35" s="402"/>
      <c r="AU35" s="401"/>
      <c r="AV35" s="355"/>
      <c r="AW35" s="405"/>
      <c r="AX35" s="402"/>
      <c r="AY35" s="401"/>
      <c r="AZ35" s="405"/>
      <c r="BA35" s="138"/>
      <c r="BB35" s="7"/>
      <c r="BC35" s="48"/>
      <c r="BF35" s="410"/>
      <c r="BG35" s="409"/>
      <c r="BH35" s="138"/>
      <c r="BI35" s="413"/>
      <c r="BJ35" s="411"/>
      <c r="BK35" s="408"/>
      <c r="BL35" s="412"/>
      <c r="BM35" s="137"/>
      <c r="BO35" s="410"/>
      <c r="BP35" s="409"/>
      <c r="BQ35" s="157"/>
      <c r="BR35" s="413"/>
      <c r="BS35" s="410"/>
      <c r="BT35" s="409"/>
      <c r="BU35" s="413"/>
      <c r="BV35" s="138"/>
      <c r="BX35" s="410"/>
      <c r="BY35" s="409"/>
      <c r="BZ35" s="138"/>
      <c r="CA35" s="413"/>
      <c r="CB35" s="410"/>
      <c r="CC35" s="409"/>
      <c r="CD35" s="413"/>
      <c r="CE35" s="138"/>
      <c r="CG35" s="410"/>
      <c r="CH35" s="409"/>
      <c r="CI35" s="328"/>
      <c r="CJ35" s="413"/>
      <c r="CK35" s="411"/>
      <c r="CL35" s="408"/>
      <c r="CM35" s="412"/>
      <c r="CP35" s="410"/>
      <c r="CQ35" s="409"/>
      <c r="CR35" s="328"/>
      <c r="CS35" s="413"/>
      <c r="CT35" s="411"/>
      <c r="CU35" s="408"/>
      <c r="CV35" s="412"/>
      <c r="CY35" s="410"/>
      <c r="CZ35" s="409"/>
      <c r="DA35" s="343"/>
      <c r="DB35" s="413"/>
      <c r="DC35" s="411"/>
      <c r="DD35" s="408"/>
      <c r="DE35" s="412"/>
    </row>
    <row r="36" spans="1:109">
      <c r="A36" s="438">
        <v>311101</v>
      </c>
      <c r="B36" s="439" t="s">
        <v>578</v>
      </c>
      <c r="C36" s="440">
        <v>0</v>
      </c>
      <c r="D36" s="440">
        <v>159206.6</v>
      </c>
      <c r="E36" s="438">
        <v>214119</v>
      </c>
      <c r="F36" s="439" t="s">
        <v>158</v>
      </c>
      <c r="G36" s="440">
        <v>140933.82999999999</v>
      </c>
      <c r="J36" s="438">
        <v>215320</v>
      </c>
      <c r="K36" s="439" t="s">
        <v>118</v>
      </c>
      <c r="L36" s="440">
        <v>0</v>
      </c>
      <c r="M36" s="440">
        <v>1172576.31</v>
      </c>
      <c r="N36" s="430">
        <v>214120</v>
      </c>
      <c r="O36" s="433" t="s">
        <v>159</v>
      </c>
      <c r="P36" s="435">
        <v>27005.55</v>
      </c>
      <c r="Q36" s="111"/>
      <c r="S36" s="465">
        <v>311108</v>
      </c>
      <c r="T36" s="458" t="s">
        <v>585</v>
      </c>
      <c r="U36" s="459">
        <v>0</v>
      </c>
      <c r="V36" s="459">
        <v>522.91</v>
      </c>
      <c r="W36" s="465">
        <v>215109</v>
      </c>
      <c r="X36" s="458" t="s">
        <v>168</v>
      </c>
      <c r="Y36" s="459">
        <v>1630.57</v>
      </c>
      <c r="AB36" s="469">
        <v>311105</v>
      </c>
      <c r="AC36" s="470" t="s">
        <v>580</v>
      </c>
      <c r="AD36" s="471">
        <v>0</v>
      </c>
      <c r="AE36" s="471">
        <v>185534.53</v>
      </c>
      <c r="AF36" s="469">
        <v>211301</v>
      </c>
      <c r="AG36" s="470" t="s">
        <v>137</v>
      </c>
      <c r="AH36" s="471">
        <v>140428.45000000001</v>
      </c>
      <c r="AI36" s="137"/>
      <c r="AK36" s="406"/>
      <c r="AL36" s="403"/>
      <c r="AM36" s="137"/>
      <c r="AN36" s="404"/>
      <c r="AO36" s="402"/>
      <c r="AP36" s="401"/>
      <c r="AQ36" s="405"/>
      <c r="AT36" s="406"/>
      <c r="AU36" s="403"/>
      <c r="AV36" s="354"/>
      <c r="AW36" s="404"/>
      <c r="AX36" s="406"/>
      <c r="AY36" s="403"/>
      <c r="AZ36" s="404"/>
      <c r="BA36" s="137"/>
      <c r="BB36" s="7"/>
      <c r="BC36" s="48"/>
      <c r="BF36" s="411"/>
      <c r="BG36" s="408"/>
      <c r="BH36" s="137"/>
      <c r="BI36" s="412"/>
      <c r="BJ36" s="410"/>
      <c r="BK36" s="409"/>
      <c r="BL36" s="413"/>
      <c r="BM36" s="138"/>
      <c r="BO36" s="411"/>
      <c r="BP36" s="408"/>
      <c r="BQ36" s="156"/>
      <c r="BR36" s="412"/>
      <c r="BS36" s="411"/>
      <c r="BT36" s="408"/>
      <c r="BU36" s="412"/>
      <c r="BV36" s="137"/>
      <c r="BX36" s="411"/>
      <c r="BY36" s="408"/>
      <c r="BZ36" s="137"/>
      <c r="CA36" s="412"/>
      <c r="CB36" s="411"/>
      <c r="CC36" s="408"/>
      <c r="CD36" s="412"/>
      <c r="CE36" s="137"/>
      <c r="CG36" s="411"/>
      <c r="CH36" s="408"/>
      <c r="CI36" s="326"/>
      <c r="CJ36" s="412"/>
      <c r="CK36" s="410"/>
      <c r="CL36" s="409"/>
      <c r="CM36" s="413"/>
      <c r="CP36" s="411"/>
      <c r="CQ36" s="408"/>
      <c r="CR36" s="326"/>
      <c r="CS36" s="412"/>
      <c r="CT36" s="410"/>
      <c r="CU36" s="409"/>
      <c r="CV36" s="413"/>
      <c r="CY36" s="411"/>
      <c r="CZ36" s="408"/>
      <c r="DA36" s="340"/>
      <c r="DB36" s="412"/>
      <c r="DC36" s="410"/>
      <c r="DD36" s="409"/>
      <c r="DE36" s="413"/>
    </row>
    <row r="37" spans="1:109">
      <c r="A37" s="443">
        <v>311104</v>
      </c>
      <c r="B37" s="442" t="s">
        <v>579</v>
      </c>
      <c r="C37" s="441">
        <v>0</v>
      </c>
      <c r="D37" s="441">
        <v>629616.79</v>
      </c>
      <c r="E37" s="443">
        <v>214198</v>
      </c>
      <c r="F37" s="442" t="s">
        <v>161</v>
      </c>
      <c r="G37" s="441">
        <v>2217564.31</v>
      </c>
      <c r="H37" s="111"/>
      <c r="J37" s="443">
        <v>311101</v>
      </c>
      <c r="K37" s="442" t="s">
        <v>578</v>
      </c>
      <c r="L37" s="441">
        <v>0</v>
      </c>
      <c r="M37" s="441">
        <v>120839.6</v>
      </c>
      <c r="N37" s="431">
        <v>214198</v>
      </c>
      <c r="O37" s="432" t="s">
        <v>161</v>
      </c>
      <c r="P37" s="434">
        <v>1110565.3999999999</v>
      </c>
      <c r="S37" s="464">
        <v>311113</v>
      </c>
      <c r="T37" s="461" t="s">
        <v>587</v>
      </c>
      <c r="U37" s="462">
        <v>0</v>
      </c>
      <c r="V37" s="462">
        <v>107548.18</v>
      </c>
      <c r="W37" s="464">
        <v>215390</v>
      </c>
      <c r="X37" s="461" t="s">
        <v>174</v>
      </c>
      <c r="Y37" s="462">
        <v>529551.65</v>
      </c>
      <c r="Z37" s="111"/>
      <c r="AB37" s="474">
        <v>311106</v>
      </c>
      <c r="AC37" s="472" t="s">
        <v>584</v>
      </c>
      <c r="AD37" s="473">
        <v>0</v>
      </c>
      <c r="AE37" s="473">
        <v>28340.98</v>
      </c>
      <c r="AF37" s="474">
        <v>212102</v>
      </c>
      <c r="AG37" s="472" t="s">
        <v>138</v>
      </c>
      <c r="AH37" s="473">
        <v>301114.59999999998</v>
      </c>
      <c r="AI37" s="138"/>
      <c r="AK37" s="402"/>
      <c r="AL37" s="401"/>
      <c r="AM37" s="138"/>
      <c r="AN37" s="405"/>
      <c r="AO37" s="406"/>
      <c r="AP37" s="403"/>
      <c r="AQ37" s="404"/>
      <c r="AT37" s="402"/>
      <c r="AU37" s="401"/>
      <c r="AV37" s="355"/>
      <c r="AW37" s="405"/>
      <c r="AX37" s="402"/>
      <c r="AY37" s="401"/>
      <c r="AZ37" s="405"/>
      <c r="BA37" s="138"/>
      <c r="BB37" s="7"/>
      <c r="BC37" s="48"/>
      <c r="BF37" s="410"/>
      <c r="BG37" s="409"/>
      <c r="BH37" s="138"/>
      <c r="BI37" s="413"/>
      <c r="BJ37" s="411"/>
      <c r="BK37" s="408"/>
      <c r="BL37" s="412"/>
      <c r="BM37" s="137"/>
      <c r="BO37" s="410"/>
      <c r="BP37" s="409"/>
      <c r="BQ37" s="157"/>
      <c r="BR37" s="413"/>
      <c r="BS37" s="410"/>
      <c r="BT37" s="409"/>
      <c r="BU37" s="413"/>
      <c r="BV37" s="138"/>
      <c r="BX37" s="410"/>
      <c r="BY37" s="409"/>
      <c r="BZ37" s="138"/>
      <c r="CA37" s="413"/>
      <c r="CB37" s="410"/>
      <c r="CC37" s="409"/>
      <c r="CD37" s="413"/>
      <c r="CE37" s="138"/>
      <c r="CG37" s="410"/>
      <c r="CH37" s="409"/>
      <c r="CI37" s="328"/>
      <c r="CJ37" s="413"/>
      <c r="CK37" s="411"/>
      <c r="CL37" s="408"/>
      <c r="CM37" s="412"/>
      <c r="CP37" s="410"/>
      <c r="CQ37" s="409"/>
      <c r="CR37" s="328"/>
      <c r="CS37" s="413"/>
      <c r="CT37" s="411"/>
      <c r="CU37" s="408"/>
      <c r="CV37" s="412"/>
      <c r="CY37" s="410"/>
      <c r="CZ37" s="409"/>
      <c r="DA37" s="343"/>
      <c r="DB37" s="413"/>
      <c r="DC37" s="411"/>
      <c r="DD37" s="408"/>
      <c r="DE37" s="412"/>
    </row>
    <row r="38" spans="1:109">
      <c r="A38" s="438">
        <v>311105</v>
      </c>
      <c r="B38" s="439" t="s">
        <v>580</v>
      </c>
      <c r="C38" s="440">
        <v>0</v>
      </c>
      <c r="D38" s="440">
        <v>267698.65000000002</v>
      </c>
      <c r="E38" s="438">
        <v>215101</v>
      </c>
      <c r="F38" s="439" t="s">
        <v>165</v>
      </c>
      <c r="G38" s="440">
        <v>129610.75</v>
      </c>
      <c r="J38" s="438">
        <v>311104</v>
      </c>
      <c r="K38" s="439" t="s">
        <v>579</v>
      </c>
      <c r="L38" s="440">
        <v>0</v>
      </c>
      <c r="M38" s="440">
        <v>466470.53</v>
      </c>
      <c r="N38" s="430">
        <v>214199</v>
      </c>
      <c r="O38" s="433" t="s">
        <v>162</v>
      </c>
      <c r="P38" s="435">
        <v>94548.87</v>
      </c>
      <c r="Q38" s="111"/>
      <c r="S38" s="465">
        <v>313290</v>
      </c>
      <c r="T38" s="458" t="s">
        <v>588</v>
      </c>
      <c r="U38" s="459">
        <v>0</v>
      </c>
      <c r="V38" s="459">
        <v>5.86</v>
      </c>
      <c r="W38" s="465">
        <v>215391</v>
      </c>
      <c r="X38" s="458" t="s">
        <v>175</v>
      </c>
      <c r="Y38" s="459">
        <v>112229.37</v>
      </c>
      <c r="AB38" s="469">
        <v>311107</v>
      </c>
      <c r="AC38" s="470" t="s">
        <v>591</v>
      </c>
      <c r="AD38" s="471">
        <v>0</v>
      </c>
      <c r="AE38" s="471">
        <v>5821.06</v>
      </c>
      <c r="AF38" s="469">
        <v>212106</v>
      </c>
      <c r="AG38" s="470" t="s">
        <v>139</v>
      </c>
      <c r="AH38" s="471">
        <v>48928.85</v>
      </c>
      <c r="AI38" s="137"/>
      <c r="AK38" s="406"/>
      <c r="AL38" s="403"/>
      <c r="AM38" s="137"/>
      <c r="AN38" s="404"/>
      <c r="AO38" s="402"/>
      <c r="AP38" s="401"/>
      <c r="AQ38" s="405"/>
      <c r="AT38" s="406"/>
      <c r="AU38" s="403"/>
      <c r="AV38" s="354"/>
      <c r="AW38" s="404"/>
      <c r="AX38" s="406"/>
      <c r="AY38" s="403"/>
      <c r="AZ38" s="404"/>
      <c r="BA38" s="137"/>
      <c r="BB38" s="7"/>
      <c r="BC38" s="48"/>
      <c r="BF38" s="411"/>
      <c r="BG38" s="408"/>
      <c r="BH38" s="137"/>
      <c r="BI38" s="412"/>
      <c r="BJ38" s="410"/>
      <c r="BK38" s="409"/>
      <c r="BL38" s="413"/>
      <c r="BM38" s="138"/>
      <c r="BO38" s="411"/>
      <c r="BP38" s="408"/>
      <c r="BQ38" s="156"/>
      <c r="BR38" s="412"/>
      <c r="BS38" s="411"/>
      <c r="BT38" s="408"/>
      <c r="BU38" s="412"/>
      <c r="BV38" s="137"/>
      <c r="BX38" s="411"/>
      <c r="BY38" s="408"/>
      <c r="BZ38" s="137"/>
      <c r="CA38" s="412"/>
      <c r="CB38" s="411"/>
      <c r="CC38" s="408"/>
      <c r="CD38" s="412"/>
      <c r="CE38" s="137"/>
      <c r="CG38" s="411"/>
      <c r="CH38" s="408"/>
      <c r="CI38" s="326"/>
      <c r="CJ38" s="412"/>
      <c r="CK38" s="410"/>
      <c r="CL38" s="409"/>
      <c r="CM38" s="413"/>
      <c r="CP38" s="411"/>
      <c r="CQ38" s="408"/>
      <c r="CR38" s="326"/>
      <c r="CS38" s="412"/>
      <c r="CT38" s="410"/>
      <c r="CU38" s="409"/>
      <c r="CV38" s="413"/>
      <c r="CY38" s="411"/>
      <c r="CZ38" s="408"/>
      <c r="DA38" s="340"/>
      <c r="DB38" s="412"/>
      <c r="DC38" s="410"/>
      <c r="DD38" s="409"/>
      <c r="DE38" s="413"/>
    </row>
    <row r="39" spans="1:109">
      <c r="A39" s="443">
        <v>311106</v>
      </c>
      <c r="B39" s="442" t="s">
        <v>584</v>
      </c>
      <c r="C39" s="441">
        <v>0</v>
      </c>
      <c r="D39" s="441">
        <v>39319.82</v>
      </c>
      <c r="E39" s="443">
        <v>215103</v>
      </c>
      <c r="F39" s="442" t="s">
        <v>167</v>
      </c>
      <c r="G39" s="441">
        <v>515714.74</v>
      </c>
      <c r="H39" s="111"/>
      <c r="J39" s="443">
        <v>311105</v>
      </c>
      <c r="K39" s="442" t="s">
        <v>580</v>
      </c>
      <c r="L39" s="441">
        <v>0</v>
      </c>
      <c r="M39" s="441">
        <v>186679.19</v>
      </c>
      <c r="N39" s="431">
        <v>215101</v>
      </c>
      <c r="O39" s="432" t="s">
        <v>165</v>
      </c>
      <c r="P39" s="434">
        <v>91962.23</v>
      </c>
      <c r="S39" s="464">
        <v>331201</v>
      </c>
      <c r="T39" s="461" t="s">
        <v>589</v>
      </c>
      <c r="U39" s="462">
        <v>0</v>
      </c>
      <c r="V39" s="462">
        <v>1188</v>
      </c>
      <c r="W39" s="464">
        <v>215392</v>
      </c>
      <c r="X39" s="461" t="s">
        <v>176</v>
      </c>
      <c r="Y39" s="462">
        <v>373003.69</v>
      </c>
      <c r="Z39" s="111"/>
      <c r="AB39" s="474">
        <v>311108</v>
      </c>
      <c r="AC39" s="472" t="s">
        <v>585</v>
      </c>
      <c r="AD39" s="473">
        <v>0</v>
      </c>
      <c r="AE39" s="473">
        <v>1532.29</v>
      </c>
      <c r="AF39" s="474">
        <v>214198</v>
      </c>
      <c r="AG39" s="472" t="s">
        <v>161</v>
      </c>
      <c r="AH39" s="473">
        <v>1015070.25</v>
      </c>
      <c r="AI39" s="161"/>
      <c r="AK39" s="402"/>
      <c r="AL39" s="401"/>
      <c r="AM39" s="138"/>
      <c r="AN39" s="405"/>
      <c r="AO39" s="406"/>
      <c r="AP39" s="403"/>
      <c r="AQ39" s="404"/>
      <c r="AT39" s="402"/>
      <c r="AU39" s="401"/>
      <c r="AV39" s="355"/>
      <c r="AW39" s="405"/>
      <c r="AX39" s="402"/>
      <c r="AY39" s="401"/>
      <c r="AZ39" s="405"/>
      <c r="BA39" s="138"/>
      <c r="BB39" s="7"/>
      <c r="BC39" s="48"/>
      <c r="BF39" s="410"/>
      <c r="BG39" s="409"/>
      <c r="BH39" s="138"/>
      <c r="BI39" s="413"/>
      <c r="BJ39" s="411"/>
      <c r="BK39" s="408"/>
      <c r="BL39" s="412"/>
      <c r="BM39" s="137"/>
      <c r="BO39" s="410"/>
      <c r="BP39" s="409"/>
      <c r="BQ39" s="157"/>
      <c r="BR39" s="413"/>
      <c r="BS39" s="410"/>
      <c r="BT39" s="409"/>
      <c r="BU39" s="413"/>
      <c r="BV39" s="138"/>
      <c r="BX39" s="410"/>
      <c r="BY39" s="409"/>
      <c r="BZ39" s="138"/>
      <c r="CA39" s="413"/>
      <c r="CB39" s="410"/>
      <c r="CC39" s="409"/>
      <c r="CD39" s="413"/>
      <c r="CE39" s="138"/>
      <c r="CG39" s="410"/>
      <c r="CH39" s="409"/>
      <c r="CI39" s="328"/>
      <c r="CJ39" s="413"/>
      <c r="CK39" s="411"/>
      <c r="CL39" s="408"/>
      <c r="CM39" s="412"/>
      <c r="CP39" s="410"/>
      <c r="CQ39" s="409"/>
      <c r="CR39" s="328"/>
      <c r="CS39" s="413"/>
      <c r="CT39" s="411"/>
      <c r="CU39" s="408"/>
      <c r="CV39" s="412"/>
      <c r="CY39" s="410"/>
      <c r="CZ39" s="409"/>
      <c r="DA39" s="343"/>
      <c r="DB39" s="413"/>
      <c r="DC39" s="411"/>
      <c r="DD39" s="408"/>
      <c r="DE39" s="412"/>
    </row>
    <row r="40" spans="1:109">
      <c r="A40" s="438">
        <v>311112</v>
      </c>
      <c r="B40" s="439" t="s">
        <v>586</v>
      </c>
      <c r="C40" s="440">
        <v>0</v>
      </c>
      <c r="D40" s="440">
        <v>1408.99</v>
      </c>
      <c r="E40" s="438">
        <v>215109</v>
      </c>
      <c r="F40" s="439" t="s">
        <v>168</v>
      </c>
      <c r="G40" s="440">
        <v>2916.59</v>
      </c>
      <c r="J40" s="438">
        <v>311106</v>
      </c>
      <c r="K40" s="439" t="s">
        <v>584</v>
      </c>
      <c r="L40" s="440">
        <v>0</v>
      </c>
      <c r="M40" s="440">
        <v>29661.9</v>
      </c>
      <c r="N40" s="430">
        <v>215109</v>
      </c>
      <c r="O40" s="433" t="s">
        <v>168</v>
      </c>
      <c r="P40" s="435">
        <v>3372.95</v>
      </c>
      <c r="Q40" s="111"/>
      <c r="S40" s="465">
        <v>112102</v>
      </c>
      <c r="T40" s="458" t="s">
        <v>78</v>
      </c>
      <c r="U40" s="459">
        <v>0</v>
      </c>
      <c r="V40" s="459">
        <v>198932.46</v>
      </c>
      <c r="W40" s="465">
        <v>218401</v>
      </c>
      <c r="X40" s="458" t="s">
        <v>1075</v>
      </c>
      <c r="Y40" s="459">
        <v>137077.20000000001</v>
      </c>
      <c r="AB40" s="469">
        <v>311112</v>
      </c>
      <c r="AC40" s="470" t="s">
        <v>586</v>
      </c>
      <c r="AD40" s="471">
        <v>0</v>
      </c>
      <c r="AE40" s="471">
        <v>1804.12</v>
      </c>
      <c r="AF40" s="469">
        <v>214199</v>
      </c>
      <c r="AG40" s="470" t="s">
        <v>162</v>
      </c>
      <c r="AH40" s="471">
        <v>103245.38</v>
      </c>
      <c r="AI40" s="137"/>
      <c r="AK40" s="406"/>
      <c r="AL40" s="403"/>
      <c r="AM40" s="137"/>
      <c r="AN40" s="404"/>
      <c r="AO40" s="402"/>
      <c r="AP40" s="401"/>
      <c r="AQ40" s="405"/>
      <c r="AT40" s="406"/>
      <c r="AU40" s="403"/>
      <c r="AV40" s="354"/>
      <c r="AW40" s="404"/>
      <c r="AX40" s="406"/>
      <c r="AY40" s="403"/>
      <c r="AZ40" s="404"/>
      <c r="BA40" s="137"/>
      <c r="BB40" s="7"/>
      <c r="BC40" s="48"/>
      <c r="BF40" s="411"/>
      <c r="BG40" s="408"/>
      <c r="BH40" s="137"/>
      <c r="BI40" s="412"/>
      <c r="BJ40" s="410"/>
      <c r="BK40" s="409"/>
      <c r="BL40" s="413"/>
      <c r="BM40" s="138"/>
      <c r="BO40" s="411"/>
      <c r="BP40" s="408"/>
      <c r="BQ40" s="156"/>
      <c r="BR40" s="412"/>
      <c r="BS40" s="411"/>
      <c r="BT40" s="408"/>
      <c r="BU40" s="412"/>
      <c r="BV40" s="137"/>
      <c r="BX40" s="411"/>
      <c r="BY40" s="408"/>
      <c r="BZ40" s="137"/>
      <c r="CA40" s="412"/>
      <c r="CB40" s="411"/>
      <c r="CC40" s="408"/>
      <c r="CD40" s="412"/>
      <c r="CE40" s="137"/>
      <c r="CG40" s="411"/>
      <c r="CH40" s="408"/>
      <c r="CI40" s="326"/>
      <c r="CJ40" s="412"/>
      <c r="CK40" s="410"/>
      <c r="CL40" s="409"/>
      <c r="CM40" s="413"/>
      <c r="CP40" s="411"/>
      <c r="CQ40" s="408"/>
      <c r="CR40" s="326"/>
      <c r="CS40" s="412"/>
      <c r="CT40" s="410"/>
      <c r="CU40" s="409"/>
      <c r="CV40" s="413"/>
      <c r="CY40" s="411"/>
      <c r="CZ40" s="408"/>
      <c r="DA40" s="340"/>
      <c r="DB40" s="412"/>
      <c r="DC40" s="410"/>
      <c r="DD40" s="409"/>
      <c r="DE40" s="413"/>
    </row>
    <row r="41" spans="1:109">
      <c r="A41" s="443">
        <v>311113</v>
      </c>
      <c r="B41" s="442" t="s">
        <v>587</v>
      </c>
      <c r="C41" s="441">
        <v>0</v>
      </c>
      <c r="D41" s="441">
        <v>151013.56</v>
      </c>
      <c r="E41" s="443">
        <v>215110</v>
      </c>
      <c r="F41" s="442" t="s">
        <v>169</v>
      </c>
      <c r="G41" s="441">
        <v>1373.61</v>
      </c>
      <c r="H41" s="111"/>
      <c r="J41" s="443">
        <v>311113</v>
      </c>
      <c r="K41" s="442" t="s">
        <v>587</v>
      </c>
      <c r="L41" s="441">
        <v>0</v>
      </c>
      <c r="M41" s="441">
        <v>132572.29</v>
      </c>
      <c r="N41" s="431">
        <v>215302</v>
      </c>
      <c r="O41" s="432" t="s">
        <v>170</v>
      </c>
      <c r="P41" s="434">
        <v>688.64</v>
      </c>
      <c r="S41" s="464">
        <v>114796</v>
      </c>
      <c r="T41" s="461" t="s">
        <v>103</v>
      </c>
      <c r="U41" s="462">
        <v>0</v>
      </c>
      <c r="V41" s="462">
        <v>66185</v>
      </c>
      <c r="W41" s="464">
        <v>312107</v>
      </c>
      <c r="X41" s="461" t="s">
        <v>596</v>
      </c>
      <c r="Y41" s="462">
        <v>18509.78</v>
      </c>
      <c r="Z41" s="111"/>
      <c r="AB41" s="474">
        <v>311113</v>
      </c>
      <c r="AC41" s="472" t="s">
        <v>587</v>
      </c>
      <c r="AD41" s="473">
        <v>0</v>
      </c>
      <c r="AE41" s="473">
        <v>98496.73</v>
      </c>
      <c r="AF41" s="474">
        <v>215101</v>
      </c>
      <c r="AG41" s="472" t="s">
        <v>165</v>
      </c>
      <c r="AH41" s="473">
        <v>121590.48</v>
      </c>
      <c r="AI41" s="138"/>
      <c r="AK41" s="402"/>
      <c r="AL41" s="401"/>
      <c r="AM41" s="138"/>
      <c r="AN41" s="405"/>
      <c r="AO41" s="406"/>
      <c r="AP41" s="403"/>
      <c r="AQ41" s="404"/>
      <c r="AT41" s="402"/>
      <c r="AU41" s="401"/>
      <c r="AV41" s="355"/>
      <c r="AW41" s="405"/>
      <c r="AX41" s="402"/>
      <c r="AY41" s="401"/>
      <c r="AZ41" s="405"/>
      <c r="BA41" s="138"/>
      <c r="BB41" s="7"/>
      <c r="BC41" s="48"/>
      <c r="BF41" s="410"/>
      <c r="BG41" s="409"/>
      <c r="BH41" s="138"/>
      <c r="BI41" s="413"/>
      <c r="BJ41" s="411"/>
      <c r="BK41" s="408"/>
      <c r="BL41" s="412"/>
      <c r="BM41" s="137"/>
      <c r="BO41" s="410"/>
      <c r="BP41" s="409"/>
      <c r="BQ41" s="157"/>
      <c r="BR41" s="413"/>
      <c r="BS41" s="410"/>
      <c r="BT41" s="409"/>
      <c r="BU41" s="413"/>
      <c r="BV41" s="138"/>
      <c r="BX41" s="410"/>
      <c r="BY41" s="409"/>
      <c r="BZ41" s="138"/>
      <c r="CA41" s="413"/>
      <c r="CB41" s="410"/>
      <c r="CC41" s="409"/>
      <c r="CD41" s="413"/>
      <c r="CE41" s="138"/>
      <c r="CG41" s="410"/>
      <c r="CH41" s="409"/>
      <c r="CI41" s="328"/>
      <c r="CJ41" s="413"/>
      <c r="CK41" s="411"/>
      <c r="CL41" s="408"/>
      <c r="CM41" s="412"/>
      <c r="CP41" s="410"/>
      <c r="CQ41" s="409"/>
      <c r="CR41" s="328"/>
      <c r="CS41" s="413"/>
      <c r="CT41" s="411"/>
      <c r="CU41" s="408"/>
      <c r="CV41" s="412"/>
      <c r="CY41" s="410"/>
      <c r="CZ41" s="409"/>
      <c r="DA41" s="343"/>
      <c r="DB41" s="413"/>
      <c r="DC41" s="411"/>
      <c r="DD41" s="408"/>
      <c r="DE41" s="412"/>
    </row>
    <row r="42" spans="1:109">
      <c r="A42" s="438">
        <v>313112</v>
      </c>
      <c r="B42" s="439" t="s">
        <v>122</v>
      </c>
      <c r="C42" s="440">
        <v>0</v>
      </c>
      <c r="D42" s="440">
        <v>0.56000000000000005</v>
      </c>
      <c r="E42" s="438">
        <v>215390</v>
      </c>
      <c r="F42" s="439" t="s">
        <v>174</v>
      </c>
      <c r="G42" s="440">
        <v>294089.14</v>
      </c>
      <c r="J42" s="438">
        <v>313110</v>
      </c>
      <c r="K42" s="439" t="s">
        <v>120</v>
      </c>
      <c r="L42" s="440">
        <v>0</v>
      </c>
      <c r="M42" s="440">
        <v>26809.15</v>
      </c>
      <c r="N42" s="430">
        <v>215304</v>
      </c>
      <c r="O42" s="433" t="s">
        <v>171</v>
      </c>
      <c r="P42" s="435">
        <v>395.51</v>
      </c>
      <c r="Q42" s="111"/>
      <c r="S42" s="465">
        <v>215320</v>
      </c>
      <c r="T42" s="458" t="s">
        <v>118</v>
      </c>
      <c r="U42" s="459">
        <v>0</v>
      </c>
      <c r="V42" s="459">
        <v>648155.93000000005</v>
      </c>
      <c r="W42" s="465">
        <v>312109</v>
      </c>
      <c r="X42" s="458" t="s">
        <v>581</v>
      </c>
      <c r="Y42" s="459">
        <v>36120.83</v>
      </c>
      <c r="AB42" s="469">
        <v>313111</v>
      </c>
      <c r="AC42" s="470" t="s">
        <v>121</v>
      </c>
      <c r="AD42" s="471">
        <v>0</v>
      </c>
      <c r="AE42" s="471">
        <v>123.94</v>
      </c>
      <c r="AF42" s="469">
        <v>215102</v>
      </c>
      <c r="AG42" s="470" t="s">
        <v>166</v>
      </c>
      <c r="AH42" s="471">
        <v>10036.08</v>
      </c>
      <c r="AI42" s="137"/>
      <c r="AK42" s="406"/>
      <c r="AL42" s="403"/>
      <c r="AM42" s="137"/>
      <c r="AN42" s="404"/>
      <c r="AO42" s="402"/>
      <c r="AP42" s="401"/>
      <c r="AQ42" s="405"/>
      <c r="AT42" s="406"/>
      <c r="AU42" s="403"/>
      <c r="AV42" s="354"/>
      <c r="AW42" s="404"/>
      <c r="AX42" s="406"/>
      <c r="AY42" s="403"/>
      <c r="AZ42" s="404"/>
      <c r="BA42" s="137"/>
      <c r="BB42" s="7"/>
      <c r="BC42" s="48"/>
      <c r="BF42" s="411"/>
      <c r="BG42" s="408"/>
      <c r="BH42" s="137"/>
      <c r="BI42" s="412"/>
      <c r="BJ42" s="410"/>
      <c r="BK42" s="409"/>
      <c r="BL42" s="413"/>
      <c r="BM42" s="138"/>
      <c r="BO42" s="411"/>
      <c r="BP42" s="408"/>
      <c r="BQ42" s="156"/>
      <c r="BR42" s="412"/>
      <c r="BS42" s="411"/>
      <c r="BT42" s="408"/>
      <c r="BU42" s="412"/>
      <c r="BV42" s="137"/>
      <c r="BX42" s="411"/>
      <c r="BY42" s="408"/>
      <c r="BZ42" s="137"/>
      <c r="CA42" s="412"/>
      <c r="CB42" s="411"/>
      <c r="CC42" s="408"/>
      <c r="CD42" s="412"/>
      <c r="CE42" s="137"/>
      <c r="CG42" s="411"/>
      <c r="CH42" s="408"/>
      <c r="CI42" s="326"/>
      <c r="CJ42" s="412"/>
      <c r="CK42" s="410"/>
      <c r="CL42" s="409"/>
      <c r="CM42" s="413"/>
      <c r="CP42" s="411"/>
      <c r="CQ42" s="408"/>
      <c r="CR42" s="326"/>
      <c r="CS42" s="412"/>
      <c r="CT42" s="410"/>
      <c r="CU42" s="409"/>
      <c r="CV42" s="413"/>
      <c r="CY42" s="411"/>
      <c r="CZ42" s="408"/>
      <c r="DA42" s="340"/>
      <c r="DB42" s="412"/>
      <c r="DC42" s="410"/>
      <c r="DD42" s="409"/>
      <c r="DE42" s="413"/>
    </row>
    <row r="43" spans="1:109">
      <c r="A43" s="443">
        <v>313290</v>
      </c>
      <c r="B43" s="442" t="s">
        <v>588</v>
      </c>
      <c r="C43" s="441">
        <v>0</v>
      </c>
      <c r="D43" s="441">
        <v>47.59</v>
      </c>
      <c r="E43" s="443">
        <v>215391</v>
      </c>
      <c r="F43" s="442" t="s">
        <v>175</v>
      </c>
      <c r="G43" s="441">
        <v>114661.99</v>
      </c>
      <c r="H43" s="111"/>
      <c r="J43" s="443">
        <v>313112</v>
      </c>
      <c r="K43" s="442" t="s">
        <v>122</v>
      </c>
      <c r="L43" s="441">
        <v>0</v>
      </c>
      <c r="M43" s="441">
        <v>603.36</v>
      </c>
      <c r="N43" s="431">
        <v>215332</v>
      </c>
      <c r="O43" s="432" t="s">
        <v>173</v>
      </c>
      <c r="P43" s="434">
        <v>340.7</v>
      </c>
      <c r="S43" s="464">
        <v>311112</v>
      </c>
      <c r="T43" s="461" t="s">
        <v>586</v>
      </c>
      <c r="U43" s="462">
        <v>0</v>
      </c>
      <c r="V43" s="462">
        <v>2941.78</v>
      </c>
      <c r="W43" s="464">
        <v>331808</v>
      </c>
      <c r="X43" s="461" t="s">
        <v>582</v>
      </c>
      <c r="Y43" s="462">
        <v>13.92</v>
      </c>
      <c r="Z43" s="111"/>
      <c r="AB43" s="474">
        <v>313112</v>
      </c>
      <c r="AC43" s="472" t="s">
        <v>122</v>
      </c>
      <c r="AD43" s="473">
        <v>0</v>
      </c>
      <c r="AE43" s="473">
        <v>237.57</v>
      </c>
      <c r="AF43" s="474">
        <v>215103</v>
      </c>
      <c r="AG43" s="472" t="s">
        <v>167</v>
      </c>
      <c r="AH43" s="473">
        <v>542205.63</v>
      </c>
      <c r="AI43" s="138"/>
      <c r="AK43" s="402"/>
      <c r="AL43" s="401"/>
      <c r="AM43" s="138"/>
      <c r="AN43" s="405"/>
      <c r="AO43" s="406"/>
      <c r="AP43" s="403"/>
      <c r="AQ43" s="404"/>
      <c r="AT43" s="402"/>
      <c r="AU43" s="401"/>
      <c r="AV43" s="355"/>
      <c r="AW43" s="405"/>
      <c r="AX43" s="402"/>
      <c r="AY43" s="401"/>
      <c r="AZ43" s="405"/>
      <c r="BA43" s="138"/>
      <c r="BB43" s="7"/>
      <c r="BC43" s="48"/>
      <c r="BF43" s="410"/>
      <c r="BG43" s="409"/>
      <c r="BH43" s="138"/>
      <c r="BI43" s="413"/>
      <c r="BJ43" s="411"/>
      <c r="BK43" s="408"/>
      <c r="BL43" s="412"/>
      <c r="BM43" s="137"/>
      <c r="BO43" s="410"/>
      <c r="BP43" s="409"/>
      <c r="BQ43" s="157"/>
      <c r="BR43" s="413"/>
      <c r="BS43" s="410"/>
      <c r="BT43" s="409"/>
      <c r="BU43" s="413"/>
      <c r="BV43" s="138"/>
      <c r="BX43" s="410"/>
      <c r="BY43" s="409"/>
      <c r="BZ43" s="138"/>
      <c r="CA43" s="413"/>
      <c r="CB43" s="410"/>
      <c r="CC43" s="409"/>
      <c r="CD43" s="413"/>
      <c r="CE43" s="138"/>
      <c r="CG43" s="410"/>
      <c r="CH43" s="409"/>
      <c r="CI43" s="328"/>
      <c r="CJ43" s="413"/>
      <c r="CK43" s="411"/>
      <c r="CL43" s="408"/>
      <c r="CM43" s="412"/>
      <c r="CP43" s="410"/>
      <c r="CQ43" s="409"/>
      <c r="CR43" s="328"/>
      <c r="CS43" s="413"/>
      <c r="CT43" s="411"/>
      <c r="CU43" s="408"/>
      <c r="CV43" s="412"/>
      <c r="CY43" s="410"/>
      <c r="CZ43" s="409"/>
      <c r="DA43" s="343"/>
      <c r="DB43" s="413"/>
      <c r="DC43" s="411"/>
      <c r="DD43" s="408"/>
      <c r="DE43" s="412"/>
    </row>
    <row r="44" spans="1:109">
      <c r="A44" s="438">
        <v>331201</v>
      </c>
      <c r="B44" s="439" t="s">
        <v>589</v>
      </c>
      <c r="C44" s="440">
        <v>0</v>
      </c>
      <c r="D44" s="440">
        <v>1767.5</v>
      </c>
      <c r="E44" s="438">
        <v>225105</v>
      </c>
      <c r="F44" s="439" t="s">
        <v>179</v>
      </c>
      <c r="G44" s="440">
        <v>590944.94999999995</v>
      </c>
      <c r="J44" s="438">
        <v>313290</v>
      </c>
      <c r="K44" s="439" t="s">
        <v>588</v>
      </c>
      <c r="L44" s="440">
        <v>0</v>
      </c>
      <c r="M44" s="440">
        <v>24.52</v>
      </c>
      <c r="N44" s="430">
        <v>215390</v>
      </c>
      <c r="O44" s="433" t="s">
        <v>174</v>
      </c>
      <c r="P44" s="435">
        <v>589071.96</v>
      </c>
      <c r="Q44" s="111"/>
      <c r="S44" s="465">
        <v>313111</v>
      </c>
      <c r="T44" s="458" t="s">
        <v>121</v>
      </c>
      <c r="U44" s="459">
        <v>0</v>
      </c>
      <c r="V44" s="459">
        <v>246.4</v>
      </c>
      <c r="W44" s="465">
        <v>112110</v>
      </c>
      <c r="X44" s="458" t="s">
        <v>595</v>
      </c>
      <c r="Y44" s="459">
        <v>2941.78</v>
      </c>
      <c r="AB44" s="469">
        <v>313290</v>
      </c>
      <c r="AC44" s="470" t="s">
        <v>588</v>
      </c>
      <c r="AD44" s="471">
        <v>0</v>
      </c>
      <c r="AE44" s="471">
        <v>14.25</v>
      </c>
      <c r="AF44" s="469">
        <v>215109</v>
      </c>
      <c r="AG44" s="470" t="s">
        <v>168</v>
      </c>
      <c r="AH44" s="471">
        <v>759.18</v>
      </c>
      <c r="AI44" s="137"/>
      <c r="AK44" s="406"/>
      <c r="AL44" s="403"/>
      <c r="AM44" s="137"/>
      <c r="AN44" s="404"/>
      <c r="AO44" s="402"/>
      <c r="AP44" s="401"/>
      <c r="AQ44" s="405"/>
      <c r="AT44" s="406"/>
      <c r="AU44" s="403"/>
      <c r="AV44" s="354"/>
      <c r="AW44" s="404"/>
      <c r="AX44" s="406"/>
      <c r="AY44" s="403"/>
      <c r="AZ44" s="404"/>
      <c r="BA44" s="137"/>
      <c r="BB44" s="7"/>
      <c r="BC44" s="48"/>
      <c r="BF44" s="411"/>
      <c r="BG44" s="408"/>
      <c r="BH44" s="137"/>
      <c r="BI44" s="412"/>
      <c r="BJ44" s="410"/>
      <c r="BK44" s="409"/>
      <c r="BL44" s="413"/>
      <c r="BM44" s="138"/>
      <c r="BO44" s="411"/>
      <c r="BP44" s="408"/>
      <c r="BQ44" s="156"/>
      <c r="BR44" s="412"/>
      <c r="BS44" s="411"/>
      <c r="BT44" s="408"/>
      <c r="BU44" s="412"/>
      <c r="BV44" s="137"/>
      <c r="BX44" s="411"/>
      <c r="BY44" s="408"/>
      <c r="BZ44" s="137"/>
      <c r="CA44" s="412"/>
      <c r="CB44" s="411"/>
      <c r="CC44" s="408"/>
      <c r="CD44" s="412"/>
      <c r="CE44" s="137"/>
      <c r="CG44" s="411"/>
      <c r="CH44" s="408"/>
      <c r="CI44" s="326"/>
      <c r="CJ44" s="412"/>
      <c r="CK44" s="410"/>
      <c r="CL44" s="409"/>
      <c r="CM44" s="413"/>
      <c r="CP44" s="411"/>
      <c r="CQ44" s="408"/>
      <c r="CR44" s="326"/>
      <c r="CS44" s="412"/>
      <c r="CT44" s="410"/>
      <c r="CU44" s="409"/>
      <c r="CV44" s="413"/>
      <c r="CY44" s="411"/>
      <c r="CZ44" s="408"/>
      <c r="DA44" s="340"/>
      <c r="DB44" s="412"/>
      <c r="DC44" s="410"/>
      <c r="DD44" s="409"/>
      <c r="DE44" s="413"/>
    </row>
    <row r="45" spans="1:109">
      <c r="A45" s="443">
        <v>331849</v>
      </c>
      <c r="B45" s="442" t="s">
        <v>124</v>
      </c>
      <c r="C45" s="441">
        <v>0</v>
      </c>
      <c r="D45" s="441">
        <v>4.2699999999999996</v>
      </c>
      <c r="E45" s="443">
        <v>312107</v>
      </c>
      <c r="F45" s="442" t="s">
        <v>596</v>
      </c>
      <c r="G45" s="441">
        <v>30977.98</v>
      </c>
      <c r="H45" s="111"/>
      <c r="J45" s="443">
        <v>313291</v>
      </c>
      <c r="K45" s="442" t="s">
        <v>123</v>
      </c>
      <c r="L45" s="441">
        <v>0</v>
      </c>
      <c r="M45" s="441">
        <v>0.02</v>
      </c>
      <c r="N45" s="431">
        <v>226201</v>
      </c>
      <c r="O45" s="432" t="s">
        <v>181</v>
      </c>
      <c r="P45" s="434">
        <v>14088.1</v>
      </c>
      <c r="S45" s="464">
        <v>313112</v>
      </c>
      <c r="T45" s="461" t="s">
        <v>122</v>
      </c>
      <c r="U45" s="462">
        <v>0</v>
      </c>
      <c r="V45" s="462">
        <v>451.29</v>
      </c>
      <c r="W45" s="464">
        <v>211102</v>
      </c>
      <c r="X45" s="461" t="s">
        <v>133</v>
      </c>
      <c r="Y45" s="462">
        <v>1766188.89</v>
      </c>
      <c r="Z45" s="111"/>
      <c r="AB45" s="474">
        <v>331201</v>
      </c>
      <c r="AC45" s="472" t="s">
        <v>589</v>
      </c>
      <c r="AD45" s="473">
        <v>0</v>
      </c>
      <c r="AE45" s="473">
        <v>1265</v>
      </c>
      <c r="AF45" s="474">
        <v>215390</v>
      </c>
      <c r="AG45" s="472" t="s">
        <v>174</v>
      </c>
      <c r="AH45" s="473">
        <v>301091.51</v>
      </c>
      <c r="AI45" s="138"/>
      <c r="AK45" s="402"/>
      <c r="AL45" s="401"/>
      <c r="AM45" s="138"/>
      <c r="AN45" s="405"/>
      <c r="AO45" s="406"/>
      <c r="AP45" s="403"/>
      <c r="AQ45" s="404"/>
      <c r="AT45" s="402"/>
      <c r="AU45" s="401"/>
      <c r="AV45" s="355"/>
      <c r="AW45" s="405"/>
      <c r="AX45" s="402"/>
      <c r="AY45" s="401"/>
      <c r="AZ45" s="405"/>
      <c r="BA45" s="138"/>
      <c r="BB45" s="7"/>
      <c r="BC45" s="48"/>
      <c r="BF45" s="410"/>
      <c r="BG45" s="409"/>
      <c r="BH45" s="138"/>
      <c r="BI45" s="413"/>
      <c r="BJ45" s="411"/>
      <c r="BK45" s="408"/>
      <c r="BL45" s="412"/>
      <c r="BM45" s="137"/>
      <c r="BO45" s="410"/>
      <c r="BP45" s="409"/>
      <c r="BQ45" s="157"/>
      <c r="BR45" s="413"/>
      <c r="BS45" s="410"/>
      <c r="BT45" s="409"/>
      <c r="BU45" s="413"/>
      <c r="BV45" s="138"/>
      <c r="BX45" s="410"/>
      <c r="BY45" s="409"/>
      <c r="BZ45" s="138"/>
      <c r="CA45" s="413"/>
      <c r="CB45" s="410"/>
      <c r="CC45" s="409"/>
      <c r="CD45" s="413"/>
      <c r="CE45" s="138"/>
      <c r="CG45" s="410"/>
      <c r="CH45" s="409"/>
      <c r="CI45" s="328"/>
      <c r="CJ45" s="413"/>
      <c r="CK45" s="411"/>
      <c r="CL45" s="408"/>
      <c r="CM45" s="412"/>
      <c r="CP45" s="410"/>
      <c r="CQ45" s="409"/>
      <c r="CR45" s="328"/>
      <c r="CS45" s="413"/>
      <c r="CT45" s="411"/>
      <c r="CU45" s="408"/>
      <c r="CV45" s="412"/>
      <c r="CY45" s="410"/>
      <c r="CZ45" s="409"/>
      <c r="DA45" s="343"/>
      <c r="DB45" s="413"/>
      <c r="DC45" s="411"/>
      <c r="DD45" s="408"/>
      <c r="DE45" s="412"/>
    </row>
    <row r="46" spans="1:109">
      <c r="A46" s="438">
        <v>333105</v>
      </c>
      <c r="B46" s="439" t="s">
        <v>125</v>
      </c>
      <c r="C46" s="440">
        <v>0</v>
      </c>
      <c r="D46" s="440">
        <v>3.09</v>
      </c>
      <c r="E46" s="438">
        <v>312109</v>
      </c>
      <c r="F46" s="439" t="s">
        <v>581</v>
      </c>
      <c r="G46" s="440">
        <v>33193.54</v>
      </c>
      <c r="J46" s="438">
        <v>331201</v>
      </c>
      <c r="K46" s="439" t="s">
        <v>589</v>
      </c>
      <c r="L46" s="440">
        <v>0</v>
      </c>
      <c r="M46" s="440">
        <v>1166</v>
      </c>
      <c r="N46" s="430">
        <v>312107</v>
      </c>
      <c r="O46" s="433" t="s">
        <v>596</v>
      </c>
      <c r="P46" s="435">
        <v>18959.560000000001</v>
      </c>
      <c r="Q46" s="111"/>
      <c r="S46" s="465">
        <v>112103</v>
      </c>
      <c r="T46" s="458" t="s">
        <v>79</v>
      </c>
      <c r="U46" s="459">
        <v>0</v>
      </c>
      <c r="V46" s="459">
        <v>4175.9799999999996</v>
      </c>
      <c r="W46" s="465">
        <v>211301</v>
      </c>
      <c r="X46" s="458" t="s">
        <v>137</v>
      </c>
      <c r="Y46" s="459">
        <v>238874.15</v>
      </c>
      <c r="AB46" s="469">
        <v>112112</v>
      </c>
      <c r="AC46" s="470" t="s">
        <v>80</v>
      </c>
      <c r="AD46" s="471">
        <v>0</v>
      </c>
      <c r="AE46" s="471">
        <v>893246.77</v>
      </c>
      <c r="AF46" s="469">
        <v>225105</v>
      </c>
      <c r="AG46" s="470" t="s">
        <v>179</v>
      </c>
      <c r="AH46" s="471">
        <v>602533.9</v>
      </c>
      <c r="AI46" s="137"/>
      <c r="AK46" s="406"/>
      <c r="AL46" s="403"/>
      <c r="AM46" s="137"/>
      <c r="AN46" s="404"/>
      <c r="AO46" s="402"/>
      <c r="AP46" s="401"/>
      <c r="AQ46" s="405"/>
      <c r="AT46" s="406"/>
      <c r="AU46" s="403"/>
      <c r="AV46" s="354"/>
      <c r="AW46" s="404"/>
      <c r="AX46" s="406"/>
      <c r="AY46" s="403"/>
      <c r="AZ46" s="404"/>
      <c r="BA46" s="137"/>
      <c r="BB46" s="7"/>
      <c r="BC46" s="48"/>
      <c r="BF46" s="411"/>
      <c r="BG46" s="408"/>
      <c r="BH46" s="137"/>
      <c r="BI46" s="412"/>
      <c r="BJ46" s="410"/>
      <c r="BK46" s="409"/>
      <c r="BL46" s="413"/>
      <c r="BM46" s="138"/>
      <c r="BO46" s="411"/>
      <c r="BP46" s="408"/>
      <c r="BQ46" s="156"/>
      <c r="BR46" s="412"/>
      <c r="BS46" s="411"/>
      <c r="BT46" s="408"/>
      <c r="BU46" s="412"/>
      <c r="BV46" s="137"/>
      <c r="BX46" s="411"/>
      <c r="BY46" s="408"/>
      <c r="BZ46" s="137"/>
      <c r="CA46" s="412"/>
      <c r="CB46" s="411"/>
      <c r="CC46" s="408"/>
      <c r="CD46" s="412"/>
      <c r="CE46" s="137"/>
      <c r="CG46" s="411"/>
      <c r="CH46" s="408"/>
      <c r="CI46" s="326"/>
      <c r="CJ46" s="412"/>
      <c r="CK46" s="410"/>
      <c r="CL46" s="409"/>
      <c r="CM46" s="413"/>
      <c r="CP46" s="411"/>
      <c r="CQ46" s="408"/>
      <c r="CR46" s="326"/>
      <c r="CS46" s="412"/>
      <c r="CT46" s="410"/>
      <c r="CU46" s="409"/>
      <c r="CV46" s="413"/>
      <c r="CY46" s="411"/>
      <c r="CZ46" s="408"/>
      <c r="DA46" s="340"/>
      <c r="DB46" s="412"/>
      <c r="DC46" s="410"/>
      <c r="DD46" s="409"/>
      <c r="DE46" s="413"/>
    </row>
    <row r="47" spans="1:109">
      <c r="A47" s="443">
        <v>112102</v>
      </c>
      <c r="B47" s="442" t="s">
        <v>78</v>
      </c>
      <c r="C47" s="441">
        <v>0</v>
      </c>
      <c r="D47" s="441">
        <v>409850.96</v>
      </c>
      <c r="E47" s="443">
        <v>331808</v>
      </c>
      <c r="F47" s="442" t="s">
        <v>582</v>
      </c>
      <c r="G47" s="441">
        <v>36.26</v>
      </c>
      <c r="H47" s="111"/>
      <c r="J47" s="443">
        <v>331849</v>
      </c>
      <c r="K47" s="442" t="s">
        <v>124</v>
      </c>
      <c r="L47" s="441">
        <v>0</v>
      </c>
      <c r="M47" s="441">
        <v>3.05</v>
      </c>
      <c r="N47" s="431">
        <v>312109</v>
      </c>
      <c r="O47" s="432" t="s">
        <v>581</v>
      </c>
      <c r="P47" s="434">
        <v>23821.85</v>
      </c>
      <c r="S47" s="464">
        <v>112507</v>
      </c>
      <c r="T47" s="461" t="s">
        <v>854</v>
      </c>
      <c r="U47" s="462">
        <v>0</v>
      </c>
      <c r="V47" s="462">
        <v>1759.42</v>
      </c>
      <c r="W47" s="464">
        <v>212106</v>
      </c>
      <c r="X47" s="461" t="s">
        <v>139</v>
      </c>
      <c r="Y47" s="462">
        <v>90369.34</v>
      </c>
      <c r="Z47" s="111"/>
      <c r="AB47" s="474">
        <v>114704</v>
      </c>
      <c r="AC47" s="472" t="s">
        <v>102</v>
      </c>
      <c r="AD47" s="473">
        <v>0</v>
      </c>
      <c r="AE47" s="473">
        <v>679.83</v>
      </c>
      <c r="AF47" s="474">
        <v>312107</v>
      </c>
      <c r="AG47" s="472" t="s">
        <v>596</v>
      </c>
      <c r="AH47" s="473">
        <v>29988.28</v>
      </c>
      <c r="AI47" s="161"/>
      <c r="AK47" s="402"/>
      <c r="AL47" s="401"/>
      <c r="AM47" s="138"/>
      <c r="AN47" s="405"/>
      <c r="AO47" s="406"/>
      <c r="AP47" s="403"/>
      <c r="AQ47" s="404"/>
      <c r="AT47" s="402"/>
      <c r="AU47" s="401"/>
      <c r="AV47" s="355"/>
      <c r="AW47" s="405"/>
      <c r="AX47" s="402"/>
      <c r="AY47" s="401"/>
      <c r="AZ47" s="405"/>
      <c r="BA47" s="141"/>
      <c r="BB47" s="7"/>
      <c r="BC47" s="48"/>
      <c r="BF47" s="410"/>
      <c r="BG47" s="409"/>
      <c r="BH47" s="138"/>
      <c r="BI47" s="413"/>
      <c r="BJ47" s="411"/>
      <c r="BK47" s="408"/>
      <c r="BL47" s="412"/>
      <c r="BM47" s="137"/>
      <c r="BO47" s="410"/>
      <c r="BP47" s="409"/>
      <c r="BQ47" s="157"/>
      <c r="BR47" s="413"/>
      <c r="BS47" s="410"/>
      <c r="BT47" s="409"/>
      <c r="BU47" s="413"/>
      <c r="BV47" s="138"/>
      <c r="BX47" s="410"/>
      <c r="BY47" s="409"/>
      <c r="BZ47" s="138"/>
      <c r="CA47" s="413"/>
      <c r="CB47" s="410"/>
      <c r="CC47" s="409"/>
      <c r="CD47" s="413"/>
      <c r="CE47" s="138"/>
      <c r="CG47" s="410"/>
      <c r="CH47" s="409"/>
      <c r="CI47" s="328"/>
      <c r="CJ47" s="413"/>
      <c r="CK47" s="411"/>
      <c r="CL47" s="408"/>
      <c r="CM47" s="412"/>
      <c r="CP47" s="410"/>
      <c r="CQ47" s="409"/>
      <c r="CR47" s="328"/>
      <c r="CS47" s="413"/>
      <c r="CT47" s="411"/>
      <c r="CU47" s="408"/>
      <c r="CV47" s="412"/>
      <c r="CY47" s="410"/>
      <c r="CZ47" s="409"/>
      <c r="DA47" s="343"/>
      <c r="DB47" s="413"/>
      <c r="DC47" s="411"/>
      <c r="DD47" s="408"/>
      <c r="DE47" s="412"/>
    </row>
    <row r="48" spans="1:109">
      <c r="A48" s="438">
        <v>213205</v>
      </c>
      <c r="B48" s="439" t="s">
        <v>111</v>
      </c>
      <c r="C48" s="440">
        <v>0</v>
      </c>
      <c r="D48" s="440">
        <v>19754.12</v>
      </c>
      <c r="E48" s="438">
        <v>331814</v>
      </c>
      <c r="F48" s="439" t="s">
        <v>183</v>
      </c>
      <c r="G48" s="440">
        <v>12361.63</v>
      </c>
      <c r="J48" s="438">
        <v>112101</v>
      </c>
      <c r="K48" s="439" t="s">
        <v>77</v>
      </c>
      <c r="L48" s="440">
        <v>0</v>
      </c>
      <c r="M48" s="440">
        <v>25298.13</v>
      </c>
      <c r="N48" s="430">
        <v>331808</v>
      </c>
      <c r="O48" s="433" t="s">
        <v>582</v>
      </c>
      <c r="P48" s="435">
        <v>39.409999999999997</v>
      </c>
      <c r="Q48" s="111"/>
      <c r="S48" s="465">
        <v>122601</v>
      </c>
      <c r="T48" s="458" t="s">
        <v>109</v>
      </c>
      <c r="U48" s="459">
        <v>0</v>
      </c>
      <c r="V48" s="459">
        <v>3480725.05</v>
      </c>
      <c r="W48" s="465">
        <v>212299</v>
      </c>
      <c r="X48" s="458" t="s">
        <v>142</v>
      </c>
      <c r="Y48" s="459">
        <v>200758.27</v>
      </c>
      <c r="AB48" s="469">
        <v>114796</v>
      </c>
      <c r="AC48" s="470" t="s">
        <v>103</v>
      </c>
      <c r="AD48" s="471">
        <v>0</v>
      </c>
      <c r="AE48" s="471">
        <v>33787.4</v>
      </c>
      <c r="AF48" s="469">
        <v>312109</v>
      </c>
      <c r="AG48" s="470" t="s">
        <v>581</v>
      </c>
      <c r="AH48" s="471">
        <v>33227.769999999997</v>
      </c>
      <c r="AI48" s="137"/>
      <c r="AK48" s="406"/>
      <c r="AL48" s="403"/>
      <c r="AM48" s="137"/>
      <c r="AN48" s="404"/>
      <c r="AO48" s="402"/>
      <c r="AP48" s="401"/>
      <c r="AQ48" s="405"/>
      <c r="AT48" s="406"/>
      <c r="AU48" s="403"/>
      <c r="AV48" s="354"/>
      <c r="AW48" s="404"/>
      <c r="AX48" s="406"/>
      <c r="AY48" s="403"/>
      <c r="AZ48" s="404"/>
      <c r="BA48" s="137"/>
      <c r="BB48" s="35"/>
      <c r="BC48" s="52"/>
      <c r="BF48" s="411"/>
      <c r="BG48" s="408"/>
      <c r="BH48" s="137"/>
      <c r="BI48" s="412"/>
      <c r="BJ48" s="410"/>
      <c r="BK48" s="409"/>
      <c r="BL48" s="413"/>
      <c r="BM48" s="138"/>
      <c r="BO48" s="411"/>
      <c r="BP48" s="408"/>
      <c r="BQ48" s="156"/>
      <c r="BR48" s="412"/>
      <c r="BS48" s="411"/>
      <c r="BT48" s="408"/>
      <c r="BU48" s="412"/>
      <c r="BV48" s="137"/>
      <c r="BX48" s="411"/>
      <c r="BY48" s="408"/>
      <c r="BZ48" s="137"/>
      <c r="CA48" s="412"/>
      <c r="CB48" s="411"/>
      <c r="CC48" s="408"/>
      <c r="CD48" s="412"/>
      <c r="CE48" s="137"/>
      <c r="CG48" s="411"/>
      <c r="CH48" s="408"/>
      <c r="CI48" s="326"/>
      <c r="CJ48" s="412"/>
      <c r="CK48" s="410"/>
      <c r="CL48" s="409"/>
      <c r="CM48" s="413"/>
      <c r="CP48" s="411"/>
      <c r="CQ48" s="408"/>
      <c r="CR48" s="326"/>
      <c r="CS48" s="412"/>
      <c r="CT48" s="410"/>
      <c r="CU48" s="409"/>
      <c r="CV48" s="413"/>
      <c r="CY48" s="411"/>
      <c r="CZ48" s="408"/>
      <c r="DA48" s="340"/>
      <c r="DB48" s="412"/>
      <c r="DC48" s="410"/>
      <c r="DD48" s="409"/>
      <c r="DE48" s="413"/>
    </row>
    <row r="49" spans="1:109">
      <c r="A49" s="443">
        <v>213212</v>
      </c>
      <c r="B49" s="442" t="s">
        <v>115</v>
      </c>
      <c r="C49" s="441">
        <v>0</v>
      </c>
      <c r="D49" s="441">
        <v>6269.16</v>
      </c>
      <c r="E49" s="443">
        <v>331849</v>
      </c>
      <c r="F49" s="442" t="s">
        <v>124</v>
      </c>
      <c r="G49" s="441">
        <v>6030.97</v>
      </c>
      <c r="H49" s="111"/>
      <c r="J49" s="443">
        <v>112112</v>
      </c>
      <c r="K49" s="442" t="s">
        <v>80</v>
      </c>
      <c r="L49" s="441">
        <v>0</v>
      </c>
      <c r="M49" s="441">
        <v>287177.03000000003</v>
      </c>
      <c r="N49" s="431">
        <v>331814</v>
      </c>
      <c r="O49" s="432" t="s">
        <v>183</v>
      </c>
      <c r="P49" s="434">
        <v>13567.22</v>
      </c>
      <c r="S49" s="464">
        <v>311107</v>
      </c>
      <c r="T49" s="461" t="s">
        <v>591</v>
      </c>
      <c r="U49" s="462">
        <v>0</v>
      </c>
      <c r="V49" s="462">
        <v>2539.3200000000002</v>
      </c>
      <c r="W49" s="464">
        <v>214119</v>
      </c>
      <c r="X49" s="461" t="s">
        <v>158</v>
      </c>
      <c r="Y49" s="462">
        <v>100662.54</v>
      </c>
      <c r="Z49" s="111"/>
      <c r="AB49" s="474">
        <v>215315</v>
      </c>
      <c r="AC49" s="472" t="s">
        <v>590</v>
      </c>
      <c r="AD49" s="473">
        <v>0</v>
      </c>
      <c r="AE49" s="473">
        <v>4351.8999999999996</v>
      </c>
      <c r="AF49" s="474">
        <v>331808</v>
      </c>
      <c r="AG49" s="472" t="s">
        <v>582</v>
      </c>
      <c r="AH49" s="473">
        <v>40.79</v>
      </c>
      <c r="AI49" s="138"/>
      <c r="AK49" s="402"/>
      <c r="AL49" s="401"/>
      <c r="AM49" s="138"/>
      <c r="AN49" s="405"/>
      <c r="AO49" s="406"/>
      <c r="AP49" s="403"/>
      <c r="AQ49" s="404"/>
      <c r="AT49" s="402"/>
      <c r="AU49" s="401"/>
      <c r="AV49" s="355"/>
      <c r="AW49" s="405"/>
      <c r="AX49" s="402"/>
      <c r="AY49" s="401"/>
      <c r="AZ49" s="405"/>
      <c r="BA49" s="138"/>
      <c r="BB49" s="35"/>
      <c r="BC49" s="52"/>
      <c r="BF49" s="410"/>
      <c r="BG49" s="409"/>
      <c r="BH49" s="138"/>
      <c r="BI49" s="413"/>
      <c r="BJ49" s="411"/>
      <c r="BK49" s="408"/>
      <c r="BL49" s="412"/>
      <c r="BM49" s="137"/>
      <c r="BO49" s="410"/>
      <c r="BP49" s="409"/>
      <c r="BQ49" s="157"/>
      <c r="BR49" s="413"/>
      <c r="BS49" s="410"/>
      <c r="BT49" s="409"/>
      <c r="BU49" s="413"/>
      <c r="BV49" s="138"/>
      <c r="BX49" s="410"/>
      <c r="BY49" s="409"/>
      <c r="BZ49" s="138"/>
      <c r="CA49" s="413"/>
      <c r="CB49" s="410"/>
      <c r="CC49" s="409"/>
      <c r="CD49" s="413"/>
      <c r="CE49" s="138"/>
      <c r="CG49" s="410"/>
      <c r="CH49" s="409"/>
      <c r="CI49" s="328"/>
      <c r="CJ49" s="413"/>
      <c r="CK49" s="411"/>
      <c r="CL49" s="408"/>
      <c r="CM49" s="412"/>
      <c r="CP49" s="410"/>
      <c r="CQ49" s="409"/>
      <c r="CR49" s="328"/>
      <c r="CS49" s="413"/>
      <c r="CT49" s="411"/>
      <c r="CU49" s="408"/>
      <c r="CV49" s="412"/>
      <c r="CY49" s="410"/>
      <c r="CZ49" s="409"/>
      <c r="DA49" s="343"/>
      <c r="DB49" s="413"/>
      <c r="DC49" s="411"/>
      <c r="DD49" s="408"/>
      <c r="DE49" s="412"/>
    </row>
    <row r="50" spans="1:109">
      <c r="A50" s="438">
        <v>213406</v>
      </c>
      <c r="B50" s="439" t="s">
        <v>116</v>
      </c>
      <c r="C50" s="440">
        <v>0</v>
      </c>
      <c r="D50" s="440">
        <v>33048.39</v>
      </c>
      <c r="E50" s="438">
        <v>331850</v>
      </c>
      <c r="F50" s="439" t="s">
        <v>185</v>
      </c>
      <c r="G50" s="440">
        <v>127994.72</v>
      </c>
      <c r="J50" s="438">
        <v>112117</v>
      </c>
      <c r="K50" s="439" t="s">
        <v>81</v>
      </c>
      <c r="L50" s="440">
        <v>0</v>
      </c>
      <c r="M50" s="440">
        <v>19035.57</v>
      </c>
      <c r="N50" s="430">
        <v>331849</v>
      </c>
      <c r="O50" s="433" t="s">
        <v>124</v>
      </c>
      <c r="P50" s="435">
        <v>5739.24</v>
      </c>
      <c r="Q50" s="111"/>
      <c r="S50" s="465">
        <v>331849</v>
      </c>
      <c r="T50" s="458" t="s">
        <v>124</v>
      </c>
      <c r="U50" s="459">
        <v>0</v>
      </c>
      <c r="V50" s="459">
        <v>4.01</v>
      </c>
      <c r="W50" s="465">
        <v>215102</v>
      </c>
      <c r="X50" s="458" t="s">
        <v>166</v>
      </c>
      <c r="Y50" s="459">
        <v>10158.49</v>
      </c>
      <c r="AB50" s="469">
        <v>311111</v>
      </c>
      <c r="AC50" s="470" t="s">
        <v>592</v>
      </c>
      <c r="AD50" s="471">
        <v>0</v>
      </c>
      <c r="AE50" s="471">
        <v>342.14</v>
      </c>
      <c r="AF50" s="469">
        <v>333104</v>
      </c>
      <c r="AG50" s="470" t="s">
        <v>206</v>
      </c>
      <c r="AH50" s="471">
        <v>2907.4</v>
      </c>
      <c r="AI50" s="137"/>
      <c r="AK50" s="406"/>
      <c r="AL50" s="403"/>
      <c r="AM50" s="137"/>
      <c r="AN50" s="404"/>
      <c r="AO50" s="402"/>
      <c r="AP50" s="401"/>
      <c r="AQ50" s="405"/>
      <c r="AT50" s="406"/>
      <c r="AU50" s="403"/>
      <c r="AV50" s="354"/>
      <c r="AW50" s="404"/>
      <c r="AX50" s="406"/>
      <c r="AY50" s="403"/>
      <c r="AZ50" s="404"/>
      <c r="BA50" s="137"/>
      <c r="BB50" s="35"/>
      <c r="BC50" s="52"/>
      <c r="BF50" s="411"/>
      <c r="BG50" s="408"/>
      <c r="BH50" s="137"/>
      <c r="BI50" s="412"/>
      <c r="BJ50" s="410"/>
      <c r="BK50" s="409"/>
      <c r="BL50" s="413"/>
      <c r="BM50" s="138"/>
      <c r="BO50" s="411"/>
      <c r="BP50" s="408"/>
      <c r="BQ50" s="156"/>
      <c r="BR50" s="412"/>
      <c r="BS50" s="411"/>
      <c r="BT50" s="408"/>
      <c r="BU50" s="412"/>
      <c r="BV50" s="137"/>
      <c r="BX50" s="411"/>
      <c r="BY50" s="408"/>
      <c r="BZ50" s="137"/>
      <c r="CA50" s="412"/>
      <c r="CB50" s="411"/>
      <c r="CC50" s="408"/>
      <c r="CD50" s="412"/>
      <c r="CE50" s="137"/>
      <c r="CG50" s="411"/>
      <c r="CH50" s="408"/>
      <c r="CI50" s="326"/>
      <c r="CJ50" s="412"/>
      <c r="CK50" s="410"/>
      <c r="CL50" s="409"/>
      <c r="CM50" s="413"/>
      <c r="CP50" s="411"/>
      <c r="CQ50" s="408"/>
      <c r="CR50" s="326"/>
      <c r="CS50" s="412"/>
      <c r="CT50" s="410"/>
      <c r="CU50" s="409"/>
      <c r="CV50" s="413"/>
      <c r="CY50" s="411"/>
      <c r="CZ50" s="408"/>
      <c r="DA50" s="340"/>
      <c r="DB50" s="412"/>
      <c r="DC50" s="410"/>
      <c r="DD50" s="409"/>
      <c r="DE50" s="413"/>
    </row>
    <row r="51" spans="1:109">
      <c r="A51" s="443">
        <v>313110</v>
      </c>
      <c r="B51" s="442" t="s">
        <v>120</v>
      </c>
      <c r="C51" s="441">
        <v>0</v>
      </c>
      <c r="D51" s="441">
        <v>105604.35</v>
      </c>
      <c r="E51" s="443">
        <v>331851</v>
      </c>
      <c r="F51" s="442" t="s">
        <v>186</v>
      </c>
      <c r="G51" s="441">
        <v>13015.47</v>
      </c>
      <c r="H51" s="111"/>
      <c r="J51" s="443">
        <v>112507</v>
      </c>
      <c r="K51" s="442" t="s">
        <v>854</v>
      </c>
      <c r="L51" s="441">
        <v>0</v>
      </c>
      <c r="M51" s="441">
        <v>463.12</v>
      </c>
      <c r="N51" s="431">
        <v>331850</v>
      </c>
      <c r="O51" s="432" t="s">
        <v>185</v>
      </c>
      <c r="P51" s="434">
        <v>71547.25</v>
      </c>
      <c r="S51" s="464">
        <v>333105</v>
      </c>
      <c r="T51" s="461" t="s">
        <v>125</v>
      </c>
      <c r="U51" s="462">
        <v>0</v>
      </c>
      <c r="V51" s="462">
        <v>0.06</v>
      </c>
      <c r="W51" s="464">
        <v>215103</v>
      </c>
      <c r="X51" s="461" t="s">
        <v>167</v>
      </c>
      <c r="Y51" s="462">
        <v>514485.24</v>
      </c>
      <c r="Z51" s="111"/>
      <c r="AB51" s="474">
        <v>117302</v>
      </c>
      <c r="AC51" s="472" t="s">
        <v>107</v>
      </c>
      <c r="AD51" s="473">
        <v>0</v>
      </c>
      <c r="AE51" s="473">
        <v>350.09</v>
      </c>
      <c r="AF51" s="474">
        <v>112108</v>
      </c>
      <c r="AG51" s="472" t="s">
        <v>598</v>
      </c>
      <c r="AH51" s="473">
        <v>2539.4299999999998</v>
      </c>
      <c r="AI51" s="138"/>
      <c r="AK51" s="402"/>
      <c r="AL51" s="401"/>
      <c r="AM51" s="138"/>
      <c r="AN51" s="405"/>
      <c r="AO51" s="406"/>
      <c r="AP51" s="403"/>
      <c r="AQ51" s="404"/>
      <c r="AT51" s="402"/>
      <c r="AU51" s="401"/>
      <c r="AV51" s="355"/>
      <c r="AW51" s="405"/>
      <c r="AX51" s="402"/>
      <c r="AY51" s="401"/>
      <c r="AZ51" s="405"/>
      <c r="BA51" s="138"/>
      <c r="BB51" s="7"/>
      <c r="BC51" s="48"/>
      <c r="BF51" s="410"/>
      <c r="BG51" s="409"/>
      <c r="BH51" s="138"/>
      <c r="BI51" s="413"/>
      <c r="BJ51" s="411"/>
      <c r="BK51" s="408"/>
      <c r="BL51" s="412"/>
      <c r="BM51" s="137"/>
      <c r="BO51" s="410"/>
      <c r="BP51" s="409"/>
      <c r="BQ51" s="157"/>
      <c r="BR51" s="413"/>
      <c r="BS51" s="410"/>
      <c r="BT51" s="409"/>
      <c r="BU51" s="413"/>
      <c r="BV51" s="138"/>
      <c r="BX51" s="410"/>
      <c r="BY51" s="409"/>
      <c r="BZ51" s="138"/>
      <c r="CA51" s="413"/>
      <c r="CB51" s="410"/>
      <c r="CC51" s="409"/>
      <c r="CD51" s="413"/>
      <c r="CE51" s="138"/>
      <c r="CG51" s="410"/>
      <c r="CH51" s="409"/>
      <c r="CI51" s="328"/>
      <c r="CJ51" s="413"/>
      <c r="CK51" s="411"/>
      <c r="CL51" s="408"/>
      <c r="CM51" s="412"/>
      <c r="CP51" s="410"/>
      <c r="CQ51" s="409"/>
      <c r="CR51" s="328"/>
      <c r="CS51" s="413"/>
      <c r="CT51" s="411"/>
      <c r="CU51" s="408"/>
      <c r="CV51" s="412"/>
      <c r="CY51" s="410"/>
      <c r="CZ51" s="409"/>
      <c r="DA51" s="343"/>
      <c r="DB51" s="413"/>
      <c r="DC51" s="411"/>
      <c r="DD51" s="408"/>
      <c r="DE51" s="412"/>
    </row>
    <row r="52" spans="1:109">
      <c r="A52" s="438">
        <v>112512</v>
      </c>
      <c r="B52" s="439" t="s">
        <v>99</v>
      </c>
      <c r="C52" s="440">
        <v>0</v>
      </c>
      <c r="D52" s="440">
        <v>5650.26</v>
      </c>
      <c r="E52" s="438">
        <v>331852</v>
      </c>
      <c r="F52" s="439" t="s">
        <v>187</v>
      </c>
      <c r="G52" s="440">
        <v>128684.95</v>
      </c>
      <c r="J52" s="438">
        <v>117208</v>
      </c>
      <c r="K52" s="439" t="s">
        <v>105</v>
      </c>
      <c r="L52" s="440">
        <v>0</v>
      </c>
      <c r="M52" s="440">
        <v>318.97000000000003</v>
      </c>
      <c r="N52" s="430">
        <v>331851</v>
      </c>
      <c r="O52" s="433" t="s">
        <v>186</v>
      </c>
      <c r="P52" s="435">
        <v>10129.44</v>
      </c>
      <c r="Q52" s="111"/>
      <c r="S52" s="465">
        <v>112117</v>
      </c>
      <c r="T52" s="458" t="s">
        <v>81</v>
      </c>
      <c r="U52" s="459">
        <v>0</v>
      </c>
      <c r="V52" s="459">
        <v>19965.39</v>
      </c>
      <c r="W52" s="465">
        <v>215108</v>
      </c>
      <c r="X52" s="458" t="s">
        <v>401</v>
      </c>
      <c r="Y52" s="459">
        <v>113000</v>
      </c>
      <c r="AB52" s="469">
        <v>215302</v>
      </c>
      <c r="AC52" s="470" t="s">
        <v>170</v>
      </c>
      <c r="AD52" s="471">
        <v>0</v>
      </c>
      <c r="AE52" s="471">
        <v>1299.99</v>
      </c>
      <c r="AF52" s="469">
        <v>112112</v>
      </c>
      <c r="AG52" s="470" t="s">
        <v>80</v>
      </c>
      <c r="AH52" s="471">
        <v>342.14</v>
      </c>
      <c r="AI52" s="137"/>
      <c r="AK52" s="406"/>
      <c r="AL52" s="403"/>
      <c r="AM52" s="137"/>
      <c r="AN52" s="404"/>
      <c r="AO52" s="402"/>
      <c r="AP52" s="401"/>
      <c r="AQ52" s="405"/>
      <c r="AT52" s="406"/>
      <c r="AU52" s="403"/>
      <c r="AV52" s="354"/>
      <c r="AW52" s="404"/>
      <c r="AX52" s="406"/>
      <c r="AY52" s="403"/>
      <c r="AZ52" s="404"/>
      <c r="BA52" s="137"/>
      <c r="BB52" s="7"/>
      <c r="BC52" s="48"/>
      <c r="BF52" s="411"/>
      <c r="BG52" s="408"/>
      <c r="BH52" s="137"/>
      <c r="BI52" s="412"/>
      <c r="BJ52" s="410"/>
      <c r="BK52" s="409"/>
      <c r="BL52" s="413"/>
      <c r="BM52" s="138"/>
      <c r="BO52" s="411"/>
      <c r="BP52" s="408"/>
      <c r="BQ52" s="156"/>
      <c r="BR52" s="412"/>
      <c r="BS52" s="411"/>
      <c r="BT52" s="408"/>
      <c r="BU52" s="412"/>
      <c r="BV52" s="137"/>
      <c r="BX52" s="411"/>
      <c r="BY52" s="408"/>
      <c r="BZ52" s="137"/>
      <c r="CA52" s="412"/>
      <c r="CB52" s="411"/>
      <c r="CC52" s="408"/>
      <c r="CD52" s="412"/>
      <c r="CE52" s="137"/>
      <c r="CG52" s="411"/>
      <c r="CH52" s="408"/>
      <c r="CI52" s="326"/>
      <c r="CJ52" s="412"/>
      <c r="CK52" s="410"/>
      <c r="CL52" s="409"/>
      <c r="CM52" s="413"/>
      <c r="CP52" s="411"/>
      <c r="CQ52" s="408"/>
      <c r="CR52" s="326"/>
      <c r="CS52" s="412"/>
      <c r="CT52" s="410"/>
      <c r="CU52" s="409"/>
      <c r="CV52" s="413"/>
      <c r="CY52" s="411"/>
      <c r="CZ52" s="408"/>
      <c r="DA52" s="340"/>
      <c r="DB52" s="412"/>
      <c r="DC52" s="410"/>
      <c r="DD52" s="409"/>
      <c r="DE52" s="413"/>
    </row>
    <row r="53" spans="1:109">
      <c r="A53" s="443">
        <v>117302</v>
      </c>
      <c r="B53" s="442" t="s">
        <v>107</v>
      </c>
      <c r="C53" s="441">
        <v>0</v>
      </c>
      <c r="D53" s="441">
        <v>20968.349999999999</v>
      </c>
      <c r="E53" s="443">
        <v>331853</v>
      </c>
      <c r="F53" s="442" t="s">
        <v>188</v>
      </c>
      <c r="G53" s="441">
        <v>19350.88</v>
      </c>
      <c r="H53" s="111"/>
      <c r="J53" s="443">
        <v>311108</v>
      </c>
      <c r="K53" s="442" t="s">
        <v>585</v>
      </c>
      <c r="L53" s="441">
        <v>0</v>
      </c>
      <c r="M53" s="441">
        <v>662.74</v>
      </c>
      <c r="N53" s="431">
        <v>331852</v>
      </c>
      <c r="O53" s="432" t="s">
        <v>187</v>
      </c>
      <c r="P53" s="434">
        <v>70595.070000000007</v>
      </c>
      <c r="S53" s="464">
        <v>213205</v>
      </c>
      <c r="T53" s="461" t="s">
        <v>111</v>
      </c>
      <c r="U53" s="462">
        <v>0</v>
      </c>
      <c r="V53" s="462">
        <v>18372.89</v>
      </c>
      <c r="W53" s="464">
        <v>215393</v>
      </c>
      <c r="X53" s="461" t="s">
        <v>535</v>
      </c>
      <c r="Y53" s="462">
        <v>46000</v>
      </c>
      <c r="Z53" s="111"/>
      <c r="AB53" s="474">
        <v>112512</v>
      </c>
      <c r="AC53" s="472" t="s">
        <v>99</v>
      </c>
      <c r="AD53" s="473">
        <v>0</v>
      </c>
      <c r="AE53" s="473">
        <v>7120.8</v>
      </c>
      <c r="AF53" s="474">
        <v>212199</v>
      </c>
      <c r="AG53" s="472" t="s">
        <v>140</v>
      </c>
      <c r="AH53" s="473">
        <v>1319141.8</v>
      </c>
      <c r="AI53" s="138"/>
      <c r="AK53" s="402"/>
      <c r="AL53" s="401"/>
      <c r="AM53" s="138"/>
      <c r="AN53" s="405"/>
      <c r="AO53" s="406"/>
      <c r="AP53" s="403"/>
      <c r="AQ53" s="404"/>
      <c r="AT53" s="402"/>
      <c r="AU53" s="401"/>
      <c r="AV53" s="355"/>
      <c r="AW53" s="405"/>
      <c r="AX53" s="402"/>
      <c r="AY53" s="401"/>
      <c r="AZ53" s="405"/>
      <c r="BA53" s="138"/>
      <c r="BB53" s="7"/>
      <c r="BC53" s="48"/>
      <c r="BF53" s="410"/>
      <c r="BG53" s="409"/>
      <c r="BH53" s="138"/>
      <c r="BI53" s="413"/>
      <c r="BJ53" s="411"/>
      <c r="BK53" s="408"/>
      <c r="BL53" s="412"/>
      <c r="BM53" s="137"/>
      <c r="BO53" s="410"/>
      <c r="BP53" s="409"/>
      <c r="BQ53" s="157"/>
      <c r="BR53" s="413"/>
      <c r="BS53" s="410"/>
      <c r="BT53" s="409"/>
      <c r="BU53" s="413"/>
      <c r="BV53" s="138"/>
      <c r="BX53" s="410"/>
      <c r="BY53" s="409"/>
      <c r="BZ53" s="138"/>
      <c r="CA53" s="413"/>
      <c r="CB53" s="410"/>
      <c r="CC53" s="409"/>
      <c r="CD53" s="413"/>
      <c r="CE53" s="138"/>
      <c r="CG53" s="410"/>
      <c r="CH53" s="409"/>
      <c r="CI53" s="328"/>
      <c r="CJ53" s="413"/>
      <c r="CK53" s="411"/>
      <c r="CL53" s="408"/>
      <c r="CM53" s="412"/>
      <c r="CP53" s="410"/>
      <c r="CQ53" s="409"/>
      <c r="CR53" s="328"/>
      <c r="CS53" s="413"/>
      <c r="CT53" s="411"/>
      <c r="CU53" s="408"/>
      <c r="CV53" s="412"/>
      <c r="CY53" s="410"/>
      <c r="CZ53" s="409"/>
      <c r="DA53" s="343"/>
      <c r="DB53" s="413"/>
      <c r="DC53" s="411"/>
      <c r="DD53" s="408"/>
      <c r="DE53" s="412"/>
    </row>
    <row r="54" spans="1:109">
      <c r="A54" s="438">
        <v>311107</v>
      </c>
      <c r="B54" s="439" t="s">
        <v>591</v>
      </c>
      <c r="C54" s="440">
        <v>0</v>
      </c>
      <c r="D54" s="440">
        <v>5425.84</v>
      </c>
      <c r="E54" s="438">
        <v>331855</v>
      </c>
      <c r="F54" s="439" t="s">
        <v>190</v>
      </c>
      <c r="G54" s="440">
        <v>9192.9500000000007</v>
      </c>
      <c r="J54" s="438">
        <v>311112</v>
      </c>
      <c r="K54" s="439" t="s">
        <v>586</v>
      </c>
      <c r="L54" s="440">
        <v>0</v>
      </c>
      <c r="M54" s="440">
        <v>941.47</v>
      </c>
      <c r="N54" s="430">
        <v>331855</v>
      </c>
      <c r="O54" s="433" t="s">
        <v>190</v>
      </c>
      <c r="P54" s="435">
        <v>4485.01</v>
      </c>
      <c r="Q54" s="111"/>
      <c r="S54" s="465">
        <v>213211</v>
      </c>
      <c r="T54" s="458" t="s">
        <v>114</v>
      </c>
      <c r="U54" s="459">
        <v>0</v>
      </c>
      <c r="V54" s="459">
        <v>265010.48</v>
      </c>
      <c r="W54" s="465">
        <v>225105</v>
      </c>
      <c r="X54" s="458" t="s">
        <v>179</v>
      </c>
      <c r="Y54" s="459">
        <v>718691.45</v>
      </c>
      <c r="AB54" s="469">
        <v>331849</v>
      </c>
      <c r="AC54" s="470" t="s">
        <v>124</v>
      </c>
      <c r="AD54" s="471">
        <v>0</v>
      </c>
      <c r="AE54" s="471">
        <v>3.13</v>
      </c>
      <c r="AF54" s="469">
        <v>214119</v>
      </c>
      <c r="AG54" s="470" t="s">
        <v>158</v>
      </c>
      <c r="AH54" s="471">
        <v>70914.179999999993</v>
      </c>
      <c r="AI54" s="137"/>
      <c r="AK54" s="406"/>
      <c r="AL54" s="403"/>
      <c r="AM54" s="137"/>
      <c r="AN54" s="404"/>
      <c r="AO54" s="402"/>
      <c r="AP54" s="401"/>
      <c r="AQ54" s="405"/>
      <c r="AT54" s="406"/>
      <c r="AU54" s="403"/>
      <c r="AV54" s="354"/>
      <c r="AW54" s="404"/>
      <c r="AX54" s="406"/>
      <c r="AY54" s="403"/>
      <c r="AZ54" s="404"/>
      <c r="BA54" s="137"/>
      <c r="BB54" s="7"/>
      <c r="BC54" s="48"/>
      <c r="BF54" s="411"/>
      <c r="BG54" s="408"/>
      <c r="BH54" s="137"/>
      <c r="BI54" s="412"/>
      <c r="BJ54" s="410"/>
      <c r="BK54" s="409"/>
      <c r="BL54" s="413"/>
      <c r="BM54" s="138"/>
      <c r="BO54" s="411"/>
      <c r="BP54" s="408"/>
      <c r="BQ54" s="156"/>
      <c r="BR54" s="412"/>
      <c r="BS54" s="411"/>
      <c r="BT54" s="408"/>
      <c r="BU54" s="412"/>
      <c r="BV54" s="137"/>
      <c r="BX54" s="411"/>
      <c r="BY54" s="408"/>
      <c r="BZ54" s="137"/>
      <c r="CA54" s="412"/>
      <c r="CB54" s="411"/>
      <c r="CC54" s="408"/>
      <c r="CD54" s="412"/>
      <c r="CE54" s="137"/>
      <c r="CG54" s="411"/>
      <c r="CH54" s="408"/>
      <c r="CI54" s="326"/>
      <c r="CJ54" s="412"/>
      <c r="CK54" s="410"/>
      <c r="CL54" s="409"/>
      <c r="CM54" s="413"/>
      <c r="CP54" s="411"/>
      <c r="CQ54" s="408"/>
      <c r="CR54" s="326"/>
      <c r="CS54" s="412"/>
      <c r="CT54" s="410"/>
      <c r="CU54" s="409"/>
      <c r="CV54" s="413"/>
      <c r="CY54" s="411"/>
      <c r="CZ54" s="408"/>
      <c r="DA54" s="340"/>
      <c r="DB54" s="412"/>
      <c r="DC54" s="410"/>
      <c r="DD54" s="409"/>
      <c r="DE54" s="413"/>
    </row>
    <row r="55" spans="1:109">
      <c r="A55" s="443">
        <v>122601</v>
      </c>
      <c r="B55" s="442" t="s">
        <v>109</v>
      </c>
      <c r="C55" s="441">
        <v>0</v>
      </c>
      <c r="D55" s="441">
        <v>1868033.9</v>
      </c>
      <c r="E55" s="443">
        <v>331859</v>
      </c>
      <c r="F55" s="442" t="s">
        <v>191</v>
      </c>
      <c r="G55" s="441">
        <v>14873.83</v>
      </c>
      <c r="H55" s="111"/>
      <c r="J55" s="443">
        <v>112102</v>
      </c>
      <c r="K55" s="442" t="s">
        <v>78</v>
      </c>
      <c r="L55" s="441">
        <v>0</v>
      </c>
      <c r="M55" s="441">
        <v>196031.14</v>
      </c>
      <c r="N55" s="431">
        <v>331859</v>
      </c>
      <c r="O55" s="432" t="s">
        <v>191</v>
      </c>
      <c r="P55" s="434">
        <v>6928.32</v>
      </c>
      <c r="S55" s="464">
        <v>112112</v>
      </c>
      <c r="T55" s="461" t="s">
        <v>80</v>
      </c>
      <c r="U55" s="462">
        <v>0</v>
      </c>
      <c r="V55" s="462">
        <v>260270.58</v>
      </c>
      <c r="W55" s="464">
        <v>226101</v>
      </c>
      <c r="X55" s="461" t="s">
        <v>180</v>
      </c>
      <c r="Y55" s="462">
        <v>71642.8</v>
      </c>
      <c r="Z55" s="111"/>
      <c r="AB55" s="469">
        <v>218401</v>
      </c>
      <c r="AC55" s="472" t="s">
        <v>1075</v>
      </c>
      <c r="AD55" s="473">
        <v>0</v>
      </c>
      <c r="AE55" s="473">
        <v>1804661</v>
      </c>
      <c r="AF55" s="474">
        <v>215391</v>
      </c>
      <c r="AG55" s="472" t="s">
        <v>175</v>
      </c>
      <c r="AH55" s="473">
        <v>160351.53</v>
      </c>
      <c r="AI55" s="138"/>
      <c r="AK55" s="402"/>
      <c r="AL55" s="401"/>
      <c r="AM55" s="138"/>
      <c r="AN55" s="405"/>
      <c r="AO55" s="406"/>
      <c r="AP55" s="403"/>
      <c r="AQ55" s="404"/>
      <c r="AT55" s="402"/>
      <c r="AU55" s="401"/>
      <c r="AV55" s="355"/>
      <c r="AW55" s="405"/>
      <c r="AX55" s="402"/>
      <c r="AY55" s="401"/>
      <c r="AZ55" s="405"/>
      <c r="BA55" s="138"/>
      <c r="BB55" s="7"/>
      <c r="BC55" s="48"/>
      <c r="BF55" s="410"/>
      <c r="BG55" s="409"/>
      <c r="BH55" s="138"/>
      <c r="BI55" s="413"/>
      <c r="BJ55" s="411"/>
      <c r="BK55" s="408"/>
      <c r="BL55" s="412"/>
      <c r="BM55" s="137"/>
      <c r="BO55" s="410"/>
      <c r="BP55" s="409"/>
      <c r="BQ55" s="157"/>
      <c r="BR55" s="413"/>
      <c r="BS55" s="410"/>
      <c r="BT55" s="409"/>
      <c r="BU55" s="413"/>
      <c r="BV55" s="138"/>
      <c r="BX55" s="410"/>
      <c r="BY55" s="409"/>
      <c r="BZ55" s="138"/>
      <c r="CA55" s="413"/>
      <c r="CB55" s="410"/>
      <c r="CC55" s="409"/>
      <c r="CD55" s="413"/>
      <c r="CE55" s="138"/>
      <c r="CG55" s="410"/>
      <c r="CH55" s="409"/>
      <c r="CI55" s="328"/>
      <c r="CJ55" s="413"/>
      <c r="CK55" s="411"/>
      <c r="CL55" s="408"/>
      <c r="CM55" s="412"/>
      <c r="CP55" s="410"/>
      <c r="CQ55" s="409"/>
      <c r="CR55" s="328"/>
      <c r="CS55" s="413"/>
      <c r="CT55" s="411"/>
      <c r="CU55" s="408"/>
      <c r="CV55" s="412"/>
      <c r="CY55" s="410"/>
      <c r="CZ55" s="409"/>
      <c r="DA55" s="343"/>
      <c r="DB55" s="413"/>
      <c r="DC55" s="411"/>
      <c r="DD55" s="408"/>
      <c r="DE55" s="412"/>
    </row>
    <row r="56" spans="1:109">
      <c r="A56" s="438">
        <v>213202</v>
      </c>
      <c r="B56" s="439" t="s">
        <v>110</v>
      </c>
      <c r="C56" s="440">
        <v>0</v>
      </c>
      <c r="D56" s="440">
        <v>7833.34</v>
      </c>
      <c r="E56" s="438">
        <v>331860</v>
      </c>
      <c r="F56" s="439" t="s">
        <v>192</v>
      </c>
      <c r="G56" s="440">
        <v>3215.67</v>
      </c>
      <c r="J56" s="438">
        <v>213206</v>
      </c>
      <c r="K56" s="439" t="s">
        <v>112</v>
      </c>
      <c r="L56" s="440">
        <v>0</v>
      </c>
      <c r="M56" s="440">
        <v>51158.85</v>
      </c>
      <c r="N56" s="430">
        <v>331860</v>
      </c>
      <c r="O56" s="433" t="s">
        <v>192</v>
      </c>
      <c r="P56" s="435">
        <v>2640.21</v>
      </c>
      <c r="Q56" s="111"/>
      <c r="S56" s="465">
        <v>117301</v>
      </c>
      <c r="T56" s="458" t="s">
        <v>106</v>
      </c>
      <c r="U56" s="459">
        <v>0</v>
      </c>
      <c r="V56" s="459">
        <v>2009.62</v>
      </c>
      <c r="W56" s="465">
        <v>333104</v>
      </c>
      <c r="X56" s="458" t="s">
        <v>206</v>
      </c>
      <c r="Y56" s="459">
        <v>7140.21</v>
      </c>
      <c r="AB56" s="469">
        <v>291601</v>
      </c>
      <c r="AC56" s="470" t="s">
        <v>478</v>
      </c>
      <c r="AD56" s="471">
        <v>0</v>
      </c>
      <c r="AE56" s="471">
        <v>5000</v>
      </c>
      <c r="AF56" s="469">
        <v>215392</v>
      </c>
      <c r="AG56" s="470" t="s">
        <v>176</v>
      </c>
      <c r="AH56" s="471">
        <v>465817.29</v>
      </c>
      <c r="AI56" s="137"/>
      <c r="AK56" s="406"/>
      <c r="AL56" s="403"/>
      <c r="AM56" s="137"/>
      <c r="AN56" s="404"/>
      <c r="AO56" s="402"/>
      <c r="AP56" s="401"/>
      <c r="AQ56" s="405"/>
      <c r="AT56" s="406"/>
      <c r="AU56" s="403"/>
      <c r="AV56" s="354"/>
      <c r="AW56" s="404"/>
      <c r="AX56" s="406"/>
      <c r="AY56" s="403"/>
      <c r="AZ56" s="404"/>
      <c r="BA56" s="137"/>
      <c r="BB56" s="7"/>
      <c r="BC56" s="48"/>
      <c r="BF56" s="411"/>
      <c r="BG56" s="408"/>
      <c r="BH56" s="137"/>
      <c r="BI56" s="412"/>
      <c r="BJ56" s="410"/>
      <c r="BK56" s="409"/>
      <c r="BL56" s="413"/>
      <c r="BM56" s="138"/>
      <c r="BO56" s="411"/>
      <c r="BP56" s="408"/>
      <c r="BQ56" s="156"/>
      <c r="BR56" s="412"/>
      <c r="BS56" s="411"/>
      <c r="BT56" s="408"/>
      <c r="BU56" s="412"/>
      <c r="BV56" s="137"/>
      <c r="BX56" s="411"/>
      <c r="BY56" s="408"/>
      <c r="BZ56" s="137"/>
      <c r="CA56" s="412"/>
      <c r="CB56" s="411"/>
      <c r="CC56" s="408"/>
      <c r="CD56" s="412"/>
      <c r="CE56" s="137"/>
      <c r="CG56" s="411"/>
      <c r="CH56" s="408"/>
      <c r="CI56" s="326"/>
      <c r="CJ56" s="412"/>
      <c r="CK56" s="410"/>
      <c r="CL56" s="409"/>
      <c r="CM56" s="413"/>
      <c r="CP56" s="411"/>
      <c r="CQ56" s="408"/>
      <c r="CR56" s="326"/>
      <c r="CS56" s="412"/>
      <c r="CT56" s="410"/>
      <c r="CU56" s="409"/>
      <c r="CV56" s="413"/>
      <c r="CY56" s="411"/>
      <c r="CZ56" s="408"/>
      <c r="DA56" s="340"/>
      <c r="DB56" s="412"/>
      <c r="DC56" s="410"/>
      <c r="DD56" s="409"/>
      <c r="DE56" s="413"/>
    </row>
    <row r="57" spans="1:109">
      <c r="A57" s="443">
        <v>215302</v>
      </c>
      <c r="B57" s="442" t="s">
        <v>170</v>
      </c>
      <c r="C57" s="441">
        <v>0</v>
      </c>
      <c r="D57" s="441">
        <v>458</v>
      </c>
      <c r="E57" s="443">
        <v>331862</v>
      </c>
      <c r="F57" s="442" t="s">
        <v>194</v>
      </c>
      <c r="G57" s="441">
        <v>10972.56</v>
      </c>
      <c r="H57" s="111"/>
      <c r="J57" s="443">
        <v>333105</v>
      </c>
      <c r="K57" s="442" t="s">
        <v>125</v>
      </c>
      <c r="L57" s="441">
        <v>0</v>
      </c>
      <c r="M57" s="441">
        <v>0.18</v>
      </c>
      <c r="N57" s="431">
        <v>331863</v>
      </c>
      <c r="O57" s="432" t="s">
        <v>195</v>
      </c>
      <c r="P57" s="434">
        <v>1858.13</v>
      </c>
      <c r="S57" s="464">
        <v>311111</v>
      </c>
      <c r="T57" s="461" t="s">
        <v>592</v>
      </c>
      <c r="U57" s="462">
        <v>0</v>
      </c>
      <c r="V57" s="462">
        <v>134.74</v>
      </c>
      <c r="W57" s="464">
        <v>112103</v>
      </c>
      <c r="X57" s="461" t="s">
        <v>79</v>
      </c>
      <c r="Y57" s="462">
        <v>841.7</v>
      </c>
      <c r="Z57" s="111"/>
      <c r="AB57" s="474">
        <v>112117</v>
      </c>
      <c r="AC57" s="472" t="s">
        <v>81</v>
      </c>
      <c r="AD57" s="473">
        <v>0</v>
      </c>
      <c r="AE57" s="473">
        <v>34126.54</v>
      </c>
      <c r="AF57" s="474">
        <v>226101</v>
      </c>
      <c r="AG57" s="472" t="s">
        <v>180</v>
      </c>
      <c r="AH57" s="473">
        <v>1666.49</v>
      </c>
      <c r="AI57" s="138"/>
      <c r="AK57" s="402"/>
      <c r="AL57" s="401"/>
      <c r="AM57" s="138"/>
      <c r="AN57" s="405"/>
      <c r="AO57" s="406"/>
      <c r="AP57" s="403"/>
      <c r="AQ57" s="404"/>
      <c r="AT57" s="402"/>
      <c r="AU57" s="401"/>
      <c r="AV57" s="355"/>
      <c r="AW57" s="405"/>
      <c r="AX57" s="402"/>
      <c r="AY57" s="401"/>
      <c r="AZ57" s="405"/>
      <c r="BA57" s="138"/>
      <c r="BB57" s="7"/>
      <c r="BC57" s="48"/>
      <c r="BF57" s="410"/>
      <c r="BG57" s="409"/>
      <c r="BH57" s="138"/>
      <c r="BI57" s="413"/>
      <c r="BJ57" s="411"/>
      <c r="BK57" s="408"/>
      <c r="BL57" s="412"/>
      <c r="BM57" s="137"/>
      <c r="BO57" s="410"/>
      <c r="BP57" s="409"/>
      <c r="BQ57" s="157"/>
      <c r="BR57" s="413"/>
      <c r="BS57" s="410"/>
      <c r="BT57" s="409"/>
      <c r="BU57" s="413"/>
      <c r="BV57" s="138"/>
      <c r="BX57" s="410"/>
      <c r="BY57" s="409"/>
      <c r="BZ57" s="161"/>
      <c r="CA57" s="413"/>
      <c r="CB57" s="410"/>
      <c r="CC57" s="409"/>
      <c r="CD57" s="413"/>
      <c r="CE57" s="138"/>
      <c r="CG57" s="410"/>
      <c r="CH57" s="409"/>
      <c r="CI57" s="328"/>
      <c r="CJ57" s="413"/>
      <c r="CK57" s="411"/>
      <c r="CL57" s="408"/>
      <c r="CM57" s="412"/>
      <c r="CP57" s="410"/>
      <c r="CQ57" s="409"/>
      <c r="CR57" s="328"/>
      <c r="CS57" s="413"/>
      <c r="CT57" s="411"/>
      <c r="CU57" s="408"/>
      <c r="CV57" s="412"/>
      <c r="CY57" s="410"/>
      <c r="CZ57" s="409"/>
      <c r="DA57" s="343"/>
      <c r="DB57" s="413"/>
      <c r="DC57" s="411"/>
      <c r="DD57" s="408"/>
      <c r="DE57" s="412"/>
    </row>
    <row r="58" spans="1:109">
      <c r="A58" s="438">
        <v>112507</v>
      </c>
      <c r="B58" s="439" t="s">
        <v>854</v>
      </c>
      <c r="C58" s="440">
        <v>0</v>
      </c>
      <c r="D58" s="440">
        <v>44.71</v>
      </c>
      <c r="E58" s="438">
        <v>331863</v>
      </c>
      <c r="F58" s="439" t="s">
        <v>195</v>
      </c>
      <c r="G58" s="440">
        <v>2776.47</v>
      </c>
      <c r="J58" s="438">
        <v>114704</v>
      </c>
      <c r="K58" s="439" t="s">
        <v>102</v>
      </c>
      <c r="L58" s="440">
        <v>0</v>
      </c>
      <c r="M58" s="440">
        <v>1362</v>
      </c>
      <c r="N58" s="430">
        <v>331864</v>
      </c>
      <c r="O58" s="433" t="s">
        <v>196</v>
      </c>
      <c r="P58" s="435">
        <v>11354.31</v>
      </c>
      <c r="Q58" s="111"/>
      <c r="S58" s="465">
        <v>313110</v>
      </c>
      <c r="T58" s="458" t="s">
        <v>120</v>
      </c>
      <c r="U58" s="459">
        <v>0</v>
      </c>
      <c r="V58" s="459">
        <v>242276.65</v>
      </c>
      <c r="W58" s="465">
        <v>112108</v>
      </c>
      <c r="X58" s="458" t="s">
        <v>598</v>
      </c>
      <c r="Y58" s="459">
        <v>1697.62</v>
      </c>
      <c r="AB58" s="469">
        <v>114798</v>
      </c>
      <c r="AC58" s="470" t="s">
        <v>104</v>
      </c>
      <c r="AD58" s="471">
        <v>0</v>
      </c>
      <c r="AE58" s="471">
        <v>13066.68</v>
      </c>
      <c r="AF58" s="469">
        <v>214197</v>
      </c>
      <c r="AG58" s="470" t="s">
        <v>160</v>
      </c>
      <c r="AH58" s="471">
        <v>150329.96</v>
      </c>
      <c r="AI58" s="137"/>
      <c r="AK58" s="406"/>
      <c r="AL58" s="403"/>
      <c r="AM58" s="137"/>
      <c r="AN58" s="404"/>
      <c r="AO58" s="402"/>
      <c r="AP58" s="401"/>
      <c r="AQ58" s="405"/>
      <c r="AT58" s="406"/>
      <c r="AU58" s="403"/>
      <c r="AV58" s="354"/>
      <c r="AW58" s="404"/>
      <c r="AX58" s="406"/>
      <c r="AY58" s="403"/>
      <c r="AZ58" s="404"/>
      <c r="BA58" s="137"/>
      <c r="BB58" s="7"/>
      <c r="BC58" s="48"/>
      <c r="BF58" s="411"/>
      <c r="BG58" s="408"/>
      <c r="BI58" s="412"/>
      <c r="BJ58" s="410"/>
      <c r="BK58" s="409"/>
      <c r="BL58" s="413"/>
      <c r="BM58" s="138"/>
      <c r="BO58" s="411"/>
      <c r="BP58" s="408"/>
      <c r="BQ58" s="156"/>
      <c r="BR58" s="412"/>
      <c r="BS58" s="411"/>
      <c r="BT58" s="408"/>
      <c r="BU58" s="412"/>
      <c r="BV58" s="137"/>
      <c r="BX58" s="411"/>
      <c r="BY58" s="408"/>
      <c r="BZ58" s="137"/>
      <c r="CA58" s="412"/>
      <c r="CB58" s="411"/>
      <c r="CC58" s="408"/>
      <c r="CD58" s="412"/>
      <c r="CE58" s="137"/>
      <c r="CG58" s="411"/>
      <c r="CH58" s="408"/>
      <c r="CI58" s="326"/>
      <c r="CJ58" s="412"/>
      <c r="CK58" s="410"/>
      <c r="CL58" s="409"/>
      <c r="CM58" s="413"/>
      <c r="CP58" s="411"/>
      <c r="CQ58" s="408"/>
      <c r="CR58" s="326"/>
      <c r="CS58" s="412"/>
      <c r="CT58" s="410"/>
      <c r="CU58" s="409"/>
      <c r="CV58" s="413"/>
      <c r="CY58" s="411"/>
      <c r="CZ58" s="408"/>
      <c r="DA58" s="340"/>
      <c r="DB58" s="412"/>
      <c r="DC58" s="410"/>
      <c r="DD58" s="409"/>
      <c r="DE58" s="413"/>
    </row>
    <row r="59" spans="1:109">
      <c r="A59" s="443">
        <v>114704</v>
      </c>
      <c r="B59" s="442" t="s">
        <v>102</v>
      </c>
      <c r="C59" s="441">
        <v>0</v>
      </c>
      <c r="D59" s="441">
        <v>571.23</v>
      </c>
      <c r="E59" s="443">
        <v>331864</v>
      </c>
      <c r="F59" s="442" t="s">
        <v>196</v>
      </c>
      <c r="G59" s="441">
        <v>19714.29</v>
      </c>
      <c r="H59" s="111"/>
      <c r="J59" s="443">
        <v>213211</v>
      </c>
      <c r="K59" s="442" t="s">
        <v>114</v>
      </c>
      <c r="L59" s="441">
        <v>0</v>
      </c>
      <c r="M59" s="441">
        <v>185752.28</v>
      </c>
      <c r="N59" s="431">
        <v>331867</v>
      </c>
      <c r="O59" s="432" t="s">
        <v>198</v>
      </c>
      <c r="P59" s="434">
        <v>5138.67</v>
      </c>
      <c r="S59" s="464">
        <v>112502</v>
      </c>
      <c r="T59" s="461" t="s">
        <v>93</v>
      </c>
      <c r="U59" s="462">
        <v>0</v>
      </c>
      <c r="V59" s="462">
        <v>37918.15</v>
      </c>
      <c r="W59" s="464">
        <v>112507</v>
      </c>
      <c r="X59" s="461" t="s">
        <v>854</v>
      </c>
      <c r="Y59" s="462">
        <v>174.97</v>
      </c>
      <c r="Z59" s="111"/>
      <c r="AB59" s="474">
        <v>213203</v>
      </c>
      <c r="AC59" s="472" t="s">
        <v>473</v>
      </c>
      <c r="AD59" s="473">
        <v>0</v>
      </c>
      <c r="AE59" s="473">
        <v>61330.7</v>
      </c>
      <c r="AF59" s="474">
        <v>215108</v>
      </c>
      <c r="AG59" s="472" t="s">
        <v>401</v>
      </c>
      <c r="AH59" s="473">
        <v>77000</v>
      </c>
      <c r="AI59" s="138"/>
      <c r="AK59" s="402"/>
      <c r="AL59" s="401"/>
      <c r="AM59" s="138"/>
      <c r="AN59" s="405"/>
      <c r="AO59" s="406"/>
      <c r="AP59" s="403"/>
      <c r="AQ59" s="404"/>
      <c r="AT59" s="402"/>
      <c r="AU59" s="401"/>
      <c r="AV59" s="355"/>
      <c r="AW59" s="405"/>
      <c r="AX59" s="402"/>
      <c r="AY59" s="401"/>
      <c r="AZ59" s="405"/>
      <c r="BA59" s="138"/>
      <c r="BB59" s="7"/>
      <c r="BC59" s="48"/>
      <c r="BF59" s="410"/>
      <c r="BG59" s="409"/>
      <c r="BI59" s="413"/>
      <c r="BJ59" s="411"/>
      <c r="BK59" s="408"/>
      <c r="BL59" s="412"/>
      <c r="BM59" s="137"/>
      <c r="BO59" s="410"/>
      <c r="BP59" s="409"/>
      <c r="BQ59" s="157"/>
      <c r="BR59" s="413"/>
      <c r="BS59" s="410"/>
      <c r="BT59" s="409"/>
      <c r="BU59" s="413"/>
      <c r="BV59" s="138"/>
      <c r="BX59" s="410"/>
      <c r="BY59" s="409"/>
      <c r="BZ59" s="138"/>
      <c r="CA59" s="413"/>
      <c r="CB59" s="410"/>
      <c r="CC59" s="409"/>
      <c r="CD59" s="413"/>
      <c r="CE59" s="138"/>
      <c r="CG59" s="410"/>
      <c r="CH59" s="409"/>
      <c r="CI59" s="328"/>
      <c r="CJ59" s="413"/>
      <c r="CK59" s="411"/>
      <c r="CL59" s="408"/>
      <c r="CM59" s="412"/>
      <c r="CP59" s="410"/>
      <c r="CQ59" s="409"/>
      <c r="CR59" s="328"/>
      <c r="CS59" s="413"/>
      <c r="CT59" s="411"/>
      <c r="CU59" s="408"/>
      <c r="CV59" s="412"/>
      <c r="CY59" s="410"/>
      <c r="CZ59" s="409"/>
      <c r="DA59" s="343"/>
      <c r="DB59" s="413"/>
      <c r="DC59" s="411"/>
      <c r="DD59" s="408"/>
      <c r="DE59" s="412"/>
    </row>
    <row r="60" spans="1:109">
      <c r="A60" s="438">
        <v>213211</v>
      </c>
      <c r="B60" s="439" t="s">
        <v>114</v>
      </c>
      <c r="C60" s="440">
        <v>0</v>
      </c>
      <c r="D60" s="440">
        <v>361216.02</v>
      </c>
      <c r="E60" s="438">
        <v>331867</v>
      </c>
      <c r="F60" s="439" t="s">
        <v>198</v>
      </c>
      <c r="G60" s="440">
        <v>8905.7900000000009</v>
      </c>
      <c r="J60" s="438">
        <v>213212</v>
      </c>
      <c r="K60" s="439" t="s">
        <v>115</v>
      </c>
      <c r="L60" s="440">
        <v>0</v>
      </c>
      <c r="M60" s="440">
        <v>5877.34</v>
      </c>
      <c r="N60" s="430">
        <v>331874</v>
      </c>
      <c r="O60" s="433" t="s">
        <v>201</v>
      </c>
      <c r="P60" s="435">
        <v>97.1</v>
      </c>
      <c r="Q60" s="111"/>
      <c r="S60" s="465">
        <v>291601</v>
      </c>
      <c r="T60" s="458" t="s">
        <v>478</v>
      </c>
      <c r="U60" s="459">
        <v>0</v>
      </c>
      <c r="V60" s="459">
        <v>5000</v>
      </c>
      <c r="W60" s="465">
        <v>212199</v>
      </c>
      <c r="X60" s="458" t="s">
        <v>140</v>
      </c>
      <c r="Y60" s="459">
        <v>1299897.55</v>
      </c>
      <c r="AB60" s="469">
        <v>213206</v>
      </c>
      <c r="AC60" s="470" t="s">
        <v>112</v>
      </c>
      <c r="AD60" s="471">
        <v>0</v>
      </c>
      <c r="AE60" s="471">
        <v>29080.51</v>
      </c>
      <c r="AF60" s="469">
        <v>215302</v>
      </c>
      <c r="AG60" s="470" t="s">
        <v>170</v>
      </c>
      <c r="AH60" s="471">
        <v>216.79</v>
      </c>
      <c r="AI60" s="137"/>
      <c r="AK60" s="406"/>
      <c r="AL60" s="403"/>
      <c r="AM60" s="137"/>
      <c r="AN60" s="404"/>
      <c r="AO60" s="402"/>
      <c r="AP60" s="401"/>
      <c r="AQ60" s="405"/>
      <c r="AT60" s="406"/>
      <c r="AU60" s="403"/>
      <c r="AV60" s="354"/>
      <c r="AW60" s="404"/>
      <c r="AX60" s="406"/>
      <c r="AY60" s="403"/>
      <c r="AZ60" s="404"/>
      <c r="BA60" s="137"/>
      <c r="BB60" s="7"/>
      <c r="BC60" s="48"/>
      <c r="BF60" s="411"/>
      <c r="BG60" s="408"/>
      <c r="BI60" s="412"/>
      <c r="BJ60" s="410"/>
      <c r="BK60" s="409"/>
      <c r="BL60" s="413"/>
      <c r="BM60" s="138"/>
      <c r="BO60" s="411"/>
      <c r="BP60" s="408"/>
      <c r="BQ60" s="156"/>
      <c r="BR60" s="412"/>
      <c r="BS60" s="411"/>
      <c r="BT60" s="408"/>
      <c r="BU60" s="412"/>
      <c r="BV60" s="137"/>
      <c r="BX60" s="411"/>
      <c r="BY60" s="408"/>
      <c r="BZ60" s="137"/>
      <c r="CA60" s="412"/>
      <c r="CB60" s="411"/>
      <c r="CC60" s="408"/>
      <c r="CD60" s="412"/>
      <c r="CE60" s="137"/>
      <c r="CG60" s="411"/>
      <c r="CH60" s="408"/>
      <c r="CI60" s="326"/>
      <c r="CJ60" s="412"/>
      <c r="CK60" s="410"/>
      <c r="CL60" s="409"/>
      <c r="CM60" s="413"/>
      <c r="CP60" s="411"/>
      <c r="CQ60" s="408"/>
      <c r="CR60" s="326"/>
      <c r="CS60" s="412"/>
      <c r="CT60" s="410"/>
      <c r="CU60" s="409"/>
      <c r="CV60" s="413"/>
      <c r="CY60" s="411"/>
      <c r="CZ60" s="408"/>
      <c r="DA60" s="340"/>
      <c r="DB60" s="412"/>
      <c r="DC60" s="410"/>
      <c r="DD60" s="409"/>
      <c r="DE60" s="413"/>
    </row>
    <row r="61" spans="1:109">
      <c r="A61" s="443">
        <v>215311</v>
      </c>
      <c r="B61" s="442" t="s">
        <v>390</v>
      </c>
      <c r="C61" s="441">
        <v>0</v>
      </c>
      <c r="D61" s="441">
        <v>1302.52</v>
      </c>
      <c r="E61" s="443">
        <v>333104</v>
      </c>
      <c r="F61" s="442" t="s">
        <v>206</v>
      </c>
      <c r="G61" s="441">
        <v>5251.52</v>
      </c>
      <c r="H61" s="111"/>
      <c r="J61" s="443">
        <v>112303</v>
      </c>
      <c r="K61" s="442" t="s">
        <v>85</v>
      </c>
      <c r="L61" s="441">
        <v>0</v>
      </c>
      <c r="M61" s="441">
        <v>512.72</v>
      </c>
      <c r="N61" s="431">
        <v>331875</v>
      </c>
      <c r="O61" s="432" t="s">
        <v>202</v>
      </c>
      <c r="P61" s="434">
        <v>9.9600000000000009</v>
      </c>
      <c r="S61" s="464">
        <v>117101</v>
      </c>
      <c r="T61" s="461" t="s">
        <v>486</v>
      </c>
      <c r="U61" s="462">
        <v>0</v>
      </c>
      <c r="V61" s="462">
        <v>5647.9</v>
      </c>
      <c r="W61" s="464">
        <v>215302</v>
      </c>
      <c r="X61" s="461" t="s">
        <v>170</v>
      </c>
      <c r="Y61" s="462">
        <v>234.92</v>
      </c>
      <c r="Z61" s="111"/>
      <c r="AB61" s="474">
        <v>213406</v>
      </c>
      <c r="AC61" s="472" t="s">
        <v>116</v>
      </c>
      <c r="AD61" s="473">
        <v>0</v>
      </c>
      <c r="AE61" s="473">
        <v>32504.69</v>
      </c>
      <c r="AF61" s="474">
        <v>215332</v>
      </c>
      <c r="AG61" s="472" t="s">
        <v>173</v>
      </c>
      <c r="AH61" s="473">
        <v>927.46</v>
      </c>
      <c r="AI61" s="138"/>
      <c r="AK61" s="402"/>
      <c r="AL61" s="401"/>
      <c r="AM61" s="138"/>
      <c r="AN61" s="405"/>
      <c r="AO61" s="406"/>
      <c r="AP61" s="403"/>
      <c r="AQ61" s="404"/>
      <c r="AT61" s="402"/>
      <c r="AU61" s="401"/>
      <c r="AV61" s="355"/>
      <c r="AW61" s="405"/>
      <c r="AX61" s="402"/>
      <c r="AY61" s="401"/>
      <c r="AZ61" s="405"/>
      <c r="BA61" s="138"/>
      <c r="BB61" s="7"/>
      <c r="BC61" s="48"/>
      <c r="BF61" s="410"/>
      <c r="BG61" s="409"/>
      <c r="BI61" s="413"/>
      <c r="BJ61" s="411"/>
      <c r="BK61" s="408"/>
      <c r="BL61" s="412"/>
      <c r="BM61" s="137"/>
      <c r="BO61" s="410"/>
      <c r="BP61" s="409"/>
      <c r="BQ61" s="157"/>
      <c r="BR61" s="413"/>
      <c r="BS61" s="410"/>
      <c r="BT61" s="409"/>
      <c r="BU61" s="413"/>
      <c r="BV61" s="138"/>
      <c r="BX61" s="410"/>
      <c r="BY61" s="409"/>
      <c r="BZ61" s="138"/>
      <c r="CA61" s="413"/>
      <c r="CB61" s="410"/>
      <c r="CC61" s="409"/>
      <c r="CD61" s="413"/>
      <c r="CE61" s="138"/>
      <c r="CG61" s="410"/>
      <c r="CH61" s="409"/>
      <c r="CI61" s="328"/>
      <c r="CJ61" s="413"/>
      <c r="CK61" s="411"/>
      <c r="CL61" s="408"/>
      <c r="CM61" s="412"/>
      <c r="CP61" s="410"/>
      <c r="CQ61" s="409"/>
      <c r="CR61" s="328"/>
      <c r="CS61" s="413"/>
      <c r="CT61" s="411"/>
      <c r="CU61" s="408"/>
      <c r="CV61" s="412"/>
      <c r="CY61" s="410"/>
      <c r="CZ61" s="409"/>
      <c r="DA61" s="343"/>
      <c r="DB61" s="413"/>
      <c r="DC61" s="411"/>
      <c r="DD61" s="408"/>
      <c r="DE61" s="412"/>
    </row>
    <row r="62" spans="1:109">
      <c r="A62" s="438">
        <v>313111</v>
      </c>
      <c r="B62" s="439" t="s">
        <v>121</v>
      </c>
      <c r="C62" s="440">
        <v>0</v>
      </c>
      <c r="D62" s="440">
        <v>203.14</v>
      </c>
      <c r="E62" s="438">
        <v>333105</v>
      </c>
      <c r="F62" s="439" t="s">
        <v>125</v>
      </c>
      <c r="G62" s="440">
        <v>183765.08</v>
      </c>
      <c r="J62" s="438">
        <v>213205</v>
      </c>
      <c r="K62" s="439" t="s">
        <v>111</v>
      </c>
      <c r="L62" s="440">
        <v>0</v>
      </c>
      <c r="M62" s="440">
        <v>17229.48</v>
      </c>
      <c r="N62" s="430">
        <v>333107</v>
      </c>
      <c r="O62" s="433" t="s">
        <v>207</v>
      </c>
      <c r="P62" s="435">
        <v>1162801.49</v>
      </c>
      <c r="Q62" s="111"/>
      <c r="S62" s="465">
        <v>213203</v>
      </c>
      <c r="T62" s="458" t="s">
        <v>473</v>
      </c>
      <c r="U62" s="459">
        <v>0</v>
      </c>
      <c r="V62" s="459">
        <v>56343.85</v>
      </c>
      <c r="W62" s="465">
        <v>215331</v>
      </c>
      <c r="X62" s="458" t="s">
        <v>172</v>
      </c>
      <c r="Y62" s="459">
        <v>285.42</v>
      </c>
      <c r="AB62" s="469">
        <v>313110</v>
      </c>
      <c r="AC62" s="470" t="s">
        <v>120</v>
      </c>
      <c r="AD62" s="471">
        <v>0</v>
      </c>
      <c r="AE62" s="471">
        <v>118.02</v>
      </c>
      <c r="AF62" s="469">
        <v>215393</v>
      </c>
      <c r="AG62" s="470" t="s">
        <v>535</v>
      </c>
      <c r="AH62" s="471">
        <v>876920.2</v>
      </c>
      <c r="AI62" s="137"/>
      <c r="AK62" s="406"/>
      <c r="AL62" s="403"/>
      <c r="AM62" s="137"/>
      <c r="AN62" s="404"/>
      <c r="AO62" s="402"/>
      <c r="AP62" s="401"/>
      <c r="AQ62" s="405"/>
      <c r="AT62" s="406"/>
      <c r="AU62" s="403"/>
      <c r="AV62" s="354"/>
      <c r="AW62" s="404"/>
      <c r="AX62" s="406"/>
      <c r="AY62" s="403"/>
      <c r="AZ62" s="404"/>
      <c r="BA62" s="137"/>
      <c r="BB62" s="7"/>
      <c r="BC62" s="48"/>
      <c r="BF62" s="411"/>
      <c r="BG62" s="408"/>
      <c r="BI62" s="412"/>
      <c r="BJ62" s="410"/>
      <c r="BK62" s="409"/>
      <c r="BL62" s="413"/>
      <c r="BM62" s="138"/>
      <c r="BO62" s="411"/>
      <c r="BP62" s="408"/>
      <c r="BQ62" s="156"/>
      <c r="BR62" s="412"/>
      <c r="BS62" s="411"/>
      <c r="BT62" s="408"/>
      <c r="BU62" s="412"/>
      <c r="BV62" s="137"/>
      <c r="BX62" s="411"/>
      <c r="BY62" s="408"/>
      <c r="BZ62" s="137"/>
      <c r="CA62" s="412"/>
      <c r="CB62" s="411"/>
      <c r="CC62" s="408"/>
      <c r="CD62" s="412"/>
      <c r="CE62" s="137"/>
      <c r="CG62" s="411"/>
      <c r="CH62" s="408"/>
      <c r="CI62" s="326"/>
      <c r="CJ62" s="412"/>
      <c r="CK62" s="410"/>
      <c r="CL62" s="409"/>
      <c r="CM62" s="413"/>
      <c r="CP62" s="411"/>
      <c r="CQ62" s="408"/>
      <c r="CR62" s="326"/>
      <c r="CS62" s="412"/>
      <c r="CT62" s="410"/>
      <c r="CU62" s="409"/>
      <c r="CV62" s="413"/>
      <c r="CY62" s="411"/>
      <c r="CZ62" s="408"/>
      <c r="DB62" s="412"/>
      <c r="DC62" s="410"/>
      <c r="DD62" s="409"/>
      <c r="DE62" s="413"/>
    </row>
    <row r="63" spans="1:109">
      <c r="A63" s="443">
        <v>313291</v>
      </c>
      <c r="B63" s="442" t="s">
        <v>123</v>
      </c>
      <c r="C63" s="441">
        <v>0</v>
      </c>
      <c r="D63" s="441">
        <v>0.02</v>
      </c>
      <c r="E63" s="443">
        <v>333108</v>
      </c>
      <c r="F63" s="442" t="s">
        <v>208</v>
      </c>
      <c r="G63" s="441">
        <v>20337.21</v>
      </c>
      <c r="H63" s="111"/>
      <c r="J63" s="443">
        <v>313111</v>
      </c>
      <c r="K63" s="442" t="s">
        <v>121</v>
      </c>
      <c r="L63" s="441">
        <v>0</v>
      </c>
      <c r="M63" s="441">
        <v>26.8</v>
      </c>
      <c r="N63" s="431">
        <v>112105</v>
      </c>
      <c r="O63" s="432" t="s">
        <v>594</v>
      </c>
      <c r="P63" s="434">
        <v>662.74</v>
      </c>
      <c r="S63" s="464">
        <v>112512</v>
      </c>
      <c r="T63" s="461" t="s">
        <v>99</v>
      </c>
      <c r="U63" s="462">
        <v>0</v>
      </c>
      <c r="V63" s="462">
        <v>7406.39</v>
      </c>
      <c r="W63" s="464">
        <v>215332</v>
      </c>
      <c r="X63" s="461" t="s">
        <v>173</v>
      </c>
      <c r="Y63" s="462">
        <v>1072.81</v>
      </c>
      <c r="Z63" s="111"/>
      <c r="AB63" s="474">
        <v>112303</v>
      </c>
      <c r="AC63" s="472" t="s">
        <v>85</v>
      </c>
      <c r="AD63" s="473">
        <v>0</v>
      </c>
      <c r="AE63" s="473">
        <v>352.26</v>
      </c>
      <c r="AF63" s="474">
        <v>331864</v>
      </c>
      <c r="AG63" s="472" t="s">
        <v>196</v>
      </c>
      <c r="AH63" s="473">
        <v>10030.94</v>
      </c>
      <c r="AI63" s="138"/>
      <c r="AK63" s="402"/>
      <c r="AL63" s="401"/>
      <c r="AM63" s="138"/>
      <c r="AN63" s="405"/>
      <c r="AO63" s="406"/>
      <c r="AP63" s="403"/>
      <c r="AQ63" s="404"/>
      <c r="AT63" s="402"/>
      <c r="AU63" s="401"/>
      <c r="AV63" s="355"/>
      <c r="AW63" s="405"/>
      <c r="AX63" s="402"/>
      <c r="AY63" s="401"/>
      <c r="AZ63" s="405"/>
      <c r="BA63" s="138"/>
      <c r="BB63" s="7"/>
      <c r="BC63" s="48"/>
      <c r="BF63" s="410"/>
      <c r="BG63" s="409"/>
      <c r="BI63" s="413"/>
      <c r="BJ63" s="411"/>
      <c r="BK63" s="408"/>
      <c r="BL63" s="412"/>
      <c r="BM63" s="137"/>
      <c r="BO63" s="410"/>
      <c r="BP63" s="409"/>
      <c r="BR63" s="413"/>
      <c r="BS63" s="410"/>
      <c r="BT63" s="409"/>
      <c r="BU63" s="413"/>
      <c r="BV63" s="138"/>
      <c r="BX63" s="410"/>
      <c r="BY63" s="409"/>
      <c r="BZ63" s="138"/>
      <c r="CA63" s="413"/>
      <c r="CB63" s="410"/>
      <c r="CC63" s="409"/>
      <c r="CD63" s="413"/>
      <c r="CE63" s="138"/>
      <c r="CG63" s="410"/>
      <c r="CH63" s="409"/>
      <c r="CI63" s="328"/>
      <c r="CJ63" s="413"/>
      <c r="CK63" s="411"/>
      <c r="CL63" s="408"/>
      <c r="CM63" s="412"/>
      <c r="CP63" s="410"/>
      <c r="CQ63" s="409"/>
      <c r="CR63" s="328"/>
      <c r="CS63" s="413"/>
      <c r="CT63" s="411"/>
      <c r="CU63" s="408"/>
      <c r="CV63" s="412"/>
      <c r="CY63" s="410"/>
      <c r="CZ63" s="409"/>
      <c r="DB63" s="413"/>
      <c r="DC63" s="411"/>
      <c r="DD63" s="408"/>
      <c r="DE63" s="412"/>
    </row>
    <row r="64" spans="1:109">
      <c r="A64" s="438">
        <v>112303</v>
      </c>
      <c r="B64" s="439" t="s">
        <v>85</v>
      </c>
      <c r="C64" s="440">
        <v>0</v>
      </c>
      <c r="D64" s="440">
        <v>62.7</v>
      </c>
      <c r="E64" s="438">
        <v>333111</v>
      </c>
      <c r="F64" s="439" t="s">
        <v>126</v>
      </c>
      <c r="G64" s="440">
        <v>135.56</v>
      </c>
      <c r="J64" s="438">
        <v>213210</v>
      </c>
      <c r="K64" s="439" t="s">
        <v>113</v>
      </c>
      <c r="L64" s="440">
        <v>0</v>
      </c>
      <c r="M64" s="440">
        <v>20903.25</v>
      </c>
      <c r="N64" s="430">
        <v>112110</v>
      </c>
      <c r="O64" s="433" t="s">
        <v>595</v>
      </c>
      <c r="P64" s="435">
        <v>941.47</v>
      </c>
      <c r="Q64" s="111"/>
      <c r="S64" s="465">
        <v>114704</v>
      </c>
      <c r="T64" s="458" t="s">
        <v>102</v>
      </c>
      <c r="U64" s="459">
        <v>0</v>
      </c>
      <c r="V64" s="459">
        <v>337.67</v>
      </c>
      <c r="W64" s="465">
        <v>331814</v>
      </c>
      <c r="X64" s="458" t="s">
        <v>183</v>
      </c>
      <c r="Y64" s="459">
        <v>11448.04</v>
      </c>
      <c r="AB64" s="469">
        <v>213211</v>
      </c>
      <c r="AC64" s="470" t="s">
        <v>114</v>
      </c>
      <c r="AD64" s="471">
        <v>0</v>
      </c>
      <c r="AE64" s="471">
        <v>231783.1</v>
      </c>
      <c r="AF64" s="469">
        <v>333105</v>
      </c>
      <c r="AG64" s="470" t="s">
        <v>125</v>
      </c>
      <c r="AH64" s="471">
        <v>232184.73</v>
      </c>
      <c r="AI64" s="137"/>
      <c r="AK64" s="406"/>
      <c r="AL64" s="403"/>
      <c r="AM64" s="137"/>
      <c r="AN64" s="404"/>
      <c r="AO64" s="402"/>
      <c r="AP64" s="401"/>
      <c r="AQ64" s="405"/>
      <c r="AT64" s="406"/>
      <c r="AU64" s="403"/>
      <c r="AV64" s="354"/>
      <c r="AW64" s="404"/>
      <c r="AX64" s="406"/>
      <c r="AY64" s="403"/>
      <c r="AZ64" s="404"/>
      <c r="BA64" s="137"/>
      <c r="BB64" s="7"/>
      <c r="BC64" s="48"/>
      <c r="BF64" s="411"/>
      <c r="BG64" s="408"/>
      <c r="BI64" s="412"/>
      <c r="BJ64" s="410"/>
      <c r="BK64" s="409"/>
      <c r="BL64" s="413"/>
      <c r="BM64" s="138"/>
      <c r="BO64" s="411"/>
      <c r="BP64" s="408"/>
      <c r="BR64" s="412"/>
      <c r="BS64" s="411"/>
      <c r="BT64" s="408"/>
      <c r="BU64" s="412"/>
      <c r="BV64" s="137"/>
      <c r="BX64" s="411"/>
      <c r="BY64" s="408"/>
      <c r="BZ64" s="137"/>
      <c r="CA64" s="412"/>
      <c r="CB64" s="411"/>
      <c r="CC64" s="408"/>
      <c r="CD64" s="412"/>
      <c r="CE64" s="137"/>
      <c r="CG64" s="411"/>
      <c r="CH64" s="408"/>
      <c r="CI64" s="326"/>
      <c r="CJ64" s="412"/>
      <c r="CK64" s="410"/>
      <c r="CL64" s="409"/>
      <c r="CM64" s="413"/>
      <c r="CP64" s="411"/>
      <c r="CQ64" s="408"/>
      <c r="CR64" s="326"/>
      <c r="CS64" s="412"/>
      <c r="CT64" s="410"/>
      <c r="CU64" s="409"/>
      <c r="CV64" s="413"/>
      <c r="CY64" s="411"/>
      <c r="CZ64" s="408"/>
      <c r="DB64" s="412"/>
      <c r="DC64" s="410"/>
      <c r="DD64" s="409"/>
      <c r="DE64" s="413"/>
    </row>
    <row r="65" spans="1:109">
      <c r="A65" s="443">
        <v>213203</v>
      </c>
      <c r="B65" s="442" t="s">
        <v>473</v>
      </c>
      <c r="C65" s="441">
        <v>0</v>
      </c>
      <c r="D65" s="441">
        <v>60269.72</v>
      </c>
      <c r="E65" s="443">
        <v>213105</v>
      </c>
      <c r="F65" s="442" t="s">
        <v>144</v>
      </c>
      <c r="G65" s="441">
        <v>195051.38</v>
      </c>
      <c r="H65" s="111"/>
      <c r="J65" s="443">
        <v>311107</v>
      </c>
      <c r="K65" s="442" t="s">
        <v>591</v>
      </c>
      <c r="L65" s="441">
        <v>0</v>
      </c>
      <c r="M65" s="441">
        <v>508.76</v>
      </c>
      <c r="N65" s="431">
        <v>112112</v>
      </c>
      <c r="O65" s="432" t="s">
        <v>80</v>
      </c>
      <c r="P65" s="434">
        <v>1208.56</v>
      </c>
      <c r="S65" s="464">
        <v>114703</v>
      </c>
      <c r="T65" s="461" t="s">
        <v>540</v>
      </c>
      <c r="U65" s="462">
        <v>0</v>
      </c>
      <c r="V65" s="462">
        <v>503.91</v>
      </c>
      <c r="W65" s="464">
        <v>331849</v>
      </c>
      <c r="X65" s="461" t="s">
        <v>124</v>
      </c>
      <c r="Y65" s="462">
        <v>20475.23</v>
      </c>
      <c r="Z65" s="111"/>
      <c r="AB65" s="474">
        <v>112101</v>
      </c>
      <c r="AC65" s="472" t="s">
        <v>77</v>
      </c>
      <c r="AD65" s="473">
        <v>0</v>
      </c>
      <c r="AE65" s="473">
        <v>30798.27</v>
      </c>
      <c r="AF65" s="474">
        <v>333111</v>
      </c>
      <c r="AG65" s="472" t="s">
        <v>126</v>
      </c>
      <c r="AH65" s="473">
        <v>71.45</v>
      </c>
      <c r="AI65" s="138"/>
      <c r="AK65" s="402"/>
      <c r="AL65" s="401"/>
      <c r="AN65" s="405"/>
      <c r="AO65" s="406"/>
      <c r="AP65" s="403"/>
      <c r="AQ65" s="404"/>
      <c r="AT65" s="402"/>
      <c r="AU65" s="401"/>
      <c r="AW65" s="405"/>
      <c r="AX65" s="402"/>
      <c r="AY65" s="401"/>
      <c r="AZ65" s="405"/>
      <c r="BA65" s="138"/>
      <c r="BB65" s="7"/>
      <c r="BC65" s="48"/>
      <c r="BF65" s="410"/>
      <c r="BG65" s="409"/>
      <c r="BI65" s="413"/>
      <c r="BJ65" s="411"/>
      <c r="BK65" s="408"/>
      <c r="BL65" s="412"/>
      <c r="BM65" s="137"/>
      <c r="BO65" s="410"/>
      <c r="BP65" s="409"/>
      <c r="BR65" s="413"/>
      <c r="BS65" s="410"/>
      <c r="BT65" s="409"/>
      <c r="BU65" s="413"/>
      <c r="BV65" s="138"/>
      <c r="BX65" s="410"/>
      <c r="BY65" s="409"/>
      <c r="CA65" s="413"/>
      <c r="CB65" s="410"/>
      <c r="CC65" s="409"/>
      <c r="CD65" s="413"/>
      <c r="CE65" s="138"/>
      <c r="CG65" s="410"/>
      <c r="CH65" s="409"/>
      <c r="CJ65" s="413"/>
      <c r="CK65" s="411"/>
      <c r="CL65" s="408"/>
      <c r="CM65" s="412"/>
      <c r="CP65" s="410"/>
      <c r="CQ65" s="409"/>
      <c r="CR65" s="328"/>
      <c r="CS65" s="413"/>
      <c r="CT65" s="411"/>
      <c r="CU65" s="408"/>
      <c r="CV65" s="412"/>
      <c r="CY65" s="410"/>
      <c r="CZ65" s="409"/>
      <c r="DB65" s="413"/>
      <c r="DC65" s="411"/>
      <c r="DD65" s="408"/>
      <c r="DE65" s="412"/>
    </row>
    <row r="66" spans="1:109">
      <c r="A66" s="438">
        <v>223211</v>
      </c>
      <c r="B66" s="439" t="s">
        <v>853</v>
      </c>
      <c r="C66" s="440">
        <v>0</v>
      </c>
      <c r="D66" s="440">
        <v>44842.66</v>
      </c>
      <c r="E66" s="438">
        <v>213112</v>
      </c>
      <c r="F66" s="439" t="s">
        <v>147</v>
      </c>
      <c r="G66" s="440">
        <v>152102.49</v>
      </c>
      <c r="J66" s="438">
        <v>213202</v>
      </c>
      <c r="K66" s="439" t="s">
        <v>110</v>
      </c>
      <c r="L66" s="440">
        <v>0</v>
      </c>
      <c r="M66" s="440">
        <v>7050</v>
      </c>
      <c r="N66" s="430">
        <v>112507</v>
      </c>
      <c r="O66" s="433" t="s">
        <v>854</v>
      </c>
      <c r="P66" s="435">
        <v>32.07</v>
      </c>
      <c r="Q66" s="111"/>
      <c r="S66" s="465">
        <v>114798</v>
      </c>
      <c r="T66" s="458" t="s">
        <v>104</v>
      </c>
      <c r="U66" s="459">
        <v>0</v>
      </c>
      <c r="V66" s="459">
        <v>5636.08</v>
      </c>
      <c r="W66" s="465">
        <v>331851</v>
      </c>
      <c r="X66" s="458" t="s">
        <v>186</v>
      </c>
      <c r="Y66" s="459">
        <v>11558.46</v>
      </c>
      <c r="AB66" s="469">
        <v>112513</v>
      </c>
      <c r="AC66" s="470" t="s">
        <v>100</v>
      </c>
      <c r="AD66" s="471">
        <v>0</v>
      </c>
      <c r="AE66" s="471">
        <v>103.71</v>
      </c>
      <c r="AF66" s="469">
        <v>112512</v>
      </c>
      <c r="AG66" s="470" t="s">
        <v>99</v>
      </c>
      <c r="AH66" s="471">
        <v>60.54</v>
      </c>
      <c r="AI66" s="137"/>
      <c r="AK66" s="406"/>
      <c r="AL66" s="403"/>
      <c r="AN66" s="404"/>
      <c r="AO66" s="402"/>
      <c r="AP66" s="401"/>
      <c r="AQ66" s="405"/>
      <c r="AT66" s="406"/>
      <c r="AU66" s="403"/>
      <c r="AW66" s="404"/>
      <c r="AX66" s="406"/>
      <c r="AY66" s="403"/>
      <c r="AZ66" s="404"/>
      <c r="BA66" s="141"/>
      <c r="BB66" s="7"/>
      <c r="BC66" s="48"/>
      <c r="BF66" s="411"/>
      <c r="BG66" s="408"/>
      <c r="BI66" s="412"/>
      <c r="BJ66" s="410"/>
      <c r="BK66" s="409"/>
      <c r="BL66" s="413"/>
      <c r="BM66" s="138"/>
      <c r="BO66" s="411"/>
      <c r="BP66" s="408"/>
      <c r="BR66" s="412"/>
      <c r="BS66" s="411"/>
      <c r="BT66" s="408"/>
      <c r="BU66" s="412"/>
      <c r="BV66" s="137"/>
      <c r="BX66" s="411"/>
      <c r="BY66" s="408"/>
      <c r="CA66" s="412"/>
      <c r="CB66" s="411"/>
      <c r="CC66" s="408"/>
      <c r="CD66" s="412"/>
      <c r="CE66" s="137"/>
      <c r="CG66" s="411"/>
      <c r="CH66" s="408"/>
      <c r="CJ66" s="412"/>
      <c r="CK66" s="410"/>
      <c r="CL66" s="409"/>
      <c r="CM66" s="413"/>
      <c r="CP66" s="411"/>
      <c r="CQ66" s="408"/>
      <c r="CR66" s="326"/>
      <c r="CS66" s="412"/>
      <c r="CT66" s="410"/>
      <c r="CU66" s="409"/>
      <c r="CV66" s="413"/>
      <c r="CY66" s="411"/>
      <c r="CZ66" s="408"/>
      <c r="DB66" s="412"/>
      <c r="DC66" s="410"/>
      <c r="DD66" s="409"/>
      <c r="DE66" s="413"/>
    </row>
    <row r="67" spans="1:109">
      <c r="A67" s="443">
        <v>117208</v>
      </c>
      <c r="B67" s="442" t="s">
        <v>105</v>
      </c>
      <c r="C67" s="441">
        <v>0</v>
      </c>
      <c r="D67" s="441">
        <v>712.45</v>
      </c>
      <c r="E67" s="443">
        <v>213306</v>
      </c>
      <c r="F67" s="442" t="s">
        <v>150</v>
      </c>
      <c r="G67" s="441">
        <v>461711.5</v>
      </c>
      <c r="H67" s="111"/>
      <c r="J67" s="443">
        <v>215311</v>
      </c>
      <c r="K67" s="442" t="s">
        <v>390</v>
      </c>
      <c r="L67" s="441">
        <v>0</v>
      </c>
      <c r="M67" s="441">
        <v>16.84</v>
      </c>
      <c r="N67" s="431">
        <v>119103</v>
      </c>
      <c r="O67" s="432" t="s">
        <v>130</v>
      </c>
      <c r="P67" s="434">
        <v>67330.240000000005</v>
      </c>
      <c r="S67" s="464">
        <v>213212</v>
      </c>
      <c r="T67" s="461" t="s">
        <v>115</v>
      </c>
      <c r="U67" s="462">
        <v>0</v>
      </c>
      <c r="V67" s="462">
        <v>4954.0200000000004</v>
      </c>
      <c r="W67" s="464">
        <v>331852</v>
      </c>
      <c r="X67" s="461" t="s">
        <v>187</v>
      </c>
      <c r="Y67" s="462">
        <v>80717.05</v>
      </c>
      <c r="Z67" s="111"/>
      <c r="AB67" s="474">
        <v>213212</v>
      </c>
      <c r="AC67" s="472" t="s">
        <v>115</v>
      </c>
      <c r="AD67" s="473">
        <v>0</v>
      </c>
      <c r="AE67" s="473">
        <v>5093.7</v>
      </c>
      <c r="AF67" s="474">
        <v>212299</v>
      </c>
      <c r="AG67" s="472" t="s">
        <v>142</v>
      </c>
      <c r="AH67" s="473">
        <v>154535.35</v>
      </c>
      <c r="AI67" s="138"/>
      <c r="AK67" s="402"/>
      <c r="AL67" s="401"/>
      <c r="AN67" s="405"/>
      <c r="AO67" s="406"/>
      <c r="AP67" s="403"/>
      <c r="AQ67" s="404"/>
      <c r="AT67" s="402"/>
      <c r="AU67" s="401"/>
      <c r="AW67" s="405"/>
      <c r="AX67" s="402"/>
      <c r="AY67" s="401"/>
      <c r="AZ67" s="405"/>
      <c r="BA67" s="138"/>
      <c r="BB67" s="7"/>
      <c r="BC67" s="48"/>
      <c r="BF67" s="410"/>
      <c r="BG67" s="409"/>
      <c r="BI67" s="413"/>
      <c r="BJ67" s="411"/>
      <c r="BK67" s="408"/>
      <c r="BL67" s="412"/>
      <c r="BM67" s="137"/>
      <c r="BO67" s="410"/>
      <c r="BP67" s="409"/>
      <c r="BR67" s="413"/>
      <c r="BS67" s="410"/>
      <c r="BT67" s="409"/>
      <c r="BU67" s="413"/>
      <c r="BV67" s="138"/>
      <c r="BX67" s="410"/>
      <c r="BY67" s="409"/>
      <c r="CA67" s="413"/>
      <c r="CB67" s="410"/>
      <c r="CC67" s="409"/>
      <c r="CD67" s="413"/>
      <c r="CE67" s="138"/>
      <c r="CG67" s="410"/>
      <c r="CH67" s="409"/>
      <c r="CJ67" s="413"/>
      <c r="CK67" s="411"/>
      <c r="CL67" s="408"/>
      <c r="CM67" s="412"/>
      <c r="CP67" s="410"/>
      <c r="CQ67" s="409"/>
      <c r="CS67" s="413"/>
      <c r="CT67" s="411"/>
      <c r="CU67" s="408"/>
      <c r="CV67" s="412"/>
      <c r="CY67" s="410"/>
      <c r="CZ67" s="409"/>
      <c r="DB67" s="413"/>
      <c r="DC67" s="411"/>
      <c r="DD67" s="408"/>
      <c r="DE67" s="412"/>
    </row>
    <row r="68" spans="1:109">
      <c r="A68" s="438">
        <v>311108</v>
      </c>
      <c r="B68" s="439" t="s">
        <v>585</v>
      </c>
      <c r="C68" s="440">
        <v>0</v>
      </c>
      <c r="D68" s="440">
        <v>601.51</v>
      </c>
      <c r="E68" s="438">
        <v>215108</v>
      </c>
      <c r="F68" s="439" t="s">
        <v>401</v>
      </c>
      <c r="G68" s="440">
        <v>404600</v>
      </c>
      <c r="J68" s="438">
        <v>215315</v>
      </c>
      <c r="K68" s="439" t="s">
        <v>590</v>
      </c>
      <c r="L68" s="440">
        <v>0</v>
      </c>
      <c r="M68" s="440">
        <v>1408.99</v>
      </c>
      <c r="N68" s="430">
        <v>211102</v>
      </c>
      <c r="O68" s="433" t="s">
        <v>133</v>
      </c>
      <c r="P68" s="435">
        <v>1470749.16</v>
      </c>
      <c r="Q68" s="111"/>
      <c r="S68" s="465">
        <v>313291</v>
      </c>
      <c r="T68" s="458" t="s">
        <v>123</v>
      </c>
      <c r="U68" s="459">
        <v>0</v>
      </c>
      <c r="V68" s="459">
        <v>0.01</v>
      </c>
      <c r="W68" s="465">
        <v>331853</v>
      </c>
      <c r="X68" s="458" t="s">
        <v>188</v>
      </c>
      <c r="Y68" s="459">
        <v>18408.990000000002</v>
      </c>
      <c r="AB68" s="469">
        <v>213901</v>
      </c>
      <c r="AC68" s="470" t="s">
        <v>117</v>
      </c>
      <c r="AD68" s="471">
        <v>0</v>
      </c>
      <c r="AE68" s="471">
        <v>330000</v>
      </c>
      <c r="AF68" s="469">
        <v>214112</v>
      </c>
      <c r="AG68" s="470" t="s">
        <v>400</v>
      </c>
      <c r="AH68" s="471">
        <v>995.89</v>
      </c>
      <c r="AI68" s="137"/>
      <c r="AK68" s="406"/>
      <c r="AL68" s="403"/>
      <c r="AN68" s="404"/>
      <c r="AO68" s="402"/>
      <c r="AP68" s="401"/>
      <c r="AQ68" s="405"/>
      <c r="AT68" s="406"/>
      <c r="AU68" s="403"/>
      <c r="AW68" s="404"/>
      <c r="AX68" s="406"/>
      <c r="AY68" s="403"/>
      <c r="AZ68" s="404"/>
      <c r="BA68" s="137"/>
      <c r="BB68" s="7"/>
      <c r="BC68" s="48"/>
      <c r="BF68" s="411"/>
      <c r="BG68" s="408"/>
      <c r="BI68" s="412"/>
      <c r="BJ68" s="410"/>
      <c r="BK68" s="409"/>
      <c r="BL68" s="413"/>
      <c r="BM68" s="138"/>
      <c r="BO68" s="411"/>
      <c r="BP68" s="408"/>
      <c r="BR68" s="412"/>
      <c r="BS68" s="411"/>
      <c r="BT68" s="408"/>
      <c r="BU68" s="412"/>
      <c r="BV68" s="137"/>
      <c r="BX68" s="411"/>
      <c r="BY68" s="408"/>
      <c r="CA68" s="412"/>
      <c r="CB68" s="411"/>
      <c r="CC68" s="408"/>
      <c r="CD68" s="412"/>
      <c r="CE68" s="137"/>
      <c r="CG68" s="411"/>
      <c r="CH68" s="408"/>
      <c r="CJ68" s="412"/>
      <c r="CK68" s="410"/>
      <c r="CL68" s="409"/>
      <c r="CM68" s="413"/>
      <c r="CP68" s="411"/>
      <c r="CQ68" s="408"/>
      <c r="CS68" s="412"/>
      <c r="CT68" s="410"/>
      <c r="CU68" s="409"/>
      <c r="CV68" s="413"/>
      <c r="CY68" s="411"/>
      <c r="CZ68" s="408"/>
      <c r="DB68" s="412"/>
      <c r="DC68" s="410"/>
      <c r="DD68" s="409"/>
      <c r="DE68" s="413"/>
    </row>
    <row r="69" spans="1:109">
      <c r="A69" s="443">
        <v>215315</v>
      </c>
      <c r="B69" s="442" t="s">
        <v>590</v>
      </c>
      <c r="C69" s="441">
        <v>0</v>
      </c>
      <c r="D69" s="441">
        <v>2224.9899999999998</v>
      </c>
      <c r="E69" s="443">
        <v>333107</v>
      </c>
      <c r="F69" s="442" t="s">
        <v>207</v>
      </c>
      <c r="G69" s="441">
        <v>1585775.41</v>
      </c>
      <c r="H69" s="111"/>
      <c r="J69" s="443">
        <v>213203</v>
      </c>
      <c r="K69" s="442" t="s">
        <v>473</v>
      </c>
      <c r="L69" s="441">
        <v>0</v>
      </c>
      <c r="M69" s="441">
        <v>63416.43</v>
      </c>
      <c r="N69" s="431">
        <v>212106</v>
      </c>
      <c r="O69" s="432" t="s">
        <v>139</v>
      </c>
      <c r="P69" s="434">
        <v>53202.46</v>
      </c>
      <c r="S69" s="464">
        <v>112101</v>
      </c>
      <c r="T69" s="461" t="s">
        <v>77</v>
      </c>
      <c r="U69" s="462">
        <v>0</v>
      </c>
      <c r="V69" s="462">
        <v>1004</v>
      </c>
      <c r="W69" s="464">
        <v>331855</v>
      </c>
      <c r="X69" s="461" t="s">
        <v>190</v>
      </c>
      <c r="Y69" s="462">
        <v>4912.2</v>
      </c>
      <c r="Z69" s="111"/>
      <c r="AB69" s="474">
        <v>213205</v>
      </c>
      <c r="AC69" s="472" t="s">
        <v>111</v>
      </c>
      <c r="AD69" s="473">
        <v>0</v>
      </c>
      <c r="AE69" s="473">
        <v>17415.61</v>
      </c>
      <c r="AF69" s="474">
        <v>224201</v>
      </c>
      <c r="AG69" s="472" t="s">
        <v>177</v>
      </c>
      <c r="AH69" s="473">
        <v>321469.78000000003</v>
      </c>
      <c r="AI69" s="138"/>
      <c r="AK69" s="402"/>
      <c r="AL69" s="401"/>
      <c r="AN69" s="405"/>
      <c r="AO69" s="406"/>
      <c r="AP69" s="403"/>
      <c r="AQ69" s="404"/>
      <c r="AT69" s="402"/>
      <c r="AU69" s="401"/>
      <c r="AW69" s="405"/>
      <c r="AX69" s="402"/>
      <c r="AY69" s="401"/>
      <c r="AZ69" s="405"/>
      <c r="BA69" s="138"/>
      <c r="BB69" s="7"/>
      <c r="BC69" s="48"/>
      <c r="BF69" s="410"/>
      <c r="BG69" s="409"/>
      <c r="BI69" s="413"/>
      <c r="BJ69" s="411"/>
      <c r="BK69" s="408"/>
      <c r="BL69" s="412"/>
      <c r="BM69" s="137"/>
      <c r="BO69" s="410"/>
      <c r="BP69" s="409"/>
      <c r="BR69" s="413"/>
      <c r="BS69" s="410"/>
      <c r="BT69" s="409"/>
      <c r="BU69" s="413"/>
      <c r="BV69" s="138"/>
      <c r="BX69" s="410"/>
      <c r="BY69" s="409"/>
      <c r="CA69" s="413"/>
      <c r="CB69" s="410"/>
      <c r="CC69" s="409"/>
      <c r="CD69" s="413"/>
      <c r="CE69" s="138"/>
      <c r="CG69" s="410"/>
      <c r="CH69" s="409"/>
      <c r="CJ69" s="413"/>
      <c r="CK69" s="411"/>
      <c r="CL69" s="408"/>
      <c r="CM69" s="412"/>
      <c r="CP69" s="410"/>
      <c r="CQ69" s="409"/>
      <c r="CS69" s="413"/>
      <c r="CT69" s="411"/>
      <c r="CU69" s="408"/>
      <c r="CV69" s="412"/>
      <c r="CY69" s="410"/>
      <c r="CZ69" s="409"/>
      <c r="DB69" s="413"/>
      <c r="DC69" s="411"/>
      <c r="DD69" s="408"/>
      <c r="DE69" s="412"/>
    </row>
    <row r="70" spans="1:109">
      <c r="A70" s="438">
        <v>213206</v>
      </c>
      <c r="B70" s="439" t="s">
        <v>112</v>
      </c>
      <c r="C70" s="440">
        <v>0</v>
      </c>
      <c r="D70" s="440">
        <v>32911.910000000003</v>
      </c>
      <c r="E70" s="438">
        <v>112103</v>
      </c>
      <c r="F70" s="439" t="s">
        <v>79</v>
      </c>
      <c r="G70" s="440">
        <v>4932.3500000000004</v>
      </c>
      <c r="J70" s="438">
        <v>311111</v>
      </c>
      <c r="K70" s="439" t="s">
        <v>592</v>
      </c>
      <c r="L70" s="440">
        <v>0</v>
      </c>
      <c r="M70" s="440">
        <v>1208.56</v>
      </c>
      <c r="N70" s="430">
        <v>215103</v>
      </c>
      <c r="O70" s="433" t="s">
        <v>167</v>
      </c>
      <c r="P70" s="435">
        <v>559101.99</v>
      </c>
      <c r="Q70" s="111"/>
      <c r="S70" s="465">
        <v>112104</v>
      </c>
      <c r="T70" s="458" t="s">
        <v>472</v>
      </c>
      <c r="U70" s="459">
        <v>0</v>
      </c>
      <c r="V70" s="459">
        <v>742.82</v>
      </c>
      <c r="W70" s="465">
        <v>331859</v>
      </c>
      <c r="X70" s="458" t="s">
        <v>191</v>
      </c>
      <c r="Y70" s="459">
        <v>8115.59</v>
      </c>
      <c r="AB70" s="469">
        <v>311110</v>
      </c>
      <c r="AC70" s="470" t="s">
        <v>593</v>
      </c>
      <c r="AD70" s="471">
        <v>0</v>
      </c>
      <c r="AE70" s="471">
        <v>661.81</v>
      </c>
      <c r="AF70" s="469">
        <v>331814</v>
      </c>
      <c r="AG70" s="470" t="s">
        <v>183</v>
      </c>
      <c r="AH70" s="471">
        <v>8372.16</v>
      </c>
      <c r="AI70" s="137"/>
      <c r="AK70" s="406"/>
      <c r="AL70" s="403"/>
      <c r="AN70" s="404"/>
      <c r="AO70" s="402"/>
      <c r="AP70" s="401"/>
      <c r="AQ70" s="405"/>
      <c r="AT70" s="406"/>
      <c r="AU70" s="403"/>
      <c r="AW70" s="404"/>
      <c r="AX70" s="406"/>
      <c r="AY70" s="403"/>
      <c r="AZ70" s="404"/>
      <c r="BA70" s="137"/>
      <c r="BB70" s="7"/>
      <c r="BC70" s="48"/>
      <c r="BJ70" s="410"/>
      <c r="BK70" s="409"/>
      <c r="BL70" s="413"/>
      <c r="BM70" s="138"/>
      <c r="BO70" s="411"/>
      <c r="BP70" s="408"/>
      <c r="BR70" s="412"/>
      <c r="BS70" s="411"/>
      <c r="BT70" s="408"/>
      <c r="BU70" s="412"/>
      <c r="BV70" s="137"/>
      <c r="BX70" s="411"/>
      <c r="BY70" s="408"/>
      <c r="CA70" s="412"/>
      <c r="CB70" s="411"/>
      <c r="CC70" s="408"/>
      <c r="CD70" s="412"/>
      <c r="CE70" s="137"/>
      <c r="CG70" s="411"/>
      <c r="CH70" s="408"/>
      <c r="CJ70" s="412"/>
      <c r="CK70" s="410"/>
      <c r="CL70" s="409"/>
      <c r="CM70" s="413"/>
      <c r="CP70" s="411"/>
      <c r="CQ70" s="408"/>
      <c r="CS70" s="412"/>
      <c r="CT70" s="410"/>
      <c r="CU70" s="409"/>
      <c r="CV70" s="413"/>
      <c r="CY70" s="411"/>
      <c r="CZ70" s="408"/>
      <c r="DB70" s="412"/>
      <c r="DC70" s="410"/>
      <c r="DD70" s="409"/>
      <c r="DE70" s="413"/>
    </row>
    <row r="71" spans="1:109">
      <c r="A71" s="443">
        <v>311109</v>
      </c>
      <c r="B71" s="442" t="s">
        <v>599</v>
      </c>
      <c r="C71" s="441">
        <v>0</v>
      </c>
      <c r="D71" s="441">
        <v>8302.3799999999992</v>
      </c>
      <c r="E71" s="443">
        <v>112512</v>
      </c>
      <c r="F71" s="442" t="s">
        <v>99</v>
      </c>
      <c r="G71" s="441">
        <v>76.069999999999993</v>
      </c>
      <c r="H71" s="111"/>
      <c r="J71" s="443">
        <v>117301</v>
      </c>
      <c r="K71" s="442" t="s">
        <v>106</v>
      </c>
      <c r="L71" s="441">
        <v>0</v>
      </c>
      <c r="M71" s="441">
        <v>7.1</v>
      </c>
      <c r="N71" s="431">
        <v>331853</v>
      </c>
      <c r="O71" s="432" t="s">
        <v>188</v>
      </c>
      <c r="P71" s="434">
        <v>16333.95</v>
      </c>
      <c r="S71" s="464">
        <v>112513</v>
      </c>
      <c r="T71" s="461" t="s">
        <v>100</v>
      </c>
      <c r="U71" s="462">
        <v>0</v>
      </c>
      <c r="V71" s="462">
        <v>284.61</v>
      </c>
      <c r="W71" s="464">
        <v>331860</v>
      </c>
      <c r="X71" s="461" t="s">
        <v>192</v>
      </c>
      <c r="Y71" s="462">
        <v>3047.25</v>
      </c>
      <c r="Z71" s="111"/>
      <c r="AB71" s="474">
        <v>213202</v>
      </c>
      <c r="AC71" s="472" t="s">
        <v>110</v>
      </c>
      <c r="AD71" s="473">
        <v>0</v>
      </c>
      <c r="AE71" s="473">
        <v>5483.34</v>
      </c>
      <c r="AF71" s="474">
        <v>331849</v>
      </c>
      <c r="AG71" s="472" t="s">
        <v>124</v>
      </c>
      <c r="AH71" s="473">
        <v>5499.82</v>
      </c>
      <c r="AI71" s="138"/>
      <c r="AK71" s="402"/>
      <c r="AL71" s="401"/>
      <c r="AN71" s="405"/>
      <c r="AO71" s="406"/>
      <c r="AP71" s="403"/>
      <c r="AQ71" s="404"/>
      <c r="AT71" s="402"/>
      <c r="AU71" s="401"/>
      <c r="AW71" s="405"/>
      <c r="AX71" s="402"/>
      <c r="AY71" s="401"/>
      <c r="AZ71" s="405"/>
      <c r="BA71" s="138"/>
      <c r="BB71" s="7"/>
      <c r="BC71" s="48"/>
      <c r="BJ71" s="411"/>
      <c r="BK71" s="408"/>
      <c r="BL71" s="412"/>
      <c r="BM71" s="137"/>
      <c r="BO71" s="410"/>
      <c r="BP71" s="409"/>
      <c r="BR71" s="413"/>
      <c r="BS71" s="410"/>
      <c r="BT71" s="409"/>
      <c r="BU71" s="413"/>
      <c r="BV71" s="138"/>
      <c r="BX71" s="410"/>
      <c r="BY71" s="409"/>
      <c r="CA71" s="413"/>
      <c r="CB71" s="410"/>
      <c r="CC71" s="409"/>
      <c r="CD71" s="413"/>
      <c r="CE71" s="138"/>
      <c r="CG71" s="410"/>
      <c r="CH71" s="409"/>
      <c r="CJ71" s="413"/>
      <c r="CK71" s="411"/>
      <c r="CL71" s="408"/>
      <c r="CM71" s="412"/>
      <c r="CP71" s="410"/>
      <c r="CQ71" s="409"/>
      <c r="CS71" s="413"/>
      <c r="CT71" s="411"/>
      <c r="CU71" s="408"/>
      <c r="CV71" s="412"/>
      <c r="CY71" s="410"/>
      <c r="CZ71" s="409"/>
      <c r="DB71" s="413"/>
      <c r="DC71" s="411"/>
      <c r="DD71" s="408"/>
      <c r="DE71" s="412"/>
    </row>
    <row r="72" spans="1:109">
      <c r="A72" s="438">
        <v>114798</v>
      </c>
      <c r="B72" s="439" t="s">
        <v>104</v>
      </c>
      <c r="C72" s="440">
        <v>0</v>
      </c>
      <c r="D72" s="440">
        <v>6981.82</v>
      </c>
      <c r="E72" s="438">
        <v>212299</v>
      </c>
      <c r="F72" s="439" t="s">
        <v>142</v>
      </c>
      <c r="G72" s="440">
        <v>275474.84999999998</v>
      </c>
      <c r="J72" s="438">
        <v>111902</v>
      </c>
      <c r="K72" s="439" t="s">
        <v>76</v>
      </c>
      <c r="L72" s="440">
        <v>0</v>
      </c>
      <c r="M72" s="440">
        <v>1846500</v>
      </c>
      <c r="N72" s="430">
        <v>331862</v>
      </c>
      <c r="O72" s="433" t="s">
        <v>194</v>
      </c>
      <c r="P72" s="435">
        <v>6369.94</v>
      </c>
      <c r="Q72" s="111"/>
      <c r="S72" s="465">
        <v>313101</v>
      </c>
      <c r="T72" s="458" t="s">
        <v>921</v>
      </c>
      <c r="U72" s="459">
        <v>0</v>
      </c>
      <c r="V72" s="459">
        <v>96347.09</v>
      </c>
      <c r="W72" s="465">
        <v>331867</v>
      </c>
      <c r="X72" s="458" t="s">
        <v>198</v>
      </c>
      <c r="Y72" s="459">
        <v>7669.97</v>
      </c>
      <c r="AB72" s="469">
        <v>213210</v>
      </c>
      <c r="AC72" s="470" t="s">
        <v>113</v>
      </c>
      <c r="AD72" s="471">
        <v>0</v>
      </c>
      <c r="AE72" s="471">
        <v>19706.39</v>
      </c>
      <c r="AF72" s="469">
        <v>331859</v>
      </c>
      <c r="AG72" s="470" t="s">
        <v>191</v>
      </c>
      <c r="AH72" s="471">
        <v>7224.4</v>
      </c>
      <c r="AI72" s="137"/>
      <c r="AK72" s="406"/>
      <c r="AL72" s="403"/>
      <c r="AN72" s="404"/>
      <c r="AO72" s="402"/>
      <c r="AP72" s="401"/>
      <c r="AQ72" s="405"/>
      <c r="AT72" s="406"/>
      <c r="AU72" s="403"/>
      <c r="AW72" s="404"/>
      <c r="AX72" s="406"/>
      <c r="AY72" s="403"/>
      <c r="AZ72" s="404"/>
      <c r="BA72" s="137"/>
      <c r="BB72" s="7"/>
      <c r="BC72" s="48"/>
      <c r="BJ72" s="410"/>
      <c r="BK72" s="409"/>
      <c r="BL72" s="413"/>
      <c r="BM72" s="138"/>
      <c r="BO72" s="411"/>
      <c r="BP72" s="408"/>
      <c r="BR72" s="412"/>
      <c r="BS72" s="411"/>
      <c r="BT72" s="408"/>
      <c r="BU72" s="412"/>
      <c r="BV72" s="137"/>
      <c r="BX72" s="411"/>
      <c r="BY72" s="408"/>
      <c r="CA72" s="412"/>
      <c r="CB72" s="411"/>
      <c r="CC72" s="408"/>
      <c r="CD72" s="412"/>
      <c r="CE72" s="137"/>
      <c r="CG72" s="411"/>
      <c r="CH72" s="408"/>
      <c r="CJ72" s="412"/>
      <c r="CK72" s="410"/>
      <c r="CL72" s="409"/>
      <c r="CM72" s="413"/>
      <c r="CP72" s="411"/>
      <c r="CQ72" s="408"/>
      <c r="CS72" s="412"/>
      <c r="CT72" s="410"/>
      <c r="CU72" s="409"/>
      <c r="CV72" s="413"/>
      <c r="CY72" s="411"/>
      <c r="CZ72" s="408"/>
      <c r="DB72" s="412"/>
      <c r="DC72" s="410"/>
      <c r="DD72" s="409"/>
      <c r="DE72" s="413"/>
    </row>
    <row r="73" spans="1:109">
      <c r="A73" s="443">
        <v>111902</v>
      </c>
      <c r="B73" s="442" t="s">
        <v>76</v>
      </c>
      <c r="C73" s="441">
        <v>0</v>
      </c>
      <c r="D73" s="441">
        <v>351003.33</v>
      </c>
      <c r="E73" s="443">
        <v>215392</v>
      </c>
      <c r="F73" s="442" t="s">
        <v>176</v>
      </c>
      <c r="G73" s="441">
        <v>409853.06</v>
      </c>
      <c r="H73" s="111"/>
      <c r="J73" s="443">
        <v>114798</v>
      </c>
      <c r="K73" s="442" t="s">
        <v>104</v>
      </c>
      <c r="L73" s="441">
        <v>0</v>
      </c>
      <c r="M73" s="441">
        <v>4890.01</v>
      </c>
      <c r="N73" s="431">
        <v>333104</v>
      </c>
      <c r="O73" s="432" t="s">
        <v>206</v>
      </c>
      <c r="P73" s="434">
        <v>487.53</v>
      </c>
      <c r="S73" s="464">
        <v>112303</v>
      </c>
      <c r="T73" s="461" t="s">
        <v>85</v>
      </c>
      <c r="U73" s="462">
        <v>0</v>
      </c>
      <c r="V73" s="462">
        <v>49.82</v>
      </c>
      <c r="W73" s="464">
        <v>333105</v>
      </c>
      <c r="X73" s="461" t="s">
        <v>125</v>
      </c>
      <c r="Y73" s="462">
        <v>206763.92</v>
      </c>
      <c r="Z73" s="111"/>
      <c r="AB73" s="474">
        <v>313103</v>
      </c>
      <c r="AC73" s="472" t="s">
        <v>477</v>
      </c>
      <c r="AD73" s="473">
        <v>0</v>
      </c>
      <c r="AE73" s="473">
        <v>12.22</v>
      </c>
      <c r="AF73" s="474">
        <v>331862</v>
      </c>
      <c r="AG73" s="472" t="s">
        <v>194</v>
      </c>
      <c r="AH73" s="473">
        <v>5857.83</v>
      </c>
      <c r="AI73" s="138"/>
      <c r="AK73" s="402"/>
      <c r="AL73" s="401"/>
      <c r="AN73" s="405"/>
      <c r="AO73" s="406"/>
      <c r="AP73" s="403"/>
      <c r="AQ73" s="404"/>
      <c r="AT73" s="402"/>
      <c r="AU73" s="401"/>
      <c r="AW73" s="405"/>
      <c r="AX73" s="402"/>
      <c r="AY73" s="401"/>
      <c r="AZ73" s="405"/>
      <c r="BA73" s="138"/>
      <c r="BB73" s="7"/>
      <c r="BC73" s="48"/>
      <c r="BJ73" s="411"/>
      <c r="BK73" s="408"/>
      <c r="BL73" s="412"/>
      <c r="BM73" s="137"/>
      <c r="BO73" s="410"/>
      <c r="BP73" s="409"/>
      <c r="BR73" s="413"/>
      <c r="BS73" s="410"/>
      <c r="BT73" s="409"/>
      <c r="BU73" s="413"/>
      <c r="BV73" s="138"/>
      <c r="BX73" s="410"/>
      <c r="BY73" s="409"/>
      <c r="CA73" s="413"/>
      <c r="CB73" s="410"/>
      <c r="CC73" s="409"/>
      <c r="CD73" s="413"/>
      <c r="CE73" s="138"/>
      <c r="CG73" s="410"/>
      <c r="CH73" s="409"/>
      <c r="CJ73" s="413"/>
      <c r="CK73" s="411"/>
      <c r="CL73" s="408"/>
      <c r="CM73" s="412"/>
      <c r="CP73" s="410"/>
      <c r="CQ73" s="409"/>
      <c r="CS73" s="413"/>
      <c r="CT73" s="411"/>
      <c r="CU73" s="408"/>
      <c r="CV73" s="412"/>
      <c r="CY73" s="410"/>
      <c r="CZ73" s="409"/>
      <c r="DB73" s="413"/>
      <c r="DC73" s="411"/>
      <c r="DD73" s="408"/>
      <c r="DE73" s="412"/>
    </row>
    <row r="74" spans="1:109">
      <c r="A74" s="438">
        <v>213210</v>
      </c>
      <c r="B74" s="439" t="s">
        <v>113</v>
      </c>
      <c r="C74" s="440">
        <v>0</v>
      </c>
      <c r="D74" s="440">
        <v>21812.09</v>
      </c>
      <c r="E74" s="438">
        <v>226201</v>
      </c>
      <c r="F74" s="439" t="s">
        <v>181</v>
      </c>
      <c r="G74" s="440">
        <v>425948</v>
      </c>
      <c r="J74" s="386"/>
      <c r="K74" s="385"/>
      <c r="L74" s="111"/>
      <c r="M74" s="111"/>
      <c r="N74" s="430">
        <v>113118</v>
      </c>
      <c r="O74" s="433" t="s">
        <v>129</v>
      </c>
      <c r="P74" s="435">
        <v>309.23</v>
      </c>
      <c r="Q74" s="111"/>
      <c r="S74" s="465">
        <v>117208</v>
      </c>
      <c r="T74" s="458" t="s">
        <v>105</v>
      </c>
      <c r="U74" s="459">
        <v>0</v>
      </c>
      <c r="V74" s="459">
        <v>1087.1199999999999</v>
      </c>
      <c r="W74" s="465">
        <v>213105</v>
      </c>
      <c r="X74" s="458" t="s">
        <v>144</v>
      </c>
      <c r="Y74" s="459">
        <v>305380.03000000003</v>
      </c>
      <c r="AB74" s="469">
        <v>117208</v>
      </c>
      <c r="AC74" s="470" t="s">
        <v>105</v>
      </c>
      <c r="AD74" s="471">
        <v>0</v>
      </c>
      <c r="AE74" s="471">
        <v>797.75</v>
      </c>
      <c r="AF74" s="469">
        <v>331863</v>
      </c>
      <c r="AG74" s="470" t="s">
        <v>195</v>
      </c>
      <c r="AH74" s="471">
        <v>1591.97</v>
      </c>
      <c r="AI74" s="137"/>
      <c r="AK74" s="406"/>
      <c r="AL74" s="403"/>
      <c r="AN74" s="404"/>
      <c r="AO74" s="402"/>
      <c r="AP74" s="401"/>
      <c r="AQ74" s="405"/>
      <c r="AT74" s="406"/>
      <c r="AU74" s="403"/>
      <c r="AW74" s="404"/>
      <c r="AX74" s="406"/>
      <c r="AY74" s="403"/>
      <c r="AZ74" s="404"/>
      <c r="BA74" s="137"/>
      <c r="BB74" s="7"/>
      <c r="BC74" s="48"/>
      <c r="BJ74" s="410"/>
      <c r="BK74" s="409"/>
      <c r="BL74" s="413"/>
      <c r="BM74" s="138"/>
      <c r="BO74" s="411"/>
      <c r="BP74" s="408"/>
      <c r="BR74" s="412"/>
      <c r="BS74" s="411"/>
      <c r="BT74" s="408"/>
      <c r="BU74" s="412"/>
      <c r="BV74" s="137"/>
      <c r="BX74" s="411"/>
      <c r="BY74" s="408"/>
      <c r="CA74" s="412"/>
      <c r="CB74" s="411"/>
      <c r="CC74" s="408"/>
      <c r="CD74" s="412"/>
      <c r="CE74" s="137"/>
      <c r="CG74" s="411"/>
      <c r="CH74" s="408"/>
      <c r="CJ74" s="412"/>
      <c r="CK74" s="410"/>
      <c r="CL74" s="409"/>
      <c r="CM74" s="413"/>
      <c r="CP74" s="411"/>
      <c r="CQ74" s="408"/>
      <c r="CS74" s="412"/>
      <c r="CT74" s="410"/>
      <c r="CU74" s="409"/>
      <c r="CV74" s="413"/>
      <c r="CY74" s="411"/>
      <c r="CZ74" s="408"/>
      <c r="DB74" s="412"/>
      <c r="DC74" s="410"/>
      <c r="DD74" s="409"/>
      <c r="DE74" s="413"/>
    </row>
    <row r="75" spans="1:109">
      <c r="A75" s="443">
        <v>291601</v>
      </c>
      <c r="B75" s="442" t="s">
        <v>478</v>
      </c>
      <c r="C75" s="441">
        <v>0</v>
      </c>
      <c r="D75" s="441">
        <v>10000</v>
      </c>
      <c r="E75" s="443">
        <v>331866</v>
      </c>
      <c r="F75" s="442" t="s">
        <v>197</v>
      </c>
      <c r="G75" s="441">
        <v>11217.92</v>
      </c>
      <c r="H75" s="111"/>
      <c r="J75" s="387"/>
      <c r="K75" s="384"/>
      <c r="N75" s="431">
        <v>215392</v>
      </c>
      <c r="O75" s="432" t="s">
        <v>176</v>
      </c>
      <c r="P75" s="434">
        <v>846455.96</v>
      </c>
      <c r="S75" s="464">
        <v>213406</v>
      </c>
      <c r="T75" s="461" t="s">
        <v>116</v>
      </c>
      <c r="U75" s="462">
        <v>0</v>
      </c>
      <c r="V75" s="462">
        <v>32847.08</v>
      </c>
      <c r="W75" s="464">
        <v>213111</v>
      </c>
      <c r="X75" s="461" t="s">
        <v>146</v>
      </c>
      <c r="Y75" s="462">
        <v>1425201.57</v>
      </c>
      <c r="Z75" s="111"/>
      <c r="AB75" s="474">
        <v>215311</v>
      </c>
      <c r="AC75" s="472" t="s">
        <v>390</v>
      </c>
      <c r="AD75" s="473">
        <v>0</v>
      </c>
      <c r="AE75" s="473">
        <v>1050.8800000000001</v>
      </c>
      <c r="AF75" s="474">
        <v>191601</v>
      </c>
      <c r="AG75" s="472" t="s">
        <v>479</v>
      </c>
      <c r="AH75" s="473">
        <v>5000</v>
      </c>
      <c r="AI75" s="138"/>
      <c r="AK75" s="402"/>
      <c r="AL75" s="401"/>
      <c r="AN75" s="405"/>
      <c r="AO75" s="406"/>
      <c r="AP75" s="403"/>
      <c r="AQ75" s="404"/>
      <c r="AT75" s="402"/>
      <c r="AU75" s="401"/>
      <c r="AW75" s="405"/>
      <c r="AX75" s="402"/>
      <c r="AY75" s="401"/>
      <c r="AZ75" s="405"/>
      <c r="BA75" s="138"/>
      <c r="BB75" s="7"/>
      <c r="BC75" s="48"/>
      <c r="BJ75" s="411"/>
      <c r="BK75" s="408"/>
      <c r="BL75" s="412"/>
      <c r="BM75" s="137"/>
      <c r="BS75" s="410"/>
      <c r="BT75" s="409"/>
      <c r="BU75" s="413"/>
      <c r="BV75" s="138"/>
      <c r="BX75" s="410"/>
      <c r="BY75" s="409"/>
      <c r="CA75" s="413"/>
      <c r="CB75" s="410"/>
      <c r="CC75" s="409"/>
      <c r="CD75" s="413"/>
      <c r="CE75" s="138"/>
      <c r="CG75" s="410"/>
      <c r="CH75" s="409"/>
      <c r="CJ75" s="413"/>
      <c r="CK75" s="411"/>
      <c r="CL75" s="408"/>
      <c r="CM75" s="412"/>
      <c r="CP75" s="410"/>
      <c r="CQ75" s="409"/>
      <c r="CS75" s="413"/>
      <c r="CT75" s="411"/>
      <c r="CU75" s="408"/>
      <c r="CV75" s="412"/>
      <c r="CY75" s="410"/>
      <c r="CZ75" s="409"/>
      <c r="DB75" s="413"/>
      <c r="DC75" s="411"/>
      <c r="DD75" s="408"/>
      <c r="DE75" s="412"/>
    </row>
    <row r="76" spans="1:109">
      <c r="A76" s="438">
        <v>117101</v>
      </c>
      <c r="B76" s="439" t="s">
        <v>486</v>
      </c>
      <c r="C76" s="440">
        <v>0</v>
      </c>
      <c r="D76" s="440">
        <v>12590.38</v>
      </c>
      <c r="E76" s="438">
        <v>214102</v>
      </c>
      <c r="F76" s="439" t="s">
        <v>153</v>
      </c>
      <c r="G76" s="440">
        <v>889438.53</v>
      </c>
      <c r="J76" s="386"/>
      <c r="K76" s="385"/>
      <c r="L76" s="111"/>
      <c r="M76" s="111"/>
      <c r="N76" s="430">
        <v>225105</v>
      </c>
      <c r="O76" s="433" t="s">
        <v>179</v>
      </c>
      <c r="P76" s="435">
        <v>579200.35</v>
      </c>
      <c r="Q76" s="111"/>
      <c r="S76" s="465">
        <v>213202</v>
      </c>
      <c r="T76" s="458" t="s">
        <v>110</v>
      </c>
      <c r="U76" s="459">
        <v>0</v>
      </c>
      <c r="V76" s="459">
        <v>5659.53</v>
      </c>
      <c r="W76" s="465">
        <v>214112</v>
      </c>
      <c r="X76" s="458" t="s">
        <v>400</v>
      </c>
      <c r="Y76" s="459">
        <v>1065.3800000000001</v>
      </c>
      <c r="AB76" s="469">
        <v>112507</v>
      </c>
      <c r="AC76" s="470" t="s">
        <v>854</v>
      </c>
      <c r="AD76" s="471">
        <v>0</v>
      </c>
      <c r="AE76" s="471">
        <v>1600.39</v>
      </c>
      <c r="AF76" s="469">
        <v>218401</v>
      </c>
      <c r="AG76" s="470" t="s">
        <v>1075</v>
      </c>
      <c r="AH76" s="471">
        <v>164000</v>
      </c>
      <c r="AI76" s="137"/>
      <c r="AK76" s="406"/>
      <c r="AL76" s="403"/>
      <c r="AN76" s="404"/>
      <c r="AO76" s="402"/>
      <c r="AP76" s="401"/>
      <c r="AQ76" s="405"/>
      <c r="AT76" s="406"/>
      <c r="AU76" s="403"/>
      <c r="AW76" s="404"/>
      <c r="AX76" s="406"/>
      <c r="AY76" s="403"/>
      <c r="AZ76" s="404"/>
      <c r="BA76" s="141"/>
      <c r="BB76" s="7"/>
      <c r="BC76" s="48"/>
      <c r="BJ76" s="410"/>
      <c r="BK76" s="409"/>
      <c r="BL76" s="413"/>
      <c r="BM76" s="138"/>
      <c r="BS76" s="411"/>
      <c r="BT76" s="408"/>
      <c r="BU76" s="412"/>
      <c r="BV76" s="137"/>
      <c r="BX76" s="411"/>
      <c r="BY76" s="408"/>
      <c r="CA76" s="412"/>
      <c r="CB76" s="411"/>
      <c r="CC76" s="408"/>
      <c r="CD76" s="412"/>
      <c r="CE76" s="137"/>
      <c r="CG76" s="411"/>
      <c r="CH76" s="408"/>
      <c r="CJ76" s="412"/>
      <c r="CK76" s="410"/>
      <c r="CL76" s="409"/>
      <c r="CM76" s="413"/>
      <c r="CP76" s="411"/>
      <c r="CQ76" s="408"/>
      <c r="CS76" s="412"/>
      <c r="CT76" s="410"/>
      <c r="CU76" s="409"/>
      <c r="CV76" s="413"/>
      <c r="CY76" s="411"/>
      <c r="CZ76" s="408"/>
      <c r="DB76" s="412"/>
      <c r="DC76" s="410"/>
      <c r="DD76" s="409"/>
      <c r="DE76" s="413"/>
    </row>
    <row r="77" spans="1:109">
      <c r="A77" s="112"/>
      <c r="B77" s="110"/>
      <c r="C77" s="111"/>
      <c r="D77" s="111"/>
      <c r="E77" s="443">
        <v>214120</v>
      </c>
      <c r="F77" s="442" t="s">
        <v>159</v>
      </c>
      <c r="G77" s="441">
        <v>47308.78</v>
      </c>
      <c r="H77" s="111"/>
      <c r="J77" s="387"/>
      <c r="K77" s="384"/>
      <c r="N77" s="431">
        <v>333111</v>
      </c>
      <c r="O77" s="432" t="s">
        <v>126</v>
      </c>
      <c r="P77" s="434">
        <v>37.92</v>
      </c>
      <c r="S77" s="464">
        <v>213210</v>
      </c>
      <c r="T77" s="461" t="s">
        <v>113</v>
      </c>
      <c r="U77" s="462">
        <v>0</v>
      </c>
      <c r="V77" s="462">
        <v>18045.32</v>
      </c>
      <c r="W77" s="464">
        <v>215323</v>
      </c>
      <c r="X77" s="461" t="s">
        <v>272</v>
      </c>
      <c r="Y77" s="462">
        <v>316436.84999999998</v>
      </c>
      <c r="Z77" s="111"/>
      <c r="AB77" s="351"/>
      <c r="AC77" s="350"/>
      <c r="AD77" s="7"/>
      <c r="AE77" s="138"/>
      <c r="AF77" s="474">
        <v>119103</v>
      </c>
      <c r="AG77" s="472" t="s">
        <v>130</v>
      </c>
      <c r="AH77" s="473">
        <v>185092.52</v>
      </c>
      <c r="AI77" s="138"/>
      <c r="AK77" s="402"/>
      <c r="AL77" s="401"/>
      <c r="AN77" s="405"/>
      <c r="AO77" s="406"/>
      <c r="AP77" s="403"/>
      <c r="AQ77" s="404"/>
      <c r="AX77" s="402"/>
      <c r="AY77" s="401"/>
      <c r="AZ77" s="405"/>
      <c r="BA77" s="138"/>
      <c r="BB77" s="7"/>
      <c r="BC77" s="48"/>
      <c r="BJ77" s="411"/>
      <c r="BK77" s="408"/>
      <c r="BL77" s="412"/>
      <c r="BM77" s="137"/>
      <c r="BS77" s="410"/>
      <c r="BT77" s="409"/>
      <c r="BU77" s="413"/>
      <c r="BV77" s="138"/>
      <c r="BX77" s="410"/>
      <c r="BY77" s="409"/>
      <c r="CA77" s="413"/>
      <c r="CB77" s="410"/>
      <c r="CC77" s="409"/>
      <c r="CD77" s="413"/>
      <c r="CE77" s="138"/>
      <c r="CG77" s="410"/>
      <c r="CH77" s="409"/>
      <c r="CJ77" s="413"/>
      <c r="CK77" s="411"/>
      <c r="CL77" s="408"/>
      <c r="CM77" s="412"/>
      <c r="CP77" s="410"/>
      <c r="CQ77" s="409"/>
      <c r="CS77" s="413"/>
      <c r="CT77" s="411"/>
      <c r="CU77" s="408"/>
      <c r="CV77" s="412"/>
      <c r="CY77" s="410"/>
      <c r="CZ77" s="409"/>
      <c r="DB77" s="413"/>
      <c r="DC77" s="411"/>
      <c r="DD77" s="408"/>
      <c r="DE77" s="412"/>
    </row>
    <row r="78" spans="1:109">
      <c r="E78" s="438">
        <v>214201</v>
      </c>
      <c r="F78" s="439" t="s">
        <v>163</v>
      </c>
      <c r="G78" s="440">
        <v>36867.83</v>
      </c>
      <c r="J78" s="386"/>
      <c r="K78" s="385"/>
      <c r="L78" s="111"/>
      <c r="M78" s="111"/>
      <c r="N78" s="430">
        <v>213106</v>
      </c>
      <c r="O78" s="433" t="s">
        <v>145</v>
      </c>
      <c r="P78" s="435">
        <v>158619.21</v>
      </c>
      <c r="Q78" s="111"/>
      <c r="S78" s="465">
        <v>215311</v>
      </c>
      <c r="T78" s="458" t="s">
        <v>390</v>
      </c>
      <c r="U78" s="459">
        <v>0</v>
      </c>
      <c r="V78" s="459">
        <v>889.13</v>
      </c>
      <c r="W78" s="465">
        <v>331850</v>
      </c>
      <c r="X78" s="458" t="s">
        <v>185</v>
      </c>
      <c r="Y78" s="459">
        <v>78458.509999999995</v>
      </c>
      <c r="AB78" s="352"/>
      <c r="AC78" s="349"/>
      <c r="AD78" s="7"/>
      <c r="AE78" s="137"/>
      <c r="AF78" s="469">
        <v>331850</v>
      </c>
      <c r="AG78" s="470" t="s">
        <v>185</v>
      </c>
      <c r="AH78" s="471">
        <v>71122.289999999994</v>
      </c>
      <c r="AI78" s="137"/>
      <c r="AK78" s="406"/>
      <c r="AL78" s="403"/>
      <c r="AN78" s="404"/>
      <c r="AO78" s="402"/>
      <c r="AP78" s="401"/>
      <c r="AQ78" s="405"/>
      <c r="AX78" s="406"/>
      <c r="AY78" s="403"/>
      <c r="AZ78" s="404"/>
      <c r="BA78" s="137"/>
      <c r="BB78" s="7"/>
      <c r="BC78" s="48"/>
      <c r="BJ78" s="410"/>
      <c r="BK78" s="409"/>
      <c r="BL78" s="413"/>
      <c r="BM78" s="138"/>
      <c r="BS78" s="411"/>
      <c r="BT78" s="408"/>
      <c r="BU78" s="412"/>
      <c r="BV78" s="137"/>
      <c r="BX78" s="411"/>
      <c r="BY78" s="408"/>
      <c r="CA78" s="412"/>
      <c r="CB78" s="411"/>
      <c r="CC78" s="408"/>
      <c r="CD78" s="412"/>
      <c r="CE78" s="137"/>
      <c r="CG78" s="411"/>
      <c r="CH78" s="408"/>
      <c r="CJ78" s="412"/>
      <c r="CK78" s="410"/>
      <c r="CL78" s="409"/>
      <c r="CM78" s="413"/>
      <c r="CP78" s="411"/>
      <c r="CQ78" s="408"/>
      <c r="CS78" s="412"/>
      <c r="CT78" s="410"/>
      <c r="CU78" s="409"/>
      <c r="CV78" s="413"/>
      <c r="CY78" s="411"/>
      <c r="CZ78" s="408"/>
      <c r="DB78" s="412"/>
      <c r="DC78" s="410"/>
      <c r="DD78" s="409"/>
      <c r="DE78" s="413"/>
    </row>
    <row r="79" spans="1:109">
      <c r="A79" s="112"/>
      <c r="B79" s="110"/>
      <c r="C79" s="111"/>
      <c r="D79" s="111"/>
      <c r="E79" s="443">
        <v>214202</v>
      </c>
      <c r="F79" s="442" t="s">
        <v>164</v>
      </c>
      <c r="G79" s="441">
        <v>148330.06</v>
      </c>
      <c r="H79" s="111"/>
      <c r="J79" s="387"/>
      <c r="K79" s="384"/>
      <c r="N79" s="431">
        <v>226101</v>
      </c>
      <c r="O79" s="432" t="s">
        <v>180</v>
      </c>
      <c r="P79" s="434">
        <v>2718.65</v>
      </c>
      <c r="S79" s="464">
        <v>111902</v>
      </c>
      <c r="T79" s="461" t="s">
        <v>76</v>
      </c>
      <c r="U79" s="462">
        <v>0</v>
      </c>
      <c r="V79" s="462">
        <v>1533825</v>
      </c>
      <c r="W79" s="464">
        <v>112112</v>
      </c>
      <c r="X79" s="461" t="s">
        <v>80</v>
      </c>
      <c r="Y79" s="462">
        <v>134.74</v>
      </c>
      <c r="Z79" s="111"/>
      <c r="AB79" s="351"/>
      <c r="AC79" s="350"/>
      <c r="AD79" s="7"/>
      <c r="AE79" s="138"/>
      <c r="AF79" s="474">
        <v>331851</v>
      </c>
      <c r="AG79" s="472" t="s">
        <v>186</v>
      </c>
      <c r="AH79" s="473">
        <v>10213.219999999999</v>
      </c>
      <c r="AI79" s="138"/>
      <c r="AK79" s="402"/>
      <c r="AL79" s="401"/>
      <c r="AN79" s="405"/>
      <c r="AO79" s="406"/>
      <c r="AP79" s="403"/>
      <c r="AQ79" s="404"/>
      <c r="AX79" s="402"/>
      <c r="AY79" s="401"/>
      <c r="AZ79" s="405"/>
      <c r="BA79" s="138"/>
      <c r="BB79" s="7"/>
      <c r="BC79" s="48"/>
      <c r="BJ79" s="411"/>
      <c r="BK79" s="408"/>
      <c r="BL79" s="412"/>
      <c r="BM79" s="137"/>
      <c r="BS79" s="410"/>
      <c r="BT79" s="409"/>
      <c r="BU79" s="413"/>
      <c r="BV79" s="138"/>
      <c r="CB79" s="410"/>
      <c r="CC79" s="409"/>
      <c r="CD79" s="413"/>
      <c r="CE79" s="138"/>
      <c r="CG79" s="410"/>
      <c r="CH79" s="409"/>
      <c r="CJ79" s="413"/>
      <c r="CK79" s="411"/>
      <c r="CL79" s="408"/>
      <c r="CM79" s="412"/>
      <c r="CP79" s="410"/>
      <c r="CQ79" s="409"/>
      <c r="CS79" s="413"/>
      <c r="CT79" s="411"/>
      <c r="CU79" s="408"/>
      <c r="CV79" s="412"/>
      <c r="CY79" s="410"/>
      <c r="CZ79" s="409"/>
      <c r="DB79" s="413"/>
      <c r="DC79" s="411"/>
      <c r="DD79" s="408"/>
      <c r="DE79" s="412"/>
    </row>
    <row r="80" spans="1:109">
      <c r="E80" s="438">
        <v>213102</v>
      </c>
      <c r="F80" s="439" t="s">
        <v>143</v>
      </c>
      <c r="G80" s="440">
        <v>320333.34000000003</v>
      </c>
      <c r="J80" s="386"/>
      <c r="K80" s="385"/>
      <c r="L80" s="111"/>
      <c r="M80" s="111"/>
      <c r="N80" s="430">
        <v>331848</v>
      </c>
      <c r="O80" s="433" t="s">
        <v>184</v>
      </c>
      <c r="P80" s="435">
        <v>0.03</v>
      </c>
      <c r="Q80" s="111"/>
      <c r="S80" s="465">
        <v>213206</v>
      </c>
      <c r="T80" s="458" t="s">
        <v>112</v>
      </c>
      <c r="U80" s="459">
        <v>0</v>
      </c>
      <c r="V80" s="459">
        <v>29587.03</v>
      </c>
      <c r="W80" s="465">
        <v>127301</v>
      </c>
      <c r="X80" s="458" t="s">
        <v>131</v>
      </c>
      <c r="Y80" s="459">
        <v>200</v>
      </c>
      <c r="AB80" s="352"/>
      <c r="AC80" s="349"/>
      <c r="AD80" s="7"/>
      <c r="AE80" s="137"/>
      <c r="AF80" s="469">
        <v>331852</v>
      </c>
      <c r="AG80" s="470" t="s">
        <v>187</v>
      </c>
      <c r="AH80" s="471">
        <v>71065.41</v>
      </c>
      <c r="AI80" s="137"/>
      <c r="AO80" s="402"/>
      <c r="AP80" s="401"/>
      <c r="AQ80" s="405"/>
      <c r="AX80" s="406"/>
      <c r="AY80" s="403"/>
      <c r="AZ80" s="404"/>
      <c r="BA80" s="137"/>
      <c r="BB80" s="7"/>
      <c r="BC80" s="48"/>
      <c r="BJ80" s="410"/>
      <c r="BK80" s="409"/>
      <c r="BL80" s="413"/>
      <c r="BM80" s="138"/>
      <c r="BS80" s="411"/>
      <c r="BT80" s="408"/>
      <c r="BU80" s="412"/>
      <c r="BV80" s="137"/>
      <c r="CB80" s="411"/>
      <c r="CC80" s="408"/>
      <c r="CD80" s="412"/>
      <c r="CE80" s="137"/>
      <c r="CK80" s="410"/>
      <c r="CL80" s="409"/>
      <c r="CM80" s="413"/>
      <c r="CT80" s="410"/>
      <c r="CU80" s="409"/>
      <c r="CV80" s="413"/>
      <c r="DC80" s="410"/>
      <c r="DD80" s="409"/>
      <c r="DE80" s="413"/>
    </row>
    <row r="81" spans="1:109">
      <c r="A81" s="112"/>
      <c r="B81" s="110"/>
      <c r="C81" s="111"/>
      <c r="D81" s="111"/>
      <c r="E81" s="443">
        <v>215102</v>
      </c>
      <c r="F81" s="442" t="s">
        <v>166</v>
      </c>
      <c r="G81" s="441">
        <v>43169.59</v>
      </c>
      <c r="H81" s="111"/>
      <c r="J81" s="387"/>
      <c r="K81" s="384"/>
      <c r="N81" s="431">
        <v>333105</v>
      </c>
      <c r="O81" s="432" t="s">
        <v>125</v>
      </c>
      <c r="P81" s="434">
        <v>201759.06</v>
      </c>
      <c r="S81" s="112"/>
      <c r="T81" s="110"/>
      <c r="U81" s="111"/>
      <c r="V81" s="111"/>
      <c r="W81" s="464">
        <v>333107</v>
      </c>
      <c r="X81" s="461" t="s">
        <v>207</v>
      </c>
      <c r="Y81" s="462">
        <v>1439442.41</v>
      </c>
      <c r="Z81" s="111"/>
      <c r="AB81" s="351"/>
      <c r="AC81" s="350"/>
      <c r="AD81" s="7"/>
      <c r="AE81" s="138"/>
      <c r="AF81" s="474">
        <v>331853</v>
      </c>
      <c r="AG81" s="472" t="s">
        <v>188</v>
      </c>
      <c r="AH81" s="473">
        <v>16875.29</v>
      </c>
      <c r="AI81" s="138"/>
      <c r="AO81" s="406"/>
      <c r="AP81" s="403"/>
      <c r="AQ81" s="404"/>
      <c r="AX81" s="402"/>
      <c r="AY81" s="401"/>
      <c r="AZ81" s="405"/>
      <c r="BA81" s="141"/>
      <c r="BB81" s="7"/>
      <c r="BC81" s="48"/>
      <c r="BJ81" s="411"/>
      <c r="BK81" s="408"/>
      <c r="BL81" s="412"/>
      <c r="BM81" s="137"/>
      <c r="BS81" s="410"/>
      <c r="BT81" s="409"/>
      <c r="BU81" s="413"/>
      <c r="BV81" s="138"/>
      <c r="CB81" s="410"/>
      <c r="CC81" s="409"/>
      <c r="CD81" s="413"/>
      <c r="CE81" s="138"/>
      <c r="CK81" s="411"/>
      <c r="CL81" s="408"/>
      <c r="CM81" s="412"/>
      <c r="CT81" s="411"/>
      <c r="CU81" s="408"/>
      <c r="CV81" s="412"/>
      <c r="DC81" s="411"/>
      <c r="DD81" s="408"/>
      <c r="DE81" s="412"/>
    </row>
    <row r="82" spans="1:109">
      <c r="E82" s="438">
        <v>215302</v>
      </c>
      <c r="F82" s="439" t="s">
        <v>170</v>
      </c>
      <c r="G82" s="440">
        <v>1280.29</v>
      </c>
      <c r="J82" s="386"/>
      <c r="K82" s="385"/>
      <c r="L82" s="111"/>
      <c r="M82" s="111"/>
      <c r="N82" s="430">
        <v>213111</v>
      </c>
      <c r="O82" s="433" t="s">
        <v>146</v>
      </c>
      <c r="P82" s="435">
        <v>797070.82</v>
      </c>
      <c r="Q82" s="111"/>
      <c r="S82"/>
      <c r="W82" s="465">
        <v>333111</v>
      </c>
      <c r="X82" s="458" t="s">
        <v>126</v>
      </c>
      <c r="Y82" s="459">
        <v>61.03</v>
      </c>
      <c r="AB82" s="352"/>
      <c r="AC82" s="349"/>
      <c r="AD82" s="7"/>
      <c r="AE82" s="137"/>
      <c r="AF82" s="469">
        <v>331855</v>
      </c>
      <c r="AG82" s="470" t="s">
        <v>190</v>
      </c>
      <c r="AH82" s="471">
        <v>4350.6099999999997</v>
      </c>
      <c r="AI82" s="137"/>
      <c r="AO82" s="402"/>
      <c r="AP82" s="401"/>
      <c r="AQ82" s="405"/>
      <c r="AX82" s="406"/>
      <c r="AY82" s="403"/>
      <c r="AZ82" s="404"/>
      <c r="BA82" s="137"/>
      <c r="BB82" s="7"/>
      <c r="BC82" s="48"/>
      <c r="BJ82" s="410"/>
      <c r="BK82" s="409"/>
      <c r="BL82" s="413"/>
      <c r="BM82" s="138"/>
      <c r="BS82" s="411"/>
      <c r="BT82" s="408"/>
      <c r="BU82" s="412"/>
      <c r="BV82" s="137"/>
      <c r="CB82" s="411"/>
      <c r="CC82" s="408"/>
      <c r="CD82" s="412"/>
      <c r="CE82" s="137"/>
      <c r="CK82" s="410"/>
      <c r="CL82" s="409"/>
      <c r="CM82" s="413"/>
      <c r="CT82" s="410"/>
      <c r="CU82" s="409"/>
      <c r="CV82" s="413"/>
      <c r="DC82" s="410"/>
      <c r="DD82" s="409"/>
      <c r="DE82" s="413"/>
    </row>
    <row r="83" spans="1:109">
      <c r="A83" s="112"/>
      <c r="B83" s="110"/>
      <c r="C83" s="111"/>
      <c r="D83" s="111"/>
      <c r="E83" s="443">
        <v>331848</v>
      </c>
      <c r="F83" s="442" t="s">
        <v>184</v>
      </c>
      <c r="G83" s="441">
        <v>7.0000000000000007E-2</v>
      </c>
      <c r="H83" s="111"/>
      <c r="J83" s="387"/>
      <c r="K83" s="384"/>
      <c r="N83" s="431">
        <v>213112</v>
      </c>
      <c r="O83" s="432" t="s">
        <v>147</v>
      </c>
      <c r="P83" s="434">
        <v>151710.67000000001</v>
      </c>
      <c r="S83" s="112"/>
      <c r="T83" s="110"/>
      <c r="U83" s="111"/>
      <c r="V83" s="111"/>
      <c r="W83" s="464">
        <v>112502</v>
      </c>
      <c r="X83" s="461" t="s">
        <v>93</v>
      </c>
      <c r="Y83" s="462">
        <v>74.28</v>
      </c>
      <c r="Z83" s="111"/>
      <c r="AB83" s="351"/>
      <c r="AC83" s="350"/>
      <c r="AD83" s="7"/>
      <c r="AE83" s="138"/>
      <c r="AF83" s="474">
        <v>331860</v>
      </c>
      <c r="AG83" s="472" t="s">
        <v>192</v>
      </c>
      <c r="AH83" s="473">
        <v>2690.69</v>
      </c>
      <c r="AI83" s="138"/>
      <c r="AO83" s="406"/>
      <c r="AP83" s="403"/>
      <c r="AQ83" s="404"/>
      <c r="AX83" s="402"/>
      <c r="AY83" s="401"/>
      <c r="AZ83" s="405"/>
      <c r="BA83" s="138"/>
      <c r="BB83" s="7"/>
      <c r="BC83" s="48"/>
      <c r="BJ83" s="411"/>
      <c r="BK83" s="408"/>
      <c r="BL83" s="412"/>
      <c r="BM83" s="137"/>
      <c r="BS83" s="410"/>
      <c r="BT83" s="409"/>
      <c r="BU83" s="413"/>
      <c r="BV83" s="138"/>
      <c r="CB83" s="410"/>
      <c r="CC83" s="409"/>
      <c r="CD83" s="413"/>
      <c r="CE83" s="138"/>
      <c r="CK83" s="411"/>
      <c r="CL83" s="408"/>
      <c r="CM83" s="412"/>
      <c r="CT83" s="411"/>
      <c r="CU83" s="408"/>
      <c r="CV83" s="412"/>
      <c r="DC83" s="411"/>
      <c r="DD83" s="408"/>
      <c r="DE83" s="412"/>
    </row>
    <row r="84" spans="1:109">
      <c r="E84" s="438">
        <v>333110</v>
      </c>
      <c r="F84" s="439" t="s">
        <v>210</v>
      </c>
      <c r="G84" s="440">
        <v>2094.12</v>
      </c>
      <c r="J84" s="386"/>
      <c r="K84" s="385"/>
      <c r="L84" s="111"/>
      <c r="M84" s="111"/>
      <c r="N84" s="430">
        <v>215391</v>
      </c>
      <c r="O84" s="433" t="s">
        <v>175</v>
      </c>
      <c r="P84" s="435">
        <v>115860.54</v>
      </c>
      <c r="Q84" s="111"/>
      <c r="S84"/>
      <c r="W84" s="465">
        <v>191601</v>
      </c>
      <c r="X84" s="458" t="s">
        <v>479</v>
      </c>
      <c r="Y84" s="459">
        <v>5000</v>
      </c>
      <c r="AB84" s="352"/>
      <c r="AC84" s="349"/>
      <c r="AD84" s="7"/>
      <c r="AE84" s="137"/>
      <c r="AF84" s="469">
        <v>331867</v>
      </c>
      <c r="AG84" s="470" t="s">
        <v>198</v>
      </c>
      <c r="AH84" s="471">
        <v>5860.66</v>
      </c>
      <c r="AI84" s="137"/>
      <c r="AO84" s="402"/>
      <c r="AP84" s="401"/>
      <c r="AQ84" s="405"/>
      <c r="AX84" s="406"/>
      <c r="AY84" s="403"/>
      <c r="AZ84" s="404"/>
      <c r="BA84" s="137"/>
      <c r="BB84" s="7"/>
      <c r="BC84" s="48"/>
      <c r="BJ84" s="410"/>
      <c r="BK84" s="409"/>
      <c r="BL84" s="413"/>
      <c r="BM84" s="138"/>
      <c r="BS84" s="411"/>
      <c r="BT84" s="408"/>
      <c r="BU84" s="412"/>
      <c r="BV84" s="137"/>
      <c r="CB84" s="411"/>
      <c r="CC84" s="408"/>
      <c r="CD84" s="412"/>
      <c r="CE84" s="137"/>
      <c r="CK84" s="410"/>
      <c r="CL84" s="409"/>
      <c r="CM84" s="413"/>
      <c r="CT84" s="410"/>
      <c r="CU84" s="409"/>
      <c r="CV84" s="413"/>
      <c r="DC84" s="410"/>
      <c r="DD84" s="409"/>
      <c r="DE84" s="413"/>
    </row>
    <row r="85" spans="1:109">
      <c r="A85" s="112"/>
      <c r="B85" s="110"/>
      <c r="C85" s="111"/>
      <c r="D85" s="111"/>
      <c r="E85" s="443">
        <v>127301</v>
      </c>
      <c r="F85" s="442" t="s">
        <v>131</v>
      </c>
      <c r="G85" s="441">
        <v>600</v>
      </c>
      <c r="H85" s="111"/>
      <c r="J85" s="387"/>
      <c r="K85" s="384"/>
      <c r="N85" s="431">
        <v>331866</v>
      </c>
      <c r="O85" s="432" t="s">
        <v>197</v>
      </c>
      <c r="P85" s="434">
        <v>8025.94</v>
      </c>
      <c r="S85" s="112"/>
      <c r="T85" s="110"/>
      <c r="U85" s="111"/>
      <c r="V85" s="111"/>
      <c r="W85" s="464">
        <v>213103</v>
      </c>
      <c r="X85" s="461" t="s">
        <v>476</v>
      </c>
      <c r="Y85" s="462">
        <v>137495.87</v>
      </c>
      <c r="Z85" s="111"/>
      <c r="AB85" s="351"/>
      <c r="AC85" s="350"/>
      <c r="AE85" s="138"/>
      <c r="AF85" s="474">
        <v>127301</v>
      </c>
      <c r="AG85" s="472" t="s">
        <v>131</v>
      </c>
      <c r="AH85" s="473">
        <v>200</v>
      </c>
      <c r="AI85" s="138"/>
      <c r="AO85" s="406"/>
      <c r="AP85" s="403"/>
      <c r="AQ85" s="404"/>
      <c r="AX85" s="402"/>
      <c r="AY85" s="401"/>
      <c r="AZ85" s="405"/>
      <c r="BA85" s="138"/>
      <c r="BB85" s="7"/>
      <c r="BC85" s="48"/>
      <c r="BJ85" s="411"/>
      <c r="BK85" s="408"/>
      <c r="BL85" s="412"/>
      <c r="BM85" s="137"/>
      <c r="BS85" s="410"/>
      <c r="BT85" s="409"/>
      <c r="BU85" s="413"/>
      <c r="BV85" s="138"/>
      <c r="CB85" s="410"/>
      <c r="CC85" s="409"/>
      <c r="CD85" s="413"/>
      <c r="CE85" s="138"/>
      <c r="CK85" s="411"/>
      <c r="CL85" s="408"/>
      <c r="CM85" s="412"/>
      <c r="CT85" s="411"/>
      <c r="CU85" s="408"/>
      <c r="CV85" s="412"/>
      <c r="DC85" s="411"/>
      <c r="DD85" s="408"/>
      <c r="DE85" s="412"/>
    </row>
    <row r="86" spans="1:109">
      <c r="E86" s="438">
        <v>212199</v>
      </c>
      <c r="F86" s="439" t="s">
        <v>140</v>
      </c>
      <c r="G86" s="440">
        <v>1448240.46</v>
      </c>
      <c r="J86" s="386"/>
      <c r="K86" s="385"/>
      <c r="L86" s="111"/>
      <c r="M86" s="111"/>
      <c r="N86" s="430">
        <v>212204</v>
      </c>
      <c r="O86" s="433" t="s">
        <v>141</v>
      </c>
      <c r="P86" s="435">
        <v>10385.280000000001</v>
      </c>
      <c r="Q86" s="111"/>
      <c r="S86"/>
      <c r="W86" s="465">
        <v>214102</v>
      </c>
      <c r="X86" s="458" t="s">
        <v>153</v>
      </c>
      <c r="Y86" s="459">
        <v>666443.93999999994</v>
      </c>
      <c r="AB86" s="352"/>
      <c r="AC86" s="349"/>
      <c r="AD86" s="137"/>
      <c r="AE86" s="137"/>
      <c r="AF86" s="469">
        <v>213103</v>
      </c>
      <c r="AG86" s="470" t="s">
        <v>476</v>
      </c>
      <c r="AH86" s="471">
        <v>137495.87</v>
      </c>
      <c r="AI86" s="137"/>
      <c r="AO86" s="402"/>
      <c r="AP86" s="401"/>
      <c r="AQ86" s="405"/>
      <c r="AX86" s="406"/>
      <c r="AY86" s="403"/>
      <c r="AZ86" s="404"/>
      <c r="BA86" s="137"/>
      <c r="BB86" s="7"/>
      <c r="BC86" s="48"/>
      <c r="BJ86" s="410"/>
      <c r="BK86" s="409"/>
      <c r="BL86" s="413"/>
      <c r="BM86" s="138"/>
      <c r="BS86" s="411"/>
      <c r="BT86" s="408"/>
      <c r="BU86" s="412"/>
      <c r="BV86" s="137"/>
      <c r="CB86" s="411"/>
      <c r="CC86" s="408"/>
      <c r="CD86" s="412"/>
      <c r="CE86" s="137"/>
      <c r="CK86" s="410"/>
      <c r="CL86" s="409"/>
      <c r="CM86" s="413"/>
      <c r="CT86" s="410"/>
      <c r="CU86" s="409"/>
      <c r="CV86" s="413"/>
      <c r="DC86" s="410"/>
      <c r="DD86" s="409"/>
      <c r="DE86" s="413"/>
    </row>
    <row r="87" spans="1:109">
      <c r="A87" s="112"/>
      <c r="B87" s="110"/>
      <c r="C87" s="111"/>
      <c r="D87" s="111"/>
      <c r="E87" s="443">
        <v>213111</v>
      </c>
      <c r="F87" s="442" t="s">
        <v>146</v>
      </c>
      <c r="G87" s="441">
        <v>2599302.06</v>
      </c>
      <c r="H87" s="111"/>
      <c r="J87" s="387"/>
      <c r="K87" s="384"/>
      <c r="N87" s="431">
        <v>212299</v>
      </c>
      <c r="O87" s="432" t="s">
        <v>142</v>
      </c>
      <c r="P87" s="434">
        <v>191472.32</v>
      </c>
      <c r="S87" s="112"/>
      <c r="T87" s="110"/>
      <c r="U87" s="111"/>
      <c r="V87" s="111"/>
      <c r="W87" s="464">
        <v>214120</v>
      </c>
      <c r="X87" s="461" t="s">
        <v>159</v>
      </c>
      <c r="Y87" s="462">
        <v>33585.910000000003</v>
      </c>
      <c r="Z87" s="111"/>
      <c r="AB87" s="351"/>
      <c r="AC87" s="350"/>
      <c r="AD87" s="138"/>
      <c r="AE87" s="138"/>
      <c r="AF87" s="474">
        <v>213106</v>
      </c>
      <c r="AG87" s="472" t="s">
        <v>145</v>
      </c>
      <c r="AH87" s="473">
        <v>138794.73000000001</v>
      </c>
      <c r="AI87" s="138"/>
      <c r="AO87" s="406"/>
      <c r="AP87" s="403"/>
      <c r="AQ87" s="404"/>
      <c r="AX87" s="402"/>
      <c r="AY87" s="401"/>
      <c r="AZ87" s="405"/>
      <c r="BA87" s="138"/>
      <c r="BB87" s="7"/>
      <c r="BC87" s="48"/>
      <c r="BJ87" s="411"/>
      <c r="BK87" s="408"/>
      <c r="BL87" s="412"/>
      <c r="BM87" s="137"/>
      <c r="BS87" s="410"/>
      <c r="BT87" s="409"/>
      <c r="BU87" s="413"/>
      <c r="BV87" s="138"/>
      <c r="CB87" s="410"/>
      <c r="CC87" s="409"/>
      <c r="CD87" s="413"/>
      <c r="CE87" s="138"/>
      <c r="CK87" s="411"/>
      <c r="CL87" s="408"/>
      <c r="CM87" s="412"/>
      <c r="CT87" s="411"/>
      <c r="CU87" s="408"/>
      <c r="CV87" s="412"/>
      <c r="DC87" s="411"/>
      <c r="DD87" s="408"/>
      <c r="DE87" s="412"/>
    </row>
    <row r="88" spans="1:109">
      <c r="E88" s="438">
        <v>215304</v>
      </c>
      <c r="F88" s="439" t="s">
        <v>171</v>
      </c>
      <c r="G88" s="440">
        <v>410.32</v>
      </c>
      <c r="J88" s="386"/>
      <c r="K88" s="385"/>
      <c r="L88" s="111"/>
      <c r="M88" s="111"/>
      <c r="N88" s="430">
        <v>214110</v>
      </c>
      <c r="O88" s="433" t="s">
        <v>154</v>
      </c>
      <c r="P88" s="435">
        <v>1912.87</v>
      </c>
      <c r="Q88" s="111"/>
      <c r="S88"/>
      <c r="W88" s="465">
        <v>112512</v>
      </c>
      <c r="X88" s="458" t="s">
        <v>99</v>
      </c>
      <c r="Y88" s="459">
        <v>171.29</v>
      </c>
      <c r="AB88" s="352"/>
      <c r="AC88" s="349"/>
      <c r="AD88" s="137"/>
      <c r="AE88" s="137"/>
      <c r="AF88" s="469">
        <v>213306</v>
      </c>
      <c r="AG88" s="470" t="s">
        <v>150</v>
      </c>
      <c r="AH88" s="471">
        <v>462845.86</v>
      </c>
      <c r="AI88" s="137"/>
      <c r="AO88" s="402"/>
      <c r="AP88" s="401"/>
      <c r="AQ88" s="405"/>
      <c r="AX88" s="406"/>
      <c r="AY88" s="403"/>
      <c r="AZ88" s="404"/>
      <c r="BA88" s="137"/>
      <c r="BB88" s="7"/>
      <c r="BC88" s="48"/>
      <c r="BJ88" s="410"/>
      <c r="BK88" s="409"/>
      <c r="BL88" s="413"/>
      <c r="BM88" s="138"/>
      <c r="BS88" s="411"/>
      <c r="BT88" s="408"/>
      <c r="BU88" s="412"/>
      <c r="BV88" s="137"/>
      <c r="CB88" s="411"/>
      <c r="CC88" s="408"/>
      <c r="CD88" s="412"/>
      <c r="CE88" s="137"/>
      <c r="CK88" s="410"/>
      <c r="CL88" s="409"/>
      <c r="CM88" s="413"/>
      <c r="CT88" s="410"/>
      <c r="CU88" s="409"/>
      <c r="CV88" s="413"/>
      <c r="DC88" s="410"/>
      <c r="DD88" s="409"/>
      <c r="DE88" s="413"/>
    </row>
    <row r="89" spans="1:109">
      <c r="A89" s="112"/>
      <c r="B89" s="110"/>
      <c r="C89" s="111"/>
      <c r="D89" s="111"/>
      <c r="E89" s="443">
        <v>331868</v>
      </c>
      <c r="F89" s="442" t="s">
        <v>855</v>
      </c>
      <c r="G89" s="441">
        <v>1.26</v>
      </c>
      <c r="H89" s="111"/>
      <c r="J89" s="387"/>
      <c r="K89" s="384"/>
      <c r="N89" s="431">
        <v>214111</v>
      </c>
      <c r="O89" s="432" t="s">
        <v>155</v>
      </c>
      <c r="P89" s="434">
        <v>6109.65</v>
      </c>
      <c r="S89" s="112"/>
      <c r="T89" s="110"/>
      <c r="U89" s="111"/>
      <c r="V89" s="111"/>
      <c r="W89" s="464">
        <v>331848</v>
      </c>
      <c r="X89" s="461" t="s">
        <v>184</v>
      </c>
      <c r="Y89" s="462">
        <v>0.04</v>
      </c>
      <c r="Z89" s="111"/>
      <c r="AB89" s="351"/>
      <c r="AC89" s="350"/>
      <c r="AD89" s="138"/>
      <c r="AE89" s="138"/>
      <c r="AF89" s="474">
        <v>226201</v>
      </c>
      <c r="AG89" s="472" t="s">
        <v>181</v>
      </c>
      <c r="AH89" s="473">
        <v>100000</v>
      </c>
      <c r="AI89" s="138"/>
      <c r="AO89" s="406"/>
      <c r="AP89" s="403"/>
      <c r="AQ89" s="404"/>
      <c r="AX89" s="402"/>
      <c r="AY89" s="401"/>
      <c r="AZ89" s="405"/>
      <c r="BA89" s="141"/>
      <c r="BB89" s="7"/>
      <c r="BC89" s="48"/>
      <c r="BJ89" s="411"/>
      <c r="BK89" s="408"/>
      <c r="BL89" s="412"/>
      <c r="BM89" s="137"/>
      <c r="BS89" s="410"/>
      <c r="BT89" s="409"/>
      <c r="BU89" s="413"/>
      <c r="BV89" s="138"/>
      <c r="CB89" s="410"/>
      <c r="CC89" s="409"/>
      <c r="CD89" s="413"/>
      <c r="CE89" s="138"/>
      <c r="CK89" s="411"/>
      <c r="CL89" s="408"/>
      <c r="CM89" s="412"/>
      <c r="CT89" s="411"/>
      <c r="CU89" s="408"/>
      <c r="CV89" s="412"/>
      <c r="DC89" s="411"/>
      <c r="DD89" s="408"/>
      <c r="DE89" s="412"/>
    </row>
    <row r="90" spans="1:109">
      <c r="E90" s="438">
        <v>331874</v>
      </c>
      <c r="F90" s="439" t="s">
        <v>201</v>
      </c>
      <c r="G90" s="440">
        <v>124.3</v>
      </c>
      <c r="J90" s="386"/>
      <c r="K90" s="385"/>
      <c r="L90" s="111"/>
      <c r="M90" s="111"/>
      <c r="N90" s="430">
        <v>214113</v>
      </c>
      <c r="O90" s="433" t="s">
        <v>156</v>
      </c>
      <c r="P90" s="435">
        <v>7379.67</v>
      </c>
      <c r="Q90" s="111"/>
      <c r="S90"/>
      <c r="W90" s="465">
        <v>213112</v>
      </c>
      <c r="X90" s="458" t="s">
        <v>147</v>
      </c>
      <c r="Y90" s="459">
        <v>150787.35</v>
      </c>
      <c r="AB90" s="352"/>
      <c r="AC90" s="349"/>
      <c r="AD90" s="137"/>
      <c r="AE90" s="137"/>
      <c r="AF90" s="469">
        <v>333107</v>
      </c>
      <c r="AG90" s="470" t="s">
        <v>207</v>
      </c>
      <c r="AH90" s="471">
        <v>1335687.1599999999</v>
      </c>
      <c r="AI90" s="137"/>
      <c r="AO90" s="402"/>
      <c r="AP90" s="401"/>
      <c r="AQ90" s="405"/>
      <c r="AX90" s="406"/>
      <c r="AY90" s="403"/>
      <c r="AZ90" s="404"/>
      <c r="BA90" s="137"/>
      <c r="BB90" s="7"/>
      <c r="BC90" s="48"/>
      <c r="BJ90" s="410"/>
      <c r="BK90" s="409"/>
      <c r="BL90" s="413"/>
      <c r="BM90" s="138"/>
      <c r="BS90" s="411"/>
      <c r="BT90" s="408"/>
      <c r="BU90" s="412"/>
      <c r="BV90" s="137"/>
      <c r="CB90" s="411"/>
      <c r="CC90" s="408"/>
      <c r="CD90" s="412"/>
      <c r="CE90" s="137"/>
      <c r="CK90" s="410"/>
      <c r="CL90" s="409"/>
      <c r="CM90" s="413"/>
      <c r="CT90" s="410"/>
      <c r="CU90" s="409"/>
      <c r="CV90" s="413"/>
      <c r="DC90" s="410"/>
      <c r="DD90" s="409"/>
      <c r="DE90" s="413"/>
    </row>
    <row r="91" spans="1:109">
      <c r="A91" s="112"/>
      <c r="B91" s="110"/>
      <c r="C91" s="111"/>
      <c r="D91" s="111"/>
      <c r="E91" s="443">
        <v>226101</v>
      </c>
      <c r="F91" s="442" t="s">
        <v>180</v>
      </c>
      <c r="G91" s="441">
        <v>143580.62</v>
      </c>
      <c r="H91" s="111"/>
      <c r="J91" s="387"/>
      <c r="K91" s="384"/>
      <c r="N91" s="431">
        <v>214114</v>
      </c>
      <c r="O91" s="432" t="s">
        <v>157</v>
      </c>
      <c r="P91" s="434">
        <v>1671.81</v>
      </c>
      <c r="S91" s="112"/>
      <c r="T91" s="110"/>
      <c r="U91" s="111"/>
      <c r="V91" s="111"/>
      <c r="W91" s="464">
        <v>215304</v>
      </c>
      <c r="X91" s="461" t="s">
        <v>171</v>
      </c>
      <c r="Y91" s="462">
        <v>83.5</v>
      </c>
      <c r="Z91" s="111"/>
      <c r="AB91" s="351"/>
      <c r="AC91" s="350"/>
      <c r="AD91" s="138"/>
      <c r="AE91" s="138"/>
      <c r="AF91" s="474">
        <v>213111</v>
      </c>
      <c r="AG91" s="472" t="s">
        <v>146</v>
      </c>
      <c r="AH91" s="473">
        <v>1117537.92</v>
      </c>
      <c r="AI91" s="138"/>
      <c r="AO91" s="406"/>
      <c r="AP91" s="403"/>
      <c r="AQ91" s="404"/>
      <c r="AX91" s="402"/>
      <c r="AY91" s="401"/>
      <c r="AZ91" s="405"/>
      <c r="BA91" s="138"/>
      <c r="BB91" s="7"/>
      <c r="BC91" s="48"/>
      <c r="BJ91" s="411"/>
      <c r="BK91" s="408"/>
      <c r="BL91" s="412"/>
      <c r="BM91" s="137"/>
      <c r="BS91" s="410"/>
      <c r="BT91" s="409"/>
      <c r="BU91" s="413"/>
      <c r="BV91" s="138"/>
      <c r="CB91" s="410"/>
      <c r="CC91" s="409"/>
      <c r="CD91" s="413"/>
      <c r="CE91" s="138"/>
      <c r="CK91" s="411"/>
      <c r="CL91" s="408"/>
      <c r="CM91" s="412"/>
      <c r="CT91" s="411"/>
      <c r="CU91" s="408"/>
      <c r="CV91" s="412"/>
      <c r="DC91" s="411"/>
      <c r="DD91" s="408"/>
      <c r="DE91" s="412"/>
    </row>
    <row r="92" spans="1:109">
      <c r="E92" s="438">
        <v>211301</v>
      </c>
      <c r="F92" s="439" t="s">
        <v>137</v>
      </c>
      <c r="G92" s="440">
        <v>95173.71</v>
      </c>
      <c r="J92" s="386"/>
      <c r="K92" s="385"/>
      <c r="L92" s="111"/>
      <c r="M92" s="111"/>
      <c r="N92" s="430">
        <v>331854</v>
      </c>
      <c r="O92" s="433" t="s">
        <v>189</v>
      </c>
      <c r="P92" s="435">
        <v>6.87</v>
      </c>
      <c r="Q92" s="111"/>
      <c r="S92"/>
      <c r="W92" s="465">
        <v>331864</v>
      </c>
      <c r="X92" s="458" t="s">
        <v>196</v>
      </c>
      <c r="Y92" s="459">
        <v>17864.64</v>
      </c>
      <c r="AB92" s="352"/>
      <c r="AC92" s="349"/>
      <c r="AD92" s="137"/>
      <c r="AE92" s="137"/>
      <c r="AF92" s="469">
        <v>331848</v>
      </c>
      <c r="AG92" s="470" t="s">
        <v>184</v>
      </c>
      <c r="AH92" s="471">
        <v>1.25</v>
      </c>
      <c r="AI92" s="137"/>
      <c r="AO92" s="402"/>
      <c r="AP92" s="401"/>
      <c r="AQ92" s="405"/>
      <c r="AX92" s="406"/>
      <c r="AY92" s="403"/>
      <c r="AZ92" s="404"/>
      <c r="BA92" s="137"/>
      <c r="BB92" s="7"/>
      <c r="BC92" s="48"/>
      <c r="BJ92" s="410"/>
      <c r="BK92" s="409"/>
      <c r="BL92" s="413"/>
      <c r="BS92" s="411"/>
      <c r="BT92" s="408"/>
      <c r="BU92" s="412"/>
      <c r="BV92" s="137"/>
      <c r="CB92" s="411"/>
      <c r="CC92" s="408"/>
      <c r="CD92" s="412"/>
      <c r="CE92" s="137"/>
      <c r="CK92" s="410"/>
      <c r="CL92" s="409"/>
      <c r="CM92" s="413"/>
      <c r="CT92" s="410"/>
      <c r="CU92" s="409"/>
      <c r="CV92" s="413"/>
      <c r="DC92" s="410"/>
      <c r="DD92" s="409"/>
      <c r="DE92" s="413"/>
    </row>
    <row r="93" spans="1:109">
      <c r="A93" s="112"/>
      <c r="B93" s="110"/>
      <c r="C93" s="111"/>
      <c r="D93" s="111"/>
      <c r="E93" s="443">
        <v>112303</v>
      </c>
      <c r="F93" s="442" t="s">
        <v>85</v>
      </c>
      <c r="G93" s="441">
        <v>168.58</v>
      </c>
      <c r="H93" s="111"/>
      <c r="J93" s="387"/>
      <c r="K93" s="384"/>
      <c r="N93" s="431">
        <v>333110</v>
      </c>
      <c r="O93" s="432" t="s">
        <v>210</v>
      </c>
      <c r="P93" s="434">
        <v>2442.27</v>
      </c>
      <c r="S93" s="112"/>
      <c r="T93" s="110"/>
      <c r="U93" s="111"/>
      <c r="V93" s="111"/>
      <c r="W93" s="464">
        <v>333108</v>
      </c>
      <c r="X93" s="461" t="s">
        <v>208</v>
      </c>
      <c r="Y93" s="462">
        <v>2892.72</v>
      </c>
      <c r="Z93" s="111"/>
      <c r="AB93" s="351"/>
      <c r="AC93" s="350"/>
      <c r="AF93" s="474">
        <v>331854</v>
      </c>
      <c r="AG93" s="472" t="s">
        <v>189</v>
      </c>
      <c r="AH93" s="473">
        <v>4.74</v>
      </c>
      <c r="AO93" s="406"/>
      <c r="AP93" s="403"/>
      <c r="AQ93" s="404"/>
      <c r="AX93" s="402"/>
      <c r="AY93" s="401"/>
      <c r="AZ93" s="405"/>
      <c r="BA93" s="138"/>
      <c r="BB93" s="7"/>
      <c r="BC93" s="48"/>
      <c r="BJ93" s="411"/>
      <c r="BK93" s="408"/>
      <c r="BL93" s="412"/>
      <c r="BS93" s="410"/>
      <c r="BT93" s="409"/>
      <c r="BU93" s="413"/>
      <c r="BV93" s="138"/>
      <c r="CB93" s="410"/>
      <c r="CC93" s="409"/>
      <c r="CD93" s="413"/>
      <c r="CE93" s="138"/>
      <c r="CK93" s="411"/>
      <c r="CL93" s="408"/>
      <c r="CM93" s="412"/>
      <c r="CT93" s="411"/>
      <c r="CU93" s="408"/>
      <c r="CV93" s="412"/>
      <c r="DC93" s="411"/>
      <c r="DD93" s="408"/>
      <c r="DE93" s="412"/>
    </row>
    <row r="94" spans="1:109">
      <c r="E94" s="438">
        <v>212106</v>
      </c>
      <c r="F94" s="439" t="s">
        <v>139</v>
      </c>
      <c r="G94" s="440">
        <v>131187.20000000001</v>
      </c>
      <c r="J94" s="386"/>
      <c r="K94" s="385"/>
      <c r="L94" s="111"/>
      <c r="M94" s="111"/>
      <c r="N94" s="430">
        <v>213105</v>
      </c>
      <c r="O94" s="433" t="s">
        <v>144</v>
      </c>
      <c r="P94" s="435">
        <v>174857.43</v>
      </c>
      <c r="Q94" s="111"/>
      <c r="S94"/>
      <c r="W94" s="465">
        <v>226201</v>
      </c>
      <c r="X94" s="458" t="s">
        <v>181</v>
      </c>
      <c r="Y94" s="459">
        <v>3434445.48</v>
      </c>
      <c r="AB94" s="352"/>
      <c r="AC94" s="349"/>
      <c r="AF94" s="469">
        <v>212108</v>
      </c>
      <c r="AG94" s="470" t="s">
        <v>475</v>
      </c>
      <c r="AH94" s="471">
        <v>109415.61</v>
      </c>
      <c r="AO94" s="402"/>
      <c r="AP94" s="401"/>
      <c r="AQ94" s="405"/>
      <c r="AX94" s="406"/>
      <c r="AY94" s="403"/>
      <c r="AZ94" s="404"/>
      <c r="BA94" s="137"/>
      <c r="BB94" s="7"/>
      <c r="BC94" s="48"/>
      <c r="BJ94" s="410"/>
      <c r="BK94" s="409"/>
      <c r="BL94" s="413"/>
      <c r="BS94" s="411"/>
      <c r="BT94" s="408"/>
      <c r="BU94" s="412"/>
      <c r="BV94" s="137"/>
      <c r="CB94" s="411"/>
      <c r="CC94" s="408"/>
      <c r="CD94" s="412"/>
      <c r="CE94" s="137"/>
      <c r="CK94" s="410"/>
      <c r="CL94" s="409"/>
      <c r="CM94" s="413"/>
      <c r="CT94" s="410"/>
      <c r="CU94" s="409"/>
      <c r="CV94" s="413"/>
      <c r="DC94" s="410"/>
      <c r="DD94" s="409"/>
      <c r="DE94" s="413"/>
    </row>
    <row r="95" spans="1:109">
      <c r="A95" s="112"/>
      <c r="B95" s="110"/>
      <c r="C95" s="111"/>
      <c r="D95" s="111"/>
      <c r="E95" s="443">
        <v>213103</v>
      </c>
      <c r="F95" s="442" t="s">
        <v>476</v>
      </c>
      <c r="G95" s="441">
        <v>137495.87</v>
      </c>
      <c r="H95" s="111"/>
      <c r="J95" s="387"/>
      <c r="K95" s="384"/>
      <c r="N95" s="431">
        <v>331868</v>
      </c>
      <c r="O95" s="432" t="s">
        <v>855</v>
      </c>
      <c r="P95" s="434">
        <v>12.98</v>
      </c>
      <c r="S95" s="112"/>
      <c r="T95" s="110"/>
      <c r="U95" s="111"/>
      <c r="V95" s="111"/>
      <c r="W95" s="464">
        <v>331862</v>
      </c>
      <c r="X95" s="461" t="s">
        <v>194</v>
      </c>
      <c r="Y95" s="462">
        <v>7521.88</v>
      </c>
      <c r="Z95" s="111"/>
      <c r="AB95" s="351"/>
      <c r="AC95" s="350"/>
      <c r="AF95" s="474">
        <v>214102</v>
      </c>
      <c r="AG95" s="472" t="s">
        <v>153</v>
      </c>
      <c r="AH95" s="473">
        <v>914740.66</v>
      </c>
      <c r="AO95" s="406"/>
      <c r="AP95" s="403"/>
      <c r="AQ95" s="404"/>
      <c r="AX95" s="402"/>
      <c r="AY95" s="401"/>
      <c r="AZ95" s="405"/>
      <c r="BA95" s="138"/>
      <c r="BB95" s="7"/>
      <c r="BC95" s="48"/>
      <c r="BJ95" s="411"/>
      <c r="BK95" s="408"/>
      <c r="BL95" s="412"/>
      <c r="BS95" s="410"/>
      <c r="BT95" s="409"/>
      <c r="BU95" s="413"/>
      <c r="CB95" s="410"/>
      <c r="CC95" s="409"/>
      <c r="CD95" s="413"/>
      <c r="CE95" s="138"/>
      <c r="CK95" s="411"/>
      <c r="CL95" s="408"/>
      <c r="CM95" s="412"/>
      <c r="CT95" s="411"/>
      <c r="CU95" s="408"/>
      <c r="CV95" s="412"/>
      <c r="DC95" s="411"/>
      <c r="DD95" s="408"/>
      <c r="DE95" s="412"/>
    </row>
    <row r="96" spans="1:109">
      <c r="E96" s="438">
        <v>223111</v>
      </c>
      <c r="F96" s="439" t="s">
        <v>856</v>
      </c>
      <c r="G96" s="440">
        <v>1656672.9</v>
      </c>
      <c r="J96" s="386"/>
      <c r="K96" s="385"/>
      <c r="L96" s="111"/>
      <c r="M96" s="111"/>
      <c r="N96" s="430">
        <v>333109</v>
      </c>
      <c r="O96" s="433" t="s">
        <v>209</v>
      </c>
      <c r="P96" s="435">
        <v>10.68</v>
      </c>
      <c r="Q96" s="111"/>
      <c r="S96"/>
      <c r="W96" s="465">
        <v>331863</v>
      </c>
      <c r="X96" s="458" t="s">
        <v>195</v>
      </c>
      <c r="Y96" s="459">
        <v>2456.4</v>
      </c>
      <c r="AB96" s="352"/>
      <c r="AC96" s="349"/>
      <c r="AF96" s="469">
        <v>214120</v>
      </c>
      <c r="AG96" s="470" t="s">
        <v>159</v>
      </c>
      <c r="AH96" s="471">
        <v>54581.79</v>
      </c>
      <c r="AO96" s="402"/>
      <c r="AP96" s="401"/>
      <c r="AQ96" s="405"/>
      <c r="AX96" s="406"/>
      <c r="AY96" s="403"/>
      <c r="AZ96" s="404"/>
      <c r="BA96" s="137"/>
      <c r="BB96" s="7"/>
      <c r="BC96" s="48"/>
      <c r="BJ96" s="410"/>
      <c r="BK96" s="409"/>
      <c r="BL96" s="413"/>
      <c r="BS96" s="411"/>
      <c r="BT96" s="408"/>
      <c r="BU96" s="412"/>
      <c r="CB96" s="411"/>
      <c r="CC96" s="408"/>
      <c r="CD96" s="412"/>
      <c r="CE96" s="137"/>
      <c r="CK96" s="410"/>
      <c r="CL96" s="409"/>
      <c r="CM96" s="413"/>
      <c r="CT96" s="410"/>
      <c r="CU96" s="409"/>
      <c r="CV96" s="413"/>
      <c r="DC96" s="410"/>
      <c r="DD96" s="409"/>
      <c r="DE96" s="413"/>
    </row>
    <row r="97" spans="1:109">
      <c r="A97" s="112"/>
      <c r="B97" s="110"/>
      <c r="C97" s="111"/>
      <c r="D97" s="111"/>
      <c r="E97" s="443">
        <v>112105</v>
      </c>
      <c r="F97" s="442" t="s">
        <v>594</v>
      </c>
      <c r="G97" s="441">
        <v>601.51</v>
      </c>
      <c r="H97" s="111"/>
      <c r="J97" s="387"/>
      <c r="K97" s="384"/>
      <c r="N97" s="431">
        <v>127301</v>
      </c>
      <c r="O97" s="432" t="s">
        <v>131</v>
      </c>
      <c r="P97" s="434">
        <v>200</v>
      </c>
      <c r="S97" s="112"/>
      <c r="T97" s="110"/>
      <c r="U97" s="111"/>
      <c r="V97" s="111"/>
      <c r="W97" s="464">
        <v>331866</v>
      </c>
      <c r="X97" s="461" t="s">
        <v>197</v>
      </c>
      <c r="Y97" s="462">
        <v>8982.41</v>
      </c>
      <c r="Z97" s="111"/>
      <c r="AB97" s="351"/>
      <c r="AC97" s="350"/>
      <c r="AF97" s="474">
        <v>331866</v>
      </c>
      <c r="AG97" s="472" t="s">
        <v>197</v>
      </c>
      <c r="AH97" s="473">
        <v>8070</v>
      </c>
      <c r="AO97" s="406"/>
      <c r="AP97" s="403"/>
      <c r="AQ97" s="404"/>
      <c r="AX97" s="402"/>
      <c r="AY97" s="401"/>
      <c r="AZ97" s="405"/>
      <c r="BA97" s="138"/>
      <c r="BB97" s="29"/>
      <c r="BC97" s="48"/>
      <c r="BJ97" s="411"/>
      <c r="BK97" s="408"/>
      <c r="BL97" s="412"/>
      <c r="BS97" s="410"/>
      <c r="BT97" s="409"/>
      <c r="BU97" s="413"/>
      <c r="CB97" s="410"/>
      <c r="CC97" s="409"/>
      <c r="CD97" s="413"/>
      <c r="CK97" s="411"/>
      <c r="CL97" s="408"/>
      <c r="CM97" s="412"/>
      <c r="CT97" s="411"/>
      <c r="CU97" s="408"/>
      <c r="CV97" s="412"/>
      <c r="DC97" s="411"/>
      <c r="DD97" s="408"/>
      <c r="DE97" s="412"/>
    </row>
    <row r="98" spans="1:109">
      <c r="E98" s="438">
        <v>212108</v>
      </c>
      <c r="F98" s="439" t="s">
        <v>475</v>
      </c>
      <c r="G98" s="440">
        <v>86335.87</v>
      </c>
      <c r="J98" s="386"/>
      <c r="K98" s="385"/>
      <c r="L98" s="111"/>
      <c r="M98" s="111"/>
      <c r="N98" s="430">
        <v>213113</v>
      </c>
      <c r="O98" s="433" t="s">
        <v>148</v>
      </c>
      <c r="P98" s="435">
        <v>76685.14</v>
      </c>
      <c r="Q98" s="111"/>
      <c r="S98"/>
      <c r="W98" s="465">
        <v>331874</v>
      </c>
      <c r="X98" s="458" t="s">
        <v>201</v>
      </c>
      <c r="Y98" s="459">
        <v>234.33</v>
      </c>
      <c r="AB98" s="352"/>
      <c r="AC98" s="349"/>
      <c r="AF98" s="469">
        <v>331874</v>
      </c>
      <c r="AG98" s="470" t="s">
        <v>201</v>
      </c>
      <c r="AH98" s="471">
        <v>256.33</v>
      </c>
      <c r="AO98" s="402"/>
      <c r="AP98" s="401"/>
      <c r="AQ98" s="405"/>
      <c r="AX98" s="406"/>
      <c r="AY98" s="403"/>
      <c r="AZ98" s="404"/>
      <c r="BB98" s="7"/>
      <c r="BC98" s="48"/>
      <c r="BJ98" s="410"/>
      <c r="BK98" s="409"/>
      <c r="BL98" s="413"/>
      <c r="BS98" s="411"/>
      <c r="BT98" s="408"/>
      <c r="BU98" s="412"/>
      <c r="CB98" s="411"/>
      <c r="CC98" s="408"/>
      <c r="CD98" s="412"/>
      <c r="CK98" s="410"/>
      <c r="CL98" s="409"/>
      <c r="CM98" s="413"/>
      <c r="CT98" s="410"/>
      <c r="CU98" s="409"/>
      <c r="CV98" s="413"/>
      <c r="DC98" s="410"/>
      <c r="DD98" s="409"/>
      <c r="DE98" s="413"/>
    </row>
    <row r="99" spans="1:109">
      <c r="A99" s="112"/>
      <c r="B99" s="110"/>
      <c r="C99" s="111"/>
      <c r="D99" s="111"/>
      <c r="E99" s="443">
        <v>212204</v>
      </c>
      <c r="F99" s="442" t="s">
        <v>141</v>
      </c>
      <c r="G99" s="441">
        <v>10181.780000000001</v>
      </c>
      <c r="H99" s="111"/>
      <c r="J99" s="387"/>
      <c r="K99" s="384"/>
      <c r="N99" s="431">
        <v>112103</v>
      </c>
      <c r="O99" s="432" t="s">
        <v>79</v>
      </c>
      <c r="P99" s="434">
        <v>146.56</v>
      </c>
      <c r="S99" s="112"/>
      <c r="T99" s="110"/>
      <c r="U99" s="111"/>
      <c r="V99" s="111"/>
      <c r="W99" s="464">
        <v>331875</v>
      </c>
      <c r="X99" s="461" t="s">
        <v>202</v>
      </c>
      <c r="Y99" s="462">
        <v>10.24</v>
      </c>
      <c r="Z99" s="111"/>
      <c r="AB99" s="351"/>
      <c r="AC99" s="350"/>
      <c r="AF99" s="474">
        <v>331875</v>
      </c>
      <c r="AG99" s="472" t="s">
        <v>202</v>
      </c>
      <c r="AH99" s="473">
        <v>3.73</v>
      </c>
      <c r="AO99" s="406"/>
      <c r="AP99" s="403"/>
      <c r="AQ99" s="404"/>
      <c r="AX99" s="402"/>
      <c r="AY99" s="401"/>
      <c r="AZ99" s="405"/>
      <c r="BB99" s="7"/>
      <c r="BC99" s="48"/>
      <c r="BJ99" s="411"/>
      <c r="BK99" s="408"/>
      <c r="BL99" s="412"/>
      <c r="BS99" s="410"/>
      <c r="BT99" s="409"/>
      <c r="BU99" s="413"/>
      <c r="CB99" s="410"/>
      <c r="CC99" s="409"/>
      <c r="CD99" s="413"/>
      <c r="CK99" s="411"/>
      <c r="CL99" s="408"/>
      <c r="CM99" s="412"/>
      <c r="CT99" s="411"/>
      <c r="CU99" s="408"/>
      <c r="CV99" s="412"/>
      <c r="DC99" s="411"/>
      <c r="DD99" s="408"/>
      <c r="DE99" s="412"/>
    </row>
    <row r="100" spans="1:109">
      <c r="E100" s="438">
        <v>214110</v>
      </c>
      <c r="F100" s="439" t="s">
        <v>154</v>
      </c>
      <c r="G100" s="440">
        <v>1634.08</v>
      </c>
      <c r="J100" s="386"/>
      <c r="K100" s="385"/>
      <c r="L100" s="111"/>
      <c r="M100" s="111"/>
      <c r="N100" s="430">
        <v>333108</v>
      </c>
      <c r="O100" s="433" t="s">
        <v>208</v>
      </c>
      <c r="P100" s="435">
        <v>1181.6500000000001</v>
      </c>
      <c r="Q100" s="111"/>
      <c r="S100"/>
      <c r="W100" s="465">
        <v>119103</v>
      </c>
      <c r="X100" s="458" t="s">
        <v>130</v>
      </c>
      <c r="Y100" s="459">
        <v>61080.55</v>
      </c>
      <c r="AB100" s="352"/>
      <c r="AC100" s="349"/>
      <c r="AF100" s="469">
        <v>213112</v>
      </c>
      <c r="AG100" s="470" t="s">
        <v>147</v>
      </c>
      <c r="AH100" s="471">
        <v>150927.03</v>
      </c>
      <c r="AO100" s="402"/>
      <c r="AP100" s="401"/>
      <c r="AQ100" s="405"/>
      <c r="AX100" s="406"/>
      <c r="AY100" s="403"/>
      <c r="AZ100" s="404"/>
      <c r="BB100" s="7"/>
      <c r="BC100" s="48"/>
      <c r="BJ100" s="410"/>
      <c r="BK100" s="409"/>
      <c r="BL100" s="413"/>
      <c r="BS100" s="411"/>
      <c r="BT100" s="408"/>
      <c r="BU100" s="412"/>
      <c r="CB100" s="411"/>
      <c r="CC100" s="408"/>
      <c r="CD100" s="412"/>
      <c r="CK100" s="410"/>
      <c r="CL100" s="409"/>
      <c r="CM100" s="413"/>
      <c r="CT100" s="410"/>
      <c r="CU100" s="409"/>
      <c r="CV100" s="413"/>
      <c r="DC100" s="410"/>
      <c r="DD100" s="409"/>
      <c r="DE100" s="413"/>
    </row>
    <row r="101" spans="1:109">
      <c r="A101" s="112"/>
      <c r="B101" s="110"/>
      <c r="C101" s="111"/>
      <c r="D101" s="111"/>
      <c r="E101" s="443">
        <v>214111</v>
      </c>
      <c r="F101" s="442" t="s">
        <v>155</v>
      </c>
      <c r="G101" s="441">
        <v>13963.66</v>
      </c>
      <c r="H101" s="111"/>
      <c r="J101" s="387"/>
      <c r="K101" s="384"/>
      <c r="N101" s="431">
        <v>213102</v>
      </c>
      <c r="O101" s="432" t="s">
        <v>143</v>
      </c>
      <c r="P101" s="434">
        <v>319550</v>
      </c>
      <c r="S101" s="112"/>
      <c r="T101" s="110"/>
      <c r="U101" s="111"/>
      <c r="V101" s="111"/>
      <c r="W101" s="464">
        <v>212108</v>
      </c>
      <c r="X101" s="461" t="s">
        <v>475</v>
      </c>
      <c r="Y101" s="462">
        <v>98935.88</v>
      </c>
      <c r="Z101" s="111"/>
      <c r="AB101" s="351"/>
      <c r="AC101" s="350"/>
      <c r="AF101" s="474">
        <v>213901</v>
      </c>
      <c r="AG101" s="472" t="s">
        <v>117</v>
      </c>
      <c r="AH101" s="473">
        <v>330000</v>
      </c>
      <c r="AO101" s="406"/>
      <c r="AP101" s="403"/>
      <c r="AQ101" s="404"/>
      <c r="AX101" s="402"/>
      <c r="AY101" s="401"/>
      <c r="AZ101" s="405"/>
      <c r="BB101" s="7"/>
      <c r="BC101" s="48"/>
      <c r="BJ101" s="411"/>
      <c r="BK101" s="408"/>
      <c r="BL101" s="412"/>
      <c r="BS101" s="410"/>
      <c r="BT101" s="409"/>
      <c r="BU101" s="413"/>
      <c r="CB101" s="410"/>
      <c r="CC101" s="409"/>
      <c r="CD101" s="413"/>
      <c r="CK101" s="411"/>
      <c r="CL101" s="408"/>
      <c r="CM101" s="412"/>
      <c r="CT101" s="411"/>
      <c r="CU101" s="408"/>
      <c r="CV101" s="412"/>
      <c r="DC101" s="411"/>
      <c r="DD101" s="408"/>
      <c r="DE101" s="412"/>
    </row>
    <row r="102" spans="1:109">
      <c r="E102" s="438">
        <v>214113</v>
      </c>
      <c r="F102" s="439" t="s">
        <v>156</v>
      </c>
      <c r="G102" s="440">
        <v>6782.13</v>
      </c>
      <c r="J102" s="386"/>
      <c r="K102" s="385"/>
      <c r="L102" s="111"/>
      <c r="M102" s="111"/>
      <c r="N102" s="430">
        <v>214197</v>
      </c>
      <c r="O102" s="433" t="s">
        <v>160</v>
      </c>
      <c r="P102" s="435">
        <v>493167.64</v>
      </c>
      <c r="Q102" s="111"/>
      <c r="S102"/>
      <c r="W102" s="465">
        <v>212204</v>
      </c>
      <c r="X102" s="458" t="s">
        <v>141</v>
      </c>
      <c r="Y102" s="459">
        <v>10974.24</v>
      </c>
      <c r="AB102" s="352"/>
      <c r="AC102" s="349"/>
      <c r="AF102" s="469">
        <v>333108</v>
      </c>
      <c r="AG102" s="470" t="s">
        <v>208</v>
      </c>
      <c r="AH102" s="471">
        <v>165</v>
      </c>
      <c r="AO102" s="402"/>
      <c r="AP102" s="401"/>
      <c r="AQ102" s="405"/>
      <c r="AX102" s="406"/>
      <c r="AY102" s="403"/>
      <c r="AZ102" s="404"/>
      <c r="BB102" s="7"/>
      <c r="BC102" s="48"/>
      <c r="BJ102" s="410"/>
      <c r="BK102" s="409"/>
      <c r="BL102" s="413"/>
      <c r="BS102" s="411"/>
      <c r="BT102" s="408"/>
      <c r="BU102" s="412"/>
      <c r="CB102" s="411"/>
      <c r="CC102" s="408"/>
      <c r="CD102" s="412"/>
      <c r="CK102" s="410"/>
      <c r="CL102" s="409"/>
      <c r="CM102" s="413"/>
      <c r="CT102" s="410"/>
      <c r="CU102" s="409"/>
      <c r="CV102" s="413"/>
      <c r="DC102" s="410"/>
      <c r="DD102" s="409"/>
      <c r="DE102" s="413"/>
    </row>
    <row r="103" spans="1:109">
      <c r="A103" s="112"/>
      <c r="B103" s="110"/>
      <c r="C103" s="111"/>
      <c r="D103" s="111"/>
      <c r="E103" s="443">
        <v>214114</v>
      </c>
      <c r="F103" s="442" t="s">
        <v>157</v>
      </c>
      <c r="G103" s="441">
        <v>1758.44</v>
      </c>
      <c r="H103" s="111"/>
      <c r="J103" s="387"/>
      <c r="K103" s="384"/>
      <c r="N103" s="431">
        <v>212199</v>
      </c>
      <c r="O103" s="432" t="s">
        <v>140</v>
      </c>
      <c r="P103" s="434">
        <v>1500441.35</v>
      </c>
      <c r="S103" s="112"/>
      <c r="T103" s="110"/>
      <c r="U103" s="111"/>
      <c r="V103" s="111"/>
      <c r="W103" s="464">
        <v>214110</v>
      </c>
      <c r="X103" s="461" t="s">
        <v>154</v>
      </c>
      <c r="Y103" s="462">
        <v>1704.19</v>
      </c>
      <c r="Z103" s="111"/>
      <c r="AB103" s="351"/>
      <c r="AC103" s="350"/>
      <c r="AF103" s="474">
        <v>333110</v>
      </c>
      <c r="AG103" s="472" t="s">
        <v>210</v>
      </c>
      <c r="AH103" s="473">
        <v>304.55</v>
      </c>
      <c r="AO103" s="406"/>
      <c r="AP103" s="403"/>
      <c r="AQ103" s="404"/>
      <c r="AX103" s="402"/>
      <c r="AY103" s="401"/>
      <c r="AZ103" s="405"/>
      <c r="BB103" s="55"/>
      <c r="BC103" s="48"/>
      <c r="BJ103" s="411"/>
      <c r="BK103" s="408"/>
      <c r="BL103" s="412"/>
      <c r="BS103" s="410"/>
      <c r="BT103" s="409"/>
      <c r="BU103" s="413"/>
      <c r="CB103" s="410"/>
      <c r="CC103" s="409"/>
      <c r="CD103" s="413"/>
      <c r="CK103" s="411"/>
      <c r="CL103" s="408"/>
      <c r="CM103" s="412"/>
      <c r="CT103" s="411"/>
      <c r="CU103" s="408"/>
      <c r="CV103" s="412"/>
      <c r="DC103" s="411"/>
      <c r="DD103" s="408"/>
      <c r="DE103" s="412"/>
    </row>
    <row r="104" spans="1:109">
      <c r="E104" s="438">
        <v>215332</v>
      </c>
      <c r="F104" s="439" t="s">
        <v>173</v>
      </c>
      <c r="G104" s="440">
        <v>803.16</v>
      </c>
      <c r="J104" s="386"/>
      <c r="K104" s="385"/>
      <c r="L104" s="111"/>
      <c r="M104" s="111"/>
      <c r="N104" s="430">
        <v>214201</v>
      </c>
      <c r="O104" s="433" t="s">
        <v>163</v>
      </c>
      <c r="P104" s="435">
        <v>41815.120000000003</v>
      </c>
      <c r="Q104" s="111"/>
      <c r="S104"/>
      <c r="W104" s="465">
        <v>214111</v>
      </c>
      <c r="X104" s="458" t="s">
        <v>155</v>
      </c>
      <c r="Y104" s="459">
        <v>6109.65</v>
      </c>
      <c r="AB104" s="352"/>
      <c r="AC104" s="349"/>
      <c r="AF104" s="469">
        <v>112107</v>
      </c>
      <c r="AG104" s="470" t="s">
        <v>597</v>
      </c>
      <c r="AH104" s="471">
        <v>661.81</v>
      </c>
      <c r="AO104" s="402"/>
      <c r="AP104" s="401"/>
      <c r="AQ104" s="405"/>
      <c r="AX104" s="406"/>
      <c r="AY104" s="403"/>
      <c r="AZ104" s="404"/>
      <c r="BB104" s="55"/>
      <c r="BC104" s="48"/>
      <c r="BJ104" s="410"/>
      <c r="BK104" s="409"/>
      <c r="BL104" s="413"/>
      <c r="BS104" s="411"/>
      <c r="BT104" s="408"/>
      <c r="BU104" s="412"/>
      <c r="CB104" s="411"/>
      <c r="CC104" s="408"/>
      <c r="CD104" s="412"/>
      <c r="CK104" s="410"/>
      <c r="CL104" s="409"/>
      <c r="CM104" s="413"/>
      <c r="CT104" s="410"/>
      <c r="CU104" s="409"/>
      <c r="CV104" s="413"/>
      <c r="DC104" s="410"/>
      <c r="DD104" s="409"/>
      <c r="DE104" s="413"/>
    </row>
    <row r="105" spans="1:109">
      <c r="A105" s="112"/>
      <c r="B105" s="110"/>
      <c r="C105" s="111"/>
      <c r="D105" s="111"/>
      <c r="E105" s="443">
        <v>331854</v>
      </c>
      <c r="F105" s="442" t="s">
        <v>189</v>
      </c>
      <c r="G105" s="441">
        <v>0.84</v>
      </c>
      <c r="H105" s="111"/>
      <c r="J105" s="387"/>
      <c r="K105" s="384"/>
      <c r="N105" s="431">
        <v>215108</v>
      </c>
      <c r="O105" s="432" t="s">
        <v>401</v>
      </c>
      <c r="P105" s="434">
        <v>260010</v>
      </c>
      <c r="S105" s="112"/>
      <c r="T105" s="110"/>
      <c r="U105" s="111"/>
      <c r="V105" s="111"/>
      <c r="W105" s="464">
        <v>214113</v>
      </c>
      <c r="X105" s="461" t="s">
        <v>156</v>
      </c>
      <c r="Y105" s="462">
        <v>6705.23</v>
      </c>
      <c r="Z105" s="111"/>
      <c r="AB105" s="351"/>
      <c r="AC105" s="350"/>
      <c r="AF105" s="474">
        <v>213105</v>
      </c>
      <c r="AG105" s="472" t="s">
        <v>144</v>
      </c>
      <c r="AH105" s="473">
        <v>240004.15</v>
      </c>
      <c r="AO105" s="406"/>
      <c r="AP105" s="403"/>
      <c r="AQ105" s="404"/>
      <c r="AX105" s="402"/>
      <c r="AY105" s="401"/>
      <c r="AZ105" s="405"/>
      <c r="BB105" s="55"/>
      <c r="BC105" s="48"/>
      <c r="BJ105" s="411"/>
      <c r="BK105" s="408"/>
      <c r="BL105" s="412"/>
      <c r="BS105" s="410"/>
      <c r="BT105" s="409"/>
      <c r="BU105" s="413"/>
      <c r="CB105" s="410"/>
      <c r="CC105" s="409"/>
      <c r="CD105" s="413"/>
      <c r="CK105" s="411"/>
      <c r="CL105" s="408"/>
      <c r="CM105" s="412"/>
      <c r="CT105" s="411"/>
      <c r="CU105" s="408"/>
      <c r="CV105" s="412"/>
      <c r="DC105" s="411"/>
      <c r="DD105" s="408"/>
      <c r="DE105" s="412"/>
    </row>
    <row r="106" spans="1:109">
      <c r="E106" s="438">
        <v>213324</v>
      </c>
      <c r="F106" s="439" t="s">
        <v>151</v>
      </c>
      <c r="G106" s="440">
        <v>0.02</v>
      </c>
      <c r="J106" s="386"/>
      <c r="K106" s="385"/>
      <c r="L106" s="111"/>
      <c r="M106" s="111"/>
      <c r="N106" s="430">
        <v>224201</v>
      </c>
      <c r="O106" s="433" t="s">
        <v>177</v>
      </c>
      <c r="P106" s="435">
        <v>284920.55</v>
      </c>
      <c r="Q106" s="111"/>
      <c r="S106"/>
      <c r="W106" s="465">
        <v>214114</v>
      </c>
      <c r="X106" s="458" t="s">
        <v>157</v>
      </c>
      <c r="Y106" s="459">
        <v>1606.41</v>
      </c>
      <c r="AB106" s="352"/>
      <c r="AC106" s="349"/>
      <c r="AF106" s="469">
        <v>213102</v>
      </c>
      <c r="AG106" s="470" t="s">
        <v>143</v>
      </c>
      <c r="AH106" s="471">
        <v>317983.34000000003</v>
      </c>
      <c r="AO106" s="402"/>
      <c r="AP106" s="401"/>
      <c r="AQ106" s="405"/>
      <c r="AX106" s="406"/>
      <c r="AY106" s="403"/>
      <c r="AZ106" s="404"/>
      <c r="BB106" s="55"/>
      <c r="BC106" s="48"/>
      <c r="BJ106" s="410"/>
      <c r="BK106" s="409"/>
      <c r="BL106" s="413"/>
      <c r="BS106" s="411"/>
      <c r="BT106" s="408"/>
      <c r="BU106" s="412"/>
      <c r="CB106" s="411"/>
      <c r="CC106" s="408"/>
      <c r="CD106" s="412"/>
      <c r="CK106" s="410"/>
      <c r="CL106" s="409"/>
      <c r="CM106" s="413"/>
      <c r="CT106" s="410"/>
      <c r="CU106" s="409"/>
      <c r="CV106" s="413"/>
      <c r="DC106" s="410"/>
      <c r="DD106" s="409"/>
      <c r="DE106" s="413"/>
    </row>
    <row r="107" spans="1:109">
      <c r="A107" s="112"/>
      <c r="B107" s="110"/>
      <c r="C107" s="111"/>
      <c r="D107" s="111"/>
      <c r="E107" s="443">
        <v>214199</v>
      </c>
      <c r="F107" s="442" t="s">
        <v>162</v>
      </c>
      <c r="G107" s="441">
        <v>399982</v>
      </c>
      <c r="H107" s="111"/>
      <c r="J107" s="387"/>
      <c r="K107" s="384"/>
      <c r="N107" s="431">
        <v>112108</v>
      </c>
      <c r="O107" s="432" t="s">
        <v>598</v>
      </c>
      <c r="P107" s="434">
        <v>362.2</v>
      </c>
      <c r="S107" s="112"/>
      <c r="T107" s="110"/>
      <c r="U107" s="111"/>
      <c r="V107" s="111"/>
      <c r="W107" s="464">
        <v>214197</v>
      </c>
      <c r="X107" s="461" t="s">
        <v>160</v>
      </c>
      <c r="Y107" s="462">
        <v>313340.36</v>
      </c>
      <c r="Z107" s="111"/>
      <c r="AB107" s="351"/>
      <c r="AC107" s="350"/>
      <c r="AF107" s="474">
        <v>213113</v>
      </c>
      <c r="AG107" s="472" t="s">
        <v>148</v>
      </c>
      <c r="AH107" s="473">
        <v>75488.28</v>
      </c>
      <c r="AO107" s="406"/>
      <c r="AP107" s="403"/>
      <c r="AQ107" s="404"/>
      <c r="AX107" s="402"/>
      <c r="AY107" s="401"/>
      <c r="AZ107" s="405"/>
      <c r="BB107" s="55"/>
      <c r="BC107" s="48"/>
      <c r="BJ107" s="411"/>
      <c r="BK107" s="408"/>
      <c r="BL107" s="412"/>
      <c r="BS107" s="410"/>
      <c r="BT107" s="409"/>
      <c r="BU107" s="413"/>
      <c r="CB107" s="410"/>
      <c r="CC107" s="409"/>
      <c r="CD107" s="413"/>
      <c r="CK107" s="411"/>
      <c r="CL107" s="408"/>
      <c r="CM107" s="412"/>
      <c r="CT107" s="411"/>
      <c r="CU107" s="408"/>
      <c r="CV107" s="412"/>
      <c r="DC107" s="411"/>
      <c r="DD107" s="408"/>
      <c r="DE107" s="412"/>
    </row>
    <row r="108" spans="1:109">
      <c r="E108" s="438">
        <v>333109</v>
      </c>
      <c r="F108" s="439" t="s">
        <v>209</v>
      </c>
      <c r="G108" s="440">
        <v>1225.99</v>
      </c>
      <c r="J108" s="386"/>
      <c r="K108" s="385"/>
      <c r="L108" s="111"/>
      <c r="M108" s="111"/>
      <c r="N108" s="430">
        <v>212102</v>
      </c>
      <c r="O108" s="433" t="s">
        <v>138</v>
      </c>
      <c r="P108" s="435">
        <v>152746.01</v>
      </c>
      <c r="Q108" s="111"/>
      <c r="S108"/>
      <c r="W108" s="465">
        <v>213324</v>
      </c>
      <c r="X108" s="458" t="s">
        <v>151</v>
      </c>
      <c r="Y108" s="459">
        <v>1626390</v>
      </c>
      <c r="AB108" s="352"/>
      <c r="AC108" s="349"/>
      <c r="AF108" s="469">
        <v>214201</v>
      </c>
      <c r="AG108" s="470" t="s">
        <v>163</v>
      </c>
      <c r="AH108" s="471">
        <v>41815.120000000003</v>
      </c>
      <c r="AO108" s="402"/>
      <c r="AP108" s="401"/>
      <c r="AQ108" s="405"/>
      <c r="AX108" s="406"/>
      <c r="AY108" s="403"/>
      <c r="AZ108" s="404"/>
      <c r="BB108" s="55"/>
      <c r="BC108" s="48"/>
      <c r="BJ108" s="410"/>
      <c r="BK108" s="409"/>
      <c r="BL108" s="413"/>
      <c r="BS108" s="411"/>
      <c r="BT108" s="408"/>
      <c r="BU108" s="412"/>
      <c r="CB108" s="411"/>
      <c r="CC108" s="408"/>
      <c r="CD108" s="412"/>
      <c r="CK108" s="410"/>
      <c r="CL108" s="409"/>
      <c r="CM108" s="413"/>
      <c r="CT108" s="410"/>
      <c r="CU108" s="409"/>
      <c r="CV108" s="413"/>
      <c r="DC108" s="410"/>
      <c r="DD108" s="409"/>
      <c r="DE108" s="413"/>
    </row>
    <row r="109" spans="1:109">
      <c r="A109" s="112"/>
      <c r="B109" s="110"/>
      <c r="C109" s="111"/>
      <c r="D109" s="111"/>
      <c r="E109" s="443">
        <v>112109</v>
      </c>
      <c r="F109" s="442" t="s">
        <v>600</v>
      </c>
      <c r="G109" s="441">
        <v>8302.3799999999992</v>
      </c>
      <c r="H109" s="111"/>
      <c r="J109" s="387"/>
      <c r="K109" s="384"/>
      <c r="N109" s="431">
        <v>212108</v>
      </c>
      <c r="O109" s="432" t="s">
        <v>475</v>
      </c>
      <c r="P109" s="434">
        <v>91717.26</v>
      </c>
      <c r="S109" s="112"/>
      <c r="T109" s="110"/>
      <c r="U109" s="111"/>
      <c r="V109" s="111"/>
      <c r="W109" s="464">
        <v>331854</v>
      </c>
      <c r="X109" s="461" t="s">
        <v>189</v>
      </c>
      <c r="Y109" s="462">
        <v>0.67</v>
      </c>
      <c r="Z109" s="111"/>
      <c r="AB109" s="351"/>
      <c r="AC109" s="350"/>
      <c r="AF109" s="474">
        <v>214202</v>
      </c>
      <c r="AG109" s="472" t="s">
        <v>164</v>
      </c>
      <c r="AH109" s="473">
        <v>111695.19</v>
      </c>
      <c r="AO109" s="406"/>
      <c r="AP109" s="403"/>
      <c r="AQ109" s="404"/>
      <c r="AX109" s="402"/>
      <c r="AY109" s="401"/>
      <c r="AZ109" s="405"/>
      <c r="BB109" s="55"/>
      <c r="BC109" s="48"/>
      <c r="BJ109" s="411"/>
      <c r="BK109" s="408"/>
      <c r="BL109" s="412"/>
      <c r="BS109" s="410"/>
      <c r="BT109" s="409"/>
      <c r="BU109" s="413"/>
      <c r="CB109" s="410"/>
      <c r="CC109" s="409"/>
      <c r="CD109" s="413"/>
      <c r="CK109" s="411"/>
      <c r="CL109" s="408"/>
      <c r="CM109" s="412"/>
      <c r="CT109" s="411"/>
      <c r="CU109" s="408"/>
      <c r="CV109" s="412"/>
      <c r="DC109" s="411"/>
      <c r="DD109" s="408"/>
      <c r="DE109" s="412"/>
    </row>
    <row r="110" spans="1:109">
      <c r="E110" s="438">
        <v>213106</v>
      </c>
      <c r="F110" s="439" t="s">
        <v>145</v>
      </c>
      <c r="G110" s="440">
        <v>139266.99</v>
      </c>
      <c r="J110" s="386"/>
      <c r="K110" s="385"/>
      <c r="L110" s="111"/>
      <c r="M110" s="111"/>
      <c r="N110" s="430">
        <v>213103</v>
      </c>
      <c r="O110" s="433" t="s">
        <v>476</v>
      </c>
      <c r="P110" s="435">
        <v>137495.87</v>
      </c>
      <c r="Q110" s="111"/>
      <c r="S110"/>
      <c r="W110" s="465">
        <v>214201</v>
      </c>
      <c r="X110" s="458" t="s">
        <v>163</v>
      </c>
      <c r="Y110" s="459">
        <v>41815.120000000003</v>
      </c>
      <c r="AB110" s="352"/>
      <c r="AC110" s="349"/>
      <c r="AF110" s="469">
        <v>331868</v>
      </c>
      <c r="AG110" s="470" t="s">
        <v>855</v>
      </c>
      <c r="AH110" s="471">
        <v>57.02</v>
      </c>
      <c r="AO110" s="402"/>
      <c r="AP110" s="401"/>
      <c r="AQ110" s="405"/>
      <c r="AX110" s="406"/>
      <c r="AY110" s="403"/>
      <c r="AZ110" s="404"/>
      <c r="BB110" s="55"/>
      <c r="BC110" s="48"/>
      <c r="BJ110" s="410"/>
      <c r="BK110" s="409"/>
      <c r="BL110" s="413"/>
      <c r="BS110" s="411"/>
      <c r="BT110" s="408"/>
      <c r="BU110" s="412"/>
      <c r="CB110" s="411"/>
      <c r="CC110" s="408"/>
      <c r="CD110" s="412"/>
      <c r="CK110" s="410"/>
      <c r="CL110" s="409"/>
      <c r="CM110" s="413"/>
      <c r="CT110" s="410"/>
      <c r="CU110" s="409"/>
      <c r="CV110" s="413"/>
      <c r="DC110" s="410"/>
      <c r="DD110" s="409"/>
      <c r="DE110" s="413"/>
    </row>
    <row r="111" spans="1:109">
      <c r="A111" s="112"/>
      <c r="B111" s="110"/>
      <c r="C111" s="111"/>
      <c r="D111" s="111"/>
      <c r="E111" s="443">
        <v>214197</v>
      </c>
      <c r="F111" s="442" t="s">
        <v>160</v>
      </c>
      <c r="G111" s="441">
        <v>1256608.72</v>
      </c>
      <c r="H111" s="111"/>
      <c r="J111" s="387"/>
      <c r="K111" s="384"/>
      <c r="N111" s="431">
        <v>215102</v>
      </c>
      <c r="O111" s="432" t="s">
        <v>166</v>
      </c>
      <c r="P111" s="434">
        <v>9843.09</v>
      </c>
      <c r="S111" s="112"/>
      <c r="T111" s="110"/>
      <c r="U111" s="111"/>
      <c r="V111" s="111"/>
      <c r="W111" s="464">
        <v>214202</v>
      </c>
      <c r="X111" s="461" t="s">
        <v>164</v>
      </c>
      <c r="Y111" s="462">
        <v>111695.19</v>
      </c>
      <c r="Z111" s="111"/>
      <c r="AB111" s="351"/>
      <c r="AC111" s="350"/>
      <c r="AF111" s="416"/>
      <c r="AG111" s="415"/>
      <c r="AH111" s="419"/>
      <c r="AO111" s="406"/>
      <c r="AP111" s="403"/>
      <c r="AQ111" s="404"/>
      <c r="AX111" s="402"/>
      <c r="AY111" s="401"/>
      <c r="AZ111" s="405"/>
      <c r="BB111" s="55"/>
      <c r="BC111" s="48"/>
      <c r="BJ111" s="411"/>
      <c r="BK111" s="408"/>
      <c r="BL111" s="412"/>
      <c r="BS111" s="410"/>
      <c r="BT111" s="409"/>
      <c r="BU111" s="413"/>
      <c r="CB111" s="410"/>
      <c r="CC111" s="409"/>
      <c r="CD111" s="413"/>
      <c r="CK111" s="411"/>
      <c r="CL111" s="408"/>
      <c r="CM111" s="412"/>
      <c r="CT111" s="411"/>
      <c r="CU111" s="408"/>
      <c r="CV111" s="412"/>
      <c r="DC111" s="411"/>
      <c r="DD111" s="408"/>
      <c r="DE111" s="412"/>
    </row>
    <row r="112" spans="1:109">
      <c r="E112" s="438">
        <v>112108</v>
      </c>
      <c r="F112" s="439" t="s">
        <v>598</v>
      </c>
      <c r="G112" s="440">
        <v>493.49</v>
      </c>
      <c r="J112" s="386"/>
      <c r="K112" s="385"/>
      <c r="L112" s="111"/>
      <c r="M112" s="111"/>
      <c r="N112" s="430">
        <v>214202</v>
      </c>
      <c r="O112" s="433" t="s">
        <v>164</v>
      </c>
      <c r="P112" s="435">
        <v>136118.43</v>
      </c>
      <c r="Q112" s="111"/>
      <c r="S112"/>
      <c r="W112" s="465">
        <v>224201</v>
      </c>
      <c r="X112" s="458" t="s">
        <v>177</v>
      </c>
      <c r="Y112" s="459">
        <v>284920.34999999998</v>
      </c>
      <c r="AB112" s="352"/>
      <c r="AC112" s="349"/>
      <c r="AF112" s="417"/>
      <c r="AG112" s="414"/>
      <c r="AH112" s="418"/>
      <c r="AO112" s="402"/>
      <c r="AP112" s="401"/>
      <c r="AQ112" s="405"/>
      <c r="AX112" s="406"/>
      <c r="AY112" s="403"/>
      <c r="AZ112" s="404"/>
      <c r="BB112" s="55"/>
      <c r="BC112" s="48"/>
      <c r="BJ112" s="410"/>
      <c r="BK112" s="409"/>
      <c r="BL112" s="413"/>
      <c r="BS112" s="411"/>
      <c r="BT112" s="408"/>
      <c r="BU112" s="412"/>
      <c r="CB112" s="411"/>
      <c r="CC112" s="408"/>
      <c r="CD112" s="412"/>
      <c r="CK112" s="410"/>
      <c r="CL112" s="409"/>
      <c r="CM112" s="413"/>
      <c r="CT112" s="410"/>
      <c r="CU112" s="409"/>
      <c r="CV112" s="413"/>
      <c r="DC112" s="410"/>
      <c r="DD112" s="409"/>
      <c r="DE112" s="413"/>
    </row>
    <row r="113" spans="1:109">
      <c r="A113" s="112"/>
      <c r="B113" s="110"/>
      <c r="C113" s="111"/>
      <c r="D113" s="111"/>
      <c r="E113" s="443">
        <v>215393</v>
      </c>
      <c r="F113" s="442" t="s">
        <v>535</v>
      </c>
      <c r="G113" s="441">
        <v>23000</v>
      </c>
      <c r="H113" s="111"/>
      <c r="N113" s="431">
        <v>214112</v>
      </c>
      <c r="O113" s="432" t="s">
        <v>400</v>
      </c>
      <c r="P113" s="434">
        <v>926.4</v>
      </c>
      <c r="S113" s="112"/>
      <c r="T113" s="110"/>
      <c r="U113" s="111"/>
      <c r="V113" s="111"/>
      <c r="W113" s="464">
        <v>213306</v>
      </c>
      <c r="X113" s="461" t="s">
        <v>150</v>
      </c>
      <c r="Y113" s="462">
        <v>467732.47</v>
      </c>
      <c r="Z113" s="111"/>
      <c r="AB113" s="351"/>
      <c r="AC113" s="350"/>
      <c r="AF113" s="416"/>
      <c r="AG113" s="415"/>
      <c r="AH113" s="419"/>
      <c r="AO113" s="406"/>
      <c r="AP113" s="403"/>
      <c r="AQ113" s="404"/>
      <c r="AX113" s="402"/>
      <c r="AY113" s="401"/>
      <c r="AZ113" s="405"/>
      <c r="BB113" s="55"/>
      <c r="BC113" s="48"/>
      <c r="BJ113" s="411"/>
      <c r="BK113" s="408"/>
      <c r="BL113" s="412"/>
      <c r="BS113" s="410"/>
      <c r="BT113" s="409"/>
      <c r="BU113" s="413"/>
      <c r="CB113" s="410"/>
      <c r="CC113" s="409"/>
      <c r="CD113" s="413"/>
      <c r="CK113" s="411"/>
      <c r="CL113" s="408"/>
      <c r="CM113" s="412"/>
      <c r="CT113" s="411"/>
      <c r="CU113" s="408"/>
      <c r="CV113" s="412"/>
      <c r="DC113" s="411"/>
      <c r="DD113" s="408"/>
      <c r="DE113" s="412"/>
    </row>
    <row r="114" spans="1:109" s="75" customFormat="1">
      <c r="A114"/>
      <c r="B114" s="108"/>
      <c r="C114" s="109"/>
      <c r="D114" s="109"/>
      <c r="E114" s="438">
        <v>112404</v>
      </c>
      <c r="F114" s="439" t="s">
        <v>857</v>
      </c>
      <c r="G114" s="440">
        <v>51.64</v>
      </c>
      <c r="H114" s="109"/>
      <c r="I114" s="113"/>
      <c r="J114" s="387"/>
      <c r="K114" s="384"/>
      <c r="L114" s="109"/>
      <c r="M114" s="109"/>
      <c r="N114" s="109"/>
      <c r="O114" s="109"/>
      <c r="P114" s="109"/>
      <c r="Q114" s="109"/>
      <c r="R114" s="113"/>
      <c r="S114"/>
      <c r="T114" s="108"/>
      <c r="U114" s="109"/>
      <c r="V114" s="109"/>
      <c r="W114" s="465">
        <v>331703</v>
      </c>
      <c r="X114" s="458" t="s">
        <v>182</v>
      </c>
      <c r="Y114" s="459">
        <v>113.4</v>
      </c>
      <c r="Z114" s="109"/>
      <c r="AA114" s="113"/>
      <c r="AB114" s="352"/>
      <c r="AC114" s="349"/>
      <c r="AD114"/>
      <c r="AE114"/>
      <c r="AF114" s="417"/>
      <c r="AG114" s="414"/>
      <c r="AH114" s="418"/>
      <c r="AJ114" s="113"/>
      <c r="AK114"/>
      <c r="AL114"/>
      <c r="AM114"/>
      <c r="AN114"/>
      <c r="AO114" s="402"/>
      <c r="AP114" s="401"/>
      <c r="AQ114" s="405"/>
      <c r="AR114"/>
      <c r="AS114" s="113"/>
      <c r="AX114" s="406"/>
      <c r="AY114" s="403"/>
      <c r="AZ114" s="404"/>
      <c r="BB114" s="55"/>
      <c r="BC114" s="55"/>
      <c r="BD114"/>
      <c r="BE114" s="113"/>
      <c r="BF114"/>
      <c r="BG114"/>
      <c r="BH114"/>
      <c r="BI114"/>
      <c r="BJ114" s="410"/>
      <c r="BK114" s="409"/>
      <c r="BL114" s="413"/>
      <c r="BM114"/>
      <c r="BN114" s="113"/>
      <c r="BS114" s="411"/>
      <c r="BT114" s="408"/>
      <c r="BU114" s="412"/>
      <c r="BW114" s="113"/>
      <c r="CB114" s="411"/>
      <c r="CC114" s="408"/>
      <c r="CD114" s="412"/>
      <c r="CF114" s="113"/>
      <c r="CK114" s="410"/>
      <c r="CL114" s="409"/>
      <c r="CM114" s="413"/>
      <c r="CO114" s="113"/>
      <c r="CT114" s="410"/>
      <c r="CU114" s="409"/>
      <c r="CV114" s="413"/>
      <c r="CX114" s="113"/>
      <c r="DC114" s="410"/>
      <c r="DD114" s="409"/>
      <c r="DE114" s="413"/>
    </row>
    <row r="115" spans="1:109">
      <c r="A115" s="112"/>
      <c r="B115" s="110"/>
      <c r="C115" s="111"/>
      <c r="D115" s="111"/>
      <c r="E115" s="443">
        <v>212102</v>
      </c>
      <c r="F115" s="442" t="s">
        <v>138</v>
      </c>
      <c r="G115" s="441">
        <v>186877.94</v>
      </c>
      <c r="H115" s="111"/>
      <c r="J115" s="386"/>
      <c r="K115" s="385"/>
      <c r="L115" s="111"/>
      <c r="M115" s="111"/>
      <c r="N115" s="111"/>
      <c r="O115" s="111"/>
      <c r="P115" s="111"/>
      <c r="Q115" s="111"/>
      <c r="S115" s="112"/>
      <c r="T115" s="110"/>
      <c r="U115" s="111"/>
      <c r="V115" s="111"/>
      <c r="W115" s="464">
        <v>331868</v>
      </c>
      <c r="X115" s="461" t="s">
        <v>855</v>
      </c>
      <c r="Y115" s="462">
        <v>54.24</v>
      </c>
      <c r="Z115" s="111"/>
      <c r="AB115" s="351"/>
      <c r="AC115" s="350"/>
      <c r="AF115" s="416"/>
      <c r="AG115" s="415"/>
      <c r="AH115" s="419"/>
      <c r="AK115" s="75"/>
      <c r="AL115" s="75"/>
      <c r="AM115" s="75"/>
      <c r="AN115" s="75"/>
      <c r="AO115" s="406"/>
      <c r="AP115" s="403"/>
      <c r="AQ115" s="404"/>
      <c r="AR115" s="75"/>
      <c r="AX115" s="402"/>
      <c r="AY115" s="401"/>
      <c r="AZ115" s="405"/>
      <c r="BB115" s="55"/>
      <c r="BC115" s="55"/>
      <c r="BF115" s="75"/>
      <c r="BG115" s="75"/>
      <c r="BH115" s="75"/>
      <c r="BI115" s="75"/>
      <c r="BJ115" s="75"/>
      <c r="BK115" s="75"/>
      <c r="BL115" s="75"/>
      <c r="BM115" s="75"/>
      <c r="BS115" s="410"/>
      <c r="BT115" s="409"/>
      <c r="BU115" s="413"/>
      <c r="CB115" s="410"/>
      <c r="CC115" s="409"/>
      <c r="CD115" s="413"/>
      <c r="CK115" s="411"/>
      <c r="CL115" s="408"/>
      <c r="CM115" s="412"/>
      <c r="DC115" s="411"/>
      <c r="DD115" s="408"/>
      <c r="DE115" s="412"/>
    </row>
    <row r="116" spans="1:109">
      <c r="E116" s="438">
        <v>213113</v>
      </c>
      <c r="F116" s="439" t="s">
        <v>148</v>
      </c>
      <c r="G116" s="440">
        <v>77593.98</v>
      </c>
      <c r="J116" s="387"/>
      <c r="K116" s="384"/>
      <c r="S116"/>
      <c r="W116" s="465">
        <v>333110</v>
      </c>
      <c r="X116" s="458" t="s">
        <v>210</v>
      </c>
      <c r="Y116" s="459">
        <v>2723.97</v>
      </c>
      <c r="AB116" s="352"/>
      <c r="AC116" s="349"/>
      <c r="AF116" s="417"/>
      <c r="AG116" s="414"/>
      <c r="AH116" s="418"/>
      <c r="AO116" s="402"/>
      <c r="AP116" s="401"/>
      <c r="AQ116" s="405"/>
      <c r="AX116" s="406"/>
      <c r="AY116" s="403"/>
      <c r="AZ116" s="404"/>
      <c r="BB116" s="55"/>
      <c r="BC116" s="55"/>
      <c r="BS116" s="351"/>
      <c r="BT116" s="350"/>
      <c r="CB116" s="411"/>
      <c r="CC116" s="408"/>
      <c r="CD116" s="412"/>
      <c r="CK116" s="410"/>
      <c r="CL116" s="409"/>
      <c r="CM116" s="413"/>
      <c r="DC116" s="410"/>
      <c r="DD116" s="409"/>
      <c r="DE116" s="413"/>
    </row>
    <row r="117" spans="1:109">
      <c r="A117" s="112"/>
      <c r="B117" s="110"/>
      <c r="C117" s="111"/>
      <c r="D117" s="111"/>
      <c r="E117" s="443">
        <v>224201</v>
      </c>
      <c r="F117" s="442" t="s">
        <v>177</v>
      </c>
      <c r="G117" s="441">
        <v>281590.13</v>
      </c>
      <c r="H117" s="111"/>
      <c r="J117" s="386"/>
      <c r="K117" s="385"/>
      <c r="L117" s="111"/>
      <c r="M117" s="111"/>
      <c r="N117" s="111"/>
      <c r="O117" s="111"/>
      <c r="P117" s="111"/>
      <c r="Q117" s="111"/>
      <c r="S117" s="112"/>
      <c r="T117" s="110"/>
      <c r="U117" s="111"/>
      <c r="V117" s="111"/>
      <c r="W117" s="464">
        <v>213102</v>
      </c>
      <c r="X117" s="461" t="s">
        <v>143</v>
      </c>
      <c r="Y117" s="462">
        <v>318159.53000000003</v>
      </c>
      <c r="Z117" s="111"/>
      <c r="AB117" s="351"/>
      <c r="AC117" s="350"/>
      <c r="AF117" s="416"/>
      <c r="AG117" s="415"/>
      <c r="AH117" s="419"/>
      <c r="AO117" s="406"/>
      <c r="AP117" s="403"/>
      <c r="AQ117" s="404"/>
      <c r="AX117" s="402"/>
      <c r="AY117" s="401"/>
      <c r="AZ117" s="405"/>
      <c r="BS117" s="352"/>
      <c r="BT117" s="349"/>
      <c r="CB117" s="410"/>
      <c r="CC117" s="409"/>
      <c r="CD117" s="413"/>
      <c r="CK117" s="411"/>
      <c r="CL117" s="408"/>
      <c r="CM117" s="412"/>
      <c r="DC117" s="411"/>
      <c r="DD117" s="408"/>
      <c r="DE117" s="412"/>
    </row>
    <row r="118" spans="1:109">
      <c r="E118" s="438">
        <v>191601</v>
      </c>
      <c r="F118" s="439" t="s">
        <v>479</v>
      </c>
      <c r="G118" s="440">
        <v>10000</v>
      </c>
      <c r="J118" s="387"/>
      <c r="K118" s="384"/>
      <c r="S118"/>
      <c r="W118" s="465">
        <v>213113</v>
      </c>
      <c r="X118" s="458" t="s">
        <v>148</v>
      </c>
      <c r="Y118" s="459">
        <v>73827.210000000006</v>
      </c>
      <c r="AB118" s="352"/>
      <c r="AC118" s="349"/>
      <c r="AF118" s="417"/>
      <c r="AG118" s="414"/>
      <c r="AH118" s="418"/>
      <c r="AX118" s="406"/>
      <c r="AY118" s="403"/>
      <c r="AZ118" s="404"/>
      <c r="BS118" s="351"/>
      <c r="BT118" s="350"/>
      <c r="CB118" s="411"/>
      <c r="CC118" s="408"/>
      <c r="CD118" s="412"/>
      <c r="CK118" s="410"/>
      <c r="CL118" s="409"/>
      <c r="CM118" s="413"/>
      <c r="DC118" s="410"/>
      <c r="DD118" s="409"/>
      <c r="DE118" s="413"/>
    </row>
    <row r="119" spans="1:109">
      <c r="A119" s="112"/>
      <c r="B119" s="110"/>
      <c r="C119" s="111"/>
      <c r="D119" s="111"/>
      <c r="E119" s="443">
        <v>214112</v>
      </c>
      <c r="F119" s="442" t="s">
        <v>400</v>
      </c>
      <c r="G119" s="441">
        <v>1827.8</v>
      </c>
      <c r="H119" s="111"/>
      <c r="J119" s="386"/>
      <c r="K119" s="385"/>
      <c r="L119" s="111"/>
      <c r="M119" s="111"/>
      <c r="N119" s="111"/>
      <c r="O119" s="111"/>
      <c r="P119" s="111"/>
      <c r="Q119" s="111"/>
      <c r="S119" s="112"/>
      <c r="T119" s="110"/>
      <c r="U119" s="111"/>
      <c r="V119" s="111"/>
      <c r="W119" s="464">
        <v>213326</v>
      </c>
      <c r="X119" s="461" t="s">
        <v>152</v>
      </c>
      <c r="Y119" s="462">
        <v>586817.24</v>
      </c>
      <c r="Z119" s="111"/>
      <c r="AB119" s="351"/>
      <c r="AC119" s="350"/>
      <c r="AF119" s="112"/>
      <c r="AG119" s="110"/>
      <c r="AH119" s="399"/>
      <c r="AX119" s="402"/>
      <c r="AY119" s="401"/>
      <c r="AZ119" s="405"/>
      <c r="BS119" s="352"/>
      <c r="BT119" s="349"/>
      <c r="DC119" s="411"/>
      <c r="DD119" s="408"/>
      <c r="DE119" s="412"/>
    </row>
    <row r="120" spans="1:109">
      <c r="J120" s="387"/>
      <c r="K120" s="384"/>
      <c r="S120"/>
      <c r="W120" s="465">
        <v>113118</v>
      </c>
      <c r="X120" s="458" t="s">
        <v>129</v>
      </c>
      <c r="Y120" s="459">
        <v>47751.040000000001</v>
      </c>
      <c r="AB120" s="352"/>
      <c r="AC120" s="349"/>
      <c r="AG120" s="108"/>
      <c r="AH120" s="400"/>
      <c r="AX120" s="406"/>
      <c r="AY120" s="403"/>
      <c r="AZ120" s="404"/>
      <c r="BS120" s="351"/>
      <c r="BT120" s="350"/>
      <c r="DC120" s="410"/>
      <c r="DD120" s="409"/>
      <c r="DE120" s="413"/>
    </row>
    <row r="121" spans="1:109">
      <c r="A121" s="112"/>
      <c r="B121" s="110"/>
      <c r="C121" s="111"/>
      <c r="D121" s="111"/>
      <c r="E121" s="111"/>
      <c r="F121" s="111"/>
      <c r="G121" s="111"/>
      <c r="H121" s="111"/>
      <c r="J121" s="386"/>
      <c r="K121" s="385"/>
      <c r="L121" s="111"/>
      <c r="M121" s="111"/>
      <c r="N121" s="111"/>
      <c r="O121" s="111"/>
      <c r="P121" s="111"/>
      <c r="Q121" s="111"/>
      <c r="S121" s="112"/>
      <c r="T121" s="110"/>
      <c r="U121" s="111"/>
      <c r="V121" s="111"/>
      <c r="W121" s="464">
        <v>213106</v>
      </c>
      <c r="X121" s="461" t="s">
        <v>145</v>
      </c>
      <c r="Y121" s="462">
        <v>138167.04999999999</v>
      </c>
      <c r="Z121" s="111"/>
      <c r="AB121" s="351"/>
      <c r="AC121" s="350"/>
      <c r="AF121" s="112"/>
      <c r="AG121" s="110"/>
      <c r="AH121" s="399"/>
      <c r="DC121" s="411"/>
      <c r="DD121" s="408"/>
      <c r="DE121" s="412"/>
    </row>
    <row r="122" spans="1:109">
      <c r="J122" s="387"/>
      <c r="K122" s="384"/>
      <c r="S122"/>
      <c r="W122" s="111"/>
      <c r="X122" s="111"/>
      <c r="Y122" s="111"/>
      <c r="AB122" s="352"/>
      <c r="AC122" s="349"/>
    </row>
    <row r="123" spans="1:109">
      <c r="A123" s="112"/>
      <c r="B123" s="110"/>
      <c r="C123" s="111"/>
      <c r="D123" s="111"/>
      <c r="E123" s="111"/>
      <c r="F123" s="111"/>
      <c r="G123" s="111"/>
      <c r="H123" s="111"/>
      <c r="J123" s="386"/>
      <c r="K123" s="385"/>
      <c r="L123" s="111"/>
      <c r="M123" s="111"/>
      <c r="N123" s="111"/>
      <c r="O123" s="111"/>
      <c r="P123" s="111"/>
      <c r="Q123" s="111"/>
      <c r="S123" s="112"/>
      <c r="T123" s="110"/>
      <c r="U123" s="111"/>
      <c r="V123" s="111"/>
      <c r="Z123" s="111"/>
      <c r="AB123" s="351"/>
      <c r="AC123" s="350"/>
    </row>
    <row r="124" spans="1:109">
      <c r="J124" s="387"/>
      <c r="K124" s="384"/>
      <c r="S124"/>
      <c r="W124" s="111"/>
      <c r="X124" s="111"/>
      <c r="Y124" s="111"/>
      <c r="AB124" s="352"/>
      <c r="AC124" s="349"/>
    </row>
    <row r="125" spans="1:109">
      <c r="A125" s="112"/>
      <c r="B125" s="110"/>
      <c r="C125" s="111"/>
      <c r="D125" s="111"/>
      <c r="E125" s="111"/>
      <c r="F125" s="111"/>
      <c r="G125" s="111"/>
      <c r="H125" s="111"/>
      <c r="J125" s="386"/>
      <c r="K125" s="385"/>
      <c r="L125" s="111"/>
      <c r="M125" s="111"/>
      <c r="N125" s="111"/>
      <c r="O125" s="111"/>
      <c r="P125" s="111"/>
      <c r="Q125" s="111"/>
      <c r="S125" s="112"/>
      <c r="T125" s="110"/>
      <c r="U125" s="111"/>
      <c r="V125" s="111"/>
      <c r="Z125" s="111"/>
      <c r="AB125" s="351"/>
      <c r="AC125" s="350"/>
    </row>
    <row r="126" spans="1:109">
      <c r="J126" s="387"/>
      <c r="K126" s="384"/>
      <c r="S126"/>
      <c r="W126" s="111"/>
      <c r="X126" s="111"/>
      <c r="Y126" s="111"/>
      <c r="AB126" s="352"/>
      <c r="AC126" s="349"/>
    </row>
    <row r="127" spans="1:109">
      <c r="A127" s="112"/>
      <c r="B127" s="110"/>
      <c r="C127" s="111"/>
      <c r="D127" s="111"/>
      <c r="E127" s="111"/>
      <c r="F127" s="111"/>
      <c r="G127" s="111"/>
      <c r="H127" s="111"/>
      <c r="J127" s="386"/>
      <c r="K127" s="385"/>
      <c r="L127" s="111"/>
      <c r="M127" s="111"/>
      <c r="N127" s="111"/>
      <c r="O127" s="111"/>
      <c r="P127" s="111"/>
      <c r="Q127" s="111"/>
      <c r="S127" s="112"/>
      <c r="T127" s="110"/>
      <c r="U127" s="111"/>
      <c r="V127" s="111"/>
      <c r="Z127" s="111"/>
      <c r="AB127" s="351"/>
      <c r="AC127" s="350"/>
    </row>
    <row r="128" spans="1:109">
      <c r="J128" s="387"/>
      <c r="K128" s="384"/>
      <c r="S128"/>
      <c r="W128" s="111"/>
      <c r="X128" s="111"/>
      <c r="Y128" s="111"/>
      <c r="AB128" s="352"/>
      <c r="AC128" s="349"/>
    </row>
    <row r="129" spans="1:29">
      <c r="A129" s="112"/>
      <c r="B129" s="110"/>
      <c r="C129" s="111"/>
      <c r="D129" s="111"/>
      <c r="E129" s="111"/>
      <c r="F129" s="111"/>
      <c r="G129" s="111"/>
      <c r="H129" s="111"/>
      <c r="J129" s="386"/>
      <c r="K129" s="385"/>
      <c r="L129" s="111"/>
      <c r="M129" s="111"/>
      <c r="N129" s="111"/>
      <c r="O129" s="111"/>
      <c r="P129" s="111"/>
      <c r="Q129" s="111"/>
      <c r="S129" s="112"/>
      <c r="T129" s="110"/>
      <c r="U129" s="111"/>
      <c r="V129" s="111"/>
      <c r="Z129" s="111"/>
      <c r="AB129" s="351"/>
      <c r="AC129" s="350"/>
    </row>
    <row r="130" spans="1:29">
      <c r="J130" s="387"/>
      <c r="K130" s="384"/>
      <c r="S130"/>
      <c r="W130" s="111"/>
      <c r="X130" s="111"/>
      <c r="Y130" s="111"/>
      <c r="AB130" s="352"/>
      <c r="AC130" s="349"/>
    </row>
    <row r="131" spans="1:29">
      <c r="A131" s="112"/>
      <c r="B131" s="110"/>
      <c r="C131" s="111"/>
      <c r="D131" s="111"/>
      <c r="E131" s="111"/>
      <c r="F131" s="111"/>
      <c r="G131" s="111"/>
      <c r="H131" s="111"/>
      <c r="J131" s="386"/>
      <c r="K131" s="385"/>
      <c r="L131" s="111"/>
      <c r="M131" s="111"/>
      <c r="N131" s="111"/>
      <c r="O131" s="111"/>
      <c r="P131" s="111"/>
      <c r="Q131" s="111"/>
      <c r="S131" s="112"/>
      <c r="T131" s="110"/>
      <c r="U131" s="111"/>
      <c r="V131" s="111"/>
      <c r="Z131" s="111"/>
      <c r="AB131" s="351"/>
      <c r="AC131" s="350"/>
    </row>
    <row r="132" spans="1:29">
      <c r="J132" s="387"/>
      <c r="K132" s="384"/>
      <c r="S132"/>
      <c r="W132" s="111"/>
      <c r="X132" s="111"/>
      <c r="Y132" s="111"/>
      <c r="AB132" s="352"/>
      <c r="AC132" s="349"/>
    </row>
    <row r="133" spans="1:29">
      <c r="A133" s="112"/>
      <c r="B133" s="110"/>
      <c r="C133" s="111"/>
      <c r="D133" s="111"/>
      <c r="E133" s="111"/>
      <c r="F133" s="111"/>
      <c r="G133" s="111"/>
      <c r="H133" s="111"/>
      <c r="J133" s="386"/>
      <c r="K133" s="385"/>
      <c r="L133" s="111"/>
      <c r="M133" s="111"/>
      <c r="N133" s="111"/>
      <c r="O133" s="111"/>
      <c r="P133" s="111"/>
      <c r="Q133" s="111"/>
      <c r="S133" s="112"/>
      <c r="T133" s="110"/>
      <c r="U133" s="111"/>
      <c r="V133" s="111"/>
      <c r="Z133" s="111"/>
      <c r="AB133" s="351"/>
      <c r="AC133" s="350"/>
    </row>
    <row r="134" spans="1:29">
      <c r="J134" s="387"/>
      <c r="K134" s="384"/>
      <c r="S134"/>
      <c r="W134" s="111"/>
      <c r="X134" s="111"/>
      <c r="Y134" s="111"/>
      <c r="AB134" s="352"/>
      <c r="AC134" s="349"/>
    </row>
    <row r="135" spans="1:29">
      <c r="A135" s="112"/>
      <c r="B135" s="110"/>
      <c r="C135" s="111"/>
      <c r="D135" s="111"/>
      <c r="E135" s="111"/>
      <c r="F135" s="111"/>
      <c r="G135" s="111"/>
      <c r="H135" s="111"/>
      <c r="J135" s="386"/>
      <c r="K135" s="385"/>
      <c r="L135" s="111"/>
      <c r="M135" s="111"/>
      <c r="N135" s="111"/>
      <c r="O135" s="111"/>
      <c r="P135" s="111"/>
      <c r="Q135" s="111"/>
      <c r="S135" s="112"/>
      <c r="T135" s="110"/>
      <c r="U135" s="111"/>
      <c r="V135" s="111"/>
      <c r="Z135" s="111"/>
      <c r="AB135" s="351"/>
      <c r="AC135" s="350"/>
    </row>
    <row r="136" spans="1:29">
      <c r="J136" s="387"/>
      <c r="K136" s="384"/>
      <c r="S136"/>
      <c r="W136" s="111"/>
      <c r="X136" s="111"/>
      <c r="Y136" s="111"/>
      <c r="AB136" s="352"/>
      <c r="AC136" s="349"/>
    </row>
    <row r="137" spans="1:29">
      <c r="A137" s="112"/>
      <c r="B137" s="110"/>
      <c r="C137" s="111"/>
      <c r="D137" s="111"/>
      <c r="E137" s="111"/>
      <c r="F137" s="111"/>
      <c r="G137" s="111"/>
      <c r="H137" s="111"/>
      <c r="J137" s="386"/>
      <c r="K137" s="385"/>
      <c r="L137" s="111"/>
      <c r="M137" s="111"/>
      <c r="N137" s="111"/>
      <c r="O137" s="111"/>
      <c r="P137" s="111"/>
      <c r="Q137" s="111"/>
      <c r="S137" s="112"/>
      <c r="T137" s="110"/>
      <c r="U137" s="111"/>
      <c r="V137" s="111"/>
      <c r="Z137" s="111"/>
      <c r="AB137" s="351"/>
      <c r="AC137" s="350"/>
    </row>
    <row r="138" spans="1:29">
      <c r="J138" s="387"/>
      <c r="K138" s="384"/>
      <c r="S138"/>
      <c r="W138" s="111"/>
      <c r="X138" s="111"/>
      <c r="Y138" s="111"/>
      <c r="AB138" s="352"/>
      <c r="AC138" s="349"/>
    </row>
    <row r="139" spans="1:29">
      <c r="A139" s="112"/>
      <c r="B139" s="110"/>
      <c r="C139" s="111"/>
      <c r="D139" s="111"/>
      <c r="E139" s="111"/>
      <c r="F139" s="111"/>
      <c r="G139" s="111"/>
      <c r="H139" s="111"/>
      <c r="J139" s="386"/>
      <c r="K139" s="385"/>
      <c r="L139" s="111"/>
      <c r="M139" s="111"/>
      <c r="N139" s="111"/>
      <c r="O139" s="111"/>
      <c r="P139" s="111"/>
      <c r="Q139" s="111"/>
      <c r="S139" s="112"/>
      <c r="T139" s="110"/>
      <c r="U139" s="111"/>
      <c r="V139" s="111"/>
      <c r="Z139" s="111"/>
      <c r="AB139" s="351"/>
      <c r="AC139" s="350"/>
    </row>
    <row r="140" spans="1:29">
      <c r="J140" s="387"/>
      <c r="K140" s="384"/>
      <c r="S140"/>
      <c r="W140" s="111"/>
      <c r="X140" s="111"/>
      <c r="Y140" s="111"/>
      <c r="AB140" s="352"/>
      <c r="AC140" s="349"/>
    </row>
    <row r="141" spans="1:29">
      <c r="A141" s="112"/>
      <c r="B141" s="110"/>
      <c r="C141" s="111"/>
      <c r="D141" s="111"/>
      <c r="E141" s="111"/>
      <c r="F141" s="111"/>
      <c r="G141" s="111"/>
      <c r="H141" s="111"/>
      <c r="J141" s="386"/>
      <c r="K141" s="385"/>
      <c r="L141" s="111"/>
      <c r="M141" s="111"/>
      <c r="N141" s="111"/>
      <c r="O141" s="111"/>
      <c r="P141" s="111"/>
      <c r="Q141" s="111"/>
      <c r="S141" s="112"/>
      <c r="T141" s="110"/>
      <c r="U141" s="111"/>
      <c r="V141" s="111"/>
      <c r="Z141" s="111"/>
      <c r="AB141" s="351"/>
      <c r="AC141" s="350"/>
    </row>
    <row r="142" spans="1:29">
      <c r="J142"/>
      <c r="S142"/>
      <c r="W142" s="111"/>
      <c r="X142" s="111"/>
      <c r="Y142" s="111"/>
      <c r="AB142" s="352"/>
      <c r="AC142" s="349"/>
    </row>
    <row r="143" spans="1:29">
      <c r="A143" s="112"/>
      <c r="B143" s="110"/>
      <c r="C143" s="111"/>
      <c r="D143" s="111"/>
      <c r="E143" s="111"/>
      <c r="F143" s="111"/>
      <c r="G143" s="111"/>
      <c r="H143" s="111"/>
      <c r="J143" s="110"/>
      <c r="K143" s="110"/>
      <c r="L143" s="111"/>
      <c r="M143" s="111"/>
      <c r="N143" s="111"/>
      <c r="O143" s="111"/>
      <c r="P143" s="111"/>
      <c r="Q143" s="111"/>
      <c r="S143" s="110"/>
      <c r="T143" s="110"/>
      <c r="U143" s="111"/>
      <c r="V143" s="111"/>
      <c r="Z143" s="111"/>
    </row>
    <row r="145" spans="1:26">
      <c r="A145" s="112"/>
      <c r="B145" s="110"/>
      <c r="C145" s="111"/>
      <c r="D145" s="111"/>
      <c r="E145" s="111"/>
      <c r="F145" s="111"/>
      <c r="G145" s="111"/>
      <c r="H145" s="111"/>
      <c r="J145" s="110"/>
      <c r="K145" s="110"/>
      <c r="L145" s="111"/>
      <c r="M145" s="111"/>
      <c r="N145" s="111"/>
      <c r="O145" s="111"/>
      <c r="P145" s="111"/>
      <c r="Q145" s="111"/>
      <c r="S145" s="110"/>
      <c r="T145" s="110"/>
      <c r="U145" s="111"/>
      <c r="V145" s="111"/>
      <c r="Z145" s="111"/>
    </row>
    <row r="147" spans="1:26">
      <c r="A147" s="112"/>
      <c r="B147" s="110"/>
      <c r="C147" s="111"/>
      <c r="D147" s="111"/>
      <c r="E147" s="111"/>
      <c r="F147" s="111"/>
      <c r="G147" s="111"/>
      <c r="H147" s="111"/>
    </row>
    <row r="149" spans="1:26">
      <c r="A149" s="112"/>
      <c r="B149" s="110"/>
      <c r="C149" s="111"/>
      <c r="D149" s="111"/>
      <c r="E149" s="111"/>
      <c r="F149" s="111"/>
      <c r="G149" s="111"/>
      <c r="H149" s="111"/>
    </row>
    <row r="151" spans="1:26">
      <c r="A151" s="112"/>
      <c r="B151" s="110"/>
      <c r="C151" s="111"/>
      <c r="D151" s="111"/>
      <c r="E151" s="111"/>
      <c r="F151" s="111"/>
      <c r="G151" s="111"/>
      <c r="H151" s="111"/>
    </row>
    <row r="153" spans="1:26">
      <c r="A153" s="112"/>
      <c r="B153" s="110"/>
      <c r="C153" s="111"/>
      <c r="D153" s="111"/>
      <c r="E153" s="111"/>
      <c r="F153" s="111"/>
      <c r="G153" s="111"/>
      <c r="H153" s="111"/>
    </row>
    <row r="155" spans="1:26">
      <c r="A155" s="112"/>
      <c r="B155" s="110"/>
      <c r="C155" s="111"/>
      <c r="D155" s="111"/>
      <c r="E155" s="111"/>
      <c r="F155" s="111"/>
      <c r="G155" s="111"/>
      <c r="H155" s="111"/>
    </row>
  </sheetData>
  <autoFilter ref="A13:DF80" xr:uid="{00000000-0009-0000-0000-000006000000}"/>
  <sortState xmlns:xlrd2="http://schemas.microsoft.com/office/spreadsheetml/2017/richdata2" ref="S62:Y138">
    <sortCondition ref="S61:S138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D0B09"/>
  </sheetPr>
  <dimension ref="A2:DC110"/>
  <sheetViews>
    <sheetView showGridLines="0" topLeftCell="R43" workbookViewId="0">
      <selection activeCell="AC61" sqref="AC61"/>
    </sheetView>
  </sheetViews>
  <sheetFormatPr defaultRowHeight="14.4"/>
  <cols>
    <col min="1" max="1" width="7.88671875" bestFit="1" customWidth="1"/>
    <col min="2" max="2" width="19.88671875" customWidth="1"/>
    <col min="3" max="3" width="14.5546875" customWidth="1"/>
    <col min="4" max="4" width="7.33203125" bestFit="1" customWidth="1"/>
    <col min="5" max="5" width="13.109375" customWidth="1"/>
    <col min="6" max="6" width="8.88671875" bestFit="1" customWidth="1"/>
    <col min="7" max="7" width="9" bestFit="1" customWidth="1"/>
    <col min="8" max="8" width="12.44140625" bestFit="1" customWidth="1"/>
    <col min="9" max="9" width="2.109375" style="121" customWidth="1"/>
    <col min="10" max="10" width="9" style="108" customWidth="1"/>
    <col min="11" max="11" width="30.33203125" style="108" customWidth="1"/>
    <col min="12" max="12" width="16.6640625" style="108" customWidth="1"/>
    <col min="13" max="13" width="11.6640625" style="108" customWidth="1"/>
    <col min="14" max="14" width="13.6640625" style="124" customWidth="1"/>
    <col min="15" max="15" width="9.6640625" style="125" customWidth="1"/>
    <col min="16" max="16" width="11.6640625" style="108" customWidth="1"/>
    <col min="17" max="17" width="16.6640625" style="108" customWidth="1"/>
    <col min="18" max="18" width="2.109375" style="121" customWidth="1"/>
    <col min="19" max="19" width="9.5546875" style="108" customWidth="1"/>
    <col min="20" max="20" width="35.33203125" style="108" customWidth="1"/>
    <col min="21" max="21" width="16.6640625" style="108" customWidth="1"/>
    <col min="22" max="22" width="11.6640625" style="108" customWidth="1"/>
    <col min="23" max="23" width="13.6640625" style="124" customWidth="1"/>
    <col min="24" max="24" width="15.33203125" style="125" bestFit="1" customWidth="1"/>
    <col min="25" max="25" width="13.6640625" style="108" bestFit="1" customWidth="1"/>
    <col min="26" max="26" width="16.6640625" style="108" customWidth="1"/>
    <col min="27" max="27" width="2.109375" style="121" customWidth="1"/>
    <col min="29" max="29" width="39" customWidth="1"/>
    <col min="30" max="30" width="15.44140625" customWidth="1"/>
    <col min="31" max="31" width="7" bestFit="1" customWidth="1"/>
    <col min="32" max="32" width="13.33203125" bestFit="1" customWidth="1"/>
    <col min="33" max="33" width="8.6640625" bestFit="1" customWidth="1"/>
    <col min="34" max="34" width="9" bestFit="1" customWidth="1"/>
    <col min="35" max="35" width="10.88671875" bestFit="1" customWidth="1"/>
    <col min="36" max="36" width="2.109375" style="121" customWidth="1"/>
    <col min="38" max="38" width="32.33203125" customWidth="1"/>
    <col min="39" max="39" width="16.6640625" customWidth="1"/>
    <col min="40" max="40" width="7" bestFit="1" customWidth="1"/>
    <col min="41" max="41" width="12.88671875" bestFit="1" customWidth="1"/>
    <col min="44" max="44" width="10.88671875" bestFit="1" customWidth="1"/>
    <col min="45" max="45" width="2.109375" style="121" customWidth="1"/>
    <col min="50" max="50" width="12.88671875" bestFit="1" customWidth="1"/>
    <col min="54" max="54" width="2.109375" style="121" customWidth="1"/>
    <col min="56" max="56" width="22" customWidth="1"/>
    <col min="57" max="57" width="10.109375" customWidth="1"/>
    <col min="59" max="59" width="12.88671875" bestFit="1" customWidth="1"/>
    <col min="63" max="63" width="2.109375" style="121" customWidth="1"/>
    <col min="65" max="65" width="46" customWidth="1"/>
    <col min="66" max="66" width="13" customWidth="1"/>
    <col min="68" max="68" width="12.88671875" bestFit="1" customWidth="1"/>
    <col min="71" max="71" width="11.5546875" customWidth="1"/>
    <col min="72" max="72" width="2.109375" style="121" customWidth="1"/>
    <col min="74" max="74" width="13" customWidth="1"/>
    <col min="75" max="75" width="11.88671875" customWidth="1"/>
    <col min="77" max="77" width="11.109375" customWidth="1"/>
    <col min="80" max="80" width="11.5546875" customWidth="1"/>
    <col min="81" max="81" width="2.109375" style="121" customWidth="1"/>
    <col min="86" max="86" width="13.33203125" bestFit="1" customWidth="1"/>
    <col min="89" max="89" width="18.33203125" customWidth="1"/>
    <col min="90" max="90" width="2.109375" style="121" customWidth="1"/>
    <col min="95" max="95" width="13.33203125" bestFit="1" customWidth="1"/>
    <col min="98" max="98" width="18" customWidth="1"/>
    <col min="99" max="99" width="2.109375" style="121" customWidth="1"/>
    <col min="104" max="104" width="13" customWidth="1"/>
  </cols>
  <sheetData>
    <row r="2" spans="1:107">
      <c r="A2" s="403" t="s">
        <v>659</v>
      </c>
      <c r="B2" s="406"/>
      <c r="C2" s="403" t="s">
        <v>660</v>
      </c>
      <c r="D2" s="406"/>
      <c r="E2" s="116"/>
      <c r="F2" s="114"/>
      <c r="G2" s="114"/>
      <c r="H2" s="114"/>
      <c r="J2" s="403" t="s">
        <v>659</v>
      </c>
      <c r="K2" s="406"/>
      <c r="L2" s="108" t="s">
        <v>444</v>
      </c>
      <c r="S2" s="439" t="s">
        <v>919</v>
      </c>
      <c r="T2" s="438"/>
      <c r="U2" s="466" t="s">
        <v>1083</v>
      </c>
      <c r="AB2" s="470" t="s">
        <v>1103</v>
      </c>
      <c r="AC2" s="469"/>
      <c r="AD2" s="470" t="s">
        <v>1109</v>
      </c>
      <c r="AE2" s="139"/>
      <c r="AK2" s="153" t="s">
        <v>467</v>
      </c>
      <c r="AL2" s="155"/>
      <c r="AM2" s="153" t="s">
        <v>498</v>
      </c>
      <c r="AN2" s="155"/>
      <c r="AT2" s="153" t="s">
        <v>467</v>
      </c>
      <c r="AU2" s="155"/>
      <c r="AV2" s="153" t="s">
        <v>500</v>
      </c>
      <c r="AW2" s="155"/>
      <c r="BC2" s="153" t="s">
        <v>467</v>
      </c>
      <c r="BD2" s="155"/>
      <c r="BE2" s="153" t="s">
        <v>503</v>
      </c>
      <c r="BF2" s="155"/>
      <c r="BL2" s="153" t="s">
        <v>467</v>
      </c>
      <c r="BM2" s="155"/>
      <c r="BN2" s="153" t="s">
        <v>505</v>
      </c>
      <c r="BO2" s="155"/>
      <c r="BU2" s="153" t="s">
        <v>467</v>
      </c>
      <c r="BV2" s="155"/>
      <c r="BW2" s="153" t="s">
        <v>510</v>
      </c>
      <c r="BX2" s="155"/>
      <c r="BY2" s="155"/>
      <c r="CD2" s="325" t="s">
        <v>536</v>
      </c>
      <c r="CE2" s="329"/>
      <c r="CF2" s="325" t="s">
        <v>542</v>
      </c>
      <c r="CG2" s="329"/>
      <c r="CM2" s="325" t="s">
        <v>536</v>
      </c>
      <c r="CN2" s="329"/>
      <c r="CO2" s="325" t="s">
        <v>545</v>
      </c>
      <c r="CP2" s="329"/>
      <c r="CV2" s="338" t="s">
        <v>552</v>
      </c>
      <c r="CW2" s="337"/>
      <c r="CX2" s="338" t="s">
        <v>561</v>
      </c>
    </row>
    <row r="3" spans="1:107">
      <c r="X3" s="454"/>
    </row>
    <row r="4" spans="1:107">
      <c r="X4" s="454"/>
      <c r="Y4" s="454"/>
    </row>
    <row r="5" spans="1:107">
      <c r="A5" s="115" t="s">
        <v>429</v>
      </c>
      <c r="B5" s="114"/>
      <c r="D5" s="114"/>
      <c r="E5" s="114"/>
      <c r="F5" s="114"/>
      <c r="G5" s="114"/>
      <c r="H5" s="114"/>
      <c r="J5" s="115" t="s">
        <v>429</v>
      </c>
      <c r="K5" s="114"/>
      <c r="S5" s="108" t="s">
        <v>429</v>
      </c>
      <c r="X5" s="454"/>
      <c r="AB5" s="136" t="s">
        <v>429</v>
      </c>
      <c r="AC5" s="139"/>
      <c r="AD5" s="139"/>
      <c r="AE5" s="139"/>
      <c r="AK5" s="153" t="s">
        <v>429</v>
      </c>
      <c r="AL5" s="155"/>
      <c r="AM5" s="155"/>
      <c r="AN5" s="155"/>
      <c r="AT5" s="153" t="s">
        <v>429</v>
      </c>
      <c r="AU5" s="155"/>
      <c r="AV5" s="155"/>
      <c r="AW5" s="155"/>
      <c r="BC5" s="153" t="s">
        <v>429</v>
      </c>
      <c r="BD5" s="155"/>
      <c r="BE5" s="155"/>
      <c r="BF5" s="155"/>
      <c r="BL5" s="153" t="s">
        <v>429</v>
      </c>
      <c r="BM5" s="155"/>
      <c r="BN5" s="155"/>
      <c r="BO5" s="155"/>
      <c r="BU5" s="153" t="s">
        <v>429</v>
      </c>
      <c r="BV5" s="155"/>
      <c r="BW5" s="155"/>
      <c r="BX5" s="155"/>
      <c r="BY5" s="155"/>
      <c r="CD5" s="325" t="s">
        <v>429</v>
      </c>
      <c r="CE5" s="329"/>
      <c r="CM5" s="325" t="s">
        <v>429</v>
      </c>
      <c r="CN5" s="329"/>
      <c r="CV5" s="338" t="s">
        <v>429</v>
      </c>
      <c r="CW5" s="337"/>
    </row>
    <row r="6" spans="1:107">
      <c r="A6" s="128" t="s">
        <v>1076</v>
      </c>
      <c r="B6" s="114"/>
      <c r="D6" s="114"/>
      <c r="E6" s="114"/>
      <c r="F6" s="114"/>
      <c r="G6" s="114"/>
      <c r="H6" s="114"/>
      <c r="J6" s="128" t="s">
        <v>1076</v>
      </c>
      <c r="K6" s="114"/>
      <c r="Q6" s="128"/>
      <c r="S6" s="128" t="s">
        <v>1076</v>
      </c>
      <c r="X6" s="454"/>
      <c r="AB6" s="128" t="s">
        <v>1076</v>
      </c>
      <c r="AC6" s="139"/>
      <c r="AD6" s="139"/>
      <c r="AE6" s="139"/>
      <c r="AK6" s="153" t="s">
        <v>493</v>
      </c>
      <c r="AL6" s="155"/>
      <c r="AM6" s="155"/>
      <c r="AN6" s="155"/>
      <c r="AT6" s="153" t="s">
        <v>493</v>
      </c>
      <c r="AU6" s="155"/>
      <c r="AV6" s="155"/>
      <c r="AW6" s="155"/>
      <c r="BC6" s="356" t="s">
        <v>493</v>
      </c>
      <c r="BD6" s="155"/>
      <c r="BE6" s="155"/>
      <c r="BF6" s="155"/>
      <c r="BL6" s="356" t="s">
        <v>493</v>
      </c>
      <c r="BM6" s="155"/>
      <c r="BN6" s="155"/>
      <c r="BO6" s="155"/>
      <c r="BU6" s="153" t="s">
        <v>493</v>
      </c>
      <c r="BV6" s="155"/>
      <c r="BW6" s="155"/>
      <c r="BX6" s="155"/>
      <c r="BY6" s="155"/>
      <c r="CD6" s="325" t="s">
        <v>493</v>
      </c>
      <c r="CE6" s="329"/>
      <c r="CM6" s="336" t="s">
        <v>493</v>
      </c>
      <c r="CN6" s="329"/>
      <c r="CV6" s="398" t="s">
        <v>493</v>
      </c>
      <c r="CW6" s="337"/>
    </row>
    <row r="7" spans="1:107">
      <c r="A7" s="429" t="s">
        <v>655</v>
      </c>
      <c r="B7" s="114"/>
      <c r="D7" s="114"/>
      <c r="E7" s="114"/>
      <c r="F7" s="114"/>
      <c r="G7" s="114"/>
      <c r="H7" s="114"/>
      <c r="J7" s="429" t="s">
        <v>656</v>
      </c>
      <c r="K7" s="114"/>
      <c r="S7" s="439" t="s">
        <v>922</v>
      </c>
      <c r="T7" s="438"/>
      <c r="AB7" s="470" t="s">
        <v>1105</v>
      </c>
      <c r="AC7" s="469"/>
      <c r="AD7" s="139"/>
      <c r="AE7" s="139"/>
      <c r="AK7" s="153" t="s">
        <v>499</v>
      </c>
      <c r="AL7" s="155"/>
      <c r="AM7" s="155"/>
      <c r="AN7" s="155"/>
      <c r="AT7" s="153" t="s">
        <v>501</v>
      </c>
      <c r="AU7" s="155"/>
      <c r="AV7" s="155"/>
      <c r="AW7" s="155"/>
      <c r="BC7" s="153" t="s">
        <v>504</v>
      </c>
      <c r="BD7" s="155"/>
      <c r="BE7" s="155"/>
      <c r="BF7" s="155"/>
      <c r="BL7" s="153" t="s">
        <v>506</v>
      </c>
      <c r="BM7" s="155"/>
      <c r="BN7" s="155"/>
      <c r="BO7" s="155"/>
      <c r="BU7" s="153" t="s">
        <v>511</v>
      </c>
      <c r="BV7" s="155"/>
      <c r="BW7" s="155"/>
      <c r="BX7" s="155"/>
      <c r="BY7" s="155"/>
      <c r="CD7" s="325" t="s">
        <v>543</v>
      </c>
      <c r="CE7" s="329"/>
      <c r="CM7" s="325" t="s">
        <v>546</v>
      </c>
      <c r="CN7" s="329"/>
      <c r="CV7" s="338" t="s">
        <v>554</v>
      </c>
      <c r="CW7" s="337"/>
    </row>
    <row r="8" spans="1:107">
      <c r="A8" s="429" t="s">
        <v>661</v>
      </c>
      <c r="J8" s="429" t="s">
        <v>661</v>
      </c>
      <c r="K8"/>
      <c r="S8" s="429" t="s">
        <v>661</v>
      </c>
      <c r="AB8" s="429" t="s">
        <v>661</v>
      </c>
      <c r="AK8" s="147" t="s">
        <v>487</v>
      </c>
      <c r="BP8" s="140"/>
    </row>
    <row r="10" spans="1:107">
      <c r="BP10" s="140"/>
      <c r="BU10" s="153" t="s">
        <v>541</v>
      </c>
      <c r="CD10" s="153" t="s">
        <v>541</v>
      </c>
      <c r="CM10" s="153" t="s">
        <v>541</v>
      </c>
      <c r="CV10" s="153" t="s">
        <v>541</v>
      </c>
      <c r="CZ10" s="140">
        <f>CZ11-CZ12</f>
        <v>0</v>
      </c>
    </row>
    <row r="12" spans="1:107">
      <c r="E12" s="34">
        <f>SUBTOTAL(9,E15:E1000)</f>
        <v>2988282.94</v>
      </c>
      <c r="N12" s="34">
        <f>SUBTOTAL(9,N15:N1000)</f>
        <v>2391135.4899999993</v>
      </c>
      <c r="V12" s="34"/>
      <c r="W12" s="34">
        <f>SUBTOTAL(9,W15:W1000)</f>
        <v>3586460.6099999989</v>
      </c>
      <c r="AF12" s="34">
        <f>SUBTOTAL(9,AF15:AF1000)</f>
        <v>3346598.9099999997</v>
      </c>
      <c r="AO12" s="34">
        <f>SUBTOTAL(9,AO15:AO1000)</f>
        <v>0</v>
      </c>
      <c r="AX12" s="34">
        <f>SUBTOTAL(9,AX15:AX1000)</f>
        <v>0</v>
      </c>
      <c r="BG12" s="34">
        <f>SUBTOTAL(9,BG15:BG1000)</f>
        <v>0</v>
      </c>
      <c r="BP12" s="34">
        <f>SUBTOTAL(9,BP15:BP100)</f>
        <v>0</v>
      </c>
      <c r="BY12" s="34">
        <f>SUBTOTAL(9,BY15:BY1000)</f>
        <v>0</v>
      </c>
      <c r="CH12" s="34">
        <f>SUBTOTAL(9,CH15:CH1000)</f>
        <v>0</v>
      </c>
      <c r="CQ12" s="34">
        <f>SUBTOTAL(9,CQ15:CQ1000)</f>
        <v>0</v>
      </c>
      <c r="CZ12" s="34">
        <f>SUBTOTAL(9,CZ15:CZ100)</f>
        <v>0</v>
      </c>
    </row>
    <row r="13" spans="1:107">
      <c r="A13" s="118" t="s">
        <v>435</v>
      </c>
      <c r="B13" s="118" t="s">
        <v>436</v>
      </c>
      <c r="C13" s="118" t="s">
        <v>430</v>
      </c>
      <c r="D13" s="118" t="s">
        <v>1</v>
      </c>
      <c r="E13" s="119" t="s">
        <v>431</v>
      </c>
      <c r="F13" s="120" t="s">
        <v>432</v>
      </c>
      <c r="G13" s="118" t="s">
        <v>433</v>
      </c>
      <c r="H13" s="118" t="s">
        <v>434</v>
      </c>
      <c r="J13" s="110" t="s">
        <v>435</v>
      </c>
      <c r="K13" s="110" t="s">
        <v>436</v>
      </c>
      <c r="L13" s="110" t="s">
        <v>430</v>
      </c>
      <c r="M13" s="110" t="s">
        <v>1</v>
      </c>
      <c r="N13" s="126" t="s">
        <v>431</v>
      </c>
      <c r="O13" s="127" t="s">
        <v>432</v>
      </c>
      <c r="P13" s="110" t="s">
        <v>433</v>
      </c>
      <c r="Q13" s="110" t="s">
        <v>434</v>
      </c>
      <c r="S13" s="110" t="s">
        <v>435</v>
      </c>
      <c r="T13" s="110" t="s">
        <v>436</v>
      </c>
      <c r="U13" s="110" t="s">
        <v>430</v>
      </c>
      <c r="V13" s="110" t="s">
        <v>1</v>
      </c>
      <c r="W13" s="126" t="s">
        <v>431</v>
      </c>
      <c r="X13" s="127" t="s">
        <v>432</v>
      </c>
      <c r="Y13" s="110" t="s">
        <v>433</v>
      </c>
      <c r="Z13" s="110" t="s">
        <v>434</v>
      </c>
      <c r="AB13" s="110" t="s">
        <v>435</v>
      </c>
      <c r="AC13" s="110" t="s">
        <v>436</v>
      </c>
      <c r="AD13" s="110" t="s">
        <v>430</v>
      </c>
      <c r="AE13" s="110" t="s">
        <v>1</v>
      </c>
      <c r="AF13" s="126" t="s">
        <v>431</v>
      </c>
      <c r="AG13" s="127" t="s">
        <v>432</v>
      </c>
      <c r="AH13" s="110" t="s">
        <v>433</v>
      </c>
      <c r="AI13" s="110" t="s">
        <v>434</v>
      </c>
      <c r="AK13" s="110" t="s">
        <v>435</v>
      </c>
      <c r="AL13" s="110" t="s">
        <v>436</v>
      </c>
      <c r="AM13" s="110" t="s">
        <v>430</v>
      </c>
      <c r="AN13" s="110" t="s">
        <v>1</v>
      </c>
      <c r="AO13" s="126" t="s">
        <v>431</v>
      </c>
      <c r="AP13" s="127" t="s">
        <v>432</v>
      </c>
      <c r="AQ13" s="110" t="s">
        <v>433</v>
      </c>
      <c r="AR13" s="110" t="s">
        <v>434</v>
      </c>
      <c r="AT13" s="154" t="s">
        <v>435</v>
      </c>
      <c r="AU13" s="154" t="s">
        <v>436</v>
      </c>
      <c r="AV13" s="154" t="s">
        <v>430</v>
      </c>
      <c r="AW13" s="154" t="s">
        <v>1</v>
      </c>
      <c r="AX13" s="157" t="s">
        <v>431</v>
      </c>
      <c r="AY13" s="163" t="s">
        <v>432</v>
      </c>
      <c r="AZ13" s="154" t="s">
        <v>433</v>
      </c>
      <c r="BA13" s="154" t="s">
        <v>434</v>
      </c>
      <c r="BC13" s="154" t="s">
        <v>435</v>
      </c>
      <c r="BD13" s="154" t="s">
        <v>436</v>
      </c>
      <c r="BE13" s="154" t="s">
        <v>430</v>
      </c>
      <c r="BF13" s="154" t="s">
        <v>1</v>
      </c>
      <c r="BG13" s="157" t="s">
        <v>431</v>
      </c>
      <c r="BH13" s="163" t="s">
        <v>432</v>
      </c>
      <c r="BI13" s="154" t="s">
        <v>433</v>
      </c>
      <c r="BJ13" s="154" t="s">
        <v>434</v>
      </c>
      <c r="BL13" s="154" t="s">
        <v>435</v>
      </c>
      <c r="BM13" s="154" t="s">
        <v>436</v>
      </c>
      <c r="BN13" s="154" t="s">
        <v>430</v>
      </c>
      <c r="BO13" s="154" t="s">
        <v>1</v>
      </c>
      <c r="BP13" s="157" t="s">
        <v>431</v>
      </c>
      <c r="BQ13" s="163" t="s">
        <v>432</v>
      </c>
      <c r="BR13" s="154" t="s">
        <v>433</v>
      </c>
      <c r="BS13" s="154" t="s">
        <v>434</v>
      </c>
      <c r="BU13" s="154" t="s">
        <v>435</v>
      </c>
      <c r="BV13" s="154" t="s">
        <v>436</v>
      </c>
      <c r="BW13" s="154" t="s">
        <v>430</v>
      </c>
      <c r="BX13" s="154" t="s">
        <v>1</v>
      </c>
      <c r="BY13" s="157" t="s">
        <v>431</v>
      </c>
      <c r="BZ13" s="163" t="s">
        <v>432</v>
      </c>
      <c r="CA13" s="154" t="s">
        <v>433</v>
      </c>
      <c r="CB13" s="154" t="s">
        <v>434</v>
      </c>
      <c r="CD13" s="333" t="s">
        <v>435</v>
      </c>
      <c r="CE13" s="154" t="s">
        <v>436</v>
      </c>
      <c r="CF13" s="154" t="s">
        <v>430</v>
      </c>
      <c r="CG13" s="154" t="s">
        <v>1</v>
      </c>
      <c r="CH13" s="334" t="s">
        <v>431</v>
      </c>
      <c r="CI13" s="163" t="s">
        <v>432</v>
      </c>
      <c r="CJ13" s="154" t="s">
        <v>433</v>
      </c>
      <c r="CK13" s="154" t="s">
        <v>434</v>
      </c>
      <c r="CM13" s="154" t="s">
        <v>435</v>
      </c>
      <c r="CN13" s="154" t="s">
        <v>436</v>
      </c>
      <c r="CO13" s="154" t="s">
        <v>430</v>
      </c>
      <c r="CP13" s="154" t="s">
        <v>1</v>
      </c>
      <c r="CQ13" s="157" t="s">
        <v>431</v>
      </c>
      <c r="CR13" s="163" t="s">
        <v>432</v>
      </c>
      <c r="CS13" s="154" t="s">
        <v>433</v>
      </c>
      <c r="CT13" s="154" t="s">
        <v>434</v>
      </c>
      <c r="CV13" s="342" t="s">
        <v>435</v>
      </c>
      <c r="CW13" s="342" t="s">
        <v>436</v>
      </c>
      <c r="CX13" s="342" t="s">
        <v>430</v>
      </c>
      <c r="CY13" s="342" t="s">
        <v>1</v>
      </c>
      <c r="CZ13" s="343" t="s">
        <v>431</v>
      </c>
      <c r="DA13" s="344" t="s">
        <v>432</v>
      </c>
      <c r="DB13" s="342" t="s">
        <v>433</v>
      </c>
      <c r="DC13" s="342" t="s">
        <v>434</v>
      </c>
    </row>
    <row r="14" spans="1:107">
      <c r="A14" s="115" t="s">
        <v>397</v>
      </c>
      <c r="B14" s="115" t="s">
        <v>397</v>
      </c>
      <c r="C14" s="115" t="s">
        <v>397</v>
      </c>
      <c r="D14" s="115" t="s">
        <v>397</v>
      </c>
      <c r="E14" s="114"/>
      <c r="F14" s="114"/>
      <c r="G14" s="115" t="s">
        <v>397</v>
      </c>
      <c r="H14" s="115" t="s">
        <v>397</v>
      </c>
      <c r="J14" s="108" t="s">
        <v>397</v>
      </c>
      <c r="K14" s="108" t="s">
        <v>397</v>
      </c>
      <c r="L14" s="108" t="s">
        <v>397</v>
      </c>
      <c r="M14" s="108" t="s">
        <v>397</v>
      </c>
      <c r="P14" s="108" t="s">
        <v>397</v>
      </c>
      <c r="Q14" s="108" t="s">
        <v>397</v>
      </c>
      <c r="S14" s="108" t="s">
        <v>397</v>
      </c>
      <c r="T14" s="108" t="s">
        <v>397</v>
      </c>
      <c r="U14" s="108" t="s">
        <v>397</v>
      </c>
      <c r="V14" s="108" t="s">
        <v>397</v>
      </c>
      <c r="Y14" s="108" t="s">
        <v>397</v>
      </c>
      <c r="Z14" s="108" t="s">
        <v>397</v>
      </c>
    </row>
    <row r="15" spans="1:107">
      <c r="A15" s="430">
        <v>331298</v>
      </c>
      <c r="B15" s="433" t="s">
        <v>488</v>
      </c>
      <c r="C15" s="433" t="s">
        <v>662</v>
      </c>
      <c r="D15" s="430">
        <v>215101</v>
      </c>
      <c r="E15" s="435">
        <v>6300</v>
      </c>
      <c r="F15" s="437">
        <v>46027</v>
      </c>
      <c r="G15" s="433" t="s">
        <v>514</v>
      </c>
      <c r="H15" s="433" t="s">
        <v>663</v>
      </c>
      <c r="J15" s="430">
        <v>331199</v>
      </c>
      <c r="K15" s="433" t="s">
        <v>439</v>
      </c>
      <c r="L15" s="433" t="s">
        <v>664</v>
      </c>
      <c r="M15" s="430">
        <v>215101</v>
      </c>
      <c r="N15" s="435">
        <v>6275.79</v>
      </c>
      <c r="O15" s="437">
        <v>46054</v>
      </c>
      <c r="P15" s="433" t="s">
        <v>514</v>
      </c>
      <c r="Q15" s="433" t="s">
        <v>665</v>
      </c>
      <c r="S15" s="464">
        <v>331404</v>
      </c>
      <c r="T15" s="461" t="s">
        <v>293</v>
      </c>
      <c r="U15" s="461" t="s">
        <v>926</v>
      </c>
      <c r="V15" s="464">
        <v>211103</v>
      </c>
      <c r="W15" s="462">
        <v>24961.759999999998</v>
      </c>
      <c r="X15" s="463">
        <v>46107</v>
      </c>
      <c r="Y15" s="461" t="s">
        <v>924</v>
      </c>
      <c r="Z15" s="461" t="s">
        <v>927</v>
      </c>
      <c r="AB15" s="474">
        <v>331205</v>
      </c>
      <c r="AC15" s="472" t="s">
        <v>276</v>
      </c>
      <c r="AD15" s="472" t="s">
        <v>1110</v>
      </c>
      <c r="AE15" s="474">
        <v>211104</v>
      </c>
      <c r="AF15" s="473">
        <v>10183.02</v>
      </c>
      <c r="AG15" s="477">
        <v>46126</v>
      </c>
      <c r="AH15" s="472" t="s">
        <v>924</v>
      </c>
      <c r="AI15" s="472" t="s">
        <v>1111</v>
      </c>
      <c r="AK15" s="158"/>
      <c r="AL15" s="154"/>
      <c r="AM15" s="158"/>
      <c r="AN15" s="158"/>
      <c r="AO15" s="157"/>
      <c r="AP15" s="163"/>
      <c r="AQ15" s="158"/>
      <c r="AR15" s="158"/>
      <c r="AT15" s="158"/>
      <c r="AU15" s="154"/>
      <c r="AV15" s="158"/>
      <c r="AW15" s="158"/>
      <c r="AX15" s="157"/>
      <c r="AY15" s="163"/>
      <c r="AZ15" s="158"/>
      <c r="BA15" s="158"/>
      <c r="BC15" s="158"/>
      <c r="BD15" s="154"/>
      <c r="BE15" s="158"/>
      <c r="BF15" s="158"/>
      <c r="BG15" s="157"/>
      <c r="BH15" s="163"/>
      <c r="BI15" s="158"/>
      <c r="BJ15" s="158"/>
      <c r="BL15" s="236"/>
      <c r="BM15" s="233"/>
      <c r="BN15" s="233"/>
      <c r="BO15" s="233"/>
      <c r="BP15" s="234"/>
      <c r="BQ15" s="235"/>
      <c r="BR15" s="233"/>
      <c r="BS15" s="233"/>
      <c r="BU15" s="158"/>
      <c r="BV15" s="154"/>
      <c r="BW15" s="158"/>
      <c r="BX15" s="158"/>
      <c r="BY15" s="157"/>
      <c r="BZ15" s="163"/>
      <c r="CA15" s="158"/>
      <c r="CB15" s="158"/>
      <c r="CD15" s="332"/>
      <c r="CE15" s="327"/>
      <c r="CF15" s="327"/>
      <c r="CG15" s="327"/>
      <c r="CH15" s="328"/>
      <c r="CI15" s="331"/>
      <c r="CJ15" s="327"/>
      <c r="CK15" s="327"/>
      <c r="CM15" s="332"/>
      <c r="CN15" s="327"/>
      <c r="CO15" s="327"/>
      <c r="CP15" s="327"/>
      <c r="CQ15" s="328"/>
      <c r="CR15" s="331"/>
      <c r="CS15" s="327"/>
      <c r="CT15" s="327"/>
      <c r="CV15" s="112"/>
      <c r="CW15" s="110"/>
      <c r="CX15" s="110"/>
      <c r="CY15" s="110"/>
      <c r="CZ15" s="399"/>
      <c r="DA15" s="127"/>
      <c r="DB15" s="110"/>
      <c r="DC15" s="110"/>
    </row>
    <row r="16" spans="1:107">
      <c r="A16" s="431">
        <v>331501</v>
      </c>
      <c r="B16" s="432" t="s">
        <v>412</v>
      </c>
      <c r="C16" s="432" t="s">
        <v>707</v>
      </c>
      <c r="D16" s="431">
        <v>211103</v>
      </c>
      <c r="E16" s="434">
        <v>174</v>
      </c>
      <c r="F16" s="436">
        <v>46027</v>
      </c>
      <c r="G16" s="432" t="s">
        <v>512</v>
      </c>
      <c r="H16" s="432" t="s">
        <v>708</v>
      </c>
      <c r="J16" s="431">
        <v>331452</v>
      </c>
      <c r="K16" s="432" t="s">
        <v>299</v>
      </c>
      <c r="L16" s="432" t="s">
        <v>666</v>
      </c>
      <c r="M16" s="431">
        <v>211103</v>
      </c>
      <c r="N16" s="434">
        <v>10730.87</v>
      </c>
      <c r="O16" s="436">
        <v>46062</v>
      </c>
      <c r="P16" s="432" t="s">
        <v>512</v>
      </c>
      <c r="Q16" s="432" t="s">
        <v>667</v>
      </c>
      <c r="S16" s="465">
        <v>331403</v>
      </c>
      <c r="T16" s="458" t="s">
        <v>563</v>
      </c>
      <c r="U16" s="458" t="s">
        <v>923</v>
      </c>
      <c r="V16" s="465">
        <v>211103</v>
      </c>
      <c r="W16" s="459">
        <v>2427.1</v>
      </c>
      <c r="X16" s="460">
        <v>46112</v>
      </c>
      <c r="Y16" s="458" t="s">
        <v>924</v>
      </c>
      <c r="Z16" s="458" t="s">
        <v>925</v>
      </c>
      <c r="AB16" s="469">
        <v>332310</v>
      </c>
      <c r="AC16" s="470" t="s">
        <v>312</v>
      </c>
      <c r="AD16" s="470" t="s">
        <v>1112</v>
      </c>
      <c r="AE16" s="469">
        <v>211104</v>
      </c>
      <c r="AF16" s="471">
        <v>14340.41</v>
      </c>
      <c r="AG16" s="476">
        <v>46114</v>
      </c>
      <c r="AH16" s="470" t="s">
        <v>924</v>
      </c>
      <c r="AI16" s="470" t="s">
        <v>1113</v>
      </c>
      <c r="AK16" s="155"/>
      <c r="AL16" s="153"/>
      <c r="AM16" s="155"/>
      <c r="AN16" s="155"/>
      <c r="AO16" s="156"/>
      <c r="AP16" s="162"/>
      <c r="AQ16" s="155"/>
      <c r="AR16" s="155"/>
      <c r="AT16" s="155"/>
      <c r="AU16" s="153"/>
      <c r="AV16" s="155"/>
      <c r="AW16" s="155"/>
      <c r="AX16" s="156"/>
      <c r="AY16" s="162"/>
      <c r="AZ16" s="155"/>
      <c r="BA16" s="155"/>
      <c r="BC16" s="155"/>
      <c r="BD16" s="153"/>
      <c r="BE16" s="155"/>
      <c r="BF16" s="155"/>
      <c r="BG16" s="156"/>
      <c r="BH16" s="162"/>
      <c r="BI16" s="155"/>
      <c r="BJ16" s="155"/>
      <c r="BL16" s="237"/>
      <c r="BM16" s="230"/>
      <c r="BN16" s="230"/>
      <c r="BO16" s="230"/>
      <c r="BP16" s="231"/>
      <c r="BQ16" s="232"/>
      <c r="BR16" s="230"/>
      <c r="BS16" s="230"/>
      <c r="BU16" s="155"/>
      <c r="BV16" s="153"/>
      <c r="BW16" s="155"/>
      <c r="BX16" s="155"/>
      <c r="BY16" s="156"/>
      <c r="BZ16" s="162"/>
      <c r="CA16" s="155"/>
      <c r="CB16" s="155"/>
      <c r="CD16" s="329"/>
      <c r="CE16" s="325"/>
      <c r="CF16" s="325"/>
      <c r="CG16" s="325"/>
      <c r="CH16" s="326"/>
      <c r="CI16" s="330"/>
      <c r="CJ16" s="325"/>
      <c r="CK16" s="325"/>
      <c r="CM16" s="329"/>
      <c r="CN16" s="325"/>
      <c r="CO16" s="325"/>
      <c r="CP16" s="325"/>
      <c r="CQ16" s="326"/>
      <c r="CR16" s="330"/>
      <c r="CS16" s="325"/>
      <c r="CT16" s="325"/>
      <c r="CW16" s="108"/>
      <c r="CX16" s="108"/>
      <c r="CY16" s="108"/>
      <c r="CZ16" s="400"/>
      <c r="DA16" s="125"/>
      <c r="DB16" s="108"/>
      <c r="DC16" s="108"/>
    </row>
    <row r="17" spans="1:107">
      <c r="A17" s="430">
        <v>331454</v>
      </c>
      <c r="B17" s="433" t="s">
        <v>301</v>
      </c>
      <c r="C17" s="433" t="s">
        <v>675</v>
      </c>
      <c r="D17" s="430">
        <v>211103</v>
      </c>
      <c r="E17" s="435">
        <v>4433.41</v>
      </c>
      <c r="F17" s="437">
        <v>46035</v>
      </c>
      <c r="G17" s="433" t="s">
        <v>512</v>
      </c>
      <c r="H17" s="433" t="s">
        <v>676</v>
      </c>
      <c r="J17" s="430">
        <v>331451</v>
      </c>
      <c r="K17" s="433" t="s">
        <v>564</v>
      </c>
      <c r="L17" s="433" t="s">
        <v>576</v>
      </c>
      <c r="M17" s="430">
        <v>211103</v>
      </c>
      <c r="N17" s="435">
        <v>3757.38</v>
      </c>
      <c r="O17" s="437">
        <v>46058</v>
      </c>
      <c r="P17" s="433" t="s">
        <v>512</v>
      </c>
      <c r="Q17" s="433" t="s">
        <v>668</v>
      </c>
      <c r="S17" s="464">
        <v>128502</v>
      </c>
      <c r="T17" s="461" t="s">
        <v>270</v>
      </c>
      <c r="U17" s="461" t="s">
        <v>1077</v>
      </c>
      <c r="V17" s="464">
        <v>211104</v>
      </c>
      <c r="W17" s="462">
        <v>1124593.53</v>
      </c>
      <c r="X17" s="463">
        <v>46105</v>
      </c>
      <c r="Y17" s="461" t="s">
        <v>924</v>
      </c>
      <c r="Z17" s="461" t="s">
        <v>1078</v>
      </c>
      <c r="AB17" s="474">
        <v>128104</v>
      </c>
      <c r="AC17" s="472" t="s">
        <v>268</v>
      </c>
      <c r="AD17" s="472" t="s">
        <v>1114</v>
      </c>
      <c r="AE17" s="474">
        <v>211104</v>
      </c>
      <c r="AF17" s="473">
        <v>1832.52</v>
      </c>
      <c r="AG17" s="477">
        <v>46121</v>
      </c>
      <c r="AH17" s="472" t="s">
        <v>924</v>
      </c>
      <c r="AI17" s="472" t="s">
        <v>1115</v>
      </c>
      <c r="AK17" s="158"/>
      <c r="AL17" s="154"/>
      <c r="AM17" s="158"/>
      <c r="AN17" s="158"/>
      <c r="AO17" s="157"/>
      <c r="AP17" s="163"/>
      <c r="AQ17" s="158"/>
      <c r="AR17" s="158"/>
      <c r="AT17" s="158"/>
      <c r="AU17" s="154"/>
      <c r="AV17" s="158"/>
      <c r="AW17" s="158"/>
      <c r="AX17" s="157"/>
      <c r="AY17" s="163"/>
      <c r="AZ17" s="158"/>
      <c r="BA17" s="158"/>
      <c r="BC17" s="158"/>
      <c r="BD17" s="154"/>
      <c r="BE17" s="158"/>
      <c r="BF17" s="158"/>
      <c r="BG17" s="157"/>
      <c r="BH17" s="163"/>
      <c r="BI17" s="158"/>
      <c r="BJ17" s="158"/>
      <c r="BL17" s="236"/>
      <c r="BM17" s="233"/>
      <c r="BN17" s="233"/>
      <c r="BO17" s="233"/>
      <c r="BP17" s="234"/>
      <c r="BQ17" s="235"/>
      <c r="BR17" s="233"/>
      <c r="BS17" s="233"/>
      <c r="BU17" s="158"/>
      <c r="BV17" s="154"/>
      <c r="BW17" s="158"/>
      <c r="BX17" s="158"/>
      <c r="BY17" s="157"/>
      <c r="BZ17" s="163"/>
      <c r="CA17" s="158"/>
      <c r="CB17" s="158"/>
      <c r="CD17" s="332"/>
      <c r="CE17" s="327"/>
      <c r="CF17" s="327"/>
      <c r="CG17" s="327"/>
      <c r="CH17" s="328"/>
      <c r="CI17" s="331"/>
      <c r="CJ17" s="327"/>
      <c r="CK17" s="327"/>
      <c r="CM17" s="332"/>
      <c r="CN17" s="327"/>
      <c r="CO17" s="327"/>
      <c r="CP17" s="327"/>
      <c r="CQ17" s="328"/>
      <c r="CR17" s="331"/>
      <c r="CS17" s="327"/>
      <c r="CT17" s="327"/>
      <c r="CV17" s="112"/>
      <c r="CW17" s="110"/>
      <c r="CX17" s="110"/>
      <c r="CY17" s="110"/>
      <c r="CZ17" s="399"/>
      <c r="DA17" s="127"/>
      <c r="DB17" s="110"/>
      <c r="DC17" s="110"/>
    </row>
    <row r="18" spans="1:107">
      <c r="A18" s="431">
        <v>331452</v>
      </c>
      <c r="B18" s="432" t="s">
        <v>299</v>
      </c>
      <c r="C18" s="432" t="s">
        <v>859</v>
      </c>
      <c r="D18" s="431">
        <v>211103</v>
      </c>
      <c r="E18" s="434">
        <v>13694.92</v>
      </c>
      <c r="F18" s="436">
        <v>46041</v>
      </c>
      <c r="G18" s="432" t="s">
        <v>512</v>
      </c>
      <c r="H18" s="432" t="s">
        <v>860</v>
      </c>
      <c r="J18" s="431">
        <v>331450</v>
      </c>
      <c r="K18" s="432" t="s">
        <v>297</v>
      </c>
      <c r="L18" s="432" t="s">
        <v>670</v>
      </c>
      <c r="M18" s="431">
        <v>211103</v>
      </c>
      <c r="N18" s="434">
        <v>379.92</v>
      </c>
      <c r="O18" s="436">
        <v>46071</v>
      </c>
      <c r="P18" s="432" t="s">
        <v>512</v>
      </c>
      <c r="Q18" s="432" t="s">
        <v>671</v>
      </c>
      <c r="S18" s="465">
        <v>332310</v>
      </c>
      <c r="T18" s="458" t="s">
        <v>312</v>
      </c>
      <c r="U18" s="458" t="s">
        <v>930</v>
      </c>
      <c r="V18" s="465">
        <v>211104</v>
      </c>
      <c r="W18" s="459">
        <v>15834.78</v>
      </c>
      <c r="X18" s="460">
        <v>46107</v>
      </c>
      <c r="Y18" s="458" t="s">
        <v>924</v>
      </c>
      <c r="Z18" s="458" t="s">
        <v>927</v>
      </c>
      <c r="AB18" s="469">
        <v>331503</v>
      </c>
      <c r="AC18" s="470" t="s">
        <v>302</v>
      </c>
      <c r="AD18" s="470" t="s">
        <v>1116</v>
      </c>
      <c r="AE18" s="469">
        <v>211103</v>
      </c>
      <c r="AF18" s="471">
        <v>596.98</v>
      </c>
      <c r="AG18" s="476">
        <v>46114</v>
      </c>
      <c r="AH18" s="470" t="s">
        <v>924</v>
      </c>
      <c r="AI18" s="470" t="s">
        <v>1113</v>
      </c>
      <c r="AK18" s="155"/>
      <c r="AL18" s="153"/>
      <c r="AM18" s="155"/>
      <c r="AN18" s="155"/>
      <c r="AO18" s="156"/>
      <c r="AP18" s="162"/>
      <c r="AQ18" s="155"/>
      <c r="AR18" s="155"/>
      <c r="AT18" s="155"/>
      <c r="AU18" s="153"/>
      <c r="AV18" s="155"/>
      <c r="AW18" s="155"/>
      <c r="AX18" s="156"/>
      <c r="AY18" s="162"/>
      <c r="AZ18" s="155"/>
      <c r="BA18" s="155"/>
      <c r="BC18" s="155"/>
      <c r="BD18" s="153"/>
      <c r="BE18" s="155"/>
      <c r="BF18" s="155"/>
      <c r="BG18" s="156"/>
      <c r="BH18" s="162"/>
      <c r="BI18" s="155"/>
      <c r="BJ18" s="155"/>
      <c r="BL18" s="237"/>
      <c r="BM18" s="230"/>
      <c r="BN18" s="230"/>
      <c r="BO18" s="230"/>
      <c r="BP18" s="231"/>
      <c r="BQ18" s="232"/>
      <c r="BR18" s="230"/>
      <c r="BS18" s="230"/>
      <c r="BU18" s="155"/>
      <c r="BV18" s="153"/>
      <c r="BW18" s="155"/>
      <c r="BX18" s="155"/>
      <c r="BY18" s="156"/>
      <c r="BZ18" s="162"/>
      <c r="CA18" s="155"/>
      <c r="CB18" s="155"/>
      <c r="CD18" s="329"/>
      <c r="CE18" s="325"/>
      <c r="CF18" s="325"/>
      <c r="CG18" s="325"/>
      <c r="CH18" s="326"/>
      <c r="CI18" s="330"/>
      <c r="CJ18" s="325"/>
      <c r="CK18" s="325"/>
      <c r="CM18" s="329"/>
      <c r="CN18" s="325"/>
      <c r="CO18" s="325"/>
      <c r="CP18" s="325"/>
      <c r="CQ18" s="326"/>
      <c r="CR18" s="330"/>
      <c r="CS18" s="325"/>
      <c r="CT18" s="325"/>
      <c r="CW18" s="108"/>
      <c r="CX18" s="108"/>
      <c r="CY18" s="108"/>
      <c r="CZ18" s="400"/>
      <c r="DA18" s="125"/>
      <c r="DB18" s="108"/>
      <c r="DC18" s="108"/>
    </row>
    <row r="19" spans="1:107">
      <c r="A19" s="430">
        <v>331602</v>
      </c>
      <c r="B19" s="433" t="s">
        <v>44</v>
      </c>
      <c r="C19" s="433" t="s">
        <v>730</v>
      </c>
      <c r="D19" s="430">
        <v>211104</v>
      </c>
      <c r="E19" s="435">
        <v>3290</v>
      </c>
      <c r="F19" s="437">
        <v>46037</v>
      </c>
      <c r="G19" s="433" t="s">
        <v>512</v>
      </c>
      <c r="H19" s="433" t="s">
        <v>700</v>
      </c>
      <c r="J19" s="430">
        <v>331410</v>
      </c>
      <c r="K19" s="433" t="s">
        <v>296</v>
      </c>
      <c r="L19" s="433" t="s">
        <v>673</v>
      </c>
      <c r="M19" s="430">
        <v>211104</v>
      </c>
      <c r="N19" s="435">
        <v>7470.84</v>
      </c>
      <c r="O19" s="437">
        <v>46080</v>
      </c>
      <c r="P19" s="433" t="s">
        <v>512</v>
      </c>
      <c r="Q19" s="433" t="s">
        <v>674</v>
      </c>
      <c r="S19" s="464">
        <v>331503</v>
      </c>
      <c r="T19" s="461" t="s">
        <v>302</v>
      </c>
      <c r="U19" s="461" t="s">
        <v>929</v>
      </c>
      <c r="V19" s="464">
        <v>211103</v>
      </c>
      <c r="W19" s="462">
        <v>1867.84</v>
      </c>
      <c r="X19" s="463">
        <v>46112</v>
      </c>
      <c r="Y19" s="461" t="s">
        <v>924</v>
      </c>
      <c r="Z19" s="461" t="s">
        <v>925</v>
      </c>
      <c r="AB19" s="474">
        <v>331403</v>
      </c>
      <c r="AC19" s="472" t="s">
        <v>563</v>
      </c>
      <c r="AD19" s="472" t="s">
        <v>1117</v>
      </c>
      <c r="AE19" s="474">
        <v>211103</v>
      </c>
      <c r="AF19" s="473">
        <v>2895.1</v>
      </c>
      <c r="AG19" s="477">
        <v>46120</v>
      </c>
      <c r="AH19" s="472" t="s">
        <v>924</v>
      </c>
      <c r="AI19" s="472" t="s">
        <v>1118</v>
      </c>
      <c r="AK19" s="158"/>
      <c r="AL19" s="154"/>
      <c r="AM19" s="158"/>
      <c r="AN19" s="158"/>
      <c r="AO19" s="157"/>
      <c r="AP19" s="163"/>
      <c r="AQ19" s="158"/>
      <c r="AR19" s="158"/>
      <c r="AT19" s="158"/>
      <c r="AU19" s="154"/>
      <c r="AV19" s="158"/>
      <c r="AW19" s="158"/>
      <c r="AX19" s="157"/>
      <c r="AY19" s="163"/>
      <c r="AZ19" s="158"/>
      <c r="BA19" s="158"/>
      <c r="BC19" s="158"/>
      <c r="BD19" s="154"/>
      <c r="BE19" s="158"/>
      <c r="BF19" s="158"/>
      <c r="BG19" s="157"/>
      <c r="BH19" s="163"/>
      <c r="BI19" s="158"/>
      <c r="BJ19" s="158"/>
      <c r="BL19" s="236"/>
      <c r="BM19" s="233"/>
      <c r="BN19" s="233"/>
      <c r="BO19" s="233"/>
      <c r="BP19" s="234"/>
      <c r="BQ19" s="235"/>
      <c r="BR19" s="233"/>
      <c r="BS19" s="233"/>
      <c r="BU19" s="158"/>
      <c r="BV19" s="154"/>
      <c r="BW19" s="158"/>
      <c r="BX19" s="158"/>
      <c r="BY19" s="157"/>
      <c r="BZ19" s="163"/>
      <c r="CA19" s="158"/>
      <c r="CB19" s="158"/>
      <c r="CD19" s="332"/>
      <c r="CE19" s="327"/>
      <c r="CF19" s="327"/>
      <c r="CG19" s="327"/>
      <c r="CH19" s="328"/>
      <c r="CI19" s="331"/>
      <c r="CJ19" s="327"/>
      <c r="CK19" s="327"/>
      <c r="CM19" s="332"/>
      <c r="CN19" s="327"/>
      <c r="CO19" s="327"/>
      <c r="CP19" s="327"/>
      <c r="CQ19" s="328"/>
      <c r="CR19" s="331"/>
      <c r="CS19" s="327"/>
      <c r="CT19" s="327"/>
      <c r="CV19" s="112"/>
      <c r="CW19" s="110"/>
      <c r="CX19" s="110"/>
      <c r="CY19" s="110"/>
      <c r="CZ19" s="399"/>
      <c r="DA19" s="127"/>
      <c r="DB19" s="110"/>
      <c r="DC19" s="110"/>
    </row>
    <row r="20" spans="1:107">
      <c r="A20" s="431">
        <v>331601</v>
      </c>
      <c r="B20" s="432" t="s">
        <v>43</v>
      </c>
      <c r="C20" s="432" t="s">
        <v>861</v>
      </c>
      <c r="D20" s="431">
        <v>211104</v>
      </c>
      <c r="E20" s="434">
        <v>2671.14</v>
      </c>
      <c r="F20" s="436">
        <v>46042</v>
      </c>
      <c r="G20" s="432" t="s">
        <v>512</v>
      </c>
      <c r="H20" s="432" t="s">
        <v>687</v>
      </c>
      <c r="J20" s="431">
        <v>331602</v>
      </c>
      <c r="K20" s="432" t="s">
        <v>44</v>
      </c>
      <c r="L20" s="432" t="s">
        <v>677</v>
      </c>
      <c r="M20" s="431">
        <v>211104</v>
      </c>
      <c r="N20" s="434">
        <v>3290</v>
      </c>
      <c r="O20" s="436">
        <v>46071</v>
      </c>
      <c r="P20" s="432" t="s">
        <v>512</v>
      </c>
      <c r="Q20" s="432" t="s">
        <v>671</v>
      </c>
      <c r="S20" s="465">
        <v>331501</v>
      </c>
      <c r="T20" s="458" t="s">
        <v>412</v>
      </c>
      <c r="U20" s="458" t="s">
        <v>928</v>
      </c>
      <c r="V20" s="465">
        <v>211104</v>
      </c>
      <c r="W20" s="459">
        <v>632.4</v>
      </c>
      <c r="X20" s="460">
        <v>46107</v>
      </c>
      <c r="Y20" s="458" t="s">
        <v>924</v>
      </c>
      <c r="Z20" s="458" t="s">
        <v>927</v>
      </c>
      <c r="AB20" s="469">
        <v>332405</v>
      </c>
      <c r="AC20" s="470" t="s">
        <v>314</v>
      </c>
      <c r="AD20" s="470" t="s">
        <v>1119</v>
      </c>
      <c r="AE20" s="469">
        <v>211104</v>
      </c>
      <c r="AF20" s="471">
        <v>37292.6</v>
      </c>
      <c r="AG20" s="476">
        <v>46121</v>
      </c>
      <c r="AH20" s="470" t="s">
        <v>924</v>
      </c>
      <c r="AI20" s="470" t="s">
        <v>1115</v>
      </c>
      <c r="AK20" s="155"/>
      <c r="AL20" s="153"/>
      <c r="AM20" s="155"/>
      <c r="AN20" s="155"/>
      <c r="AO20" s="156"/>
      <c r="AP20" s="162"/>
      <c r="AQ20" s="155"/>
      <c r="AR20" s="155"/>
      <c r="AT20" s="155"/>
      <c r="AU20" s="153"/>
      <c r="AV20" s="155"/>
      <c r="AW20" s="155"/>
      <c r="AX20" s="156"/>
      <c r="AY20" s="162"/>
      <c r="AZ20" s="155"/>
      <c r="BA20" s="155"/>
      <c r="BC20" s="155"/>
      <c r="BD20" s="153"/>
      <c r="BE20" s="155"/>
      <c r="BF20" s="155"/>
      <c r="BG20" s="156"/>
      <c r="BH20" s="162"/>
      <c r="BI20" s="155"/>
      <c r="BJ20" s="155"/>
      <c r="BL20" s="237"/>
      <c r="BM20" s="230"/>
      <c r="BN20" s="230"/>
      <c r="BO20" s="230"/>
      <c r="BP20" s="231"/>
      <c r="BQ20" s="232"/>
      <c r="BR20" s="230"/>
      <c r="BS20" s="230"/>
      <c r="BU20" s="155"/>
      <c r="BV20" s="153"/>
      <c r="BW20" s="155"/>
      <c r="BX20" s="155"/>
      <c r="BY20" s="156"/>
      <c r="BZ20" s="162"/>
      <c r="CA20" s="155"/>
      <c r="CB20" s="155"/>
      <c r="CD20" s="329"/>
      <c r="CE20" s="325"/>
      <c r="CF20" s="325"/>
      <c r="CG20" s="325"/>
      <c r="CH20" s="326"/>
      <c r="CI20" s="330"/>
      <c r="CJ20" s="325"/>
      <c r="CK20" s="325"/>
      <c r="CM20" s="329"/>
      <c r="CN20" s="325"/>
      <c r="CO20" s="325"/>
      <c r="CP20" s="325"/>
      <c r="CQ20" s="326"/>
      <c r="CR20" s="330"/>
      <c r="CS20" s="325"/>
      <c r="CT20" s="325"/>
      <c r="CW20" s="108"/>
      <c r="CX20" s="108"/>
      <c r="CY20" s="108"/>
      <c r="CZ20" s="400"/>
      <c r="DA20" s="125"/>
      <c r="DB20" s="108"/>
      <c r="DC20" s="108"/>
    </row>
    <row r="21" spans="1:107">
      <c r="A21" s="430">
        <v>331504</v>
      </c>
      <c r="B21" s="433" t="s">
        <v>303</v>
      </c>
      <c r="C21" s="433" t="s">
        <v>862</v>
      </c>
      <c r="D21" s="430">
        <v>211103</v>
      </c>
      <c r="E21" s="435">
        <v>3943.29</v>
      </c>
      <c r="F21" s="437">
        <v>46041</v>
      </c>
      <c r="G21" s="433" t="s">
        <v>512</v>
      </c>
      <c r="H21" s="433" t="s">
        <v>863</v>
      </c>
      <c r="J21" s="430">
        <v>331601</v>
      </c>
      <c r="K21" s="433" t="s">
        <v>43</v>
      </c>
      <c r="L21" s="433" t="s">
        <v>679</v>
      </c>
      <c r="M21" s="430">
        <v>211104</v>
      </c>
      <c r="N21" s="435">
        <v>2831.14</v>
      </c>
      <c r="O21" s="437">
        <v>46071</v>
      </c>
      <c r="P21" s="433" t="s">
        <v>512</v>
      </c>
      <c r="Q21" s="433" t="s">
        <v>680</v>
      </c>
      <c r="S21" s="464">
        <v>116301</v>
      </c>
      <c r="T21" s="461" t="s">
        <v>265</v>
      </c>
      <c r="U21" s="461" t="s">
        <v>931</v>
      </c>
      <c r="V21" s="464">
        <v>211104</v>
      </c>
      <c r="W21" s="462">
        <v>54308.05</v>
      </c>
      <c r="X21" s="463">
        <v>46107</v>
      </c>
      <c r="Y21" s="461" t="s">
        <v>924</v>
      </c>
      <c r="Z21" s="461" t="s">
        <v>927</v>
      </c>
      <c r="AB21" s="474">
        <v>332305</v>
      </c>
      <c r="AC21" s="472" t="s">
        <v>310</v>
      </c>
      <c r="AD21" s="472" t="s">
        <v>1120</v>
      </c>
      <c r="AE21" s="474">
        <v>211104</v>
      </c>
      <c r="AF21" s="473">
        <v>4680</v>
      </c>
      <c r="AG21" s="477">
        <v>46121</v>
      </c>
      <c r="AH21" s="472" t="s">
        <v>924</v>
      </c>
      <c r="AI21" s="472" t="s">
        <v>1115</v>
      </c>
      <c r="AK21" s="158"/>
      <c r="AL21" s="154"/>
      <c r="AM21" s="158"/>
      <c r="AN21" s="158"/>
      <c r="AO21" s="157"/>
      <c r="AP21" s="163"/>
      <c r="AQ21" s="158"/>
      <c r="AR21" s="158"/>
      <c r="AT21" s="158"/>
      <c r="AU21" s="154"/>
      <c r="AV21" s="158"/>
      <c r="AW21" s="158"/>
      <c r="AX21" s="157"/>
      <c r="AY21" s="163"/>
      <c r="AZ21" s="158"/>
      <c r="BA21" s="158"/>
      <c r="BC21" s="158"/>
      <c r="BD21" s="154"/>
      <c r="BE21" s="158"/>
      <c r="BF21" s="158"/>
      <c r="BG21" s="157"/>
      <c r="BH21" s="163"/>
      <c r="BI21" s="158"/>
      <c r="BJ21" s="158"/>
      <c r="BL21" s="236"/>
      <c r="BM21" s="233"/>
      <c r="BN21" s="233"/>
      <c r="BO21" s="233"/>
      <c r="BP21" s="234"/>
      <c r="BQ21" s="235"/>
      <c r="BR21" s="233"/>
      <c r="BS21" s="233"/>
      <c r="BU21" s="158"/>
      <c r="BV21" s="154"/>
      <c r="BW21" s="158"/>
      <c r="BX21" s="158"/>
      <c r="BY21" s="157"/>
      <c r="BZ21" s="163"/>
      <c r="CA21" s="158"/>
      <c r="CB21" s="158"/>
      <c r="CD21" s="332"/>
      <c r="CE21" s="327"/>
      <c r="CF21" s="327"/>
      <c r="CG21" s="327"/>
      <c r="CH21" s="328"/>
      <c r="CI21" s="331"/>
      <c r="CJ21" s="327"/>
      <c r="CK21" s="327"/>
      <c r="CM21" s="332"/>
      <c r="CN21" s="327"/>
      <c r="CO21" s="327"/>
      <c r="CP21" s="327"/>
      <c r="CQ21" s="328"/>
      <c r="CR21" s="331"/>
      <c r="CS21" s="327"/>
      <c r="CT21" s="327"/>
      <c r="CV21" s="112"/>
      <c r="CW21" s="110"/>
      <c r="CX21" s="110"/>
      <c r="CY21" s="110"/>
      <c r="CZ21" s="399"/>
      <c r="DA21" s="127"/>
      <c r="DB21" s="110"/>
      <c r="DC21" s="110"/>
    </row>
    <row r="22" spans="1:107">
      <c r="A22" s="431">
        <v>331502</v>
      </c>
      <c r="B22" s="432" t="s">
        <v>413</v>
      </c>
      <c r="C22" s="432" t="s">
        <v>726</v>
      </c>
      <c r="D22" s="431">
        <v>211104</v>
      </c>
      <c r="E22" s="434">
        <v>1400</v>
      </c>
      <c r="F22" s="436">
        <v>46051</v>
      </c>
      <c r="G22" s="432" t="s">
        <v>512</v>
      </c>
      <c r="H22" s="432" t="s">
        <v>727</v>
      </c>
      <c r="J22" s="431">
        <v>331504</v>
      </c>
      <c r="K22" s="432" t="s">
        <v>303</v>
      </c>
      <c r="L22" s="432" t="s">
        <v>682</v>
      </c>
      <c r="M22" s="431">
        <v>211103</v>
      </c>
      <c r="N22" s="434">
        <v>1129.7</v>
      </c>
      <c r="O22" s="436">
        <v>46056</v>
      </c>
      <c r="P22" s="432" t="s">
        <v>512</v>
      </c>
      <c r="Q22" s="432" t="s">
        <v>683</v>
      </c>
      <c r="S22" s="465">
        <v>331504</v>
      </c>
      <c r="T22" s="458" t="s">
        <v>303</v>
      </c>
      <c r="U22" s="458" t="s">
        <v>932</v>
      </c>
      <c r="V22" s="465">
        <v>211103</v>
      </c>
      <c r="W22" s="459">
        <v>1514.5</v>
      </c>
      <c r="X22" s="460">
        <v>46083</v>
      </c>
      <c r="Y22" s="458" t="s">
        <v>512</v>
      </c>
      <c r="Z22" s="458" t="s">
        <v>933</v>
      </c>
      <c r="AB22" s="469">
        <v>331313</v>
      </c>
      <c r="AC22" s="470" t="s">
        <v>285</v>
      </c>
      <c r="AD22" s="470" t="s">
        <v>1121</v>
      </c>
      <c r="AE22" s="469">
        <v>211104</v>
      </c>
      <c r="AF22" s="471">
        <v>97906.28</v>
      </c>
      <c r="AG22" s="476">
        <v>46126</v>
      </c>
      <c r="AH22" s="470" t="s">
        <v>924</v>
      </c>
      <c r="AI22" s="470" t="s">
        <v>1111</v>
      </c>
      <c r="AK22" s="155"/>
      <c r="AL22" s="153"/>
      <c r="AM22" s="155"/>
      <c r="AN22" s="155"/>
      <c r="AO22" s="156"/>
      <c r="AP22" s="162"/>
      <c r="AQ22" s="155"/>
      <c r="AR22" s="155"/>
      <c r="AT22" s="155"/>
      <c r="AU22" s="153"/>
      <c r="AV22" s="155"/>
      <c r="AW22" s="155"/>
      <c r="AX22" s="156"/>
      <c r="AY22" s="162"/>
      <c r="AZ22" s="155"/>
      <c r="BA22" s="155"/>
      <c r="BC22" s="155"/>
      <c r="BD22" s="153"/>
      <c r="BE22" s="155"/>
      <c r="BF22" s="155"/>
      <c r="BG22" s="156"/>
      <c r="BH22" s="162"/>
      <c r="BI22" s="155"/>
      <c r="BJ22" s="155"/>
      <c r="BL22" s="237"/>
      <c r="BM22" s="230"/>
      <c r="BN22" s="230"/>
      <c r="BO22" s="230"/>
      <c r="BP22" s="231"/>
      <c r="BQ22" s="232"/>
      <c r="BR22" s="230"/>
      <c r="BS22" s="230"/>
      <c r="BU22" s="155"/>
      <c r="BV22" s="153"/>
      <c r="BW22" s="155"/>
      <c r="BX22" s="155"/>
      <c r="BY22" s="156"/>
      <c r="BZ22" s="162"/>
      <c r="CA22" s="155"/>
      <c r="CB22" s="155"/>
      <c r="CD22" s="329"/>
      <c r="CE22" s="325"/>
      <c r="CF22" s="325"/>
      <c r="CG22" s="325"/>
      <c r="CH22" s="326"/>
      <c r="CI22" s="330"/>
      <c r="CJ22" s="325"/>
      <c r="CK22" s="325"/>
      <c r="CM22" s="329"/>
      <c r="CN22" s="325"/>
      <c r="CO22" s="325"/>
      <c r="CP22" s="325"/>
      <c r="CQ22" s="326"/>
      <c r="CR22" s="330"/>
      <c r="CS22" s="325"/>
      <c r="CT22" s="325"/>
      <c r="CW22" s="108"/>
      <c r="CX22" s="108"/>
      <c r="CY22" s="108"/>
      <c r="CZ22" s="400"/>
      <c r="DA22" s="125"/>
      <c r="DB22" s="108"/>
      <c r="DC22" s="108"/>
    </row>
    <row r="23" spans="1:107">
      <c r="A23" s="430">
        <v>331451</v>
      </c>
      <c r="B23" s="433" t="s">
        <v>564</v>
      </c>
      <c r="C23" s="433" t="s">
        <v>864</v>
      </c>
      <c r="D23" s="430">
        <v>211104</v>
      </c>
      <c r="E23" s="435">
        <v>6958.84</v>
      </c>
      <c r="F23" s="437">
        <v>46027</v>
      </c>
      <c r="G23" s="433" t="s">
        <v>512</v>
      </c>
      <c r="H23" s="433" t="s">
        <v>678</v>
      </c>
      <c r="J23" s="430">
        <v>331503</v>
      </c>
      <c r="K23" s="433" t="s">
        <v>302</v>
      </c>
      <c r="L23" s="433" t="s">
        <v>685</v>
      </c>
      <c r="M23" s="430">
        <v>211103</v>
      </c>
      <c r="N23" s="435">
        <v>1712.43</v>
      </c>
      <c r="O23" s="437">
        <v>46057</v>
      </c>
      <c r="P23" s="433" t="s">
        <v>512</v>
      </c>
      <c r="Q23" s="433" t="s">
        <v>686</v>
      </c>
      <c r="S23" s="464">
        <v>116106</v>
      </c>
      <c r="T23" s="461" t="s">
        <v>437</v>
      </c>
      <c r="U23" s="461" t="s">
        <v>934</v>
      </c>
      <c r="V23" s="464">
        <v>211104</v>
      </c>
      <c r="W23" s="462">
        <v>231841.41</v>
      </c>
      <c r="X23" s="463">
        <v>46097</v>
      </c>
      <c r="Y23" s="461" t="s">
        <v>512</v>
      </c>
      <c r="Z23" s="461" t="s">
        <v>935</v>
      </c>
      <c r="AB23" s="474">
        <v>331604</v>
      </c>
      <c r="AC23" s="472" t="s">
        <v>305</v>
      </c>
      <c r="AD23" s="472" t="s">
        <v>1122</v>
      </c>
      <c r="AE23" s="474">
        <v>211104</v>
      </c>
      <c r="AF23" s="473">
        <v>96138.96</v>
      </c>
      <c r="AG23" s="477">
        <v>46113</v>
      </c>
      <c r="AH23" s="472" t="s">
        <v>924</v>
      </c>
      <c r="AI23" s="472" t="s">
        <v>1123</v>
      </c>
      <c r="AK23" s="158"/>
      <c r="AL23" s="154"/>
      <c r="AM23" s="158"/>
      <c r="AN23" s="158"/>
      <c r="AO23" s="157"/>
      <c r="AP23" s="163"/>
      <c r="AQ23" s="158"/>
      <c r="AR23" s="158"/>
      <c r="AT23" s="158"/>
      <c r="AU23" s="154"/>
      <c r="AV23" s="158"/>
      <c r="AW23" s="158"/>
      <c r="AX23" s="157"/>
      <c r="AY23" s="163"/>
      <c r="AZ23" s="158"/>
      <c r="BA23" s="158"/>
      <c r="BC23" s="158"/>
      <c r="BD23" s="154"/>
      <c r="BE23" s="158"/>
      <c r="BF23" s="158"/>
      <c r="BG23" s="157"/>
      <c r="BH23" s="163"/>
      <c r="BI23" s="158"/>
      <c r="BJ23" s="158"/>
      <c r="BL23" s="236"/>
      <c r="BM23" s="233"/>
      <c r="BN23" s="233"/>
      <c r="BO23" s="233"/>
      <c r="BP23" s="234"/>
      <c r="BQ23" s="235"/>
      <c r="BR23" s="233"/>
      <c r="BS23" s="233"/>
      <c r="BU23" s="158"/>
      <c r="BV23" s="154"/>
      <c r="BW23" s="158"/>
      <c r="BX23" s="158"/>
      <c r="BY23" s="157"/>
      <c r="BZ23" s="163"/>
      <c r="CA23" s="158"/>
      <c r="CB23" s="158"/>
      <c r="CD23" s="335"/>
      <c r="CE23" s="327"/>
      <c r="CF23" s="327"/>
      <c r="CG23" s="327"/>
      <c r="CH23" s="328"/>
      <c r="CI23" s="331"/>
      <c r="CJ23" s="327"/>
      <c r="CK23" s="327"/>
      <c r="CM23" s="332"/>
      <c r="CN23" s="327"/>
      <c r="CO23" s="327"/>
      <c r="CP23" s="327"/>
      <c r="CQ23" s="328"/>
      <c r="CR23" s="331"/>
      <c r="CS23" s="327"/>
      <c r="CT23" s="327"/>
      <c r="CV23" s="112"/>
      <c r="CW23" s="110"/>
      <c r="CX23" s="110"/>
      <c r="CY23" s="110"/>
      <c r="CZ23" s="399"/>
      <c r="DA23" s="127"/>
      <c r="DB23" s="110"/>
      <c r="DC23" s="110"/>
    </row>
    <row r="24" spans="1:107">
      <c r="A24" s="431">
        <v>331404</v>
      </c>
      <c r="B24" s="432" t="s">
        <v>293</v>
      </c>
      <c r="C24" s="432" t="s">
        <v>865</v>
      </c>
      <c r="D24" s="431">
        <v>211103</v>
      </c>
      <c r="E24" s="434">
        <v>22217.89</v>
      </c>
      <c r="F24" s="436">
        <v>46034</v>
      </c>
      <c r="G24" s="432" t="s">
        <v>512</v>
      </c>
      <c r="H24" s="432" t="s">
        <v>681</v>
      </c>
      <c r="J24" s="431">
        <v>331403</v>
      </c>
      <c r="K24" s="432" t="s">
        <v>563</v>
      </c>
      <c r="L24" s="432" t="s">
        <v>688</v>
      </c>
      <c r="M24" s="431">
        <v>211103</v>
      </c>
      <c r="N24" s="434">
        <v>1962.5</v>
      </c>
      <c r="O24" s="436">
        <v>46065</v>
      </c>
      <c r="P24" s="432" t="s">
        <v>512</v>
      </c>
      <c r="Q24" s="432" t="s">
        <v>689</v>
      </c>
      <c r="S24" s="465">
        <v>331454</v>
      </c>
      <c r="T24" s="458" t="s">
        <v>301</v>
      </c>
      <c r="U24" s="458" t="s">
        <v>936</v>
      </c>
      <c r="V24" s="465">
        <v>211103</v>
      </c>
      <c r="W24" s="459">
        <v>1020.16</v>
      </c>
      <c r="X24" s="460">
        <v>46086</v>
      </c>
      <c r="Y24" s="458" t="s">
        <v>512</v>
      </c>
      <c r="Z24" s="458" t="s">
        <v>937</v>
      </c>
      <c r="AB24" s="469">
        <v>331405</v>
      </c>
      <c r="AC24" s="470" t="s">
        <v>567</v>
      </c>
      <c r="AD24" s="470" t="s">
        <v>1124</v>
      </c>
      <c r="AE24" s="469">
        <v>211103</v>
      </c>
      <c r="AF24" s="471">
        <v>394.65</v>
      </c>
      <c r="AG24" s="476">
        <v>46118</v>
      </c>
      <c r="AH24" s="470" t="s">
        <v>512</v>
      </c>
      <c r="AI24" s="470" t="s">
        <v>1125</v>
      </c>
      <c r="AK24" s="155"/>
      <c r="AL24" s="153"/>
      <c r="AM24" s="155"/>
      <c r="AN24" s="155"/>
      <c r="AO24" s="156"/>
      <c r="AP24" s="162"/>
      <c r="AQ24" s="155"/>
      <c r="AR24" s="155"/>
      <c r="AT24" s="155"/>
      <c r="AU24" s="153"/>
      <c r="AV24" s="155"/>
      <c r="AW24" s="155"/>
      <c r="AX24" s="156"/>
      <c r="AY24" s="162"/>
      <c r="AZ24" s="155"/>
      <c r="BA24" s="155"/>
      <c r="BC24" s="155"/>
      <c r="BD24" s="153"/>
      <c r="BE24" s="155"/>
      <c r="BF24" s="155"/>
      <c r="BG24" s="156"/>
      <c r="BH24" s="162"/>
      <c r="BI24" s="155"/>
      <c r="BJ24" s="155"/>
      <c r="BL24" s="237"/>
      <c r="BM24" s="230"/>
      <c r="BN24" s="230"/>
      <c r="BO24" s="230"/>
      <c r="BP24" s="231"/>
      <c r="BQ24" s="232"/>
      <c r="BR24" s="230"/>
      <c r="BS24" s="230"/>
      <c r="BU24" s="155"/>
      <c r="BV24" s="153"/>
      <c r="BW24" s="155"/>
      <c r="BX24" s="155"/>
      <c r="BY24" s="156"/>
      <c r="BZ24" s="162"/>
      <c r="CA24" s="155"/>
      <c r="CB24" s="155"/>
      <c r="CD24" s="329"/>
      <c r="CE24" s="325"/>
      <c r="CF24" s="325"/>
      <c r="CG24" s="325"/>
      <c r="CH24" s="326"/>
      <c r="CI24" s="330"/>
      <c r="CJ24" s="325"/>
      <c r="CK24" s="325"/>
      <c r="CM24" s="329"/>
      <c r="CN24" s="325"/>
      <c r="CO24" s="325"/>
      <c r="CP24" s="325"/>
      <c r="CQ24" s="326"/>
      <c r="CR24" s="330"/>
      <c r="CS24" s="325"/>
      <c r="CT24" s="325"/>
      <c r="CW24" s="108"/>
      <c r="CX24" s="108"/>
      <c r="CY24" s="108"/>
      <c r="CZ24" s="400"/>
      <c r="DA24" s="125"/>
      <c r="DB24" s="108"/>
      <c r="DC24" s="108"/>
    </row>
    <row r="25" spans="1:107">
      <c r="A25" s="430">
        <v>331403</v>
      </c>
      <c r="B25" s="433" t="s">
        <v>563</v>
      </c>
      <c r="C25" s="433" t="s">
        <v>866</v>
      </c>
      <c r="D25" s="430">
        <v>211103</v>
      </c>
      <c r="E25" s="435">
        <v>2599.34</v>
      </c>
      <c r="F25" s="437">
        <v>46041</v>
      </c>
      <c r="G25" s="433" t="s">
        <v>512</v>
      </c>
      <c r="H25" s="433" t="s">
        <v>860</v>
      </c>
      <c r="J25" s="430">
        <v>331402</v>
      </c>
      <c r="K25" s="433" t="s">
        <v>291</v>
      </c>
      <c r="L25" s="433" t="s">
        <v>692</v>
      </c>
      <c r="M25" s="430">
        <v>211103</v>
      </c>
      <c r="N25" s="435">
        <v>16840.63</v>
      </c>
      <c r="O25" s="437">
        <v>46078</v>
      </c>
      <c r="P25" s="433" t="s">
        <v>512</v>
      </c>
      <c r="Q25" s="433" t="s">
        <v>693</v>
      </c>
      <c r="S25" s="464">
        <v>331602</v>
      </c>
      <c r="T25" s="461" t="s">
        <v>44</v>
      </c>
      <c r="U25" s="461" t="s">
        <v>938</v>
      </c>
      <c r="V25" s="464">
        <v>211104</v>
      </c>
      <c r="W25" s="462">
        <v>3985.03</v>
      </c>
      <c r="X25" s="463">
        <v>46086</v>
      </c>
      <c r="Y25" s="461" t="s">
        <v>512</v>
      </c>
      <c r="Z25" s="461" t="s">
        <v>939</v>
      </c>
      <c r="AB25" s="474">
        <v>331404</v>
      </c>
      <c r="AC25" s="472" t="s">
        <v>293</v>
      </c>
      <c r="AD25" s="472" t="s">
        <v>1126</v>
      </c>
      <c r="AE25" s="474">
        <v>211103</v>
      </c>
      <c r="AF25" s="473">
        <v>32527.47</v>
      </c>
      <c r="AG25" s="477">
        <v>46125</v>
      </c>
      <c r="AH25" s="472" t="s">
        <v>512</v>
      </c>
      <c r="AI25" s="472" t="s">
        <v>1127</v>
      </c>
      <c r="AK25" s="158"/>
      <c r="AL25" s="154"/>
      <c r="AM25" s="158"/>
      <c r="AN25" s="158"/>
      <c r="AO25" s="157"/>
      <c r="AP25" s="163"/>
      <c r="AQ25" s="158"/>
      <c r="AR25" s="158"/>
      <c r="AT25" s="158"/>
      <c r="AU25" s="154"/>
      <c r="AV25" s="158"/>
      <c r="AW25" s="158"/>
      <c r="AX25" s="157"/>
      <c r="AY25" s="163"/>
      <c r="AZ25" s="158"/>
      <c r="BA25" s="158"/>
      <c r="BC25" s="158"/>
      <c r="BD25" s="154"/>
      <c r="BE25" s="158"/>
      <c r="BF25" s="158"/>
      <c r="BG25" s="157"/>
      <c r="BH25" s="163"/>
      <c r="BI25" s="158"/>
      <c r="BJ25" s="158"/>
      <c r="BL25" s="236"/>
      <c r="BM25" s="233"/>
      <c r="BN25" s="233"/>
      <c r="BO25" s="233"/>
      <c r="BP25" s="234"/>
      <c r="BQ25" s="235"/>
      <c r="BR25" s="233"/>
      <c r="BS25" s="233"/>
      <c r="BU25" s="158"/>
      <c r="BV25" s="154"/>
      <c r="BW25" s="158"/>
      <c r="BX25" s="158"/>
      <c r="BY25" s="157"/>
      <c r="BZ25" s="163"/>
      <c r="CA25" s="158"/>
      <c r="CB25" s="158"/>
      <c r="CD25" s="332"/>
      <c r="CE25" s="327"/>
      <c r="CF25" s="327"/>
      <c r="CG25" s="327"/>
      <c r="CH25" s="328"/>
      <c r="CI25" s="331"/>
      <c r="CJ25" s="327"/>
      <c r="CK25" s="327"/>
      <c r="CM25" s="332"/>
      <c r="CN25" s="327"/>
      <c r="CO25" s="327"/>
      <c r="CP25" s="327"/>
      <c r="CQ25" s="328"/>
      <c r="CR25" s="331"/>
      <c r="CS25" s="327"/>
      <c r="CT25" s="327"/>
      <c r="CV25" s="112"/>
      <c r="CW25" s="110"/>
      <c r="CX25" s="110"/>
      <c r="CY25" s="110"/>
      <c r="CZ25" s="399"/>
      <c r="DA25" s="127"/>
      <c r="DB25" s="110"/>
      <c r="DC25" s="110"/>
    </row>
    <row r="26" spans="1:107">
      <c r="A26" s="431">
        <v>331402</v>
      </c>
      <c r="B26" s="432" t="s">
        <v>291</v>
      </c>
      <c r="C26" s="432" t="s">
        <v>867</v>
      </c>
      <c r="D26" s="431">
        <v>211103</v>
      </c>
      <c r="E26" s="434">
        <v>4081.33</v>
      </c>
      <c r="F26" s="436">
        <v>46038</v>
      </c>
      <c r="G26" s="432" t="s">
        <v>512</v>
      </c>
      <c r="H26" s="432" t="s">
        <v>684</v>
      </c>
      <c r="J26" s="431">
        <v>331401</v>
      </c>
      <c r="K26" s="432" t="s">
        <v>290</v>
      </c>
      <c r="L26" s="432" t="s">
        <v>695</v>
      </c>
      <c r="M26" s="431">
        <v>211103</v>
      </c>
      <c r="N26" s="434">
        <v>18913.97</v>
      </c>
      <c r="O26" s="436">
        <v>46062</v>
      </c>
      <c r="P26" s="432" t="s">
        <v>512</v>
      </c>
      <c r="Q26" s="432" t="s">
        <v>696</v>
      </c>
      <c r="S26" s="465">
        <v>331799</v>
      </c>
      <c r="T26" s="458" t="s">
        <v>414</v>
      </c>
      <c r="U26" s="458" t="s">
        <v>940</v>
      </c>
      <c r="V26" s="465">
        <v>215101</v>
      </c>
      <c r="W26" s="459">
        <v>3775.21</v>
      </c>
      <c r="X26" s="460">
        <v>46111</v>
      </c>
      <c r="Y26" s="458" t="s">
        <v>512</v>
      </c>
      <c r="Z26" s="458" t="s">
        <v>941</v>
      </c>
      <c r="AB26" s="469">
        <v>331314</v>
      </c>
      <c r="AC26" s="470" t="s">
        <v>409</v>
      </c>
      <c r="AD26" s="470" t="s">
        <v>1128</v>
      </c>
      <c r="AE26" s="469">
        <v>211104</v>
      </c>
      <c r="AF26" s="471">
        <v>3400</v>
      </c>
      <c r="AG26" s="476">
        <v>46122</v>
      </c>
      <c r="AH26" s="470" t="s">
        <v>512</v>
      </c>
      <c r="AI26" s="470" t="s">
        <v>1129</v>
      </c>
      <c r="AK26" s="155"/>
      <c r="AL26" s="153"/>
      <c r="AM26" s="155"/>
      <c r="AN26" s="155"/>
      <c r="AO26" s="156"/>
      <c r="AP26" s="162"/>
      <c r="AQ26" s="155"/>
      <c r="AR26" s="155"/>
      <c r="AT26" s="155"/>
      <c r="AU26" s="153"/>
      <c r="AV26" s="155"/>
      <c r="AW26" s="155"/>
      <c r="AX26" s="156"/>
      <c r="AY26" s="162"/>
      <c r="AZ26" s="155"/>
      <c r="BA26" s="155"/>
      <c r="BC26" s="155"/>
      <c r="BD26" s="153"/>
      <c r="BE26" s="155"/>
      <c r="BF26" s="155"/>
      <c r="BG26" s="156"/>
      <c r="BH26" s="162"/>
      <c r="BI26" s="155"/>
      <c r="BJ26" s="155"/>
      <c r="BL26" s="237"/>
      <c r="BM26" s="230"/>
      <c r="BN26" s="230"/>
      <c r="BO26" s="230"/>
      <c r="BP26" s="231"/>
      <c r="BQ26" s="232"/>
      <c r="BR26" s="230"/>
      <c r="BS26" s="230"/>
      <c r="BU26" s="155"/>
      <c r="BV26" s="153"/>
      <c r="BW26" s="155"/>
      <c r="BX26" s="155"/>
      <c r="BY26" s="156"/>
      <c r="BZ26" s="162"/>
      <c r="CA26" s="155"/>
      <c r="CB26" s="155"/>
      <c r="CD26" s="329"/>
      <c r="CE26" s="325"/>
      <c r="CF26" s="325"/>
      <c r="CG26" s="325"/>
      <c r="CH26" s="326"/>
      <c r="CI26" s="330"/>
      <c r="CJ26" s="325"/>
      <c r="CK26" s="325"/>
      <c r="CM26" s="329"/>
      <c r="CN26" s="325"/>
      <c r="CO26" s="325"/>
      <c r="CP26" s="325"/>
      <c r="CQ26" s="326"/>
      <c r="CR26" s="330"/>
      <c r="CS26" s="325"/>
      <c r="CT26" s="325"/>
      <c r="CW26" s="108"/>
      <c r="CX26" s="108"/>
      <c r="CY26" s="108"/>
      <c r="CZ26" s="400"/>
      <c r="DA26" s="125"/>
      <c r="DB26" s="108"/>
      <c r="DC26" s="108"/>
    </row>
    <row r="27" spans="1:107">
      <c r="A27" s="430">
        <v>331401</v>
      </c>
      <c r="B27" s="433" t="s">
        <v>290</v>
      </c>
      <c r="C27" s="433" t="s">
        <v>868</v>
      </c>
      <c r="D27" s="430">
        <v>211103</v>
      </c>
      <c r="E27" s="435">
        <v>5975.92</v>
      </c>
      <c r="F27" s="437">
        <v>46024</v>
      </c>
      <c r="G27" s="433" t="s">
        <v>512</v>
      </c>
      <c r="H27" s="433" t="s">
        <v>669</v>
      </c>
      <c r="J27" s="430">
        <v>331317</v>
      </c>
      <c r="K27" s="433" t="s">
        <v>288</v>
      </c>
      <c r="L27" s="433" t="s">
        <v>698</v>
      </c>
      <c r="M27" s="430">
        <v>211104</v>
      </c>
      <c r="N27" s="435">
        <v>3636.18</v>
      </c>
      <c r="O27" s="437">
        <v>46073</v>
      </c>
      <c r="P27" s="433" t="s">
        <v>512</v>
      </c>
      <c r="Q27" s="433" t="s">
        <v>699</v>
      </c>
      <c r="S27" s="464">
        <v>331604</v>
      </c>
      <c r="T27" s="461" t="s">
        <v>305</v>
      </c>
      <c r="U27" s="461" t="s">
        <v>942</v>
      </c>
      <c r="V27" s="464">
        <v>211104</v>
      </c>
      <c r="W27" s="462">
        <v>96312.7</v>
      </c>
      <c r="X27" s="463">
        <v>46094</v>
      </c>
      <c r="Y27" s="461" t="s">
        <v>512</v>
      </c>
      <c r="Z27" s="461" t="s">
        <v>943</v>
      </c>
      <c r="AB27" s="474">
        <v>332501</v>
      </c>
      <c r="AC27" s="472" t="s">
        <v>320</v>
      </c>
      <c r="AD27" s="472" t="s">
        <v>1130</v>
      </c>
      <c r="AE27" s="474">
        <v>211104</v>
      </c>
      <c r="AF27" s="473">
        <v>7000.39</v>
      </c>
      <c r="AG27" s="477">
        <v>46122</v>
      </c>
      <c r="AH27" s="472" t="s">
        <v>512</v>
      </c>
      <c r="AI27" s="472" t="s">
        <v>1129</v>
      </c>
      <c r="AK27" s="158"/>
      <c r="AL27" s="154"/>
      <c r="AM27" s="158"/>
      <c r="AN27" s="158"/>
      <c r="AO27" s="157"/>
      <c r="AP27" s="163"/>
      <c r="AQ27" s="158"/>
      <c r="AR27" s="158"/>
      <c r="AT27" s="158"/>
      <c r="AU27" s="154"/>
      <c r="AV27" s="158"/>
      <c r="AW27" s="158"/>
      <c r="AX27" s="157"/>
      <c r="AY27" s="163"/>
      <c r="AZ27" s="158"/>
      <c r="BA27" s="158"/>
      <c r="BC27" s="158"/>
      <c r="BD27" s="154"/>
      <c r="BE27" s="158"/>
      <c r="BF27" s="158"/>
      <c r="BG27" s="157"/>
      <c r="BH27" s="163"/>
      <c r="BI27" s="158"/>
      <c r="BJ27" s="158"/>
      <c r="BL27" s="236"/>
      <c r="BM27" s="233"/>
      <c r="BN27" s="233"/>
      <c r="BO27" s="233"/>
      <c r="BP27" s="234"/>
      <c r="BQ27" s="235"/>
      <c r="BR27" s="233"/>
      <c r="BS27" s="233"/>
      <c r="BU27" s="158"/>
      <c r="BV27" s="154"/>
      <c r="BW27" s="158"/>
      <c r="BX27" s="158"/>
      <c r="BY27" s="157"/>
      <c r="BZ27" s="163"/>
      <c r="CA27" s="158"/>
      <c r="CB27" s="158"/>
      <c r="CD27" s="332"/>
      <c r="CE27" s="327"/>
      <c r="CF27" s="327"/>
      <c r="CG27" s="327"/>
      <c r="CH27" s="328"/>
      <c r="CI27" s="331"/>
      <c r="CJ27" s="327"/>
      <c r="CK27" s="327"/>
      <c r="CM27" s="332"/>
      <c r="CN27" s="327"/>
      <c r="CO27" s="327"/>
      <c r="CP27" s="327"/>
      <c r="CQ27" s="328"/>
      <c r="CR27" s="331"/>
      <c r="CS27" s="327"/>
      <c r="CT27" s="327"/>
      <c r="CV27" s="112"/>
      <c r="CW27" s="110"/>
      <c r="CX27" s="110"/>
      <c r="CY27" s="110"/>
      <c r="CZ27" s="399"/>
      <c r="DA27" s="127"/>
      <c r="DB27" s="110"/>
      <c r="DC27" s="110"/>
    </row>
    <row r="28" spans="1:107">
      <c r="A28" s="431">
        <v>331450</v>
      </c>
      <c r="B28" s="432" t="s">
        <v>297</v>
      </c>
      <c r="C28" s="432" t="s">
        <v>869</v>
      </c>
      <c r="D28" s="431">
        <v>211103</v>
      </c>
      <c r="E28" s="434">
        <v>1475.72</v>
      </c>
      <c r="F28" s="436">
        <v>46024</v>
      </c>
      <c r="G28" s="432" t="s">
        <v>512</v>
      </c>
      <c r="H28" s="432" t="s">
        <v>761</v>
      </c>
      <c r="J28" s="431">
        <v>331409</v>
      </c>
      <c r="K28" s="432" t="s">
        <v>295</v>
      </c>
      <c r="L28" s="432" t="s">
        <v>701</v>
      </c>
      <c r="M28" s="431">
        <v>211103</v>
      </c>
      <c r="N28" s="434">
        <v>4530.83</v>
      </c>
      <c r="O28" s="436">
        <v>46059</v>
      </c>
      <c r="P28" s="432" t="s">
        <v>512</v>
      </c>
      <c r="Q28" s="432" t="s">
        <v>702</v>
      </c>
      <c r="S28" s="465">
        <v>331603</v>
      </c>
      <c r="T28" s="458" t="s">
        <v>304</v>
      </c>
      <c r="U28" s="458" t="s">
        <v>711</v>
      </c>
      <c r="V28" s="465">
        <v>211103</v>
      </c>
      <c r="W28" s="459">
        <v>1425.93</v>
      </c>
      <c r="X28" s="460">
        <v>46098</v>
      </c>
      <c r="Y28" s="458" t="s">
        <v>512</v>
      </c>
      <c r="Z28" s="458" t="s">
        <v>944</v>
      </c>
      <c r="AB28" s="469">
        <v>332502</v>
      </c>
      <c r="AC28" s="470" t="s">
        <v>321</v>
      </c>
      <c r="AD28" s="470" t="s">
        <v>955</v>
      </c>
      <c r="AE28" s="469">
        <v>211103</v>
      </c>
      <c r="AF28" s="471">
        <v>15966.35</v>
      </c>
      <c r="AG28" s="476">
        <v>46136</v>
      </c>
      <c r="AH28" s="470" t="s">
        <v>512</v>
      </c>
      <c r="AI28" s="470" t="s">
        <v>1131</v>
      </c>
      <c r="AK28" s="155"/>
      <c r="AL28" s="153"/>
      <c r="AM28" s="155"/>
      <c r="AN28" s="155"/>
      <c r="AO28" s="156"/>
      <c r="AP28" s="162"/>
      <c r="AQ28" s="155"/>
      <c r="AR28" s="155"/>
      <c r="AT28" s="155"/>
      <c r="AU28" s="153"/>
      <c r="AV28" s="155"/>
      <c r="AW28" s="155"/>
      <c r="AX28" s="156"/>
      <c r="AY28" s="162"/>
      <c r="AZ28" s="155"/>
      <c r="BA28" s="155"/>
      <c r="BC28" s="155"/>
      <c r="BD28" s="153"/>
      <c r="BE28" s="155"/>
      <c r="BF28" s="155"/>
      <c r="BG28" s="156"/>
      <c r="BH28" s="162"/>
      <c r="BI28" s="155"/>
      <c r="BJ28" s="155"/>
      <c r="BL28" s="237"/>
      <c r="BM28" s="230"/>
      <c r="BN28" s="230"/>
      <c r="BO28" s="230"/>
      <c r="BP28" s="231"/>
      <c r="BQ28" s="232"/>
      <c r="BR28" s="230"/>
      <c r="BS28" s="230"/>
      <c r="BU28" s="155"/>
      <c r="BV28" s="153"/>
      <c r="BW28" s="155"/>
      <c r="BX28" s="155"/>
      <c r="BY28" s="156"/>
      <c r="BZ28" s="162"/>
      <c r="CA28" s="155"/>
      <c r="CB28" s="155"/>
      <c r="CD28" s="329"/>
      <c r="CE28" s="325"/>
      <c r="CF28" s="325"/>
      <c r="CG28" s="325"/>
      <c r="CH28" s="326"/>
      <c r="CI28" s="330"/>
      <c r="CJ28" s="325"/>
      <c r="CK28" s="325"/>
      <c r="CM28" s="329"/>
      <c r="CN28" s="325"/>
      <c r="CO28" s="325"/>
      <c r="CP28" s="325"/>
      <c r="CQ28" s="326"/>
      <c r="CR28" s="330"/>
      <c r="CS28" s="325"/>
      <c r="CT28" s="325"/>
      <c r="CW28" s="108"/>
      <c r="CX28" s="108"/>
      <c r="CY28" s="108"/>
      <c r="CZ28" s="400"/>
      <c r="DA28" s="125"/>
      <c r="DB28" s="108"/>
      <c r="DC28" s="108"/>
    </row>
    <row r="29" spans="1:107">
      <c r="A29" s="430">
        <v>331410</v>
      </c>
      <c r="B29" s="433" t="s">
        <v>296</v>
      </c>
      <c r="C29" s="433" t="s">
        <v>870</v>
      </c>
      <c r="D29" s="430">
        <v>211104</v>
      </c>
      <c r="E29" s="435">
        <v>4589.6400000000003</v>
      </c>
      <c r="F29" s="437">
        <v>46048</v>
      </c>
      <c r="G29" s="433" t="s">
        <v>512</v>
      </c>
      <c r="H29" s="433" t="s">
        <v>704</v>
      </c>
      <c r="J29" s="430">
        <v>331406</v>
      </c>
      <c r="K29" s="433" t="s">
        <v>411</v>
      </c>
      <c r="L29" s="433" t="s">
        <v>697</v>
      </c>
      <c r="M29" s="430">
        <v>211103</v>
      </c>
      <c r="N29" s="435">
        <v>495</v>
      </c>
      <c r="O29" s="437">
        <v>46055</v>
      </c>
      <c r="P29" s="433" t="s">
        <v>512</v>
      </c>
      <c r="Q29" s="433" t="s">
        <v>703</v>
      </c>
      <c r="S29" s="464">
        <v>331408</v>
      </c>
      <c r="T29" s="461" t="s">
        <v>494</v>
      </c>
      <c r="U29" s="461" t="s">
        <v>945</v>
      </c>
      <c r="V29" s="464">
        <v>211104</v>
      </c>
      <c r="W29" s="462">
        <v>170</v>
      </c>
      <c r="X29" s="463">
        <v>46094</v>
      </c>
      <c r="Y29" s="461" t="s">
        <v>512</v>
      </c>
      <c r="Z29" s="461" t="s">
        <v>943</v>
      </c>
      <c r="AB29" s="474">
        <v>331315</v>
      </c>
      <c r="AC29" s="472" t="s">
        <v>286</v>
      </c>
      <c r="AD29" s="472" t="s">
        <v>1132</v>
      </c>
      <c r="AE29" s="474">
        <v>211104</v>
      </c>
      <c r="AF29" s="473">
        <v>6972.24</v>
      </c>
      <c r="AG29" s="477">
        <v>46128</v>
      </c>
      <c r="AH29" s="472" t="s">
        <v>512</v>
      </c>
      <c r="AI29" s="472" t="s">
        <v>1133</v>
      </c>
      <c r="AK29" s="158"/>
      <c r="AL29" s="154"/>
      <c r="AM29" s="158"/>
      <c r="AN29" s="158"/>
      <c r="AO29" s="157"/>
      <c r="AP29" s="163"/>
      <c r="AQ29" s="158"/>
      <c r="AR29" s="158"/>
      <c r="AT29" s="158"/>
      <c r="AU29" s="154"/>
      <c r="AV29" s="158"/>
      <c r="AW29" s="158"/>
      <c r="AX29" s="157"/>
      <c r="AY29" s="163"/>
      <c r="AZ29" s="158"/>
      <c r="BA29" s="158"/>
      <c r="BC29" s="158"/>
      <c r="BD29" s="154"/>
      <c r="BE29" s="158"/>
      <c r="BF29" s="158"/>
      <c r="BG29" s="157"/>
      <c r="BH29" s="163"/>
      <c r="BI29" s="158"/>
      <c r="BJ29" s="158"/>
      <c r="BL29" s="236"/>
      <c r="BM29" s="233"/>
      <c r="BN29" s="233"/>
      <c r="BO29" s="233"/>
      <c r="BP29" s="234"/>
      <c r="BQ29" s="235"/>
      <c r="BR29" s="233"/>
      <c r="BS29" s="233"/>
      <c r="BU29" s="158"/>
      <c r="BV29" s="154"/>
      <c r="BW29" s="158"/>
      <c r="BX29" s="158"/>
      <c r="BY29" s="157"/>
      <c r="BZ29" s="163"/>
      <c r="CA29" s="158"/>
      <c r="CB29" s="158"/>
      <c r="CD29" s="332"/>
      <c r="CE29" s="327"/>
      <c r="CF29" s="327"/>
      <c r="CG29" s="327"/>
      <c r="CH29" s="328"/>
      <c r="CI29" s="331"/>
      <c r="CJ29" s="327"/>
      <c r="CK29" s="327"/>
      <c r="CM29" s="332"/>
      <c r="CN29" s="327"/>
      <c r="CO29" s="327"/>
      <c r="CP29" s="327"/>
      <c r="CQ29" s="328"/>
      <c r="CR29" s="331"/>
      <c r="CS29" s="327"/>
      <c r="CT29" s="327"/>
      <c r="CV29" s="112"/>
      <c r="CW29" s="110"/>
      <c r="CX29" s="110"/>
      <c r="CY29" s="110"/>
      <c r="CZ29" s="399"/>
      <c r="DA29" s="127"/>
      <c r="DB29" s="110"/>
      <c r="DC29" s="110"/>
    </row>
    <row r="30" spans="1:107">
      <c r="A30" s="431">
        <v>331409</v>
      </c>
      <c r="B30" s="432" t="s">
        <v>295</v>
      </c>
      <c r="C30" s="432" t="s">
        <v>871</v>
      </c>
      <c r="D30" s="431">
        <v>211104</v>
      </c>
      <c r="E30" s="434">
        <v>3193.36</v>
      </c>
      <c r="F30" s="436">
        <v>46024</v>
      </c>
      <c r="G30" s="432" t="s">
        <v>512</v>
      </c>
      <c r="H30" s="432" t="s">
        <v>669</v>
      </c>
      <c r="J30" s="431">
        <v>331405</v>
      </c>
      <c r="K30" s="432" t="s">
        <v>567</v>
      </c>
      <c r="L30" s="432" t="s">
        <v>705</v>
      </c>
      <c r="M30" s="431">
        <v>211103</v>
      </c>
      <c r="N30" s="434">
        <v>443.84</v>
      </c>
      <c r="O30" s="436">
        <v>46063</v>
      </c>
      <c r="P30" s="432" t="s">
        <v>512</v>
      </c>
      <c r="Q30" s="432" t="s">
        <v>706</v>
      </c>
      <c r="S30" s="465">
        <v>331405</v>
      </c>
      <c r="T30" s="458" t="s">
        <v>567</v>
      </c>
      <c r="U30" s="458" t="s">
        <v>946</v>
      </c>
      <c r="V30" s="465">
        <v>211104</v>
      </c>
      <c r="W30" s="459">
        <v>3693.83</v>
      </c>
      <c r="X30" s="460">
        <v>46099</v>
      </c>
      <c r="Y30" s="458" t="s">
        <v>512</v>
      </c>
      <c r="Z30" s="458" t="s">
        <v>947</v>
      </c>
      <c r="AB30" s="469">
        <v>331401</v>
      </c>
      <c r="AC30" s="470" t="s">
        <v>290</v>
      </c>
      <c r="AD30" s="470" t="s">
        <v>1134</v>
      </c>
      <c r="AE30" s="469">
        <v>211103</v>
      </c>
      <c r="AF30" s="471">
        <v>17434.7</v>
      </c>
      <c r="AG30" s="476">
        <v>46125</v>
      </c>
      <c r="AH30" s="470" t="s">
        <v>512</v>
      </c>
      <c r="AI30" s="470" t="s">
        <v>1127</v>
      </c>
      <c r="AK30" s="155"/>
      <c r="AL30" s="153"/>
      <c r="AM30" s="155"/>
      <c r="AN30" s="155"/>
      <c r="AO30" s="156"/>
      <c r="AP30" s="162"/>
      <c r="AQ30" s="155"/>
      <c r="AR30" s="155"/>
      <c r="AT30" s="155"/>
      <c r="AU30" s="153"/>
      <c r="AV30" s="155"/>
      <c r="AW30" s="155"/>
      <c r="AX30" s="156"/>
      <c r="AY30" s="162"/>
      <c r="AZ30" s="155"/>
      <c r="BA30" s="155"/>
      <c r="BC30" s="155"/>
      <c r="BD30" s="153"/>
      <c r="BE30" s="155"/>
      <c r="BF30" s="155"/>
      <c r="BG30" s="156"/>
      <c r="BH30" s="162"/>
      <c r="BI30" s="155"/>
      <c r="BJ30" s="155"/>
      <c r="BL30" s="237"/>
      <c r="BM30" s="230"/>
      <c r="BN30" s="230"/>
      <c r="BO30" s="230"/>
      <c r="BP30" s="231"/>
      <c r="BQ30" s="232"/>
      <c r="BR30" s="230"/>
      <c r="BS30" s="230"/>
      <c r="BU30" s="155"/>
      <c r="BV30" s="153"/>
      <c r="BW30" s="155"/>
      <c r="BX30" s="155"/>
      <c r="BY30" s="156"/>
      <c r="BZ30" s="162"/>
      <c r="CA30" s="155"/>
      <c r="CB30" s="155"/>
      <c r="CD30" s="329"/>
      <c r="CE30" s="325"/>
      <c r="CF30" s="325"/>
      <c r="CG30" s="325"/>
      <c r="CH30" s="326"/>
      <c r="CI30" s="330"/>
      <c r="CJ30" s="325"/>
      <c r="CK30" s="325"/>
      <c r="CM30" s="329"/>
      <c r="CN30" s="325"/>
      <c r="CO30" s="325"/>
      <c r="CP30" s="325"/>
      <c r="CQ30" s="326"/>
      <c r="CR30" s="330"/>
      <c r="CS30" s="325"/>
      <c r="CT30" s="325"/>
      <c r="CW30" s="108"/>
      <c r="CX30" s="108"/>
      <c r="CY30" s="108"/>
      <c r="CZ30" s="400"/>
      <c r="DA30" s="125"/>
      <c r="DB30" s="108"/>
      <c r="DC30" s="108"/>
    </row>
    <row r="31" spans="1:107">
      <c r="A31" s="430">
        <v>331406</v>
      </c>
      <c r="B31" s="433" t="s">
        <v>411</v>
      </c>
      <c r="C31" s="433" t="s">
        <v>697</v>
      </c>
      <c r="D31" s="430">
        <v>211103</v>
      </c>
      <c r="E31" s="435">
        <v>495</v>
      </c>
      <c r="F31" s="437">
        <v>46027</v>
      </c>
      <c r="G31" s="433" t="s">
        <v>512</v>
      </c>
      <c r="H31" s="433" t="s">
        <v>678</v>
      </c>
      <c r="J31" s="430">
        <v>331404</v>
      </c>
      <c r="K31" s="433" t="s">
        <v>293</v>
      </c>
      <c r="L31" s="433" t="s">
        <v>709</v>
      </c>
      <c r="M31" s="430">
        <v>211103</v>
      </c>
      <c r="N31" s="435">
        <v>28701.98</v>
      </c>
      <c r="O31" s="437">
        <v>46062</v>
      </c>
      <c r="P31" s="433" t="s">
        <v>512</v>
      </c>
      <c r="Q31" s="433" t="s">
        <v>696</v>
      </c>
      <c r="S31" s="464">
        <v>331402</v>
      </c>
      <c r="T31" s="461" t="s">
        <v>291</v>
      </c>
      <c r="U31" s="461" t="s">
        <v>948</v>
      </c>
      <c r="V31" s="464">
        <v>211103</v>
      </c>
      <c r="W31" s="462">
        <v>15028.31</v>
      </c>
      <c r="X31" s="463">
        <v>46104</v>
      </c>
      <c r="Y31" s="461" t="s">
        <v>512</v>
      </c>
      <c r="Z31" s="461" t="s">
        <v>949</v>
      </c>
      <c r="AB31" s="474">
        <v>331317</v>
      </c>
      <c r="AC31" s="472" t="s">
        <v>288</v>
      </c>
      <c r="AD31" s="472" t="s">
        <v>1135</v>
      </c>
      <c r="AE31" s="474">
        <v>211104</v>
      </c>
      <c r="AF31" s="473">
        <v>1543.23</v>
      </c>
      <c r="AG31" s="477">
        <v>46132</v>
      </c>
      <c r="AH31" s="472" t="s">
        <v>512</v>
      </c>
      <c r="AI31" s="472" t="s">
        <v>1136</v>
      </c>
      <c r="AK31" s="158"/>
      <c r="AL31" s="154"/>
      <c r="AM31" s="158"/>
      <c r="AN31" s="158"/>
      <c r="AO31" s="157"/>
      <c r="AP31" s="163"/>
      <c r="AQ31" s="158"/>
      <c r="AR31" s="158"/>
      <c r="AT31" s="158"/>
      <c r="AU31" s="154"/>
      <c r="AV31" s="158"/>
      <c r="AW31" s="158"/>
      <c r="AX31" s="157"/>
      <c r="AY31" s="163"/>
      <c r="AZ31" s="158"/>
      <c r="BA31" s="158"/>
      <c r="BC31" s="158"/>
      <c r="BD31" s="154"/>
      <c r="BE31" s="158"/>
      <c r="BF31" s="158"/>
      <c r="BG31" s="157"/>
      <c r="BH31" s="163"/>
      <c r="BI31" s="158"/>
      <c r="BJ31" s="158"/>
      <c r="BL31" s="236"/>
      <c r="BM31" s="233"/>
      <c r="BN31" s="233"/>
      <c r="BO31" s="233"/>
      <c r="BP31" s="234"/>
      <c r="BQ31" s="235"/>
      <c r="BR31" s="233"/>
      <c r="BS31" s="233"/>
      <c r="BU31" s="158"/>
      <c r="BV31" s="154"/>
      <c r="BW31" s="158"/>
      <c r="BX31" s="158"/>
      <c r="BY31" s="157"/>
      <c r="BZ31" s="163"/>
      <c r="CA31" s="158"/>
      <c r="CB31" s="158"/>
      <c r="CD31" s="332"/>
      <c r="CE31" s="327"/>
      <c r="CF31" s="327"/>
      <c r="CG31" s="327"/>
      <c r="CH31" s="328"/>
      <c r="CI31" s="331"/>
      <c r="CJ31" s="327"/>
      <c r="CK31" s="327"/>
      <c r="CM31" s="332"/>
      <c r="CN31" s="327"/>
      <c r="CO31" s="327"/>
      <c r="CP31" s="327"/>
      <c r="CQ31" s="328"/>
      <c r="CR31" s="331"/>
      <c r="CS31" s="327"/>
      <c r="CT31" s="327"/>
      <c r="CV31" s="112"/>
      <c r="CW31" s="110"/>
      <c r="CX31" s="110"/>
      <c r="CY31" s="110"/>
      <c r="CZ31" s="399"/>
      <c r="DA31" s="127"/>
      <c r="DB31" s="110"/>
      <c r="DC31" s="110"/>
    </row>
    <row r="32" spans="1:107">
      <c r="A32" s="431">
        <v>331603</v>
      </c>
      <c r="B32" s="432" t="s">
        <v>304</v>
      </c>
      <c r="C32" s="432" t="s">
        <v>735</v>
      </c>
      <c r="D32" s="431">
        <v>211103</v>
      </c>
      <c r="E32" s="434">
        <v>765.7</v>
      </c>
      <c r="F32" s="436">
        <v>46031</v>
      </c>
      <c r="G32" s="432" t="s">
        <v>512</v>
      </c>
      <c r="H32" s="432" t="s">
        <v>714</v>
      </c>
      <c r="J32" s="431">
        <v>331603</v>
      </c>
      <c r="K32" s="432" t="s">
        <v>304</v>
      </c>
      <c r="L32" s="432" t="s">
        <v>711</v>
      </c>
      <c r="M32" s="431">
        <v>211103</v>
      </c>
      <c r="N32" s="434">
        <v>1057.04</v>
      </c>
      <c r="O32" s="436">
        <v>46071</v>
      </c>
      <c r="P32" s="432" t="s">
        <v>512</v>
      </c>
      <c r="Q32" s="432" t="s">
        <v>671</v>
      </c>
      <c r="S32" s="465">
        <v>331409</v>
      </c>
      <c r="T32" s="458" t="s">
        <v>295</v>
      </c>
      <c r="U32" s="458" t="s">
        <v>950</v>
      </c>
      <c r="V32" s="465">
        <v>211103</v>
      </c>
      <c r="W32" s="459">
        <v>4108.7</v>
      </c>
      <c r="X32" s="460">
        <v>46086</v>
      </c>
      <c r="Y32" s="458" t="s">
        <v>512</v>
      </c>
      <c r="Z32" s="458" t="s">
        <v>937</v>
      </c>
      <c r="AB32" s="469">
        <v>331316</v>
      </c>
      <c r="AC32" s="470" t="s">
        <v>287</v>
      </c>
      <c r="AD32" s="470" t="s">
        <v>1137</v>
      </c>
      <c r="AE32" s="469">
        <v>211104</v>
      </c>
      <c r="AF32" s="471">
        <v>12460</v>
      </c>
      <c r="AG32" s="476">
        <v>46132</v>
      </c>
      <c r="AH32" s="470" t="s">
        <v>512</v>
      </c>
      <c r="AI32" s="470" t="s">
        <v>1136</v>
      </c>
      <c r="AK32" s="155"/>
      <c r="AL32" s="153"/>
      <c r="AM32" s="155"/>
      <c r="AN32" s="155"/>
      <c r="AO32" s="156"/>
      <c r="AP32" s="162"/>
      <c r="AQ32" s="155"/>
      <c r="AR32" s="155"/>
      <c r="AT32" s="155"/>
      <c r="AU32" s="153"/>
      <c r="AV32" s="155"/>
      <c r="AW32" s="155"/>
      <c r="AX32" s="156"/>
      <c r="AY32" s="162"/>
      <c r="AZ32" s="155"/>
      <c r="BA32" s="155"/>
      <c r="BC32" s="155"/>
      <c r="BD32" s="153"/>
      <c r="BE32" s="155"/>
      <c r="BF32" s="155"/>
      <c r="BG32" s="156"/>
      <c r="BH32" s="162"/>
      <c r="BI32" s="155"/>
      <c r="BJ32" s="155"/>
      <c r="BL32" s="237"/>
      <c r="BM32" s="230"/>
      <c r="BN32" s="230"/>
      <c r="BO32" s="230"/>
      <c r="BP32" s="231"/>
      <c r="BQ32" s="232"/>
      <c r="BR32" s="230"/>
      <c r="BS32" s="230"/>
      <c r="BU32" s="155"/>
      <c r="BV32" s="153"/>
      <c r="BW32" s="155"/>
      <c r="BX32" s="155"/>
      <c r="BY32" s="156"/>
      <c r="BZ32" s="162"/>
      <c r="CA32" s="155"/>
      <c r="CB32" s="155"/>
      <c r="CD32" s="329"/>
      <c r="CE32" s="325"/>
      <c r="CF32" s="325"/>
      <c r="CG32" s="325"/>
      <c r="CH32" s="326"/>
      <c r="CI32" s="330"/>
      <c r="CJ32" s="325"/>
      <c r="CK32" s="325"/>
      <c r="CM32" s="329"/>
      <c r="CN32" s="325"/>
      <c r="CO32" s="325"/>
      <c r="CP32" s="325"/>
      <c r="CQ32" s="326"/>
      <c r="CR32" s="330"/>
      <c r="CS32" s="325"/>
      <c r="CT32" s="325"/>
      <c r="CW32" s="108"/>
      <c r="CX32" s="108"/>
      <c r="CY32" s="108"/>
      <c r="CZ32" s="400"/>
      <c r="DA32" s="125"/>
      <c r="DB32" s="108"/>
      <c r="DC32" s="108"/>
    </row>
    <row r="33" spans="1:107">
      <c r="A33" s="430">
        <v>332503</v>
      </c>
      <c r="B33" s="433" t="s">
        <v>322</v>
      </c>
      <c r="C33" s="433" t="s">
        <v>786</v>
      </c>
      <c r="D33" s="430">
        <v>211103</v>
      </c>
      <c r="E33" s="435">
        <v>30139.23</v>
      </c>
      <c r="F33" s="437">
        <v>46038</v>
      </c>
      <c r="G33" s="433" t="s">
        <v>512</v>
      </c>
      <c r="H33" s="433" t="s">
        <v>684</v>
      </c>
      <c r="J33" s="430">
        <v>332501</v>
      </c>
      <c r="K33" s="433" t="s">
        <v>320</v>
      </c>
      <c r="L33" s="433" t="s">
        <v>713</v>
      </c>
      <c r="M33" s="430">
        <v>211104</v>
      </c>
      <c r="N33" s="435">
        <v>5364.43</v>
      </c>
      <c r="O33" s="437">
        <v>46057</v>
      </c>
      <c r="P33" s="433" t="s">
        <v>512</v>
      </c>
      <c r="Q33" s="433" t="s">
        <v>686</v>
      </c>
      <c r="S33" s="464">
        <v>331452</v>
      </c>
      <c r="T33" s="461" t="s">
        <v>299</v>
      </c>
      <c r="U33" s="461" t="s">
        <v>951</v>
      </c>
      <c r="V33" s="464">
        <v>211103</v>
      </c>
      <c r="W33" s="462">
        <v>5058.6499999999996</v>
      </c>
      <c r="X33" s="463">
        <v>46094</v>
      </c>
      <c r="Y33" s="461" t="s">
        <v>512</v>
      </c>
      <c r="Z33" s="461" t="s">
        <v>943</v>
      </c>
      <c r="AB33" s="474">
        <v>331409</v>
      </c>
      <c r="AC33" s="472" t="s">
        <v>295</v>
      </c>
      <c r="AD33" s="472" t="s">
        <v>1138</v>
      </c>
      <c r="AE33" s="474">
        <v>211104</v>
      </c>
      <c r="AF33" s="473">
        <v>673.5</v>
      </c>
      <c r="AG33" s="477">
        <v>46139</v>
      </c>
      <c r="AH33" s="472" t="s">
        <v>512</v>
      </c>
      <c r="AI33" s="472" t="s">
        <v>1139</v>
      </c>
      <c r="AK33" s="158"/>
      <c r="AL33" s="154"/>
      <c r="AM33" s="158"/>
      <c r="AN33" s="158"/>
      <c r="AO33" s="157"/>
      <c r="AP33" s="163"/>
      <c r="AQ33" s="158"/>
      <c r="AR33" s="158"/>
      <c r="AT33" s="158"/>
      <c r="AU33" s="154"/>
      <c r="AV33" s="158"/>
      <c r="AW33" s="158"/>
      <c r="AX33" s="157"/>
      <c r="AY33" s="163"/>
      <c r="AZ33" s="158"/>
      <c r="BA33" s="158"/>
      <c r="BC33" s="158"/>
      <c r="BD33" s="154"/>
      <c r="BE33" s="158"/>
      <c r="BF33" s="158"/>
      <c r="BG33" s="157"/>
      <c r="BH33" s="163"/>
      <c r="BI33" s="158"/>
      <c r="BJ33" s="158"/>
      <c r="BL33" s="236"/>
      <c r="BM33" s="233"/>
      <c r="BN33" s="233"/>
      <c r="BO33" s="233"/>
      <c r="BP33" s="234"/>
      <c r="BQ33" s="235"/>
      <c r="BR33" s="233"/>
      <c r="BS33" s="233"/>
      <c r="BU33" s="158"/>
      <c r="BV33" s="154"/>
      <c r="BW33" s="158"/>
      <c r="BX33" s="158"/>
      <c r="BY33" s="157"/>
      <c r="BZ33" s="163"/>
      <c r="CA33" s="158"/>
      <c r="CB33" s="158"/>
      <c r="CD33" s="332"/>
      <c r="CE33" s="327"/>
      <c r="CF33" s="327"/>
      <c r="CG33" s="327"/>
      <c r="CH33" s="328"/>
      <c r="CI33" s="331"/>
      <c r="CJ33" s="327"/>
      <c r="CK33" s="327"/>
      <c r="CM33" s="332"/>
      <c r="CN33" s="327"/>
      <c r="CO33" s="327"/>
      <c r="CP33" s="327"/>
      <c r="CQ33" s="328"/>
      <c r="CR33" s="331"/>
      <c r="CS33" s="327"/>
      <c r="CT33" s="327"/>
      <c r="CV33" s="112"/>
      <c r="CW33" s="110"/>
      <c r="CX33" s="110"/>
      <c r="CY33" s="110"/>
      <c r="CZ33" s="399"/>
      <c r="DA33" s="127"/>
      <c r="DB33" s="110"/>
      <c r="DC33" s="110"/>
    </row>
    <row r="34" spans="1:107">
      <c r="A34" s="431">
        <v>332502</v>
      </c>
      <c r="B34" s="432" t="s">
        <v>321</v>
      </c>
      <c r="C34" s="432" t="s">
        <v>872</v>
      </c>
      <c r="D34" s="431">
        <v>211104</v>
      </c>
      <c r="E34" s="434">
        <v>5218</v>
      </c>
      <c r="F34" s="436">
        <v>46024</v>
      </c>
      <c r="G34" s="432" t="s">
        <v>512</v>
      </c>
      <c r="H34" s="432" t="s">
        <v>761</v>
      </c>
      <c r="J34" s="431">
        <v>332490</v>
      </c>
      <c r="K34" s="432" t="s">
        <v>319</v>
      </c>
      <c r="L34" s="432" t="s">
        <v>715</v>
      </c>
      <c r="M34" s="431">
        <v>211104</v>
      </c>
      <c r="N34" s="434">
        <v>4472.0200000000004</v>
      </c>
      <c r="O34" s="436">
        <v>46059</v>
      </c>
      <c r="P34" s="432" t="s">
        <v>512</v>
      </c>
      <c r="Q34" s="432" t="s">
        <v>702</v>
      </c>
      <c r="S34" s="465">
        <v>331450</v>
      </c>
      <c r="T34" s="458" t="s">
        <v>297</v>
      </c>
      <c r="U34" s="458" t="s">
        <v>670</v>
      </c>
      <c r="V34" s="465">
        <v>211103</v>
      </c>
      <c r="W34" s="459">
        <v>379.93</v>
      </c>
      <c r="X34" s="460">
        <v>46097</v>
      </c>
      <c r="Y34" s="458" t="s">
        <v>512</v>
      </c>
      <c r="Z34" s="458" t="s">
        <v>935</v>
      </c>
      <c r="AB34" s="469">
        <v>331603</v>
      </c>
      <c r="AC34" s="470" t="s">
        <v>304</v>
      </c>
      <c r="AD34" s="470" t="s">
        <v>711</v>
      </c>
      <c r="AE34" s="469">
        <v>211103</v>
      </c>
      <c r="AF34" s="471">
        <v>1660.92</v>
      </c>
      <c r="AG34" s="476">
        <v>46128</v>
      </c>
      <c r="AH34" s="470" t="s">
        <v>512</v>
      </c>
      <c r="AI34" s="470" t="s">
        <v>1133</v>
      </c>
      <c r="AK34" s="155"/>
      <c r="AL34" s="153"/>
      <c r="AM34" s="155"/>
      <c r="AN34" s="155"/>
      <c r="AO34" s="156"/>
      <c r="AP34" s="162"/>
      <c r="AQ34" s="155"/>
      <c r="AR34" s="155"/>
      <c r="AT34" s="155"/>
      <c r="AU34" s="153"/>
      <c r="AV34" s="155"/>
      <c r="AW34" s="155"/>
      <c r="AX34" s="156"/>
      <c r="AY34" s="162"/>
      <c r="AZ34" s="155"/>
      <c r="BA34" s="155"/>
      <c r="BC34" s="155"/>
      <c r="BD34" s="153"/>
      <c r="BE34" s="155"/>
      <c r="BF34" s="155"/>
      <c r="BG34" s="156"/>
      <c r="BH34" s="162"/>
      <c r="BI34" s="155"/>
      <c r="BJ34" s="155"/>
      <c r="BL34" s="237"/>
      <c r="BM34" s="230"/>
      <c r="BN34" s="230"/>
      <c r="BO34" s="230"/>
      <c r="BP34" s="231"/>
      <c r="BQ34" s="232"/>
      <c r="BR34" s="230"/>
      <c r="BS34" s="230"/>
      <c r="BU34" s="155"/>
      <c r="BV34" s="153"/>
      <c r="BW34" s="155"/>
      <c r="BX34" s="155"/>
      <c r="BY34" s="156"/>
      <c r="BZ34" s="162"/>
      <c r="CA34" s="155"/>
      <c r="CB34" s="155"/>
      <c r="CD34" s="329"/>
      <c r="CE34" s="325"/>
      <c r="CF34" s="325"/>
      <c r="CG34" s="325"/>
      <c r="CH34" s="326"/>
      <c r="CI34" s="330"/>
      <c r="CJ34" s="325"/>
      <c r="CK34" s="325"/>
      <c r="CM34" s="329"/>
      <c r="CN34" s="325"/>
      <c r="CO34" s="325"/>
      <c r="CP34" s="325"/>
      <c r="CQ34" s="326"/>
      <c r="CR34" s="330"/>
      <c r="CS34" s="325"/>
      <c r="CT34" s="325"/>
      <c r="CW34" s="108"/>
      <c r="CX34" s="108"/>
      <c r="CY34" s="108"/>
      <c r="CZ34" s="400"/>
      <c r="DA34" s="125"/>
      <c r="DB34" s="108"/>
      <c r="DC34" s="108"/>
    </row>
    <row r="35" spans="1:107">
      <c r="A35" s="430">
        <v>332501</v>
      </c>
      <c r="B35" s="433" t="s">
        <v>320</v>
      </c>
      <c r="C35" s="433" t="s">
        <v>781</v>
      </c>
      <c r="D35" s="430">
        <v>211103</v>
      </c>
      <c r="E35" s="435">
        <v>5584.02</v>
      </c>
      <c r="F35" s="437">
        <v>46028</v>
      </c>
      <c r="G35" s="433" t="s">
        <v>512</v>
      </c>
      <c r="H35" s="433" t="s">
        <v>782</v>
      </c>
      <c r="J35" s="430">
        <v>332406</v>
      </c>
      <c r="K35" s="433" t="s">
        <v>204</v>
      </c>
      <c r="L35" s="433" t="s">
        <v>716</v>
      </c>
      <c r="M35" s="430">
        <v>215101</v>
      </c>
      <c r="N35" s="435">
        <v>350.37</v>
      </c>
      <c r="O35" s="437">
        <v>46066</v>
      </c>
      <c r="P35" s="433" t="s">
        <v>512</v>
      </c>
      <c r="Q35" s="433" t="s">
        <v>717</v>
      </c>
      <c r="S35" s="464">
        <v>331410</v>
      </c>
      <c r="T35" s="461" t="s">
        <v>296</v>
      </c>
      <c r="U35" s="461" t="s">
        <v>952</v>
      </c>
      <c r="V35" s="464">
        <v>211104</v>
      </c>
      <c r="W35" s="462">
        <v>3840.84</v>
      </c>
      <c r="X35" s="463">
        <v>46087</v>
      </c>
      <c r="Y35" s="461" t="s">
        <v>512</v>
      </c>
      <c r="Z35" s="461" t="s">
        <v>953</v>
      </c>
      <c r="AB35" s="474">
        <v>331602</v>
      </c>
      <c r="AC35" s="472" t="s">
        <v>44</v>
      </c>
      <c r="AD35" s="472" t="s">
        <v>1140</v>
      </c>
      <c r="AE35" s="474">
        <v>211104</v>
      </c>
      <c r="AF35" s="473">
        <v>3689</v>
      </c>
      <c r="AG35" s="477">
        <v>46127</v>
      </c>
      <c r="AH35" s="472" t="s">
        <v>512</v>
      </c>
      <c r="AI35" s="472" t="s">
        <v>1141</v>
      </c>
      <c r="AK35" s="158"/>
      <c r="AL35" s="154"/>
      <c r="AM35" s="158"/>
      <c r="AN35" s="158"/>
      <c r="AO35" s="157"/>
      <c r="AP35" s="163"/>
      <c r="AQ35" s="158"/>
      <c r="AR35" s="158"/>
      <c r="AT35" s="158"/>
      <c r="AU35" s="154"/>
      <c r="AV35" s="158"/>
      <c r="AW35" s="158"/>
      <c r="AX35" s="157"/>
      <c r="AY35" s="163"/>
      <c r="AZ35" s="158"/>
      <c r="BA35" s="158"/>
      <c r="BC35" s="158"/>
      <c r="BD35" s="154"/>
      <c r="BE35" s="158"/>
      <c r="BF35" s="158"/>
      <c r="BG35" s="157"/>
      <c r="BH35" s="163"/>
      <c r="BI35" s="158"/>
      <c r="BJ35" s="158"/>
      <c r="BL35" s="236"/>
      <c r="BM35" s="233"/>
      <c r="BN35" s="233"/>
      <c r="BO35" s="233"/>
      <c r="BP35" s="234"/>
      <c r="BQ35" s="235"/>
      <c r="BR35" s="233"/>
      <c r="BS35" s="233"/>
      <c r="BU35" s="158"/>
      <c r="BV35" s="154"/>
      <c r="BW35" s="158"/>
      <c r="BX35" s="158"/>
      <c r="BY35" s="157"/>
      <c r="BZ35" s="163"/>
      <c r="CA35" s="158"/>
      <c r="CB35" s="158"/>
      <c r="CD35" s="332"/>
      <c r="CE35" s="327"/>
      <c r="CF35" s="327"/>
      <c r="CG35" s="327"/>
      <c r="CH35" s="328"/>
      <c r="CI35" s="331"/>
      <c r="CJ35" s="327"/>
      <c r="CK35" s="327"/>
      <c r="CM35" s="332"/>
      <c r="CN35" s="327"/>
      <c r="CO35" s="327"/>
      <c r="CP35" s="327"/>
      <c r="CQ35" s="328"/>
      <c r="CR35" s="331"/>
      <c r="CS35" s="327"/>
      <c r="CT35" s="327"/>
      <c r="CV35" s="112"/>
      <c r="CW35" s="110"/>
      <c r="CX35" s="110"/>
      <c r="CY35" s="110"/>
      <c r="CZ35" s="399"/>
      <c r="DA35" s="127"/>
      <c r="DB35" s="110"/>
      <c r="DC35" s="110"/>
    </row>
    <row r="36" spans="1:107">
      <c r="A36" s="431">
        <v>332490</v>
      </c>
      <c r="B36" s="432" t="s">
        <v>319</v>
      </c>
      <c r="C36" s="432" t="s">
        <v>690</v>
      </c>
      <c r="D36" s="431">
        <v>211104</v>
      </c>
      <c r="E36" s="434">
        <v>11280</v>
      </c>
      <c r="F36" s="436">
        <v>46052</v>
      </c>
      <c r="G36" s="432" t="s">
        <v>512</v>
      </c>
      <c r="H36" s="432" t="s">
        <v>691</v>
      </c>
      <c r="J36" s="431">
        <v>332404</v>
      </c>
      <c r="K36" s="432" t="s">
        <v>313</v>
      </c>
      <c r="L36" s="432" t="s">
        <v>719</v>
      </c>
      <c r="M36" s="431">
        <v>211104</v>
      </c>
      <c r="N36" s="434">
        <v>7406</v>
      </c>
      <c r="O36" s="436">
        <v>46073</v>
      </c>
      <c r="P36" s="432" t="s">
        <v>512</v>
      </c>
      <c r="Q36" s="432" t="s">
        <v>699</v>
      </c>
      <c r="S36" s="465">
        <v>331803</v>
      </c>
      <c r="T36" s="458" t="s">
        <v>415</v>
      </c>
      <c r="U36" s="458" t="s">
        <v>969</v>
      </c>
      <c r="V36" s="465">
        <v>211103</v>
      </c>
      <c r="W36" s="459">
        <v>10947.13</v>
      </c>
      <c r="X36" s="460">
        <v>46106</v>
      </c>
      <c r="Y36" s="458" t="s">
        <v>512</v>
      </c>
      <c r="Z36" s="458" t="s">
        <v>970</v>
      </c>
      <c r="AB36" s="469">
        <v>331601</v>
      </c>
      <c r="AC36" s="470" t="s">
        <v>43</v>
      </c>
      <c r="AD36" s="470" t="s">
        <v>1142</v>
      </c>
      <c r="AE36" s="469">
        <v>211104</v>
      </c>
      <c r="AF36" s="471">
        <v>2823.88</v>
      </c>
      <c r="AG36" s="476">
        <v>46128</v>
      </c>
      <c r="AH36" s="470" t="s">
        <v>512</v>
      </c>
      <c r="AI36" s="470" t="s">
        <v>1143</v>
      </c>
      <c r="AK36" s="159"/>
      <c r="AL36" s="160"/>
      <c r="AM36" s="155"/>
      <c r="AN36" s="155"/>
      <c r="AO36" s="156"/>
      <c r="AP36" s="162"/>
      <c r="AQ36" s="155"/>
      <c r="AR36" s="155"/>
      <c r="AT36" s="155"/>
      <c r="AU36" s="153"/>
      <c r="AV36" s="155"/>
      <c r="AW36" s="155"/>
      <c r="AX36" s="156"/>
      <c r="AY36" s="162"/>
      <c r="AZ36" s="155"/>
      <c r="BA36" s="155"/>
      <c r="BC36" s="155"/>
      <c r="BD36" s="153"/>
      <c r="BE36" s="155"/>
      <c r="BF36" s="155"/>
      <c r="BG36" s="156"/>
      <c r="BH36" s="162"/>
      <c r="BI36" s="155"/>
      <c r="BJ36" s="155"/>
      <c r="BL36" s="237"/>
      <c r="BM36" s="230"/>
      <c r="BN36" s="230"/>
      <c r="BO36" s="230"/>
      <c r="BP36" s="231"/>
      <c r="BQ36" s="232"/>
      <c r="BR36" s="230"/>
      <c r="BS36" s="230"/>
      <c r="BU36" s="155"/>
      <c r="BV36" s="153"/>
      <c r="BW36" s="155"/>
      <c r="BX36" s="155"/>
      <c r="BY36" s="156"/>
      <c r="BZ36" s="162"/>
      <c r="CA36" s="155"/>
      <c r="CB36" s="155"/>
      <c r="CD36" s="329"/>
      <c r="CE36" s="325"/>
      <c r="CF36" s="325"/>
      <c r="CG36" s="325"/>
      <c r="CH36" s="326"/>
      <c r="CI36" s="330"/>
      <c r="CJ36" s="325"/>
      <c r="CK36" s="325"/>
      <c r="CM36" s="329"/>
      <c r="CN36" s="325"/>
      <c r="CO36" s="325"/>
      <c r="CP36" s="325"/>
      <c r="CQ36" s="326"/>
      <c r="CR36" s="330"/>
      <c r="CS36" s="325"/>
      <c r="CT36" s="325"/>
      <c r="CW36" s="108"/>
      <c r="CX36" s="108"/>
      <c r="CY36" s="108"/>
      <c r="CZ36" s="400"/>
      <c r="DA36" s="125"/>
      <c r="DB36" s="108"/>
      <c r="DC36" s="108"/>
    </row>
    <row r="37" spans="1:107">
      <c r="A37" s="430">
        <v>332990</v>
      </c>
      <c r="B37" s="433" t="s">
        <v>328</v>
      </c>
      <c r="C37" s="433" t="s">
        <v>755</v>
      </c>
      <c r="D37" s="430">
        <v>211103</v>
      </c>
      <c r="E37" s="435">
        <v>261.36</v>
      </c>
      <c r="F37" s="437">
        <v>46034</v>
      </c>
      <c r="G37" s="433" t="s">
        <v>512</v>
      </c>
      <c r="H37" s="433" t="s">
        <v>681</v>
      </c>
      <c r="J37" s="430">
        <v>332602</v>
      </c>
      <c r="K37" s="433" t="s">
        <v>326</v>
      </c>
      <c r="L37" s="433" t="s">
        <v>720</v>
      </c>
      <c r="M37" s="430">
        <v>211104</v>
      </c>
      <c r="N37" s="435">
        <v>1729.6</v>
      </c>
      <c r="O37" s="437">
        <v>46063</v>
      </c>
      <c r="P37" s="433" t="s">
        <v>512</v>
      </c>
      <c r="Q37" s="433" t="s">
        <v>706</v>
      </c>
      <c r="S37" s="464">
        <v>332503</v>
      </c>
      <c r="T37" s="461" t="s">
        <v>322</v>
      </c>
      <c r="U37" s="461" t="s">
        <v>954</v>
      </c>
      <c r="V37" s="464">
        <v>211103</v>
      </c>
      <c r="W37" s="462">
        <v>23431.99</v>
      </c>
      <c r="X37" s="463">
        <v>46097</v>
      </c>
      <c r="Y37" s="461" t="s">
        <v>512</v>
      </c>
      <c r="Z37" s="461" t="s">
        <v>935</v>
      </c>
      <c r="AB37" s="474">
        <v>332301</v>
      </c>
      <c r="AC37" s="472" t="s">
        <v>446</v>
      </c>
      <c r="AD37" s="472" t="s">
        <v>967</v>
      </c>
      <c r="AE37" s="474">
        <v>211103</v>
      </c>
      <c r="AF37" s="473">
        <v>5186.3500000000004</v>
      </c>
      <c r="AG37" s="477">
        <v>46119</v>
      </c>
      <c r="AH37" s="472" t="s">
        <v>512</v>
      </c>
      <c r="AI37" s="472" t="s">
        <v>1144</v>
      </c>
      <c r="AK37" s="158"/>
      <c r="AL37" s="154"/>
      <c r="AM37" s="158"/>
      <c r="AN37" s="158"/>
      <c r="AO37" s="157"/>
      <c r="AP37" s="163"/>
      <c r="AQ37" s="158"/>
      <c r="AR37" s="158"/>
      <c r="AT37" s="158"/>
      <c r="AU37" s="154"/>
      <c r="AV37" s="158"/>
      <c r="AW37" s="158"/>
      <c r="AX37" s="157"/>
      <c r="AY37" s="163"/>
      <c r="AZ37" s="158"/>
      <c r="BA37" s="158"/>
      <c r="BC37" s="158"/>
      <c r="BD37" s="154"/>
      <c r="BE37" s="158"/>
      <c r="BF37" s="158"/>
      <c r="BG37" s="157"/>
      <c r="BH37" s="163"/>
      <c r="BI37" s="158"/>
      <c r="BJ37" s="158"/>
      <c r="BL37" s="236"/>
      <c r="BM37" s="233"/>
      <c r="BN37" s="233"/>
      <c r="BO37" s="233"/>
      <c r="BP37" s="234"/>
      <c r="BQ37" s="235"/>
      <c r="BR37" s="233"/>
      <c r="BS37" s="233"/>
      <c r="BU37" s="158"/>
      <c r="BV37" s="154"/>
      <c r="BW37" s="158"/>
      <c r="BX37" s="158"/>
      <c r="BY37" s="157"/>
      <c r="BZ37" s="163"/>
      <c r="CA37" s="158"/>
      <c r="CB37" s="158"/>
      <c r="CD37" s="332"/>
      <c r="CE37" s="327"/>
      <c r="CF37" s="327"/>
      <c r="CG37" s="327"/>
      <c r="CH37" s="328"/>
      <c r="CI37" s="331"/>
      <c r="CJ37" s="327"/>
      <c r="CK37" s="327"/>
      <c r="CM37" s="332"/>
      <c r="CN37" s="327"/>
      <c r="CO37" s="327"/>
      <c r="CP37" s="327"/>
      <c r="CQ37" s="328"/>
      <c r="CR37" s="331"/>
      <c r="CS37" s="327"/>
      <c r="CT37" s="327"/>
      <c r="CV37" s="112"/>
      <c r="CW37" s="110"/>
      <c r="CX37" s="110"/>
      <c r="CY37" s="110"/>
      <c r="CZ37" s="399"/>
      <c r="DA37" s="127"/>
      <c r="DB37" s="110"/>
      <c r="DC37" s="110"/>
    </row>
    <row r="38" spans="1:107">
      <c r="A38" s="431">
        <v>332908</v>
      </c>
      <c r="B38" s="432" t="s">
        <v>327</v>
      </c>
      <c r="C38" s="432" t="s">
        <v>873</v>
      </c>
      <c r="D38" s="431">
        <v>215101</v>
      </c>
      <c r="E38" s="434">
        <v>28320.68</v>
      </c>
      <c r="F38" s="436">
        <v>46037</v>
      </c>
      <c r="G38" s="432" t="s">
        <v>512</v>
      </c>
      <c r="H38" s="432" t="s">
        <v>700</v>
      </c>
      <c r="J38" s="431">
        <v>332590</v>
      </c>
      <c r="K38" s="432" t="s">
        <v>325</v>
      </c>
      <c r="L38" s="432" t="s">
        <v>721</v>
      </c>
      <c r="M38" s="431">
        <v>211104</v>
      </c>
      <c r="N38" s="434">
        <v>1052.44</v>
      </c>
      <c r="O38" s="436">
        <v>46063</v>
      </c>
      <c r="P38" s="432" t="s">
        <v>512</v>
      </c>
      <c r="Q38" s="432" t="s">
        <v>722</v>
      </c>
      <c r="S38" s="465">
        <v>332502</v>
      </c>
      <c r="T38" s="458" t="s">
        <v>321</v>
      </c>
      <c r="U38" s="458" t="s">
        <v>955</v>
      </c>
      <c r="V38" s="465">
        <v>211103</v>
      </c>
      <c r="W38" s="459">
        <v>18230.68</v>
      </c>
      <c r="X38" s="460">
        <v>46106</v>
      </c>
      <c r="Y38" s="458" t="s">
        <v>512</v>
      </c>
      <c r="Z38" s="458" t="s">
        <v>956</v>
      </c>
      <c r="AB38" s="469">
        <v>331810</v>
      </c>
      <c r="AC38" s="470" t="s">
        <v>307</v>
      </c>
      <c r="AD38" s="470" t="s">
        <v>1145</v>
      </c>
      <c r="AE38" s="469">
        <v>211103</v>
      </c>
      <c r="AF38" s="471">
        <v>385.89</v>
      </c>
      <c r="AG38" s="476">
        <v>46139</v>
      </c>
      <c r="AH38" s="470" t="s">
        <v>512</v>
      </c>
      <c r="AI38" s="470" t="s">
        <v>1146</v>
      </c>
      <c r="AK38" s="155"/>
      <c r="AL38" s="153"/>
      <c r="AM38" s="155"/>
      <c r="AN38" s="155"/>
      <c r="AO38" s="156"/>
      <c r="AP38" s="162"/>
      <c r="AQ38" s="155"/>
      <c r="AR38" s="155"/>
      <c r="AT38" s="155"/>
      <c r="AU38" s="153"/>
      <c r="AV38" s="155"/>
      <c r="AW38" s="155"/>
      <c r="AX38" s="156"/>
      <c r="AY38" s="162"/>
      <c r="AZ38" s="155"/>
      <c r="BA38" s="155"/>
      <c r="BC38" s="155"/>
      <c r="BD38" s="153"/>
      <c r="BE38" s="155"/>
      <c r="BF38" s="155"/>
      <c r="BG38" s="156"/>
      <c r="BH38" s="162"/>
      <c r="BI38" s="155"/>
      <c r="BJ38" s="155"/>
      <c r="BL38" s="237"/>
      <c r="BM38" s="230"/>
      <c r="BN38" s="230"/>
      <c r="BO38" s="230"/>
      <c r="BP38" s="231"/>
      <c r="BQ38" s="232"/>
      <c r="BR38" s="230"/>
      <c r="BS38" s="230"/>
      <c r="BU38" s="155"/>
      <c r="BV38" s="153"/>
      <c r="BW38" s="155"/>
      <c r="BX38" s="155"/>
      <c r="BY38" s="156"/>
      <c r="BZ38" s="162"/>
      <c r="CA38" s="155"/>
      <c r="CB38" s="155"/>
      <c r="CD38" s="329"/>
      <c r="CE38" s="325"/>
      <c r="CF38" s="325"/>
      <c r="CG38" s="325"/>
      <c r="CH38" s="326"/>
      <c r="CI38" s="330"/>
      <c r="CJ38" s="325"/>
      <c r="CK38" s="325"/>
      <c r="CM38" s="329"/>
      <c r="CN38" s="325"/>
      <c r="CO38" s="325"/>
      <c r="CP38" s="325"/>
      <c r="CQ38" s="326"/>
      <c r="CR38" s="330"/>
      <c r="CS38" s="325"/>
      <c r="CT38" s="325"/>
      <c r="CW38" s="108"/>
      <c r="CX38" s="108"/>
      <c r="CY38" s="108"/>
      <c r="CZ38" s="400"/>
      <c r="DA38" s="125"/>
      <c r="DB38" s="108"/>
      <c r="DC38" s="108"/>
    </row>
    <row r="39" spans="1:107">
      <c r="A39" s="430">
        <v>332602</v>
      </c>
      <c r="B39" s="433" t="s">
        <v>326</v>
      </c>
      <c r="C39" s="433" t="s">
        <v>760</v>
      </c>
      <c r="D39" s="430">
        <v>211104</v>
      </c>
      <c r="E39" s="435">
        <v>340</v>
      </c>
      <c r="F39" s="437">
        <v>46024</v>
      </c>
      <c r="G39" s="433" t="s">
        <v>512</v>
      </c>
      <c r="H39" s="433" t="s">
        <v>761</v>
      </c>
      <c r="J39" s="430">
        <v>332503</v>
      </c>
      <c r="K39" s="433" t="s">
        <v>322</v>
      </c>
      <c r="L39" s="433" t="s">
        <v>723</v>
      </c>
      <c r="M39" s="430">
        <v>211103</v>
      </c>
      <c r="N39" s="435">
        <v>29042.07</v>
      </c>
      <c r="O39" s="437">
        <v>46071</v>
      </c>
      <c r="P39" s="433" t="s">
        <v>512</v>
      </c>
      <c r="Q39" s="433" t="s">
        <v>671</v>
      </c>
      <c r="S39" s="464">
        <v>332501</v>
      </c>
      <c r="T39" s="461" t="s">
        <v>320</v>
      </c>
      <c r="U39" s="461" t="s">
        <v>957</v>
      </c>
      <c r="V39" s="464">
        <v>211104</v>
      </c>
      <c r="W39" s="462">
        <v>6649.54</v>
      </c>
      <c r="X39" s="463">
        <v>46091</v>
      </c>
      <c r="Y39" s="461" t="s">
        <v>512</v>
      </c>
      <c r="Z39" s="461" t="s">
        <v>958</v>
      </c>
      <c r="AB39" s="474">
        <v>331799</v>
      </c>
      <c r="AC39" s="472" t="s">
        <v>414</v>
      </c>
      <c r="AD39" s="472" t="s">
        <v>1147</v>
      </c>
      <c r="AE39" s="474">
        <v>215101</v>
      </c>
      <c r="AF39" s="473">
        <v>2073.5100000000002</v>
      </c>
      <c r="AG39" s="477">
        <v>46118</v>
      </c>
      <c r="AH39" s="472" t="s">
        <v>512</v>
      </c>
      <c r="AI39" s="472" t="s">
        <v>1148</v>
      </c>
      <c r="AK39" s="158"/>
      <c r="AL39" s="154"/>
      <c r="AM39" s="158"/>
      <c r="AN39" s="158"/>
      <c r="AO39" s="157"/>
      <c r="AP39" s="163"/>
      <c r="AQ39" s="158"/>
      <c r="AR39" s="158"/>
      <c r="AT39" s="158"/>
      <c r="AU39" s="154"/>
      <c r="AV39" s="158"/>
      <c r="AW39" s="158"/>
      <c r="AX39" s="157"/>
      <c r="AY39" s="163"/>
      <c r="AZ39" s="158"/>
      <c r="BA39" s="158"/>
      <c r="BC39" s="158"/>
      <c r="BD39" s="154"/>
      <c r="BE39" s="158"/>
      <c r="BF39" s="158"/>
      <c r="BG39" s="157"/>
      <c r="BH39" s="163"/>
      <c r="BI39" s="158"/>
      <c r="BJ39" s="158"/>
      <c r="BL39" s="236"/>
      <c r="BM39" s="233"/>
      <c r="BN39" s="233"/>
      <c r="BO39" s="233"/>
      <c r="BP39" s="234"/>
      <c r="BQ39" s="235"/>
      <c r="BR39" s="233"/>
      <c r="BS39" s="233"/>
      <c r="BU39" s="158"/>
      <c r="BV39" s="154"/>
      <c r="BW39" s="158"/>
      <c r="BX39" s="158"/>
      <c r="BY39" s="157"/>
      <c r="BZ39" s="163"/>
      <c r="CA39" s="158"/>
      <c r="CB39" s="158"/>
      <c r="CD39" s="332"/>
      <c r="CE39" s="327"/>
      <c r="CF39" s="327"/>
      <c r="CG39" s="327"/>
      <c r="CH39" s="328"/>
      <c r="CI39" s="331"/>
      <c r="CJ39" s="327"/>
      <c r="CK39" s="327"/>
      <c r="CM39" s="332"/>
      <c r="CN39" s="327"/>
      <c r="CO39" s="327"/>
      <c r="CP39" s="327"/>
      <c r="CQ39" s="328"/>
      <c r="CR39" s="331"/>
      <c r="CS39" s="327"/>
      <c r="CT39" s="327"/>
      <c r="CV39" s="112"/>
      <c r="CW39" s="110"/>
      <c r="CX39" s="110"/>
      <c r="CY39" s="110"/>
      <c r="CZ39" s="399"/>
      <c r="DA39" s="127"/>
      <c r="DB39" s="110"/>
      <c r="DC39" s="110"/>
    </row>
    <row r="40" spans="1:107">
      <c r="A40" s="431">
        <v>332590</v>
      </c>
      <c r="B40" s="432" t="s">
        <v>325</v>
      </c>
      <c r="C40" s="432" t="s">
        <v>740</v>
      </c>
      <c r="D40" s="431">
        <v>211104</v>
      </c>
      <c r="E40" s="434">
        <v>239.18</v>
      </c>
      <c r="F40" s="436">
        <v>46034</v>
      </c>
      <c r="G40" s="432" t="s">
        <v>512</v>
      </c>
      <c r="H40" s="432" t="s">
        <v>741</v>
      </c>
      <c r="J40" s="431">
        <v>332502</v>
      </c>
      <c r="K40" s="432" t="s">
        <v>321</v>
      </c>
      <c r="L40" s="432" t="s">
        <v>724</v>
      </c>
      <c r="M40" s="431">
        <v>211104</v>
      </c>
      <c r="N40" s="434">
        <v>4476.38</v>
      </c>
      <c r="O40" s="436">
        <v>46071</v>
      </c>
      <c r="P40" s="432" t="s">
        <v>512</v>
      </c>
      <c r="Q40" s="432" t="s">
        <v>671</v>
      </c>
      <c r="S40" s="465">
        <v>332508</v>
      </c>
      <c r="T40" s="458" t="s">
        <v>959</v>
      </c>
      <c r="U40" s="458" t="s">
        <v>960</v>
      </c>
      <c r="V40" s="465">
        <v>215101</v>
      </c>
      <c r="W40" s="459">
        <v>983.17</v>
      </c>
      <c r="X40" s="460">
        <v>46083</v>
      </c>
      <c r="Y40" s="458" t="s">
        <v>512</v>
      </c>
      <c r="Z40" s="458" t="s">
        <v>961</v>
      </c>
      <c r="AB40" s="469">
        <v>331504</v>
      </c>
      <c r="AC40" s="470" t="s">
        <v>303</v>
      </c>
      <c r="AD40" s="470" t="s">
        <v>1149</v>
      </c>
      <c r="AE40" s="469">
        <v>211103</v>
      </c>
      <c r="AF40" s="471">
        <v>3973</v>
      </c>
      <c r="AG40" s="476">
        <v>46118</v>
      </c>
      <c r="AH40" s="470" t="s">
        <v>512</v>
      </c>
      <c r="AI40" s="470" t="s">
        <v>1150</v>
      </c>
      <c r="AK40" s="155"/>
      <c r="AL40" s="153"/>
      <c r="AM40" s="155"/>
      <c r="AN40" s="155"/>
      <c r="AO40" s="156"/>
      <c r="AP40" s="162"/>
      <c r="AQ40" s="155"/>
      <c r="AR40" s="155"/>
      <c r="AT40" s="155"/>
      <c r="AU40" s="153"/>
      <c r="AV40" s="155"/>
      <c r="AW40" s="155"/>
      <c r="AX40" s="156"/>
      <c r="AY40" s="162"/>
      <c r="AZ40" s="155"/>
      <c r="BA40" s="155"/>
      <c r="BC40" s="155"/>
      <c r="BD40" s="153"/>
      <c r="BE40" s="155"/>
      <c r="BF40" s="155"/>
      <c r="BG40" s="156"/>
      <c r="BH40" s="162"/>
      <c r="BI40" s="155"/>
      <c r="BJ40" s="155"/>
      <c r="BL40" s="237"/>
      <c r="BM40" s="230"/>
      <c r="BN40" s="230"/>
      <c r="BO40" s="230"/>
      <c r="BP40" s="231"/>
      <c r="BQ40" s="232"/>
      <c r="BR40" s="230"/>
      <c r="BS40" s="230"/>
      <c r="BU40" s="155"/>
      <c r="BV40" s="153"/>
      <c r="BW40" s="155"/>
      <c r="BX40" s="155"/>
      <c r="BY40" s="156"/>
      <c r="BZ40" s="162"/>
      <c r="CA40" s="155"/>
      <c r="CB40" s="155"/>
      <c r="CD40" s="329"/>
      <c r="CE40" s="325"/>
      <c r="CF40" s="325"/>
      <c r="CG40" s="325"/>
      <c r="CH40" s="326"/>
      <c r="CI40" s="330"/>
      <c r="CJ40" s="325"/>
      <c r="CK40" s="325"/>
      <c r="CM40" s="329"/>
      <c r="CN40" s="325"/>
      <c r="CO40" s="325"/>
      <c r="CP40" s="325"/>
      <c r="CQ40" s="326"/>
      <c r="CR40" s="330"/>
      <c r="CS40" s="325"/>
      <c r="CT40" s="325"/>
      <c r="CW40" s="108"/>
      <c r="CX40" s="108"/>
      <c r="CY40" s="108"/>
      <c r="CZ40" s="400"/>
      <c r="DA40" s="125"/>
      <c r="DB40" s="108"/>
      <c r="DC40" s="108"/>
    </row>
    <row r="41" spans="1:107">
      <c r="A41" s="430">
        <v>332414</v>
      </c>
      <c r="B41" s="433" t="s">
        <v>316</v>
      </c>
      <c r="C41" s="433" t="s">
        <v>874</v>
      </c>
      <c r="D41" s="430">
        <v>215101</v>
      </c>
      <c r="E41" s="435">
        <v>20958.96</v>
      </c>
      <c r="F41" s="437">
        <v>46035</v>
      </c>
      <c r="G41" s="433" t="s">
        <v>512</v>
      </c>
      <c r="H41" s="433" t="s">
        <v>676</v>
      </c>
      <c r="J41" s="430">
        <v>331801</v>
      </c>
      <c r="K41" s="433" t="s">
        <v>306</v>
      </c>
      <c r="L41" s="433" t="s">
        <v>725</v>
      </c>
      <c r="M41" s="430">
        <v>211104</v>
      </c>
      <c r="N41" s="435">
        <v>2800</v>
      </c>
      <c r="O41" s="437">
        <v>46055</v>
      </c>
      <c r="P41" s="433" t="s">
        <v>512</v>
      </c>
      <c r="Q41" s="433" t="s">
        <v>703</v>
      </c>
      <c r="S41" s="464">
        <v>332990</v>
      </c>
      <c r="T41" s="461" t="s">
        <v>328</v>
      </c>
      <c r="U41" s="461" t="s">
        <v>962</v>
      </c>
      <c r="V41" s="464">
        <v>211103</v>
      </c>
      <c r="W41" s="462">
        <v>208.56</v>
      </c>
      <c r="X41" s="463">
        <v>46086</v>
      </c>
      <c r="Y41" s="461" t="s">
        <v>512</v>
      </c>
      <c r="Z41" s="461" t="s">
        <v>937</v>
      </c>
      <c r="AB41" s="474">
        <v>331452</v>
      </c>
      <c r="AC41" s="472" t="s">
        <v>299</v>
      </c>
      <c r="AD41" s="472" t="s">
        <v>1151</v>
      </c>
      <c r="AE41" s="474">
        <v>211103</v>
      </c>
      <c r="AF41" s="473">
        <v>1974.4</v>
      </c>
      <c r="AG41" s="477">
        <v>46142</v>
      </c>
      <c r="AH41" s="472" t="s">
        <v>512</v>
      </c>
      <c r="AI41" s="472" t="s">
        <v>1152</v>
      </c>
      <c r="AK41" s="158"/>
      <c r="AL41" s="154"/>
      <c r="AM41" s="158"/>
      <c r="AN41" s="158"/>
      <c r="AO41" s="157"/>
      <c r="AP41" s="163"/>
      <c r="AQ41" s="158"/>
      <c r="AR41" s="158"/>
      <c r="AT41" s="158"/>
      <c r="AU41" s="154"/>
      <c r="AV41" s="158"/>
      <c r="AW41" s="158"/>
      <c r="AX41" s="157"/>
      <c r="AY41" s="163"/>
      <c r="AZ41" s="158"/>
      <c r="BA41" s="158"/>
      <c r="BC41" s="158"/>
      <c r="BD41" s="154"/>
      <c r="BE41" s="158"/>
      <c r="BF41" s="158"/>
      <c r="BG41" s="157"/>
      <c r="BH41" s="163"/>
      <c r="BI41" s="158"/>
      <c r="BJ41" s="158"/>
      <c r="BL41" s="236"/>
      <c r="BM41" s="233"/>
      <c r="BN41" s="233"/>
      <c r="BO41" s="233"/>
      <c r="BP41" s="234"/>
      <c r="BQ41" s="235"/>
      <c r="BR41" s="233"/>
      <c r="BS41" s="233"/>
      <c r="BU41" s="158"/>
      <c r="BV41" s="154"/>
      <c r="BW41" s="158"/>
      <c r="BX41" s="158"/>
      <c r="BY41" s="157"/>
      <c r="BZ41" s="163"/>
      <c r="CA41" s="158"/>
      <c r="CB41" s="158"/>
      <c r="CD41" s="332"/>
      <c r="CE41" s="327"/>
      <c r="CF41" s="327"/>
      <c r="CG41" s="327"/>
      <c r="CH41" s="328"/>
      <c r="CI41" s="331"/>
      <c r="CJ41" s="327"/>
      <c r="CK41" s="327"/>
      <c r="CM41" s="332"/>
      <c r="CN41" s="327"/>
      <c r="CO41" s="327"/>
      <c r="CP41" s="327"/>
      <c r="CQ41" s="328"/>
      <c r="CR41" s="331"/>
      <c r="CS41" s="327"/>
      <c r="CT41" s="327"/>
      <c r="CV41" s="112"/>
      <c r="CW41" s="110"/>
      <c r="CX41" s="110"/>
      <c r="CY41" s="110"/>
      <c r="CZ41" s="399"/>
      <c r="DA41" s="127"/>
      <c r="DB41" s="110"/>
      <c r="DC41" s="110"/>
    </row>
    <row r="42" spans="1:107">
      <c r="A42" s="431">
        <v>331807</v>
      </c>
      <c r="B42" s="432" t="s">
        <v>458</v>
      </c>
      <c r="C42" s="432" t="s">
        <v>875</v>
      </c>
      <c r="D42" s="431">
        <v>211104</v>
      </c>
      <c r="E42" s="434">
        <v>4660.43</v>
      </c>
      <c r="F42" s="436">
        <v>46048</v>
      </c>
      <c r="G42" s="432" t="s">
        <v>512</v>
      </c>
      <c r="H42" s="432" t="s">
        <v>704</v>
      </c>
      <c r="J42" s="431">
        <v>331799</v>
      </c>
      <c r="K42" s="432" t="s">
        <v>414</v>
      </c>
      <c r="L42" s="432" t="s">
        <v>728</v>
      </c>
      <c r="M42" s="431">
        <v>215101</v>
      </c>
      <c r="N42" s="434">
        <v>2404.41</v>
      </c>
      <c r="O42" s="436">
        <v>46077</v>
      </c>
      <c r="P42" s="432" t="s">
        <v>512</v>
      </c>
      <c r="Q42" s="432" t="s">
        <v>729</v>
      </c>
      <c r="S42" s="465">
        <v>332908</v>
      </c>
      <c r="T42" s="458" t="s">
        <v>327</v>
      </c>
      <c r="U42" s="458" t="s">
        <v>963</v>
      </c>
      <c r="V42" s="465">
        <v>211104</v>
      </c>
      <c r="W42" s="459">
        <v>25834.23</v>
      </c>
      <c r="X42" s="460">
        <v>46091</v>
      </c>
      <c r="Y42" s="458" t="s">
        <v>512</v>
      </c>
      <c r="Z42" s="458" t="s">
        <v>958</v>
      </c>
      <c r="AB42" s="469">
        <v>331451</v>
      </c>
      <c r="AC42" s="470" t="s">
        <v>564</v>
      </c>
      <c r="AD42" s="470" t="s">
        <v>1153</v>
      </c>
      <c r="AE42" s="469">
        <v>211103</v>
      </c>
      <c r="AF42" s="471">
        <v>7692.14</v>
      </c>
      <c r="AG42" s="476">
        <v>46127</v>
      </c>
      <c r="AH42" s="470" t="s">
        <v>512</v>
      </c>
      <c r="AI42" s="470" t="s">
        <v>1141</v>
      </c>
      <c r="AK42" s="155"/>
      <c r="AL42" s="153"/>
      <c r="AM42" s="155"/>
      <c r="AN42" s="155"/>
      <c r="AO42" s="156"/>
      <c r="AP42" s="162"/>
      <c r="AQ42" s="155"/>
      <c r="AR42" s="155"/>
      <c r="AT42" s="155"/>
      <c r="AU42" s="153"/>
      <c r="AV42" s="155"/>
      <c r="AW42" s="155"/>
      <c r="AX42" s="156"/>
      <c r="AY42" s="162"/>
      <c r="AZ42" s="155"/>
      <c r="BA42" s="155"/>
      <c r="BC42" s="155"/>
      <c r="BD42" s="153"/>
      <c r="BE42" s="155"/>
      <c r="BF42" s="155"/>
      <c r="BG42" s="156"/>
      <c r="BH42" s="162"/>
      <c r="BI42" s="155"/>
      <c r="BJ42" s="155"/>
      <c r="BL42" s="237"/>
      <c r="BM42" s="230"/>
      <c r="BN42" s="230"/>
      <c r="BO42" s="230"/>
      <c r="BP42" s="231"/>
      <c r="BQ42" s="232"/>
      <c r="BR42" s="230"/>
      <c r="BS42" s="230"/>
      <c r="BU42" s="155"/>
      <c r="BV42" s="153"/>
      <c r="BW42" s="155"/>
      <c r="BX42" s="155"/>
      <c r="BY42" s="156"/>
      <c r="BZ42" s="162"/>
      <c r="CA42" s="155"/>
      <c r="CB42" s="155"/>
      <c r="CD42" s="329"/>
      <c r="CE42" s="325"/>
      <c r="CF42" s="325"/>
      <c r="CG42" s="325"/>
      <c r="CH42" s="326"/>
      <c r="CI42" s="330"/>
      <c r="CJ42" s="325"/>
      <c r="CK42" s="325"/>
      <c r="CM42" s="329"/>
      <c r="CN42" s="325"/>
      <c r="CO42" s="325"/>
      <c r="CP42" s="325"/>
      <c r="CQ42" s="326"/>
      <c r="CR42" s="330"/>
      <c r="CS42" s="325"/>
      <c r="CT42" s="325"/>
      <c r="CW42" s="108"/>
      <c r="CX42" s="108"/>
      <c r="CY42" s="108"/>
      <c r="CZ42" s="400"/>
      <c r="DA42" s="125"/>
      <c r="DB42" s="108"/>
      <c r="DC42" s="108"/>
    </row>
    <row r="43" spans="1:107">
      <c r="A43" s="430">
        <v>331803</v>
      </c>
      <c r="B43" s="433" t="s">
        <v>415</v>
      </c>
      <c r="C43" s="433" t="s">
        <v>876</v>
      </c>
      <c r="D43" s="430">
        <v>211103</v>
      </c>
      <c r="E43" s="435">
        <v>533.77</v>
      </c>
      <c r="F43" s="437">
        <v>46041</v>
      </c>
      <c r="G43" s="433" t="s">
        <v>512</v>
      </c>
      <c r="H43" s="433" t="s">
        <v>860</v>
      </c>
      <c r="J43" s="430">
        <v>331604</v>
      </c>
      <c r="K43" s="433" t="s">
        <v>305</v>
      </c>
      <c r="L43" s="433" t="s">
        <v>731</v>
      </c>
      <c r="M43" s="430">
        <v>211104</v>
      </c>
      <c r="N43" s="435">
        <v>100067.15</v>
      </c>
      <c r="O43" s="437">
        <v>46071</v>
      </c>
      <c r="P43" s="433" t="s">
        <v>512</v>
      </c>
      <c r="Q43" s="433" t="s">
        <v>671</v>
      </c>
      <c r="S43" s="464">
        <v>332590</v>
      </c>
      <c r="T43" s="461" t="s">
        <v>325</v>
      </c>
      <c r="U43" s="461" t="s">
        <v>964</v>
      </c>
      <c r="V43" s="464">
        <v>211104</v>
      </c>
      <c r="W43" s="462">
        <v>818.68</v>
      </c>
      <c r="X43" s="463">
        <v>46091</v>
      </c>
      <c r="Y43" s="461" t="s">
        <v>512</v>
      </c>
      <c r="Z43" s="461" t="s">
        <v>965</v>
      </c>
      <c r="AB43" s="474">
        <v>331410</v>
      </c>
      <c r="AC43" s="472" t="s">
        <v>296</v>
      </c>
      <c r="AD43" s="472" t="s">
        <v>1154</v>
      </c>
      <c r="AE43" s="474">
        <v>211104</v>
      </c>
      <c r="AF43" s="473">
        <v>3690.84</v>
      </c>
      <c r="AG43" s="477">
        <v>46139</v>
      </c>
      <c r="AH43" s="472" t="s">
        <v>512</v>
      </c>
      <c r="AI43" s="472" t="s">
        <v>1146</v>
      </c>
      <c r="AK43" s="158"/>
      <c r="AL43" s="154"/>
      <c r="AM43" s="158"/>
      <c r="AN43" s="158"/>
      <c r="AO43" s="157"/>
      <c r="AP43" s="163"/>
      <c r="AQ43" s="158"/>
      <c r="AR43" s="158"/>
      <c r="AT43" s="158"/>
      <c r="AU43" s="154"/>
      <c r="AV43" s="158"/>
      <c r="AW43" s="158"/>
      <c r="AX43" s="157"/>
      <c r="AY43" s="163"/>
      <c r="AZ43" s="158"/>
      <c r="BA43" s="158"/>
      <c r="BC43" s="158"/>
      <c r="BD43" s="154"/>
      <c r="BE43" s="158"/>
      <c r="BF43" s="158"/>
      <c r="BG43" s="157"/>
      <c r="BH43" s="163"/>
      <c r="BI43" s="158"/>
      <c r="BJ43" s="158"/>
      <c r="BL43" s="236"/>
      <c r="BM43" s="233"/>
      <c r="BN43" s="233"/>
      <c r="BO43" s="233"/>
      <c r="BP43" s="234"/>
      <c r="BQ43" s="235"/>
      <c r="BR43" s="233"/>
      <c r="BS43" s="233"/>
      <c r="BU43" s="158"/>
      <c r="BV43" s="154"/>
      <c r="BW43" s="158"/>
      <c r="BX43" s="158"/>
      <c r="BY43" s="157"/>
      <c r="BZ43" s="163"/>
      <c r="CA43" s="158"/>
      <c r="CB43" s="158"/>
      <c r="CD43" s="332"/>
      <c r="CE43" s="327"/>
      <c r="CF43" s="327"/>
      <c r="CG43" s="327"/>
      <c r="CH43" s="328"/>
      <c r="CI43" s="331"/>
      <c r="CJ43" s="327"/>
      <c r="CK43" s="327"/>
      <c r="CM43" s="332"/>
      <c r="CN43" s="327"/>
      <c r="CO43" s="327"/>
      <c r="CP43" s="327"/>
      <c r="CQ43" s="328"/>
      <c r="CR43" s="331"/>
      <c r="CS43" s="327"/>
      <c r="CT43" s="327"/>
      <c r="CV43" s="112"/>
      <c r="CW43" s="110"/>
      <c r="CX43" s="110"/>
      <c r="CY43" s="110"/>
      <c r="CZ43" s="399"/>
      <c r="DA43" s="127"/>
      <c r="DB43" s="110"/>
      <c r="DC43" s="110"/>
    </row>
    <row r="44" spans="1:107">
      <c r="A44" s="431">
        <v>331801</v>
      </c>
      <c r="B44" s="432" t="s">
        <v>306</v>
      </c>
      <c r="C44" s="432" t="s">
        <v>877</v>
      </c>
      <c r="D44" s="431">
        <v>211104</v>
      </c>
      <c r="E44" s="434">
        <v>8600</v>
      </c>
      <c r="F44" s="436">
        <v>46024</v>
      </c>
      <c r="G44" s="432" t="s">
        <v>512</v>
      </c>
      <c r="H44" s="432" t="s">
        <v>669</v>
      </c>
      <c r="J44" s="431">
        <v>332908</v>
      </c>
      <c r="K44" s="432" t="s">
        <v>327</v>
      </c>
      <c r="L44" s="432" t="s">
        <v>732</v>
      </c>
      <c r="M44" s="431">
        <v>215101</v>
      </c>
      <c r="N44" s="434">
        <v>3259.57</v>
      </c>
      <c r="O44" s="436">
        <v>46071</v>
      </c>
      <c r="P44" s="432" t="s">
        <v>512</v>
      </c>
      <c r="Q44" s="432" t="s">
        <v>671</v>
      </c>
      <c r="S44" s="465">
        <v>332490</v>
      </c>
      <c r="T44" s="458" t="s">
        <v>319</v>
      </c>
      <c r="U44" s="458" t="s">
        <v>966</v>
      </c>
      <c r="V44" s="465">
        <v>211104</v>
      </c>
      <c r="W44" s="459">
        <v>14200</v>
      </c>
      <c r="X44" s="460">
        <v>46083</v>
      </c>
      <c r="Y44" s="458" t="s">
        <v>512</v>
      </c>
      <c r="Z44" s="458" t="s">
        <v>933</v>
      </c>
      <c r="AB44" s="469">
        <v>331502</v>
      </c>
      <c r="AC44" s="470" t="s">
        <v>413</v>
      </c>
      <c r="AD44" s="470" t="s">
        <v>1155</v>
      </c>
      <c r="AE44" s="469">
        <v>211104</v>
      </c>
      <c r="AF44" s="471">
        <v>720</v>
      </c>
      <c r="AG44" s="476">
        <v>46142</v>
      </c>
      <c r="AH44" s="470" t="s">
        <v>512</v>
      </c>
      <c r="AI44" s="470" t="s">
        <v>1152</v>
      </c>
      <c r="AK44" s="155"/>
      <c r="AL44" s="153"/>
      <c r="AM44" s="155"/>
      <c r="AN44" s="155"/>
      <c r="AO44" s="156"/>
      <c r="AP44" s="162"/>
      <c r="AQ44" s="155"/>
      <c r="AR44" s="155"/>
      <c r="AT44" s="155"/>
      <c r="AU44" s="153"/>
      <c r="AV44" s="155"/>
      <c r="AW44" s="155"/>
      <c r="AX44" s="156"/>
      <c r="AY44" s="162"/>
      <c r="AZ44" s="155"/>
      <c r="BA44" s="155"/>
      <c r="BC44" s="155"/>
      <c r="BD44" s="153"/>
      <c r="BE44" s="155"/>
      <c r="BF44" s="155"/>
      <c r="BG44" s="156"/>
      <c r="BH44" s="162"/>
      <c r="BI44" s="155"/>
      <c r="BJ44" s="155"/>
      <c r="BL44" s="237"/>
      <c r="BM44" s="230"/>
      <c r="BN44" s="230"/>
      <c r="BO44" s="230"/>
      <c r="BP44" s="231"/>
      <c r="BQ44" s="232"/>
      <c r="BR44" s="230"/>
      <c r="BS44" s="230"/>
      <c r="BU44" s="155"/>
      <c r="BV44" s="153"/>
      <c r="BW44" s="155"/>
      <c r="BX44" s="155"/>
      <c r="BY44" s="156"/>
      <c r="BZ44" s="162"/>
      <c r="CA44" s="155"/>
      <c r="CB44" s="155"/>
      <c r="CD44" s="329"/>
      <c r="CE44" s="325"/>
      <c r="CF44" s="325"/>
      <c r="CG44" s="325"/>
      <c r="CH44" s="326"/>
      <c r="CI44" s="330"/>
      <c r="CJ44" s="325"/>
      <c r="CK44" s="325"/>
      <c r="CM44" s="329"/>
      <c r="CN44" s="325"/>
      <c r="CO44" s="325"/>
      <c r="CP44" s="325"/>
      <c r="CQ44" s="326"/>
      <c r="CR44" s="330"/>
      <c r="CS44" s="325"/>
      <c r="CT44" s="325"/>
      <c r="CW44" s="108"/>
      <c r="CX44" s="108"/>
      <c r="CY44" s="108"/>
      <c r="CZ44" s="400"/>
      <c r="DA44" s="125"/>
      <c r="DB44" s="108"/>
      <c r="DC44" s="108"/>
    </row>
    <row r="45" spans="1:107">
      <c r="A45" s="430">
        <v>331604</v>
      </c>
      <c r="B45" s="433" t="s">
        <v>305</v>
      </c>
      <c r="C45" s="433" t="s">
        <v>878</v>
      </c>
      <c r="D45" s="430">
        <v>211104</v>
      </c>
      <c r="E45" s="435">
        <v>102964.56</v>
      </c>
      <c r="F45" s="437">
        <v>46044</v>
      </c>
      <c r="G45" s="433" t="s">
        <v>512</v>
      </c>
      <c r="H45" s="433" t="s">
        <v>879</v>
      </c>
      <c r="J45" s="430">
        <v>332310</v>
      </c>
      <c r="K45" s="433" t="s">
        <v>312</v>
      </c>
      <c r="L45" s="433" t="s">
        <v>733</v>
      </c>
      <c r="M45" s="430">
        <v>211104</v>
      </c>
      <c r="N45" s="435">
        <v>15715.27</v>
      </c>
      <c r="O45" s="437">
        <v>46079</v>
      </c>
      <c r="P45" s="433" t="s">
        <v>512</v>
      </c>
      <c r="Q45" s="433" t="s">
        <v>734</v>
      </c>
      <c r="S45" s="464">
        <v>332301</v>
      </c>
      <c r="T45" s="461" t="s">
        <v>446</v>
      </c>
      <c r="U45" s="461" t="s">
        <v>967</v>
      </c>
      <c r="V45" s="464">
        <v>211103</v>
      </c>
      <c r="W45" s="462">
        <v>1296.58</v>
      </c>
      <c r="X45" s="463">
        <v>46104</v>
      </c>
      <c r="Y45" s="461" t="s">
        <v>512</v>
      </c>
      <c r="Z45" s="461" t="s">
        <v>949</v>
      </c>
      <c r="AB45" s="474">
        <v>331501</v>
      </c>
      <c r="AC45" s="472" t="s">
        <v>412</v>
      </c>
      <c r="AD45" s="472" t="s">
        <v>1156</v>
      </c>
      <c r="AE45" s="474">
        <v>211103</v>
      </c>
      <c r="AF45" s="473">
        <v>3299.3</v>
      </c>
      <c r="AG45" s="477">
        <v>46118</v>
      </c>
      <c r="AH45" s="472" t="s">
        <v>512</v>
      </c>
      <c r="AI45" s="472" t="s">
        <v>1125</v>
      </c>
      <c r="AK45" s="158"/>
      <c r="AL45" s="154"/>
      <c r="AM45" s="158"/>
      <c r="AN45" s="158"/>
      <c r="AO45" s="157"/>
      <c r="AP45" s="163"/>
      <c r="AQ45" s="158"/>
      <c r="AR45" s="158"/>
      <c r="AT45" s="158"/>
      <c r="AU45" s="154"/>
      <c r="AV45" s="158"/>
      <c r="AW45" s="158"/>
      <c r="AX45" s="157"/>
      <c r="AY45" s="163"/>
      <c r="AZ45" s="158"/>
      <c r="BA45" s="158"/>
      <c r="BC45" s="158"/>
      <c r="BD45" s="154"/>
      <c r="BE45" s="158"/>
      <c r="BF45" s="158"/>
      <c r="BG45" s="157"/>
      <c r="BH45" s="163"/>
      <c r="BI45" s="158"/>
      <c r="BJ45" s="158"/>
      <c r="BL45" s="236"/>
      <c r="BM45" s="233"/>
      <c r="BN45" s="233"/>
      <c r="BO45" s="233"/>
      <c r="BP45" s="234"/>
      <c r="BQ45" s="235"/>
      <c r="BR45" s="233"/>
      <c r="BS45" s="233"/>
      <c r="BU45" s="158"/>
      <c r="BV45" s="154"/>
      <c r="BW45" s="158"/>
      <c r="BX45" s="158"/>
      <c r="BY45" s="157"/>
      <c r="BZ45" s="163"/>
      <c r="CA45" s="158"/>
      <c r="CB45" s="158"/>
      <c r="CD45" s="332"/>
      <c r="CE45" s="327"/>
      <c r="CF45" s="327"/>
      <c r="CG45" s="327"/>
      <c r="CH45" s="328"/>
      <c r="CI45" s="331"/>
      <c r="CJ45" s="327"/>
      <c r="CK45" s="327"/>
      <c r="CM45" s="332"/>
      <c r="CN45" s="327"/>
      <c r="CO45" s="327"/>
      <c r="CP45" s="327"/>
      <c r="CQ45" s="328"/>
      <c r="CR45" s="331"/>
      <c r="CS45" s="327"/>
      <c r="CT45" s="327"/>
      <c r="CV45" s="112"/>
      <c r="CW45" s="110"/>
      <c r="CX45" s="110"/>
      <c r="CY45" s="110"/>
      <c r="CZ45" s="399"/>
      <c r="DA45" s="127"/>
      <c r="DB45" s="110"/>
      <c r="DC45" s="110"/>
    </row>
    <row r="46" spans="1:107">
      <c r="A46" s="431">
        <v>332404</v>
      </c>
      <c r="B46" s="432" t="s">
        <v>313</v>
      </c>
      <c r="C46" s="432" t="s">
        <v>718</v>
      </c>
      <c r="D46" s="431">
        <v>211104</v>
      </c>
      <c r="E46" s="434">
        <v>7103</v>
      </c>
      <c r="F46" s="436">
        <v>46042</v>
      </c>
      <c r="G46" s="432" t="s">
        <v>512</v>
      </c>
      <c r="H46" s="432" t="s">
        <v>687</v>
      </c>
      <c r="J46" s="431">
        <v>332301</v>
      </c>
      <c r="K46" s="432" t="s">
        <v>446</v>
      </c>
      <c r="L46" s="432" t="s">
        <v>710</v>
      </c>
      <c r="M46" s="431">
        <v>211103</v>
      </c>
      <c r="N46" s="434">
        <v>3445.28</v>
      </c>
      <c r="O46" s="436">
        <v>46080</v>
      </c>
      <c r="P46" s="432" t="s">
        <v>512</v>
      </c>
      <c r="Q46" s="432" t="s">
        <v>674</v>
      </c>
      <c r="S46" s="465">
        <v>331810</v>
      </c>
      <c r="T46" s="458" t="s">
        <v>307</v>
      </c>
      <c r="U46" s="458" t="s">
        <v>968</v>
      </c>
      <c r="V46" s="465">
        <v>211103</v>
      </c>
      <c r="W46" s="459">
        <v>385.89</v>
      </c>
      <c r="X46" s="460">
        <v>46106</v>
      </c>
      <c r="Y46" s="458" t="s">
        <v>512</v>
      </c>
      <c r="Z46" s="458" t="s">
        <v>956</v>
      </c>
      <c r="AB46" s="469">
        <v>331454</v>
      </c>
      <c r="AC46" s="470" t="s">
        <v>301</v>
      </c>
      <c r="AD46" s="470" t="s">
        <v>1157</v>
      </c>
      <c r="AE46" s="469">
        <v>211103</v>
      </c>
      <c r="AF46" s="471">
        <v>499.4</v>
      </c>
      <c r="AG46" s="476">
        <v>46136</v>
      </c>
      <c r="AH46" s="470" t="s">
        <v>512</v>
      </c>
      <c r="AI46" s="470" t="s">
        <v>1131</v>
      </c>
      <c r="AK46" s="155"/>
      <c r="AL46" s="153"/>
      <c r="AM46" s="155"/>
      <c r="AN46" s="155"/>
      <c r="AO46" s="156"/>
      <c r="AP46" s="162"/>
      <c r="AQ46" s="155"/>
      <c r="AR46" s="155"/>
      <c r="AT46" s="155"/>
      <c r="AU46" s="153"/>
      <c r="AV46" s="155"/>
      <c r="AW46" s="155"/>
      <c r="AX46" s="156"/>
      <c r="AY46" s="162"/>
      <c r="AZ46" s="155"/>
      <c r="BA46" s="155"/>
      <c r="BC46" s="155"/>
      <c r="BD46" s="153"/>
      <c r="BE46" s="155"/>
      <c r="BF46" s="155"/>
      <c r="BG46" s="156"/>
      <c r="BH46" s="162"/>
      <c r="BI46" s="155"/>
      <c r="BJ46" s="155"/>
      <c r="BL46" s="237"/>
      <c r="BM46" s="230"/>
      <c r="BN46" s="230"/>
      <c r="BO46" s="230"/>
      <c r="BP46" s="231"/>
      <c r="BQ46" s="232"/>
      <c r="BR46" s="230"/>
      <c r="BS46" s="230"/>
      <c r="BU46" s="155"/>
      <c r="BV46" s="153"/>
      <c r="BW46" s="155"/>
      <c r="BX46" s="155"/>
      <c r="BY46" s="156"/>
      <c r="BZ46" s="162"/>
      <c r="CA46" s="155"/>
      <c r="CB46" s="155"/>
      <c r="CD46" s="329"/>
      <c r="CE46" s="325"/>
      <c r="CF46" s="325"/>
      <c r="CG46" s="325"/>
      <c r="CH46" s="326"/>
      <c r="CI46" s="330"/>
      <c r="CJ46" s="325"/>
      <c r="CK46" s="325"/>
      <c r="CM46" s="329"/>
      <c r="CN46" s="325"/>
      <c r="CO46" s="325"/>
      <c r="CP46" s="325"/>
      <c r="CQ46" s="326"/>
      <c r="CR46" s="330"/>
      <c r="CS46" s="325"/>
      <c r="CT46" s="325"/>
      <c r="CW46" s="108"/>
      <c r="CX46" s="108"/>
      <c r="CY46" s="108"/>
      <c r="CZ46" s="400"/>
      <c r="DA46" s="125"/>
      <c r="DB46" s="108"/>
      <c r="DC46" s="108"/>
    </row>
    <row r="47" spans="1:107">
      <c r="A47" s="430">
        <v>332310</v>
      </c>
      <c r="B47" s="433" t="s">
        <v>312</v>
      </c>
      <c r="C47" s="433" t="s">
        <v>880</v>
      </c>
      <c r="D47" s="430">
        <v>211104</v>
      </c>
      <c r="E47" s="435">
        <v>16029.45</v>
      </c>
      <c r="F47" s="437">
        <v>46030</v>
      </c>
      <c r="G47" s="433" t="s">
        <v>512</v>
      </c>
      <c r="H47" s="433" t="s">
        <v>766</v>
      </c>
      <c r="J47" s="430">
        <v>331810</v>
      </c>
      <c r="K47" s="433" t="s">
        <v>307</v>
      </c>
      <c r="L47" s="433" t="s">
        <v>737</v>
      </c>
      <c r="M47" s="430">
        <v>211103</v>
      </c>
      <c r="N47" s="435">
        <v>385.89</v>
      </c>
      <c r="O47" s="437">
        <v>46078</v>
      </c>
      <c r="P47" s="433" t="s">
        <v>512</v>
      </c>
      <c r="Q47" s="433" t="s">
        <v>693</v>
      </c>
      <c r="S47" s="464">
        <v>331807</v>
      </c>
      <c r="T47" s="461" t="s">
        <v>458</v>
      </c>
      <c r="U47" s="461" t="s">
        <v>1079</v>
      </c>
      <c r="V47" s="464">
        <v>211104</v>
      </c>
      <c r="W47" s="462">
        <v>403.01</v>
      </c>
      <c r="X47" s="463">
        <v>46093</v>
      </c>
      <c r="Y47" s="461" t="s">
        <v>512</v>
      </c>
      <c r="Z47" s="461" t="s">
        <v>1080</v>
      </c>
      <c r="AB47" s="474">
        <v>331305</v>
      </c>
      <c r="AC47" s="472" t="s">
        <v>282</v>
      </c>
      <c r="AD47" s="472" t="s">
        <v>1158</v>
      </c>
      <c r="AE47" s="474">
        <v>211104</v>
      </c>
      <c r="AF47" s="473">
        <v>27932.720000000001</v>
      </c>
      <c r="AG47" s="477">
        <v>46122</v>
      </c>
      <c r="AH47" s="472" t="s">
        <v>512</v>
      </c>
      <c r="AI47" s="472" t="s">
        <v>1129</v>
      </c>
      <c r="AK47" s="158"/>
      <c r="AL47" s="154"/>
      <c r="AM47" s="158"/>
      <c r="AN47" s="158"/>
      <c r="AO47" s="157"/>
      <c r="AP47" s="163"/>
      <c r="AQ47" s="158"/>
      <c r="AR47" s="158"/>
      <c r="AT47" s="158"/>
      <c r="AU47" s="154"/>
      <c r="AV47" s="158"/>
      <c r="AW47" s="158"/>
      <c r="AX47" s="157"/>
      <c r="AY47" s="163"/>
      <c r="AZ47" s="158"/>
      <c r="BA47" s="158"/>
      <c r="BC47" s="158"/>
      <c r="BD47" s="154"/>
      <c r="BE47" s="158"/>
      <c r="BF47" s="158"/>
      <c r="BG47" s="157"/>
      <c r="BH47" s="163"/>
      <c r="BI47" s="158"/>
      <c r="BJ47" s="158"/>
      <c r="BL47" s="236"/>
      <c r="BM47" s="233"/>
      <c r="BN47" s="233"/>
      <c r="BO47" s="233"/>
      <c r="BP47" s="234"/>
      <c r="BQ47" s="235"/>
      <c r="BR47" s="233"/>
      <c r="BS47" s="233"/>
      <c r="BU47" s="158"/>
      <c r="BV47" s="154"/>
      <c r="BW47" s="158"/>
      <c r="BX47" s="158"/>
      <c r="BY47" s="157"/>
      <c r="BZ47" s="163"/>
      <c r="CA47" s="158"/>
      <c r="CB47" s="158"/>
      <c r="CD47" s="332"/>
      <c r="CE47" s="327"/>
      <c r="CF47" s="327"/>
      <c r="CG47" s="327"/>
      <c r="CH47" s="328"/>
      <c r="CI47" s="331"/>
      <c r="CJ47" s="327"/>
      <c r="CK47" s="327"/>
      <c r="CM47" s="332"/>
      <c r="CN47" s="327"/>
      <c r="CO47" s="327"/>
      <c r="CP47" s="327"/>
      <c r="CQ47" s="328"/>
      <c r="CR47" s="331"/>
      <c r="CS47" s="327"/>
      <c r="CT47" s="327"/>
      <c r="CV47" s="112"/>
      <c r="CW47" s="110"/>
      <c r="CX47" s="110"/>
      <c r="CY47" s="110"/>
      <c r="CZ47" s="399"/>
      <c r="DA47" s="127"/>
      <c r="DB47" s="110"/>
      <c r="DC47" s="110"/>
    </row>
    <row r="48" spans="1:107">
      <c r="A48" s="431">
        <v>332301</v>
      </c>
      <c r="B48" s="432" t="s">
        <v>446</v>
      </c>
      <c r="C48" s="432" t="s">
        <v>881</v>
      </c>
      <c r="D48" s="431">
        <v>211103</v>
      </c>
      <c r="E48" s="434">
        <v>9474.49</v>
      </c>
      <c r="F48" s="436">
        <v>46041</v>
      </c>
      <c r="G48" s="432" t="s">
        <v>512</v>
      </c>
      <c r="H48" s="432" t="s">
        <v>860</v>
      </c>
      <c r="J48" s="431">
        <v>331807</v>
      </c>
      <c r="K48" s="432" t="s">
        <v>458</v>
      </c>
      <c r="L48" s="432" t="s">
        <v>738</v>
      </c>
      <c r="M48" s="431">
        <v>211104</v>
      </c>
      <c r="N48" s="434">
        <v>8340</v>
      </c>
      <c r="O48" s="436">
        <v>46064</v>
      </c>
      <c r="P48" s="432" t="s">
        <v>512</v>
      </c>
      <c r="Q48" s="432" t="s">
        <v>739</v>
      </c>
      <c r="S48" s="465">
        <v>332302</v>
      </c>
      <c r="T48" s="458" t="s">
        <v>309</v>
      </c>
      <c r="U48" s="458" t="s">
        <v>971</v>
      </c>
      <c r="V48" s="465">
        <v>211104</v>
      </c>
      <c r="W48" s="459">
        <v>782.4</v>
      </c>
      <c r="X48" s="460">
        <v>46097</v>
      </c>
      <c r="Y48" s="458" t="s">
        <v>512</v>
      </c>
      <c r="Z48" s="458" t="s">
        <v>935</v>
      </c>
      <c r="AB48" s="469">
        <v>124103</v>
      </c>
      <c r="AC48" s="470" t="s">
        <v>526</v>
      </c>
      <c r="AD48" s="470" t="s">
        <v>1159</v>
      </c>
      <c r="AE48" s="469">
        <v>215101</v>
      </c>
      <c r="AF48" s="471">
        <v>13829.84</v>
      </c>
      <c r="AG48" s="476">
        <v>46126</v>
      </c>
      <c r="AH48" s="470" t="s">
        <v>512</v>
      </c>
      <c r="AI48" s="470" t="s">
        <v>1160</v>
      </c>
      <c r="AK48" s="155"/>
      <c r="AL48" s="153"/>
      <c r="AM48" s="155"/>
      <c r="AN48" s="155"/>
      <c r="AO48" s="156"/>
      <c r="AP48" s="162"/>
      <c r="AQ48" s="155"/>
      <c r="AR48" s="155"/>
      <c r="AT48" s="155"/>
      <c r="AU48" s="153"/>
      <c r="AV48" s="155"/>
      <c r="AW48" s="155"/>
      <c r="AX48" s="156"/>
      <c r="AY48" s="162"/>
      <c r="AZ48" s="155"/>
      <c r="BA48" s="155"/>
      <c r="BC48" s="155"/>
      <c r="BD48" s="153"/>
      <c r="BE48" s="155"/>
      <c r="BF48" s="155"/>
      <c r="BG48" s="156"/>
      <c r="BH48" s="162"/>
      <c r="BI48" s="155"/>
      <c r="BJ48" s="155"/>
      <c r="BL48" s="237"/>
      <c r="BM48" s="230"/>
      <c r="BN48" s="230"/>
      <c r="BO48" s="230"/>
      <c r="BP48" s="231"/>
      <c r="BQ48" s="232"/>
      <c r="BR48" s="230"/>
      <c r="BS48" s="230"/>
      <c r="BU48" s="159"/>
      <c r="BV48" s="160"/>
      <c r="BW48" s="155"/>
      <c r="BX48" s="155"/>
      <c r="BY48" s="156"/>
      <c r="BZ48" s="162"/>
      <c r="CA48" s="155"/>
      <c r="CB48" s="155"/>
      <c r="CD48" s="329"/>
      <c r="CE48" s="325"/>
      <c r="CF48" s="325"/>
      <c r="CG48" s="325"/>
      <c r="CH48" s="326"/>
      <c r="CI48" s="330"/>
      <c r="CJ48" s="325"/>
      <c r="CK48" s="325"/>
      <c r="CM48" s="329"/>
      <c r="CN48" s="325"/>
      <c r="CO48" s="325"/>
      <c r="CP48" s="325"/>
      <c r="CQ48" s="326"/>
      <c r="CR48" s="330"/>
      <c r="CS48" s="325"/>
      <c r="CT48" s="325"/>
      <c r="CW48" s="108"/>
      <c r="CX48" s="108"/>
      <c r="CY48" s="108"/>
      <c r="CZ48" s="400"/>
      <c r="DA48" s="125"/>
      <c r="DB48" s="108"/>
      <c r="DC48" s="108"/>
    </row>
    <row r="49" spans="1:107">
      <c r="A49" s="430">
        <v>331810</v>
      </c>
      <c r="B49" s="433" t="s">
        <v>307</v>
      </c>
      <c r="C49" s="433" t="s">
        <v>712</v>
      </c>
      <c r="D49" s="430">
        <v>211103</v>
      </c>
      <c r="E49" s="435">
        <v>385.89</v>
      </c>
      <c r="F49" s="437">
        <v>46048</v>
      </c>
      <c r="G49" s="433" t="s">
        <v>512</v>
      </c>
      <c r="H49" s="433" t="s">
        <v>704</v>
      </c>
      <c r="J49" s="430">
        <v>331316</v>
      </c>
      <c r="K49" s="433" t="s">
        <v>287</v>
      </c>
      <c r="L49" s="433" t="s">
        <v>742</v>
      </c>
      <c r="M49" s="430">
        <v>211104</v>
      </c>
      <c r="N49" s="435">
        <v>12300</v>
      </c>
      <c r="O49" s="437">
        <v>46073</v>
      </c>
      <c r="P49" s="433" t="s">
        <v>512</v>
      </c>
      <c r="Q49" s="433" t="s">
        <v>699</v>
      </c>
      <c r="S49" s="464">
        <v>332404</v>
      </c>
      <c r="T49" s="461" t="s">
        <v>313</v>
      </c>
      <c r="U49" s="461" t="s">
        <v>972</v>
      </c>
      <c r="V49" s="464">
        <v>211104</v>
      </c>
      <c r="W49" s="462">
        <v>7406</v>
      </c>
      <c r="X49" s="463">
        <v>46101</v>
      </c>
      <c r="Y49" s="461" t="s">
        <v>512</v>
      </c>
      <c r="Z49" s="461" t="s">
        <v>973</v>
      </c>
      <c r="AB49" s="474">
        <v>119105</v>
      </c>
      <c r="AC49" s="472" t="s">
        <v>756</v>
      </c>
      <c r="AD49" s="472" t="s">
        <v>1161</v>
      </c>
      <c r="AE49" s="474">
        <v>211104</v>
      </c>
      <c r="AF49" s="473">
        <v>456</v>
      </c>
      <c r="AG49" s="477">
        <v>46136</v>
      </c>
      <c r="AH49" s="472" t="s">
        <v>512</v>
      </c>
      <c r="AI49" s="472" t="s">
        <v>1131</v>
      </c>
      <c r="AK49" s="158"/>
      <c r="AL49" s="154"/>
      <c r="AM49" s="158"/>
      <c r="AN49" s="158"/>
      <c r="AO49" s="157"/>
      <c r="AP49" s="163"/>
      <c r="AQ49" s="158"/>
      <c r="AR49" s="158"/>
      <c r="AT49" s="158"/>
      <c r="AU49" s="154"/>
      <c r="AV49" s="158"/>
      <c r="AW49" s="158"/>
      <c r="AX49" s="157"/>
      <c r="AY49" s="163"/>
      <c r="AZ49" s="158"/>
      <c r="BA49" s="158"/>
      <c r="BC49" s="158"/>
      <c r="BD49" s="154"/>
      <c r="BE49" s="158"/>
      <c r="BF49" s="158"/>
      <c r="BG49" s="157"/>
      <c r="BH49" s="163"/>
      <c r="BI49" s="158"/>
      <c r="BJ49" s="158"/>
      <c r="BL49" s="236"/>
      <c r="BM49" s="233"/>
      <c r="BN49" s="233"/>
      <c r="BO49" s="233"/>
      <c r="BP49" s="234"/>
      <c r="BQ49" s="235"/>
      <c r="BR49" s="233"/>
      <c r="BS49" s="233"/>
      <c r="BU49" s="158"/>
      <c r="BV49" s="154"/>
      <c r="BW49" s="158"/>
      <c r="BX49" s="158"/>
      <c r="BY49" s="157"/>
      <c r="BZ49" s="163"/>
      <c r="CA49" s="158"/>
      <c r="CB49" s="158"/>
      <c r="CD49" s="332"/>
      <c r="CE49" s="327"/>
      <c r="CF49" s="327"/>
      <c r="CG49" s="327"/>
      <c r="CH49" s="328"/>
      <c r="CI49" s="331"/>
      <c r="CJ49" s="327"/>
      <c r="CK49" s="327"/>
      <c r="CM49" s="332"/>
      <c r="CN49" s="327"/>
      <c r="CO49" s="327"/>
      <c r="CP49" s="327"/>
      <c r="CQ49" s="328"/>
      <c r="CR49" s="331"/>
      <c r="CS49" s="327"/>
      <c r="CT49" s="327"/>
      <c r="CV49" s="112"/>
      <c r="CW49" s="110"/>
      <c r="CX49" s="110"/>
      <c r="CY49" s="110"/>
      <c r="CZ49" s="399"/>
      <c r="DA49" s="127"/>
      <c r="DB49" s="110"/>
      <c r="DC49" s="110"/>
    </row>
    <row r="50" spans="1:107">
      <c r="A50" s="431">
        <v>215323</v>
      </c>
      <c r="B50" s="432" t="s">
        <v>272</v>
      </c>
      <c r="C50" s="432" t="s">
        <v>882</v>
      </c>
      <c r="D50" s="431">
        <v>211104</v>
      </c>
      <c r="E50" s="434">
        <v>84219.01</v>
      </c>
      <c r="F50" s="436">
        <v>46044</v>
      </c>
      <c r="G50" s="432" t="s">
        <v>512</v>
      </c>
      <c r="H50" s="432" t="s">
        <v>879</v>
      </c>
      <c r="J50" s="431">
        <v>128801</v>
      </c>
      <c r="K50" s="432" t="s">
        <v>492</v>
      </c>
      <c r="L50" s="432" t="s">
        <v>917</v>
      </c>
      <c r="M50" s="431">
        <v>211103</v>
      </c>
      <c r="N50" s="434">
        <v>1019.1</v>
      </c>
      <c r="O50" s="436">
        <v>46073</v>
      </c>
      <c r="P50" s="432" t="s">
        <v>512</v>
      </c>
      <c r="Q50" s="432" t="s">
        <v>699</v>
      </c>
      <c r="S50" s="465">
        <v>113101</v>
      </c>
      <c r="T50" s="458" t="s">
        <v>262</v>
      </c>
      <c r="U50" s="458" t="s">
        <v>974</v>
      </c>
      <c r="V50" s="465">
        <v>211104</v>
      </c>
      <c r="W50" s="459">
        <v>37.520000000000003</v>
      </c>
      <c r="X50" s="460">
        <v>46087</v>
      </c>
      <c r="Y50" s="458" t="s">
        <v>512</v>
      </c>
      <c r="Z50" s="458" t="s">
        <v>953</v>
      </c>
      <c r="AB50" s="469">
        <v>119103</v>
      </c>
      <c r="AC50" s="470" t="s">
        <v>130</v>
      </c>
      <c r="AD50" s="470" t="s">
        <v>743</v>
      </c>
      <c r="AE50" s="469">
        <v>211104</v>
      </c>
      <c r="AF50" s="471">
        <v>103854.33</v>
      </c>
      <c r="AG50" s="476">
        <v>46142</v>
      </c>
      <c r="AH50" s="470" t="s">
        <v>512</v>
      </c>
      <c r="AI50" s="470" t="s">
        <v>1152</v>
      </c>
      <c r="AK50" s="155"/>
      <c r="AL50" s="153"/>
      <c r="AM50" s="155"/>
      <c r="AN50" s="155"/>
      <c r="AO50" s="156"/>
      <c r="AP50" s="162"/>
      <c r="AQ50" s="155"/>
      <c r="AR50" s="155"/>
      <c r="AT50" s="155"/>
      <c r="AU50" s="153"/>
      <c r="AV50" s="155"/>
      <c r="AW50" s="155"/>
      <c r="AX50" s="156"/>
      <c r="AY50" s="162"/>
      <c r="AZ50" s="155"/>
      <c r="BA50" s="155"/>
      <c r="BC50" s="155"/>
      <c r="BD50" s="153"/>
      <c r="BE50" s="155"/>
      <c r="BF50" s="155"/>
      <c r="BG50" s="156"/>
      <c r="BH50" s="162"/>
      <c r="BI50" s="155"/>
      <c r="BJ50" s="155"/>
      <c r="BL50" s="237"/>
      <c r="BM50" s="230"/>
      <c r="BN50" s="230"/>
      <c r="BO50" s="230"/>
      <c r="BP50" s="231"/>
      <c r="BQ50" s="232"/>
      <c r="BR50" s="230"/>
      <c r="BS50" s="230"/>
      <c r="BU50" s="155"/>
      <c r="BV50" s="153"/>
      <c r="BW50" s="155"/>
      <c r="BX50" s="155"/>
      <c r="BY50" s="156"/>
      <c r="BZ50" s="162"/>
      <c r="CA50" s="155"/>
      <c r="CB50" s="155"/>
      <c r="CD50" s="329"/>
      <c r="CE50" s="325"/>
      <c r="CF50" s="325"/>
      <c r="CG50" s="325"/>
      <c r="CH50" s="326"/>
      <c r="CI50" s="330"/>
      <c r="CJ50" s="325"/>
      <c r="CK50" s="325"/>
      <c r="CM50" s="329"/>
      <c r="CN50" s="325"/>
      <c r="CO50" s="325"/>
      <c r="CP50" s="325"/>
      <c r="CQ50" s="326"/>
      <c r="CR50" s="330"/>
      <c r="CS50" s="325"/>
      <c r="CT50" s="325"/>
      <c r="CW50" s="108"/>
      <c r="CX50" s="108"/>
      <c r="CY50" s="108"/>
      <c r="CZ50" s="400"/>
      <c r="DA50" s="125"/>
      <c r="DB50" s="108"/>
      <c r="DC50" s="108"/>
    </row>
    <row r="51" spans="1:107">
      <c r="A51" s="430">
        <v>128801</v>
      </c>
      <c r="B51" s="433" t="s">
        <v>492</v>
      </c>
      <c r="C51" s="433" t="s">
        <v>883</v>
      </c>
      <c r="D51" s="430">
        <v>211103</v>
      </c>
      <c r="E51" s="435">
        <v>59622.81</v>
      </c>
      <c r="F51" s="437">
        <v>46029</v>
      </c>
      <c r="G51" s="433" t="s">
        <v>512</v>
      </c>
      <c r="H51" s="433" t="s">
        <v>884</v>
      </c>
      <c r="J51" s="430">
        <v>128502</v>
      </c>
      <c r="K51" s="433" t="s">
        <v>270</v>
      </c>
      <c r="L51" s="433" t="s">
        <v>918</v>
      </c>
      <c r="M51" s="430">
        <v>211103</v>
      </c>
      <c r="N51" s="435">
        <v>341111.4</v>
      </c>
      <c r="O51" s="437">
        <v>46078</v>
      </c>
      <c r="P51" s="433" t="s">
        <v>512</v>
      </c>
      <c r="Q51" s="433" t="s">
        <v>693</v>
      </c>
      <c r="S51" s="464">
        <v>332305</v>
      </c>
      <c r="T51" s="461" t="s">
        <v>310</v>
      </c>
      <c r="U51" s="461" t="s">
        <v>975</v>
      </c>
      <c r="V51" s="464">
        <v>211104</v>
      </c>
      <c r="W51" s="462">
        <v>5242.2</v>
      </c>
      <c r="X51" s="463">
        <v>46092</v>
      </c>
      <c r="Y51" s="461" t="s">
        <v>512</v>
      </c>
      <c r="Z51" s="461" t="s">
        <v>976</v>
      </c>
      <c r="AB51" s="474">
        <v>128502</v>
      </c>
      <c r="AC51" s="472" t="s">
        <v>270</v>
      </c>
      <c r="AD51" s="472" t="s">
        <v>1162</v>
      </c>
      <c r="AE51" s="474">
        <v>211103</v>
      </c>
      <c r="AF51" s="473">
        <v>999093.5</v>
      </c>
      <c r="AG51" s="477">
        <v>46118</v>
      </c>
      <c r="AH51" s="472" t="s">
        <v>512</v>
      </c>
      <c r="AI51" s="472" t="s">
        <v>1125</v>
      </c>
      <c r="AK51" s="158"/>
      <c r="AL51" s="154"/>
      <c r="AM51" s="158"/>
      <c r="AN51" s="158"/>
      <c r="AO51" s="157"/>
      <c r="AP51" s="163"/>
      <c r="AQ51" s="158"/>
      <c r="AR51" s="158"/>
      <c r="AT51" s="158"/>
      <c r="AU51" s="154"/>
      <c r="AV51" s="158"/>
      <c r="AW51" s="158"/>
      <c r="AX51" s="157"/>
      <c r="AY51" s="163"/>
      <c r="AZ51" s="158"/>
      <c r="BA51" s="158"/>
      <c r="BC51" s="158"/>
      <c r="BD51" s="154"/>
      <c r="BE51" s="158"/>
      <c r="BF51" s="158"/>
      <c r="BG51" s="157"/>
      <c r="BH51" s="163"/>
      <c r="BI51" s="158"/>
      <c r="BJ51" s="158"/>
      <c r="BL51" s="236"/>
      <c r="BM51" s="233"/>
      <c r="BN51" s="233"/>
      <c r="BO51" s="233"/>
      <c r="BP51" s="234"/>
      <c r="BQ51" s="235"/>
      <c r="BR51" s="233"/>
      <c r="BS51" s="233"/>
      <c r="BU51" s="158"/>
      <c r="BV51" s="154"/>
      <c r="BW51" s="158"/>
      <c r="BX51" s="158"/>
      <c r="BY51" s="157"/>
      <c r="BZ51" s="163"/>
      <c r="CA51" s="158"/>
      <c r="CB51" s="158"/>
      <c r="CD51" s="332"/>
      <c r="CE51" s="327"/>
      <c r="CF51" s="327"/>
      <c r="CG51" s="327"/>
      <c r="CH51" s="328"/>
      <c r="CI51" s="331"/>
      <c r="CJ51" s="327"/>
      <c r="CK51" s="327"/>
      <c r="CM51" s="332"/>
      <c r="CN51" s="327"/>
      <c r="CO51" s="327"/>
      <c r="CP51" s="327"/>
      <c r="CQ51" s="328"/>
      <c r="CR51" s="331"/>
      <c r="CS51" s="327"/>
      <c r="CT51" s="327"/>
      <c r="CV51" s="112"/>
      <c r="CW51" s="110"/>
      <c r="CX51" s="110"/>
      <c r="CY51" s="110"/>
      <c r="CZ51" s="399"/>
      <c r="DA51" s="127"/>
      <c r="DB51" s="110"/>
      <c r="DC51" s="110"/>
    </row>
    <row r="52" spans="1:107">
      <c r="A52" s="431">
        <v>128502</v>
      </c>
      <c r="B52" s="432" t="s">
        <v>270</v>
      </c>
      <c r="C52" s="432" t="s">
        <v>885</v>
      </c>
      <c r="D52" s="431">
        <v>211103</v>
      </c>
      <c r="E52" s="434">
        <v>335535.95</v>
      </c>
      <c r="F52" s="436">
        <v>46037</v>
      </c>
      <c r="G52" s="432" t="s">
        <v>512</v>
      </c>
      <c r="H52" s="432" t="s">
        <v>700</v>
      </c>
      <c r="J52" s="431">
        <v>124103</v>
      </c>
      <c r="K52" s="432" t="s">
        <v>526</v>
      </c>
      <c r="L52" s="432" t="s">
        <v>762</v>
      </c>
      <c r="M52" s="431">
        <v>215101</v>
      </c>
      <c r="N52" s="434">
        <v>20813.830000000002</v>
      </c>
      <c r="O52" s="436">
        <v>46078</v>
      </c>
      <c r="P52" s="432" t="s">
        <v>512</v>
      </c>
      <c r="Q52" s="432" t="s">
        <v>763</v>
      </c>
      <c r="S52" s="465">
        <v>128504</v>
      </c>
      <c r="T52" s="458" t="s">
        <v>271</v>
      </c>
      <c r="U52" s="458" t="s">
        <v>978</v>
      </c>
      <c r="V52" s="465">
        <v>211104</v>
      </c>
      <c r="W52" s="459">
        <v>12978.95</v>
      </c>
      <c r="X52" s="460">
        <v>46101</v>
      </c>
      <c r="Y52" s="458" t="s">
        <v>512</v>
      </c>
      <c r="Z52" s="458" t="s">
        <v>973</v>
      </c>
      <c r="AB52" s="469">
        <v>331106</v>
      </c>
      <c r="AC52" s="470" t="s">
        <v>273</v>
      </c>
      <c r="AD52" s="470" t="s">
        <v>1163</v>
      </c>
      <c r="AE52" s="469">
        <v>211104</v>
      </c>
      <c r="AF52" s="471">
        <v>111763.9</v>
      </c>
      <c r="AG52" s="476">
        <v>46140</v>
      </c>
      <c r="AH52" s="470" t="s">
        <v>512</v>
      </c>
      <c r="AI52" s="470" t="s">
        <v>1164</v>
      </c>
      <c r="AK52" s="155"/>
      <c r="AL52" s="153"/>
      <c r="AM52" s="155"/>
      <c r="AN52" s="155"/>
      <c r="AO52" s="156"/>
      <c r="AP52" s="162"/>
      <c r="AQ52" s="155"/>
      <c r="AR52" s="155"/>
      <c r="AT52" s="155"/>
      <c r="AU52" s="153"/>
      <c r="AV52" s="155"/>
      <c r="AW52" s="155"/>
      <c r="AX52" s="156"/>
      <c r="AY52" s="162"/>
      <c r="AZ52" s="155"/>
      <c r="BA52" s="155"/>
      <c r="BC52" s="155"/>
      <c r="BD52" s="153"/>
      <c r="BE52" s="155"/>
      <c r="BF52" s="155"/>
      <c r="BG52" s="156"/>
      <c r="BH52" s="162"/>
      <c r="BI52" s="155"/>
      <c r="BJ52" s="155"/>
      <c r="BL52" s="237"/>
      <c r="BM52" s="230"/>
      <c r="BN52" s="230"/>
      <c r="BO52" s="230"/>
      <c r="BP52" s="231"/>
      <c r="BQ52" s="232"/>
      <c r="BR52" s="230"/>
      <c r="BS52" s="230"/>
      <c r="BU52" s="155"/>
      <c r="BV52" s="153"/>
      <c r="BW52" s="155"/>
      <c r="BX52" s="155"/>
      <c r="BY52" s="156"/>
      <c r="BZ52" s="162"/>
      <c r="CA52" s="155"/>
      <c r="CB52" s="155"/>
      <c r="CD52" s="329"/>
      <c r="CE52" s="325"/>
      <c r="CF52" s="325"/>
      <c r="CG52" s="325"/>
      <c r="CH52" s="326"/>
      <c r="CI52" s="330"/>
      <c r="CJ52" s="325"/>
      <c r="CK52" s="325"/>
      <c r="CM52" s="329"/>
      <c r="CN52" s="325"/>
      <c r="CO52" s="325"/>
      <c r="CP52" s="325"/>
      <c r="CQ52" s="326"/>
      <c r="CR52" s="330"/>
      <c r="CS52" s="325"/>
      <c r="CT52" s="325"/>
      <c r="CW52" s="108"/>
      <c r="CX52" s="108"/>
      <c r="CY52" s="108"/>
      <c r="CZ52" s="400"/>
      <c r="DA52" s="125"/>
      <c r="DB52" s="108"/>
      <c r="DC52" s="108"/>
    </row>
    <row r="53" spans="1:107">
      <c r="A53" s="430">
        <v>331106</v>
      </c>
      <c r="B53" s="433" t="s">
        <v>273</v>
      </c>
      <c r="C53" s="433" t="s">
        <v>886</v>
      </c>
      <c r="D53" s="430">
        <v>211104</v>
      </c>
      <c r="E53" s="435">
        <v>86475.22</v>
      </c>
      <c r="F53" s="437">
        <v>46049</v>
      </c>
      <c r="G53" s="433" t="s">
        <v>512</v>
      </c>
      <c r="H53" s="433" t="s">
        <v>672</v>
      </c>
      <c r="J53" s="430">
        <v>119105</v>
      </c>
      <c r="K53" s="433" t="s">
        <v>756</v>
      </c>
      <c r="L53" s="433" t="s">
        <v>757</v>
      </c>
      <c r="M53" s="430">
        <v>211104</v>
      </c>
      <c r="N53" s="435">
        <v>2052</v>
      </c>
      <c r="O53" s="437">
        <v>46078</v>
      </c>
      <c r="P53" s="433" t="s">
        <v>512</v>
      </c>
      <c r="Q53" s="433" t="s">
        <v>693</v>
      </c>
      <c r="S53" s="464">
        <v>331302</v>
      </c>
      <c r="T53" s="461" t="s">
        <v>40</v>
      </c>
      <c r="U53" s="461" t="s">
        <v>981</v>
      </c>
      <c r="V53" s="464">
        <v>211104</v>
      </c>
      <c r="W53" s="462">
        <v>97149.01</v>
      </c>
      <c r="X53" s="463">
        <v>46111</v>
      </c>
      <c r="Y53" s="461" t="s">
        <v>512</v>
      </c>
      <c r="Z53" s="461" t="s">
        <v>982</v>
      </c>
      <c r="AB53" s="474">
        <v>128801</v>
      </c>
      <c r="AC53" s="472" t="s">
        <v>492</v>
      </c>
      <c r="AD53" s="472" t="s">
        <v>917</v>
      </c>
      <c r="AE53" s="474">
        <v>211103</v>
      </c>
      <c r="AF53" s="473">
        <v>875.05</v>
      </c>
      <c r="AG53" s="477">
        <v>46134</v>
      </c>
      <c r="AH53" s="472" t="s">
        <v>512</v>
      </c>
      <c r="AI53" s="472" t="s">
        <v>1165</v>
      </c>
      <c r="AK53" s="158"/>
      <c r="AL53" s="154"/>
      <c r="AM53" s="158"/>
      <c r="AN53" s="158"/>
      <c r="AO53" s="157"/>
      <c r="AP53" s="163"/>
      <c r="AQ53" s="158"/>
      <c r="AR53" s="158"/>
      <c r="AT53" s="158"/>
      <c r="AU53" s="154"/>
      <c r="AV53" s="158"/>
      <c r="AW53" s="158"/>
      <c r="AX53" s="157"/>
      <c r="AY53" s="163"/>
      <c r="AZ53" s="158"/>
      <c r="BA53" s="158"/>
      <c r="BC53" s="158"/>
      <c r="BD53" s="154"/>
      <c r="BE53" s="158"/>
      <c r="BF53" s="158"/>
      <c r="BG53" s="157"/>
      <c r="BH53" s="163"/>
      <c r="BI53" s="158"/>
      <c r="BJ53" s="158"/>
      <c r="BL53" s="236"/>
      <c r="BM53" s="233"/>
      <c r="BN53" s="233"/>
      <c r="BO53" s="233"/>
      <c r="BP53" s="234"/>
      <c r="BQ53" s="235"/>
      <c r="BR53" s="233"/>
      <c r="BS53" s="233"/>
      <c r="BU53" s="158"/>
      <c r="BV53" s="154"/>
      <c r="BW53" s="158"/>
      <c r="BX53" s="158"/>
      <c r="BY53" s="157"/>
      <c r="BZ53" s="163"/>
      <c r="CA53" s="158"/>
      <c r="CB53" s="158"/>
      <c r="CD53" s="332"/>
      <c r="CE53" s="327"/>
      <c r="CF53" s="327"/>
      <c r="CG53" s="327"/>
      <c r="CH53" s="328"/>
      <c r="CI53" s="331"/>
      <c r="CJ53" s="327"/>
      <c r="CK53" s="327"/>
      <c r="CM53" s="332"/>
      <c r="CN53" s="327"/>
      <c r="CO53" s="327"/>
      <c r="CP53" s="327"/>
      <c r="CQ53" s="328"/>
      <c r="CR53" s="331"/>
      <c r="CS53" s="327"/>
      <c r="CT53" s="327"/>
      <c r="CV53" s="112"/>
      <c r="CW53" s="110"/>
      <c r="CX53" s="110"/>
      <c r="CY53" s="110"/>
      <c r="CZ53" s="399"/>
      <c r="DA53" s="127"/>
      <c r="DB53" s="110"/>
      <c r="DC53" s="110"/>
    </row>
    <row r="54" spans="1:107">
      <c r="A54" s="431">
        <v>331205</v>
      </c>
      <c r="B54" s="432" t="s">
        <v>276</v>
      </c>
      <c r="C54" s="432" t="s">
        <v>887</v>
      </c>
      <c r="D54" s="431">
        <v>211104</v>
      </c>
      <c r="E54" s="434">
        <v>8895.3799999999992</v>
      </c>
      <c r="F54" s="436">
        <v>46041</v>
      </c>
      <c r="G54" s="432" t="s">
        <v>512</v>
      </c>
      <c r="H54" s="432" t="s">
        <v>860</v>
      </c>
      <c r="J54" s="431">
        <v>331205</v>
      </c>
      <c r="K54" s="432" t="s">
        <v>276</v>
      </c>
      <c r="L54" s="432" t="s">
        <v>748</v>
      </c>
      <c r="M54" s="431">
        <v>211104</v>
      </c>
      <c r="N54" s="434">
        <v>19185.57</v>
      </c>
      <c r="O54" s="436">
        <v>46071</v>
      </c>
      <c r="P54" s="432" t="s">
        <v>512</v>
      </c>
      <c r="Q54" s="432" t="s">
        <v>671</v>
      </c>
      <c r="S54" s="465">
        <v>331301</v>
      </c>
      <c r="T54" s="458" t="s">
        <v>281</v>
      </c>
      <c r="U54" s="458" t="s">
        <v>979</v>
      </c>
      <c r="V54" s="465">
        <v>211104</v>
      </c>
      <c r="W54" s="459">
        <v>454624.44</v>
      </c>
      <c r="X54" s="460">
        <v>46105</v>
      </c>
      <c r="Y54" s="458" t="s">
        <v>512</v>
      </c>
      <c r="Z54" s="458" t="s">
        <v>980</v>
      </c>
      <c r="AB54" s="469">
        <v>128504</v>
      </c>
      <c r="AC54" s="470" t="s">
        <v>271</v>
      </c>
      <c r="AD54" s="470" t="s">
        <v>978</v>
      </c>
      <c r="AE54" s="469">
        <v>211104</v>
      </c>
      <c r="AF54" s="471">
        <v>12978.95</v>
      </c>
      <c r="AG54" s="476">
        <v>46132</v>
      </c>
      <c r="AH54" s="470" t="s">
        <v>512</v>
      </c>
      <c r="AI54" s="470" t="s">
        <v>1136</v>
      </c>
      <c r="AK54" s="155"/>
      <c r="AL54" s="153"/>
      <c r="AM54" s="155"/>
      <c r="AN54" s="155"/>
      <c r="AO54" s="156"/>
      <c r="AP54" s="162"/>
      <c r="AQ54" s="155"/>
      <c r="AR54" s="155"/>
      <c r="AT54" s="155"/>
      <c r="AU54" s="153"/>
      <c r="AV54" s="155"/>
      <c r="AW54" s="155"/>
      <c r="AX54" s="156"/>
      <c r="AY54" s="162"/>
      <c r="AZ54" s="155"/>
      <c r="BA54" s="155"/>
      <c r="BC54" s="155"/>
      <c r="BD54" s="153"/>
      <c r="BE54" s="155"/>
      <c r="BF54" s="155"/>
      <c r="BG54" s="156"/>
      <c r="BH54" s="162"/>
      <c r="BI54" s="155"/>
      <c r="BJ54" s="155"/>
      <c r="BL54" s="237"/>
      <c r="BM54" s="230"/>
      <c r="BN54" s="230"/>
      <c r="BO54" s="230"/>
      <c r="BP54" s="231"/>
      <c r="BQ54" s="232"/>
      <c r="BR54" s="230"/>
      <c r="BS54" s="230"/>
      <c r="BU54" s="155"/>
      <c r="BV54" s="153"/>
      <c r="BW54" s="155"/>
      <c r="BX54" s="155"/>
      <c r="BY54" s="156"/>
      <c r="BZ54" s="162"/>
      <c r="CA54" s="155"/>
      <c r="CB54" s="155"/>
      <c r="CD54" s="329"/>
      <c r="CE54" s="325"/>
      <c r="CF54" s="325"/>
      <c r="CG54" s="325"/>
      <c r="CH54" s="326"/>
      <c r="CI54" s="330"/>
      <c r="CJ54" s="325"/>
      <c r="CK54" s="325"/>
      <c r="CM54" s="329"/>
      <c r="CN54" s="325"/>
      <c r="CO54" s="325"/>
      <c r="CP54" s="325"/>
      <c r="CQ54" s="326"/>
      <c r="CR54" s="330"/>
      <c r="CS54" s="325"/>
      <c r="CT54" s="325"/>
      <c r="CW54" s="108"/>
      <c r="CX54" s="108"/>
      <c r="CY54" s="108"/>
      <c r="CZ54" s="400"/>
      <c r="DA54" s="125"/>
      <c r="DB54" s="108"/>
      <c r="DC54" s="108"/>
    </row>
    <row r="55" spans="1:107">
      <c r="A55" s="430">
        <v>331202</v>
      </c>
      <c r="B55" s="433" t="s">
        <v>275</v>
      </c>
      <c r="C55" s="433" t="s">
        <v>888</v>
      </c>
      <c r="D55" s="430">
        <v>211104</v>
      </c>
      <c r="E55" s="435">
        <v>22048.94</v>
      </c>
      <c r="F55" s="437">
        <v>46048</v>
      </c>
      <c r="G55" s="433" t="s">
        <v>512</v>
      </c>
      <c r="H55" s="433" t="s">
        <v>704</v>
      </c>
      <c r="J55" s="430">
        <v>331202</v>
      </c>
      <c r="K55" s="433" t="s">
        <v>275</v>
      </c>
      <c r="L55" s="433" t="s">
        <v>744</v>
      </c>
      <c r="M55" s="430">
        <v>211104</v>
      </c>
      <c r="N55" s="435">
        <v>25062.01</v>
      </c>
      <c r="O55" s="437">
        <v>46078</v>
      </c>
      <c r="P55" s="433" t="s">
        <v>512</v>
      </c>
      <c r="Q55" s="433" t="s">
        <v>693</v>
      </c>
      <c r="S55" s="464">
        <v>331305</v>
      </c>
      <c r="T55" s="461" t="s">
        <v>282</v>
      </c>
      <c r="U55" s="461" t="s">
        <v>985</v>
      </c>
      <c r="V55" s="464">
        <v>211104</v>
      </c>
      <c r="W55" s="462">
        <v>32866.800000000003</v>
      </c>
      <c r="X55" s="463">
        <v>46104</v>
      </c>
      <c r="Y55" s="461" t="s">
        <v>512</v>
      </c>
      <c r="Z55" s="461" t="s">
        <v>986</v>
      </c>
      <c r="AB55" s="474">
        <v>119102</v>
      </c>
      <c r="AC55" s="472" t="s">
        <v>438</v>
      </c>
      <c r="AD55" s="472" t="s">
        <v>1166</v>
      </c>
      <c r="AE55" s="474">
        <v>215101</v>
      </c>
      <c r="AF55" s="473">
        <v>18756.349999999999</v>
      </c>
      <c r="AG55" s="477">
        <v>46140</v>
      </c>
      <c r="AH55" s="472" t="s">
        <v>512</v>
      </c>
      <c r="AI55" s="472" t="s">
        <v>1164</v>
      </c>
      <c r="AK55" s="158"/>
      <c r="AL55" s="154"/>
      <c r="AM55" s="158"/>
      <c r="AN55" s="158"/>
      <c r="AO55" s="157"/>
      <c r="AP55" s="163"/>
      <c r="AQ55" s="158"/>
      <c r="AR55" s="158"/>
      <c r="AT55" s="158"/>
      <c r="AU55" s="154"/>
      <c r="AV55" s="158"/>
      <c r="AW55" s="158"/>
      <c r="AX55" s="157"/>
      <c r="AY55" s="163"/>
      <c r="AZ55" s="158"/>
      <c r="BA55" s="158"/>
      <c r="BC55" s="158"/>
      <c r="BD55" s="154"/>
      <c r="BE55" s="158"/>
      <c r="BF55" s="158"/>
      <c r="BG55" s="157"/>
      <c r="BH55" s="163"/>
      <c r="BI55" s="158"/>
      <c r="BJ55" s="158"/>
      <c r="BL55" s="236"/>
      <c r="BM55" s="233"/>
      <c r="BN55" s="233"/>
      <c r="BO55" s="233"/>
      <c r="BP55" s="234"/>
      <c r="BQ55" s="235"/>
      <c r="BR55" s="233"/>
      <c r="BS55" s="233"/>
      <c r="BU55" s="158"/>
      <c r="BV55" s="154"/>
      <c r="BW55" s="158"/>
      <c r="BX55" s="158"/>
      <c r="BY55" s="157"/>
      <c r="BZ55" s="163"/>
      <c r="CA55" s="158"/>
      <c r="CB55" s="158"/>
      <c r="CD55" s="332"/>
      <c r="CE55" s="327"/>
      <c r="CF55" s="327"/>
      <c r="CG55" s="327"/>
      <c r="CH55" s="328"/>
      <c r="CI55" s="331"/>
      <c r="CJ55" s="327"/>
      <c r="CK55" s="327"/>
      <c r="CM55" s="332"/>
      <c r="CN55" s="327"/>
      <c r="CO55" s="327"/>
      <c r="CP55" s="327"/>
      <c r="CQ55" s="328"/>
      <c r="CR55" s="331"/>
      <c r="CS55" s="327"/>
      <c r="CT55" s="327"/>
      <c r="CV55" s="112"/>
      <c r="CW55" s="110"/>
      <c r="CX55" s="110"/>
      <c r="CY55" s="110"/>
      <c r="CZ55" s="399"/>
      <c r="DA55" s="127"/>
      <c r="DB55" s="110"/>
      <c r="DC55" s="110"/>
    </row>
    <row r="56" spans="1:107">
      <c r="A56" s="431">
        <v>331199</v>
      </c>
      <c r="B56" s="432" t="s">
        <v>439</v>
      </c>
      <c r="C56" s="432" t="s">
        <v>889</v>
      </c>
      <c r="D56" s="431">
        <v>215101</v>
      </c>
      <c r="E56" s="434">
        <v>9787.16</v>
      </c>
      <c r="F56" s="436">
        <v>46034</v>
      </c>
      <c r="G56" s="432" t="s">
        <v>512</v>
      </c>
      <c r="H56" s="432" t="s">
        <v>890</v>
      </c>
      <c r="J56" s="431">
        <v>331106</v>
      </c>
      <c r="K56" s="432" t="s">
        <v>273</v>
      </c>
      <c r="L56" s="432" t="s">
        <v>747</v>
      </c>
      <c r="M56" s="431">
        <v>211104</v>
      </c>
      <c r="N56" s="434">
        <v>108074.64</v>
      </c>
      <c r="O56" s="436">
        <v>46078</v>
      </c>
      <c r="P56" s="432" t="s">
        <v>512</v>
      </c>
      <c r="Q56" s="432" t="s">
        <v>693</v>
      </c>
      <c r="S56" s="465">
        <v>331304</v>
      </c>
      <c r="T56" s="458" t="s">
        <v>7</v>
      </c>
      <c r="U56" s="458" t="s">
        <v>983</v>
      </c>
      <c r="V56" s="465">
        <v>211104</v>
      </c>
      <c r="W56" s="459">
        <v>6111.45</v>
      </c>
      <c r="X56" s="460">
        <v>46097</v>
      </c>
      <c r="Y56" s="458" t="s">
        <v>512</v>
      </c>
      <c r="Z56" s="458" t="s">
        <v>984</v>
      </c>
      <c r="AB56" s="469">
        <v>116193</v>
      </c>
      <c r="AC56" s="470" t="s">
        <v>264</v>
      </c>
      <c r="AD56" s="470" t="s">
        <v>1167</v>
      </c>
      <c r="AE56" s="469">
        <v>211104</v>
      </c>
      <c r="AF56" s="471">
        <v>23810</v>
      </c>
      <c r="AG56" s="476">
        <v>46141</v>
      </c>
      <c r="AH56" s="470" t="s">
        <v>512</v>
      </c>
      <c r="AI56" s="470" t="s">
        <v>1168</v>
      </c>
      <c r="AK56" s="155"/>
      <c r="AL56" s="153"/>
      <c r="AM56" s="155"/>
      <c r="AN56" s="155"/>
      <c r="AO56" s="156"/>
      <c r="AP56" s="162"/>
      <c r="AQ56" s="155"/>
      <c r="AR56" s="155"/>
      <c r="AT56" s="155"/>
      <c r="AU56" s="153"/>
      <c r="AV56" s="155"/>
      <c r="AW56" s="155"/>
      <c r="AX56" s="156"/>
      <c r="AY56" s="162"/>
      <c r="AZ56" s="155"/>
      <c r="BA56" s="155"/>
      <c r="BC56" s="155"/>
      <c r="BD56" s="153"/>
      <c r="BE56" s="155"/>
      <c r="BF56" s="155"/>
      <c r="BG56" s="156"/>
      <c r="BH56" s="162"/>
      <c r="BI56" s="155"/>
      <c r="BJ56" s="155"/>
      <c r="BL56" s="237"/>
      <c r="BM56" s="230"/>
      <c r="BN56" s="230"/>
      <c r="BO56" s="230"/>
      <c r="BP56" s="231"/>
      <c r="BQ56" s="232"/>
      <c r="BR56" s="230"/>
      <c r="BS56" s="230"/>
      <c r="BU56" s="155"/>
      <c r="BV56" s="153"/>
      <c r="BW56" s="155"/>
      <c r="BX56" s="155"/>
      <c r="BY56" s="156"/>
      <c r="BZ56" s="162"/>
      <c r="CA56" s="155"/>
      <c r="CB56" s="155"/>
      <c r="CD56" s="329"/>
      <c r="CE56" s="325"/>
      <c r="CF56" s="325"/>
      <c r="CG56" s="325"/>
      <c r="CH56" s="326"/>
      <c r="CI56" s="330"/>
      <c r="CJ56" s="325"/>
      <c r="CK56" s="325"/>
      <c r="CM56" s="329"/>
      <c r="CN56" s="325"/>
      <c r="CO56" s="325"/>
      <c r="CP56" s="325"/>
      <c r="CQ56" s="326"/>
      <c r="CR56" s="330"/>
      <c r="CS56" s="325"/>
      <c r="CT56" s="325"/>
      <c r="CW56" s="108"/>
      <c r="CX56" s="108"/>
      <c r="CY56" s="108"/>
      <c r="CZ56" s="400"/>
      <c r="DA56" s="125"/>
      <c r="DB56" s="108"/>
      <c r="DC56" s="108"/>
    </row>
    <row r="57" spans="1:107">
      <c r="A57" s="430">
        <v>119103</v>
      </c>
      <c r="B57" s="433" t="s">
        <v>130</v>
      </c>
      <c r="C57" s="433" t="s">
        <v>743</v>
      </c>
      <c r="D57" s="430">
        <v>211104</v>
      </c>
      <c r="E57" s="435">
        <v>107758.53</v>
      </c>
      <c r="F57" s="437">
        <v>46052</v>
      </c>
      <c r="G57" s="433" t="s">
        <v>512</v>
      </c>
      <c r="H57" s="433" t="s">
        <v>691</v>
      </c>
      <c r="J57" s="430">
        <v>215323</v>
      </c>
      <c r="K57" s="433" t="s">
        <v>272</v>
      </c>
      <c r="L57" s="433" t="s">
        <v>764</v>
      </c>
      <c r="M57" s="430">
        <v>211104</v>
      </c>
      <c r="N57" s="435">
        <v>63385.85</v>
      </c>
      <c r="O57" s="437">
        <v>46078</v>
      </c>
      <c r="P57" s="433" t="s">
        <v>512</v>
      </c>
      <c r="Q57" s="433" t="s">
        <v>765</v>
      </c>
      <c r="S57" s="464">
        <v>331303</v>
      </c>
      <c r="T57" s="461" t="s">
        <v>6</v>
      </c>
      <c r="U57" s="461" t="s">
        <v>1081</v>
      </c>
      <c r="V57" s="464">
        <v>211104</v>
      </c>
      <c r="W57" s="462">
        <v>336.96</v>
      </c>
      <c r="X57" s="463">
        <v>46097</v>
      </c>
      <c r="Y57" s="461" t="s">
        <v>512</v>
      </c>
      <c r="Z57" s="461" t="s">
        <v>984</v>
      </c>
      <c r="AB57" s="474">
        <v>116106</v>
      </c>
      <c r="AC57" s="472" t="s">
        <v>437</v>
      </c>
      <c r="AD57" s="472" t="s">
        <v>1169</v>
      </c>
      <c r="AE57" s="474">
        <v>211104</v>
      </c>
      <c r="AF57" s="473">
        <v>301218.78999999998</v>
      </c>
      <c r="AG57" s="477">
        <v>46135</v>
      </c>
      <c r="AH57" s="472" t="s">
        <v>512</v>
      </c>
      <c r="AI57" s="472" t="s">
        <v>1170</v>
      </c>
      <c r="AK57" s="158"/>
      <c r="AL57" s="154"/>
      <c r="AM57" s="158"/>
      <c r="AN57" s="158"/>
      <c r="AO57" s="157"/>
      <c r="AP57" s="163"/>
      <c r="AQ57" s="158"/>
      <c r="AR57" s="158"/>
      <c r="AT57" s="158"/>
      <c r="AU57" s="154"/>
      <c r="AV57" s="158"/>
      <c r="AW57" s="158"/>
      <c r="AX57" s="157"/>
      <c r="AY57" s="163"/>
      <c r="AZ57" s="158"/>
      <c r="BA57" s="158"/>
      <c r="BC57" s="158"/>
      <c r="BD57" s="154"/>
      <c r="BE57" s="158"/>
      <c r="BF57" s="158"/>
      <c r="BG57" s="157"/>
      <c r="BH57" s="163"/>
      <c r="BI57" s="158"/>
      <c r="BJ57" s="158"/>
      <c r="BL57" s="236"/>
      <c r="BM57" s="233"/>
      <c r="BN57" s="233"/>
      <c r="BO57" s="233"/>
      <c r="BP57" s="234"/>
      <c r="BQ57" s="235"/>
      <c r="BR57" s="233"/>
      <c r="BS57" s="233"/>
      <c r="BU57" s="158"/>
      <c r="BV57" s="154"/>
      <c r="BW57" s="158"/>
      <c r="BX57" s="158"/>
      <c r="BY57" s="157"/>
      <c r="BZ57" s="163"/>
      <c r="CA57" s="158"/>
      <c r="CB57" s="158"/>
      <c r="CD57" s="332"/>
      <c r="CE57" s="327"/>
      <c r="CF57" s="327"/>
      <c r="CG57" s="327"/>
      <c r="CH57" s="328"/>
      <c r="CI57" s="331"/>
      <c r="CJ57" s="327"/>
      <c r="CK57" s="327"/>
      <c r="CM57" s="332"/>
      <c r="CN57" s="327"/>
      <c r="CO57" s="327"/>
      <c r="CP57" s="327"/>
      <c r="CQ57" s="328"/>
      <c r="CR57" s="331"/>
      <c r="CS57" s="327"/>
      <c r="CT57" s="327"/>
      <c r="CV57" s="112"/>
      <c r="CW57" s="110"/>
      <c r="CX57" s="110"/>
      <c r="CY57" s="110"/>
      <c r="CZ57" s="399"/>
      <c r="DA57" s="127"/>
      <c r="DB57" s="110"/>
      <c r="DC57" s="110"/>
    </row>
    <row r="58" spans="1:107">
      <c r="A58" s="431">
        <v>116193</v>
      </c>
      <c r="B58" s="432" t="s">
        <v>264</v>
      </c>
      <c r="C58" s="432" t="s">
        <v>758</v>
      </c>
      <c r="D58" s="431">
        <v>211104</v>
      </c>
      <c r="E58" s="434">
        <v>4280</v>
      </c>
      <c r="F58" s="436">
        <v>46027</v>
      </c>
      <c r="G58" s="432" t="s">
        <v>512</v>
      </c>
      <c r="H58" s="432" t="s">
        <v>678</v>
      </c>
      <c r="J58" s="431">
        <v>116301</v>
      </c>
      <c r="K58" s="432" t="s">
        <v>265</v>
      </c>
      <c r="L58" s="432" t="s">
        <v>751</v>
      </c>
      <c r="M58" s="431">
        <v>211104</v>
      </c>
      <c r="N58" s="434">
        <v>40307.449999999997</v>
      </c>
      <c r="O58" s="436">
        <v>46072</v>
      </c>
      <c r="P58" s="432" t="s">
        <v>512</v>
      </c>
      <c r="Q58" s="432" t="s">
        <v>752</v>
      </c>
      <c r="S58" s="465">
        <v>331106</v>
      </c>
      <c r="T58" s="458" t="s">
        <v>273</v>
      </c>
      <c r="U58" s="458" t="s">
        <v>989</v>
      </c>
      <c r="V58" s="465">
        <v>211104</v>
      </c>
      <c r="W58" s="459">
        <v>108041.17</v>
      </c>
      <c r="X58" s="460">
        <v>46108</v>
      </c>
      <c r="Y58" s="458" t="s">
        <v>512</v>
      </c>
      <c r="Z58" s="458" t="s">
        <v>990</v>
      </c>
      <c r="AB58" s="469">
        <v>113101</v>
      </c>
      <c r="AC58" s="470" t="s">
        <v>262</v>
      </c>
      <c r="AD58" s="470" t="s">
        <v>1171</v>
      </c>
      <c r="AE58" s="469">
        <v>211104</v>
      </c>
      <c r="AF58" s="471">
        <v>1822.73</v>
      </c>
      <c r="AG58" s="476">
        <v>46141</v>
      </c>
      <c r="AH58" s="470" t="s">
        <v>512</v>
      </c>
      <c r="AI58" s="470" t="s">
        <v>1172</v>
      </c>
      <c r="AK58" s="155"/>
      <c r="AL58" s="153"/>
      <c r="AM58" s="155"/>
      <c r="AN58" s="155"/>
      <c r="AO58" s="156"/>
      <c r="AP58" s="162"/>
      <c r="AQ58" s="155"/>
      <c r="AR58" s="155"/>
      <c r="AT58" s="155"/>
      <c r="AU58" s="153"/>
      <c r="AV58" s="155"/>
      <c r="AW58" s="155"/>
      <c r="AX58" s="156"/>
      <c r="AY58" s="162"/>
      <c r="AZ58" s="155"/>
      <c r="BA58" s="155"/>
      <c r="BC58" s="155"/>
      <c r="BD58" s="153"/>
      <c r="BE58" s="155"/>
      <c r="BF58" s="155"/>
      <c r="BG58" s="156"/>
      <c r="BH58" s="162"/>
      <c r="BI58" s="155"/>
      <c r="BJ58" s="155"/>
      <c r="BL58" s="237"/>
      <c r="BM58" s="230"/>
      <c r="BN58" s="230"/>
      <c r="BO58" s="230"/>
      <c r="BP58" s="231"/>
      <c r="BQ58" s="232"/>
      <c r="BR58" s="230"/>
      <c r="BS58" s="230"/>
      <c r="BU58" s="155"/>
      <c r="BV58" s="153"/>
      <c r="BW58" s="155"/>
      <c r="BX58" s="155"/>
      <c r="BY58" s="156"/>
      <c r="BZ58" s="162"/>
      <c r="CA58" s="155"/>
      <c r="CB58" s="155"/>
      <c r="CD58" s="329"/>
      <c r="CE58" s="325"/>
      <c r="CF58" s="325"/>
      <c r="CG58" s="325"/>
      <c r="CH58" s="326"/>
      <c r="CI58" s="330"/>
      <c r="CJ58" s="325"/>
      <c r="CK58" s="325"/>
      <c r="CM58" s="329"/>
      <c r="CN58" s="325"/>
      <c r="CO58" s="325"/>
      <c r="CP58" s="325"/>
      <c r="CQ58" s="326"/>
      <c r="CR58" s="330"/>
      <c r="CS58" s="325"/>
      <c r="CT58" s="325"/>
      <c r="CW58" s="108"/>
      <c r="CX58" s="108"/>
      <c r="CY58" s="108"/>
      <c r="CZ58" s="400"/>
      <c r="DA58" s="125"/>
      <c r="DB58" s="108"/>
      <c r="DC58" s="108"/>
    </row>
    <row r="59" spans="1:107">
      <c r="A59" s="430">
        <v>116106</v>
      </c>
      <c r="B59" s="433" t="s">
        <v>437</v>
      </c>
      <c r="C59" s="433" t="s">
        <v>891</v>
      </c>
      <c r="D59" s="430">
        <v>211104</v>
      </c>
      <c r="E59" s="435">
        <v>334677.89</v>
      </c>
      <c r="F59" s="437">
        <v>46030</v>
      </c>
      <c r="G59" s="433" t="s">
        <v>512</v>
      </c>
      <c r="H59" s="433" t="s">
        <v>766</v>
      </c>
      <c r="J59" s="430">
        <v>116193</v>
      </c>
      <c r="K59" s="433" t="s">
        <v>264</v>
      </c>
      <c r="L59" s="433" t="s">
        <v>769</v>
      </c>
      <c r="M59" s="430">
        <v>211104</v>
      </c>
      <c r="N59" s="435">
        <v>15970</v>
      </c>
      <c r="O59" s="437">
        <v>46071</v>
      </c>
      <c r="P59" s="433" t="s">
        <v>512</v>
      </c>
      <c r="Q59" s="433" t="s">
        <v>671</v>
      </c>
      <c r="S59" s="464">
        <v>331205</v>
      </c>
      <c r="T59" s="461" t="s">
        <v>276</v>
      </c>
      <c r="U59" s="461" t="s">
        <v>992</v>
      </c>
      <c r="V59" s="464">
        <v>211104</v>
      </c>
      <c r="W59" s="462">
        <v>11471.3</v>
      </c>
      <c r="X59" s="463">
        <v>46098</v>
      </c>
      <c r="Y59" s="461" t="s">
        <v>512</v>
      </c>
      <c r="Z59" s="461" t="s">
        <v>944</v>
      </c>
      <c r="AB59" s="474">
        <v>116301</v>
      </c>
      <c r="AC59" s="472" t="s">
        <v>265</v>
      </c>
      <c r="AD59" s="472" t="s">
        <v>1173</v>
      </c>
      <c r="AE59" s="474">
        <v>211104</v>
      </c>
      <c r="AF59" s="473">
        <v>29496.59</v>
      </c>
      <c r="AG59" s="477">
        <v>46125</v>
      </c>
      <c r="AH59" s="472" t="s">
        <v>512</v>
      </c>
      <c r="AI59" s="472" t="s">
        <v>1127</v>
      </c>
      <c r="AK59" s="158"/>
      <c r="AL59" s="154"/>
      <c r="AM59" s="158"/>
      <c r="AN59" s="158"/>
      <c r="AO59" s="157"/>
      <c r="AP59" s="163"/>
      <c r="AQ59" s="158"/>
      <c r="AR59" s="158"/>
      <c r="AT59" s="158"/>
      <c r="AU59" s="154"/>
      <c r="AV59" s="158"/>
      <c r="AW59" s="158"/>
      <c r="AX59" s="157"/>
      <c r="AY59" s="163"/>
      <c r="AZ59" s="158"/>
      <c r="BA59" s="158"/>
      <c r="BC59" s="158"/>
      <c r="BD59" s="154"/>
      <c r="BE59" s="158"/>
      <c r="BF59" s="158"/>
      <c r="BG59" s="157"/>
      <c r="BH59" s="163"/>
      <c r="BI59" s="158"/>
      <c r="BJ59" s="158"/>
      <c r="BL59" s="236"/>
      <c r="BM59" s="233"/>
      <c r="BN59" s="233"/>
      <c r="BO59" s="233"/>
      <c r="BP59" s="234"/>
      <c r="BQ59" s="235"/>
      <c r="BR59" s="233"/>
      <c r="BS59" s="233"/>
      <c r="BU59" s="158"/>
      <c r="BV59" s="154"/>
      <c r="BW59" s="158"/>
      <c r="BX59" s="158"/>
      <c r="BY59" s="157"/>
      <c r="BZ59" s="163"/>
      <c r="CA59" s="158"/>
      <c r="CB59" s="158"/>
      <c r="CD59" s="332"/>
      <c r="CE59" s="327"/>
      <c r="CF59" s="327"/>
      <c r="CG59" s="327"/>
      <c r="CH59" s="328"/>
      <c r="CI59" s="331"/>
      <c r="CJ59" s="327"/>
      <c r="CK59" s="327"/>
      <c r="CM59" s="332"/>
      <c r="CN59" s="327"/>
      <c r="CO59" s="327"/>
      <c r="CP59" s="327"/>
      <c r="CQ59" s="328"/>
      <c r="CR59" s="331"/>
      <c r="CS59" s="327"/>
      <c r="CT59" s="327"/>
      <c r="CV59" s="112"/>
      <c r="CW59" s="110"/>
      <c r="CX59" s="110"/>
      <c r="CY59" s="110"/>
      <c r="CZ59" s="399"/>
      <c r="DA59" s="127"/>
      <c r="DB59" s="110"/>
      <c r="DC59" s="110"/>
    </row>
    <row r="60" spans="1:107">
      <c r="A60" s="431">
        <v>113101</v>
      </c>
      <c r="B60" s="432" t="s">
        <v>262</v>
      </c>
      <c r="C60" s="432" t="s">
        <v>892</v>
      </c>
      <c r="D60" s="431">
        <v>211104</v>
      </c>
      <c r="E60" s="434">
        <v>326.01</v>
      </c>
      <c r="F60" s="436">
        <v>46048</v>
      </c>
      <c r="G60" s="432" t="s">
        <v>512</v>
      </c>
      <c r="H60" s="432" t="s">
        <v>704</v>
      </c>
      <c r="J60" s="431">
        <v>116106</v>
      </c>
      <c r="K60" s="432" t="s">
        <v>437</v>
      </c>
      <c r="L60" s="432" t="s">
        <v>774</v>
      </c>
      <c r="M60" s="431">
        <v>211104</v>
      </c>
      <c r="N60" s="434">
        <v>221990.41</v>
      </c>
      <c r="O60" s="436">
        <v>46072</v>
      </c>
      <c r="P60" s="432" t="s">
        <v>512</v>
      </c>
      <c r="Q60" s="432" t="s">
        <v>752</v>
      </c>
      <c r="S60" s="465">
        <v>331202</v>
      </c>
      <c r="T60" s="458" t="s">
        <v>275</v>
      </c>
      <c r="U60" s="458" t="s">
        <v>991</v>
      </c>
      <c r="V60" s="465">
        <v>211104</v>
      </c>
      <c r="W60" s="459">
        <v>24787.040000000001</v>
      </c>
      <c r="X60" s="460">
        <v>46091</v>
      </c>
      <c r="Y60" s="458" t="s">
        <v>512</v>
      </c>
      <c r="Z60" s="458" t="s">
        <v>958</v>
      </c>
      <c r="AB60" s="469">
        <v>116701</v>
      </c>
      <c r="AC60" s="470" t="s">
        <v>267</v>
      </c>
      <c r="AD60" s="470" t="s">
        <v>1174</v>
      </c>
      <c r="AE60" s="469">
        <v>211104</v>
      </c>
      <c r="AF60" s="471">
        <v>81463.58</v>
      </c>
      <c r="AG60" s="476">
        <v>46122</v>
      </c>
      <c r="AH60" s="470" t="s">
        <v>512</v>
      </c>
      <c r="AI60" s="470" t="s">
        <v>1129</v>
      </c>
      <c r="AK60" s="155"/>
      <c r="AL60" s="153"/>
      <c r="AM60" s="155"/>
      <c r="AN60" s="155"/>
      <c r="AO60" s="156"/>
      <c r="AP60" s="162"/>
      <c r="AQ60" s="155"/>
      <c r="AR60" s="155"/>
      <c r="AT60" s="155"/>
      <c r="AU60" s="153"/>
      <c r="AV60" s="155"/>
      <c r="AW60" s="155"/>
      <c r="AX60" s="156"/>
      <c r="AY60" s="162"/>
      <c r="AZ60" s="155"/>
      <c r="BA60" s="155"/>
      <c r="BC60" s="155"/>
      <c r="BD60" s="153"/>
      <c r="BE60" s="155"/>
      <c r="BF60" s="155"/>
      <c r="BG60" s="156"/>
      <c r="BH60" s="162"/>
      <c r="BI60" s="155"/>
      <c r="BJ60" s="155"/>
      <c r="BL60" s="237"/>
      <c r="BM60" s="230"/>
      <c r="BN60" s="230"/>
      <c r="BO60" s="230"/>
      <c r="BP60" s="231"/>
      <c r="BQ60" s="232"/>
      <c r="BR60" s="230"/>
      <c r="BS60" s="230"/>
      <c r="BU60" s="155"/>
      <c r="BV60" s="153"/>
      <c r="BW60" s="155"/>
      <c r="BX60" s="155"/>
      <c r="BY60" s="156"/>
      <c r="BZ60" s="162"/>
      <c r="CA60" s="155"/>
      <c r="CB60" s="155"/>
      <c r="CD60" s="329"/>
      <c r="CE60" s="325"/>
      <c r="CF60" s="325"/>
      <c r="CG60" s="325"/>
      <c r="CH60" s="326"/>
      <c r="CI60" s="330"/>
      <c r="CJ60" s="325"/>
      <c r="CK60" s="325"/>
      <c r="CM60" s="329"/>
      <c r="CN60" s="325"/>
      <c r="CO60" s="325"/>
      <c r="CP60" s="325"/>
      <c r="CQ60" s="326"/>
      <c r="CR60" s="330"/>
      <c r="CS60" s="325"/>
      <c r="CT60" s="325"/>
      <c r="CW60" s="108"/>
      <c r="CX60" s="108"/>
      <c r="CY60" s="108"/>
      <c r="CZ60" s="400"/>
      <c r="DA60" s="125"/>
      <c r="DB60" s="108"/>
      <c r="DC60" s="108"/>
    </row>
    <row r="61" spans="1:107">
      <c r="A61" s="430">
        <v>116301</v>
      </c>
      <c r="B61" s="433" t="s">
        <v>265</v>
      </c>
      <c r="C61" s="433" t="s">
        <v>893</v>
      </c>
      <c r="D61" s="430">
        <v>211104</v>
      </c>
      <c r="E61" s="435">
        <v>83360.740000000005</v>
      </c>
      <c r="F61" s="437">
        <v>46029</v>
      </c>
      <c r="G61" s="433" t="s">
        <v>512</v>
      </c>
      <c r="H61" s="433" t="s">
        <v>884</v>
      </c>
      <c r="J61" s="430">
        <v>113101</v>
      </c>
      <c r="K61" s="433" t="s">
        <v>262</v>
      </c>
      <c r="L61" s="433" t="s">
        <v>777</v>
      </c>
      <c r="M61" s="430">
        <v>211104</v>
      </c>
      <c r="N61" s="435">
        <v>11.75</v>
      </c>
      <c r="O61" s="437">
        <v>46064</v>
      </c>
      <c r="P61" s="433" t="s">
        <v>512</v>
      </c>
      <c r="Q61" s="433" t="s">
        <v>778</v>
      </c>
      <c r="S61" s="464">
        <v>331253</v>
      </c>
      <c r="T61" s="461" t="s">
        <v>280</v>
      </c>
      <c r="U61" s="461" t="s">
        <v>987</v>
      </c>
      <c r="V61" s="464">
        <v>211103</v>
      </c>
      <c r="W61" s="462">
        <v>4680.9399999999996</v>
      </c>
      <c r="X61" s="463">
        <v>46084</v>
      </c>
      <c r="Y61" s="461" t="s">
        <v>512</v>
      </c>
      <c r="Z61" s="461" t="s">
        <v>988</v>
      </c>
      <c r="AB61" s="474">
        <v>116401</v>
      </c>
      <c r="AC61" s="472" t="s">
        <v>266</v>
      </c>
      <c r="AD61" s="472" t="s">
        <v>1175</v>
      </c>
      <c r="AE61" s="474">
        <v>211103</v>
      </c>
      <c r="AF61" s="473">
        <v>151331.75</v>
      </c>
      <c r="AG61" s="477">
        <v>46129</v>
      </c>
      <c r="AH61" s="472" t="s">
        <v>512</v>
      </c>
      <c r="AI61" s="472" t="s">
        <v>1176</v>
      </c>
      <c r="AK61" s="158"/>
      <c r="AL61" s="154"/>
      <c r="AM61" s="158"/>
      <c r="AN61" s="158"/>
      <c r="AO61" s="157"/>
      <c r="AP61" s="163"/>
      <c r="AQ61" s="158"/>
      <c r="AR61" s="158"/>
      <c r="AT61" s="158"/>
      <c r="AU61" s="154"/>
      <c r="AV61" s="158"/>
      <c r="AW61" s="158"/>
      <c r="AX61" s="157"/>
      <c r="AY61" s="163"/>
      <c r="AZ61" s="158"/>
      <c r="BA61" s="158"/>
      <c r="BC61" s="158"/>
      <c r="BD61" s="154"/>
      <c r="BE61" s="158"/>
      <c r="BF61" s="158"/>
      <c r="BG61" s="157"/>
      <c r="BH61" s="163"/>
      <c r="BI61" s="158"/>
      <c r="BJ61" s="158"/>
      <c r="BL61" s="236"/>
      <c r="BM61" s="233"/>
      <c r="BN61" s="233"/>
      <c r="BO61" s="233"/>
      <c r="BP61" s="234"/>
      <c r="BQ61" s="235"/>
      <c r="BR61" s="233"/>
      <c r="BS61" s="233"/>
      <c r="BU61" s="158"/>
      <c r="BV61" s="154"/>
      <c r="BW61" s="158"/>
      <c r="BX61" s="158"/>
      <c r="BY61" s="157"/>
      <c r="BZ61" s="163"/>
      <c r="CA61" s="158"/>
      <c r="CB61" s="158"/>
      <c r="CD61" s="332"/>
      <c r="CE61" s="327"/>
      <c r="CF61" s="327"/>
      <c r="CG61" s="327"/>
      <c r="CH61" s="328"/>
      <c r="CI61" s="331"/>
      <c r="CJ61" s="327"/>
      <c r="CK61" s="327"/>
      <c r="CM61" s="332"/>
      <c r="CN61" s="327"/>
      <c r="CO61" s="327"/>
      <c r="CP61" s="327"/>
      <c r="CQ61" s="328"/>
      <c r="CR61" s="331"/>
      <c r="CS61" s="327"/>
      <c r="CT61" s="327"/>
      <c r="CV61" s="112"/>
      <c r="CW61" s="110"/>
      <c r="CX61" s="110"/>
      <c r="CY61" s="110"/>
      <c r="CZ61" s="399"/>
      <c r="DA61" s="127"/>
      <c r="DB61" s="110"/>
      <c r="DC61" s="110"/>
    </row>
    <row r="62" spans="1:107">
      <c r="A62" s="431">
        <v>119102</v>
      </c>
      <c r="B62" s="432" t="s">
        <v>438</v>
      </c>
      <c r="C62" s="432" t="s">
        <v>566</v>
      </c>
      <c r="D62" s="431">
        <v>215101</v>
      </c>
      <c r="E62" s="434">
        <v>1941.36</v>
      </c>
      <c r="F62" s="436">
        <v>46027</v>
      </c>
      <c r="G62" s="432" t="s">
        <v>512</v>
      </c>
      <c r="H62" s="432" t="s">
        <v>678</v>
      </c>
      <c r="J62" s="431">
        <v>119103</v>
      </c>
      <c r="K62" s="432" t="s">
        <v>130</v>
      </c>
      <c r="L62" s="432" t="s">
        <v>759</v>
      </c>
      <c r="M62" s="431">
        <v>211104</v>
      </c>
      <c r="N62" s="434">
        <v>105449.51</v>
      </c>
      <c r="O62" s="436">
        <v>46078</v>
      </c>
      <c r="P62" s="432" t="s">
        <v>512</v>
      </c>
      <c r="Q62" s="432" t="s">
        <v>693</v>
      </c>
      <c r="S62" s="465">
        <v>331252</v>
      </c>
      <c r="T62" s="458" t="s">
        <v>279</v>
      </c>
      <c r="U62" s="458" t="s">
        <v>995</v>
      </c>
      <c r="V62" s="465">
        <v>211104</v>
      </c>
      <c r="W62" s="459">
        <v>3575.44</v>
      </c>
      <c r="X62" s="460">
        <v>46091</v>
      </c>
      <c r="Y62" s="458" t="s">
        <v>512</v>
      </c>
      <c r="Z62" s="458" t="s">
        <v>958</v>
      </c>
      <c r="AB62" s="469">
        <v>116306</v>
      </c>
      <c r="AC62" s="470" t="s">
        <v>1177</v>
      </c>
      <c r="AD62" s="470" t="s">
        <v>1178</v>
      </c>
      <c r="AE62" s="469">
        <v>211104</v>
      </c>
      <c r="AF62" s="471">
        <v>15601.82</v>
      </c>
      <c r="AG62" s="476">
        <v>46135</v>
      </c>
      <c r="AH62" s="470" t="s">
        <v>512</v>
      </c>
      <c r="AI62" s="470" t="s">
        <v>1170</v>
      </c>
      <c r="AK62" s="155"/>
      <c r="AL62" s="153"/>
      <c r="AM62" s="155"/>
      <c r="AN62" s="155"/>
      <c r="AO62" s="156"/>
      <c r="AP62" s="162"/>
      <c r="AQ62" s="155"/>
      <c r="AR62" s="155"/>
      <c r="AT62" s="155"/>
      <c r="AU62" s="153"/>
      <c r="AV62" s="155"/>
      <c r="AW62" s="155"/>
      <c r="AX62" s="156"/>
      <c r="AY62" s="162"/>
      <c r="AZ62" s="155"/>
      <c r="BA62" s="155"/>
      <c r="BC62" s="155"/>
      <c r="BD62" s="153"/>
      <c r="BE62" s="155"/>
      <c r="BF62" s="155"/>
      <c r="BG62" s="156"/>
      <c r="BH62" s="162"/>
      <c r="BI62" s="155"/>
      <c r="BJ62" s="155"/>
      <c r="BL62" s="237"/>
      <c r="BM62" s="230"/>
      <c r="BN62" s="230"/>
      <c r="BO62" s="230"/>
      <c r="BP62" s="231"/>
      <c r="BQ62" s="232"/>
      <c r="BR62" s="230"/>
      <c r="BS62" s="230"/>
      <c r="BU62" s="155"/>
      <c r="BV62" s="153"/>
      <c r="BW62" s="155"/>
      <c r="BX62" s="155"/>
      <c r="BY62" s="156"/>
      <c r="BZ62" s="162"/>
      <c r="CA62" s="155"/>
      <c r="CB62" s="155"/>
      <c r="CD62" s="329"/>
      <c r="CE62" s="325"/>
      <c r="CF62" s="325"/>
      <c r="CG62" s="325"/>
      <c r="CH62" s="326"/>
      <c r="CI62" s="330"/>
      <c r="CJ62" s="325"/>
      <c r="CK62" s="325"/>
      <c r="CM62" s="329"/>
      <c r="CN62" s="325"/>
      <c r="CO62" s="325"/>
      <c r="CP62" s="325"/>
      <c r="CQ62" s="326"/>
      <c r="CR62" s="330"/>
      <c r="CS62" s="325"/>
      <c r="CT62" s="325"/>
      <c r="CW62" s="108"/>
      <c r="CX62" s="108"/>
      <c r="CY62" s="108"/>
      <c r="CZ62" s="400"/>
      <c r="DA62" s="125"/>
      <c r="DB62" s="108"/>
      <c r="DC62" s="108"/>
    </row>
    <row r="63" spans="1:107">
      <c r="A63" s="430">
        <v>116701</v>
      </c>
      <c r="B63" s="433" t="s">
        <v>267</v>
      </c>
      <c r="C63" s="433" t="s">
        <v>894</v>
      </c>
      <c r="D63" s="430">
        <v>215101</v>
      </c>
      <c r="E63" s="435">
        <v>130808.22</v>
      </c>
      <c r="F63" s="437">
        <v>46024</v>
      </c>
      <c r="G63" s="433" t="s">
        <v>512</v>
      </c>
      <c r="H63" s="433" t="s">
        <v>669</v>
      </c>
      <c r="J63" s="430">
        <v>119102</v>
      </c>
      <c r="K63" s="433" t="s">
        <v>438</v>
      </c>
      <c r="L63" s="433" t="s">
        <v>753</v>
      </c>
      <c r="M63" s="430">
        <v>215101</v>
      </c>
      <c r="N63" s="435">
        <v>4323.46</v>
      </c>
      <c r="O63" s="437">
        <v>46055</v>
      </c>
      <c r="P63" s="433" t="s">
        <v>512</v>
      </c>
      <c r="Q63" s="433" t="s">
        <v>754</v>
      </c>
      <c r="S63" s="464">
        <v>331251</v>
      </c>
      <c r="T63" s="461" t="s">
        <v>278</v>
      </c>
      <c r="U63" s="461" t="s">
        <v>993</v>
      </c>
      <c r="V63" s="464">
        <v>211103</v>
      </c>
      <c r="W63" s="462">
        <v>10142.299999999999</v>
      </c>
      <c r="X63" s="463">
        <v>46090</v>
      </c>
      <c r="Y63" s="461" t="s">
        <v>512</v>
      </c>
      <c r="Z63" s="461" t="s">
        <v>994</v>
      </c>
      <c r="AB63" s="474">
        <v>332602</v>
      </c>
      <c r="AC63" s="472" t="s">
        <v>326</v>
      </c>
      <c r="AD63" s="472" t="s">
        <v>1179</v>
      </c>
      <c r="AE63" s="474">
        <v>211104</v>
      </c>
      <c r="AF63" s="473">
        <v>5932.07</v>
      </c>
      <c r="AG63" s="477">
        <v>46118</v>
      </c>
      <c r="AH63" s="472" t="s">
        <v>512</v>
      </c>
      <c r="AI63" s="472" t="s">
        <v>1150</v>
      </c>
      <c r="AK63" s="158"/>
      <c r="AL63" s="154"/>
      <c r="AM63" s="158"/>
      <c r="AN63" s="158"/>
      <c r="AO63" s="157"/>
      <c r="AP63" s="163"/>
      <c r="AQ63" s="158"/>
      <c r="AR63" s="158"/>
      <c r="AT63" s="158"/>
      <c r="AU63" s="154"/>
      <c r="AV63" s="158"/>
      <c r="AW63" s="158"/>
      <c r="AX63" s="157"/>
      <c r="AY63" s="163"/>
      <c r="AZ63" s="158"/>
      <c r="BA63" s="158"/>
      <c r="BC63" s="158"/>
      <c r="BD63" s="154"/>
      <c r="BE63" s="158"/>
      <c r="BF63" s="158"/>
      <c r="BG63" s="157"/>
      <c r="BH63" s="163"/>
      <c r="BI63" s="158"/>
      <c r="BJ63" s="158"/>
      <c r="BL63" s="236"/>
      <c r="BM63" s="233"/>
      <c r="BN63" s="233"/>
      <c r="BO63" s="233"/>
      <c r="BP63" s="234"/>
      <c r="BQ63" s="235"/>
      <c r="BR63" s="233"/>
      <c r="BS63" s="233"/>
      <c r="BU63" s="158"/>
      <c r="BV63" s="154"/>
      <c r="BW63" s="158"/>
      <c r="BX63" s="158"/>
      <c r="BY63" s="157"/>
      <c r="BZ63" s="163"/>
      <c r="CA63" s="158"/>
      <c r="CB63" s="158"/>
      <c r="CD63" s="332"/>
      <c r="CE63" s="327"/>
      <c r="CF63" s="327"/>
      <c r="CG63" s="327"/>
      <c r="CH63" s="328"/>
      <c r="CI63" s="331"/>
      <c r="CJ63" s="327"/>
      <c r="CK63" s="327"/>
      <c r="CM63" s="332"/>
      <c r="CN63" s="327"/>
      <c r="CO63" s="327"/>
      <c r="CP63" s="327"/>
      <c r="CQ63" s="328"/>
      <c r="CR63" s="331"/>
      <c r="CS63" s="327"/>
      <c r="CT63" s="327"/>
      <c r="CV63" s="112"/>
      <c r="CW63" s="110"/>
      <c r="CX63" s="110"/>
      <c r="CY63" s="110"/>
      <c r="CZ63" s="399"/>
      <c r="DA63" s="127"/>
      <c r="DB63" s="110"/>
      <c r="DC63" s="110"/>
    </row>
    <row r="64" spans="1:107">
      <c r="A64" s="431">
        <v>116401</v>
      </c>
      <c r="B64" s="432" t="s">
        <v>266</v>
      </c>
      <c r="C64" s="432" t="s">
        <v>895</v>
      </c>
      <c r="D64" s="431">
        <v>211103</v>
      </c>
      <c r="E64" s="434">
        <v>214871.96</v>
      </c>
      <c r="F64" s="436">
        <v>46045</v>
      </c>
      <c r="G64" s="432" t="s">
        <v>512</v>
      </c>
      <c r="H64" s="432" t="s">
        <v>768</v>
      </c>
      <c r="J64" s="431">
        <v>116701</v>
      </c>
      <c r="K64" s="432" t="s">
        <v>267</v>
      </c>
      <c r="L64" s="432" t="s">
        <v>767</v>
      </c>
      <c r="M64" s="431">
        <v>211104</v>
      </c>
      <c r="N64" s="434">
        <v>72144.740000000005</v>
      </c>
      <c r="O64" s="436">
        <v>46056</v>
      </c>
      <c r="P64" s="432" t="s">
        <v>512</v>
      </c>
      <c r="Q64" s="432" t="s">
        <v>683</v>
      </c>
      <c r="S64" s="465">
        <v>331316</v>
      </c>
      <c r="T64" s="458" t="s">
        <v>287</v>
      </c>
      <c r="U64" s="458" t="s">
        <v>1005</v>
      </c>
      <c r="V64" s="465">
        <v>211104</v>
      </c>
      <c r="W64" s="459">
        <v>11160</v>
      </c>
      <c r="X64" s="460">
        <v>46101</v>
      </c>
      <c r="Y64" s="458" t="s">
        <v>512</v>
      </c>
      <c r="Z64" s="458" t="s">
        <v>973</v>
      </c>
      <c r="AB64" s="469">
        <v>331253</v>
      </c>
      <c r="AC64" s="470" t="s">
        <v>280</v>
      </c>
      <c r="AD64" s="470" t="s">
        <v>1180</v>
      </c>
      <c r="AE64" s="469">
        <v>211104</v>
      </c>
      <c r="AF64" s="471">
        <v>713</v>
      </c>
      <c r="AG64" s="476">
        <v>46142</v>
      </c>
      <c r="AH64" s="470" t="s">
        <v>512</v>
      </c>
      <c r="AI64" s="470" t="s">
        <v>1152</v>
      </c>
      <c r="AK64" s="155"/>
      <c r="AL64" s="153"/>
      <c r="AM64" s="155"/>
      <c r="AN64" s="155"/>
      <c r="AO64" s="156"/>
      <c r="AP64" s="162"/>
      <c r="AQ64" s="155"/>
      <c r="AR64" s="155"/>
      <c r="AT64" s="155"/>
      <c r="AU64" s="153"/>
      <c r="AV64" s="155"/>
      <c r="AW64" s="155"/>
      <c r="AX64" s="156"/>
      <c r="AY64" s="162"/>
      <c r="AZ64" s="155"/>
      <c r="BA64" s="155"/>
      <c r="BC64" s="155"/>
      <c r="BD64" s="153"/>
      <c r="BE64" s="155"/>
      <c r="BF64" s="155"/>
      <c r="BG64" s="156"/>
      <c r="BH64" s="162"/>
      <c r="BI64" s="155"/>
      <c r="BJ64" s="155"/>
      <c r="BL64" s="237"/>
      <c r="BM64" s="230"/>
      <c r="BN64" s="230"/>
      <c r="BO64" s="230"/>
      <c r="BP64" s="231"/>
      <c r="BQ64" s="232"/>
      <c r="BR64" s="230"/>
      <c r="BS64" s="230"/>
      <c r="BU64" s="159"/>
      <c r="BV64" s="160"/>
      <c r="BW64" s="155"/>
      <c r="BX64" s="155"/>
      <c r="BY64" s="156"/>
      <c r="BZ64" s="162"/>
      <c r="CA64" s="155"/>
      <c r="CB64" s="155"/>
      <c r="CD64" s="329"/>
      <c r="CE64" s="325"/>
      <c r="CF64" s="325"/>
      <c r="CG64" s="325"/>
      <c r="CH64" s="326"/>
      <c r="CI64" s="330"/>
      <c r="CJ64" s="325"/>
      <c r="CK64" s="325"/>
      <c r="CM64" s="329"/>
      <c r="CN64" s="325"/>
      <c r="CO64" s="325"/>
      <c r="CP64" s="325"/>
      <c r="CQ64" s="326"/>
      <c r="CR64" s="330"/>
      <c r="CS64" s="325"/>
      <c r="CT64" s="325"/>
      <c r="CW64" s="108"/>
      <c r="CX64" s="108"/>
      <c r="CY64" s="108"/>
      <c r="CZ64" s="400"/>
      <c r="DA64" s="125"/>
      <c r="DB64" s="108"/>
      <c r="DC64" s="108"/>
    </row>
    <row r="65" spans="1:107">
      <c r="A65" s="430">
        <v>331253</v>
      </c>
      <c r="B65" s="433" t="s">
        <v>280</v>
      </c>
      <c r="C65" s="433" t="s">
        <v>784</v>
      </c>
      <c r="D65" s="430">
        <v>211104</v>
      </c>
      <c r="E65" s="435">
        <v>2890</v>
      </c>
      <c r="F65" s="437">
        <v>46031</v>
      </c>
      <c r="G65" s="433" t="s">
        <v>512</v>
      </c>
      <c r="H65" s="433" t="s">
        <v>714</v>
      </c>
      <c r="J65" s="430">
        <v>116401</v>
      </c>
      <c r="K65" s="433" t="s">
        <v>266</v>
      </c>
      <c r="L65" s="433" t="s">
        <v>745</v>
      </c>
      <c r="M65" s="430">
        <v>211103</v>
      </c>
      <c r="N65" s="435">
        <v>159181.85</v>
      </c>
      <c r="O65" s="437">
        <v>46066</v>
      </c>
      <c r="P65" s="433" t="s">
        <v>512</v>
      </c>
      <c r="Q65" s="433" t="s">
        <v>746</v>
      </c>
      <c r="S65" s="464">
        <v>331315</v>
      </c>
      <c r="T65" s="461" t="s">
        <v>286</v>
      </c>
      <c r="U65" s="461" t="s">
        <v>999</v>
      </c>
      <c r="V65" s="464">
        <v>211104</v>
      </c>
      <c r="W65" s="462">
        <v>6972.24</v>
      </c>
      <c r="X65" s="463">
        <v>46097</v>
      </c>
      <c r="Y65" s="461" t="s">
        <v>512</v>
      </c>
      <c r="Z65" s="461" t="s">
        <v>984</v>
      </c>
      <c r="AB65" s="474">
        <v>331302</v>
      </c>
      <c r="AC65" s="472" t="s">
        <v>40</v>
      </c>
      <c r="AD65" s="472" t="s">
        <v>1181</v>
      </c>
      <c r="AE65" s="474">
        <v>211104</v>
      </c>
      <c r="AF65" s="473">
        <v>76090.92</v>
      </c>
      <c r="AG65" s="477">
        <v>46140</v>
      </c>
      <c r="AH65" s="472" t="s">
        <v>512</v>
      </c>
      <c r="AI65" s="472" t="s">
        <v>1164</v>
      </c>
      <c r="AK65" s="158"/>
      <c r="AL65" s="154"/>
      <c r="AM65" s="158"/>
      <c r="AN65" s="158"/>
      <c r="AO65" s="157"/>
      <c r="AP65" s="163"/>
      <c r="AQ65" s="158"/>
      <c r="AR65" s="158"/>
      <c r="AT65" s="158"/>
      <c r="AU65" s="154"/>
      <c r="AV65" s="158"/>
      <c r="AW65" s="158"/>
      <c r="AX65" s="157"/>
      <c r="AY65" s="163"/>
      <c r="AZ65" s="158"/>
      <c r="BA65" s="158"/>
      <c r="BC65" s="158"/>
      <c r="BD65" s="154"/>
      <c r="BE65" s="158"/>
      <c r="BF65" s="158"/>
      <c r="BG65" s="157"/>
      <c r="BH65" s="163"/>
      <c r="BI65" s="158"/>
      <c r="BJ65" s="158"/>
      <c r="BL65" s="236"/>
      <c r="BM65" s="233"/>
      <c r="BN65" s="233"/>
      <c r="BO65" s="233"/>
      <c r="BP65" s="234"/>
      <c r="BQ65" s="235"/>
      <c r="BR65" s="233"/>
      <c r="BS65" s="233"/>
      <c r="BU65" s="158"/>
      <c r="BV65" s="154"/>
      <c r="BW65" s="158"/>
      <c r="BX65" s="158"/>
      <c r="BY65" s="157"/>
      <c r="BZ65" s="163"/>
      <c r="CA65" s="158"/>
      <c r="CB65" s="158"/>
      <c r="CD65" s="332"/>
      <c r="CE65" s="327"/>
      <c r="CF65" s="327"/>
      <c r="CG65" s="327"/>
      <c r="CH65" s="328"/>
      <c r="CI65" s="331"/>
      <c r="CJ65" s="327"/>
      <c r="CK65" s="327"/>
      <c r="CM65" s="332"/>
      <c r="CN65" s="327"/>
      <c r="CO65" s="327"/>
      <c r="CP65" s="327"/>
      <c r="CQ65" s="328"/>
      <c r="CR65" s="331"/>
      <c r="CS65" s="327"/>
      <c r="CT65" s="327"/>
      <c r="CV65" s="112"/>
      <c r="CW65" s="110"/>
      <c r="CX65" s="110"/>
      <c r="CY65" s="110"/>
      <c r="CZ65" s="399"/>
      <c r="DA65" s="127"/>
      <c r="DB65" s="110"/>
      <c r="DC65" s="110"/>
    </row>
    <row r="66" spans="1:107">
      <c r="A66" s="431">
        <v>331309</v>
      </c>
      <c r="B66" s="432" t="s">
        <v>408</v>
      </c>
      <c r="C66" s="432" t="s">
        <v>775</v>
      </c>
      <c r="D66" s="431">
        <v>215101</v>
      </c>
      <c r="E66" s="434">
        <v>362.85</v>
      </c>
      <c r="F66" s="436">
        <v>46028</v>
      </c>
      <c r="G66" s="432" t="s">
        <v>512</v>
      </c>
      <c r="H66" s="432" t="s">
        <v>776</v>
      </c>
      <c r="J66" s="431">
        <v>331251</v>
      </c>
      <c r="K66" s="432" t="s">
        <v>278</v>
      </c>
      <c r="L66" s="432" t="s">
        <v>750</v>
      </c>
      <c r="M66" s="431">
        <v>211103</v>
      </c>
      <c r="N66" s="434">
        <v>10730</v>
      </c>
      <c r="O66" s="436">
        <v>46071</v>
      </c>
      <c r="P66" s="432" t="s">
        <v>512</v>
      </c>
      <c r="Q66" s="432" t="s">
        <v>671</v>
      </c>
      <c r="S66" s="465">
        <v>119108</v>
      </c>
      <c r="T66" s="458" t="s">
        <v>1003</v>
      </c>
      <c r="U66" s="458" t="s">
        <v>1004</v>
      </c>
      <c r="V66" s="465">
        <v>211104</v>
      </c>
      <c r="W66" s="459">
        <v>26559.3</v>
      </c>
      <c r="X66" s="460">
        <v>46099</v>
      </c>
      <c r="Y66" s="458" t="s">
        <v>512</v>
      </c>
      <c r="Z66" s="458" t="s">
        <v>947</v>
      </c>
      <c r="AB66" s="469">
        <v>331251</v>
      </c>
      <c r="AC66" s="470" t="s">
        <v>278</v>
      </c>
      <c r="AD66" s="470" t="s">
        <v>1182</v>
      </c>
      <c r="AE66" s="469">
        <v>211104</v>
      </c>
      <c r="AF66" s="471">
        <v>1118.7</v>
      </c>
      <c r="AG66" s="476">
        <v>46135</v>
      </c>
      <c r="AH66" s="470" t="s">
        <v>512</v>
      </c>
      <c r="AI66" s="470" t="s">
        <v>1170</v>
      </c>
      <c r="AK66" s="155"/>
      <c r="AL66" s="153"/>
      <c r="AM66" s="155"/>
      <c r="AN66" s="155"/>
      <c r="AO66" s="156"/>
      <c r="AP66" s="162"/>
      <c r="AQ66" s="155"/>
      <c r="AR66" s="155"/>
      <c r="AT66" s="155"/>
      <c r="AU66" s="153"/>
      <c r="AV66" s="155"/>
      <c r="AW66" s="155"/>
      <c r="AX66" s="156"/>
      <c r="AY66" s="162"/>
      <c r="AZ66" s="155"/>
      <c r="BA66" s="155"/>
      <c r="BC66" s="155"/>
      <c r="BD66" s="153"/>
      <c r="BE66" s="155"/>
      <c r="BF66" s="155"/>
      <c r="BG66" s="156"/>
      <c r="BH66" s="162"/>
      <c r="BI66" s="155"/>
      <c r="BJ66" s="155"/>
      <c r="BL66" s="237"/>
      <c r="BM66" s="230"/>
      <c r="BN66" s="230"/>
      <c r="BO66" s="230"/>
      <c r="BP66" s="231"/>
      <c r="BQ66" s="232"/>
      <c r="BR66" s="230"/>
      <c r="BS66" s="230"/>
      <c r="BU66" s="155"/>
      <c r="BV66" s="153"/>
      <c r="BW66" s="155"/>
      <c r="BX66" s="155"/>
      <c r="BY66" s="156"/>
      <c r="BZ66" s="162"/>
      <c r="CA66" s="155"/>
      <c r="CB66" s="155"/>
      <c r="CD66" s="329"/>
      <c r="CE66" s="325"/>
      <c r="CF66" s="325"/>
      <c r="CG66" s="325"/>
      <c r="CH66" s="326"/>
      <c r="CI66" s="330"/>
      <c r="CJ66" s="325"/>
      <c r="CK66" s="325"/>
      <c r="CM66" s="329"/>
      <c r="CN66" s="325"/>
      <c r="CO66" s="325"/>
      <c r="CP66" s="325"/>
      <c r="CQ66" s="326"/>
      <c r="CR66" s="330"/>
      <c r="CS66" s="325"/>
      <c r="CT66" s="325"/>
      <c r="CW66" s="108"/>
      <c r="CX66" s="108"/>
      <c r="CY66" s="108"/>
      <c r="CZ66" s="400"/>
      <c r="DA66" s="125"/>
      <c r="DB66" s="108"/>
      <c r="DC66" s="108"/>
    </row>
    <row r="67" spans="1:107">
      <c r="A67" s="430">
        <v>331308</v>
      </c>
      <c r="B67" s="433" t="s">
        <v>407</v>
      </c>
      <c r="C67" s="433" t="s">
        <v>896</v>
      </c>
      <c r="D67" s="430">
        <v>215101</v>
      </c>
      <c r="E67" s="435">
        <v>758.8</v>
      </c>
      <c r="F67" s="437">
        <v>46031</v>
      </c>
      <c r="G67" s="433" t="s">
        <v>512</v>
      </c>
      <c r="H67" s="433" t="s">
        <v>897</v>
      </c>
      <c r="J67" s="430">
        <v>331253</v>
      </c>
      <c r="K67" s="433" t="s">
        <v>280</v>
      </c>
      <c r="L67" s="433" t="s">
        <v>779</v>
      </c>
      <c r="M67" s="430">
        <v>211103</v>
      </c>
      <c r="N67" s="435">
        <v>7009.96</v>
      </c>
      <c r="O67" s="437">
        <v>46079</v>
      </c>
      <c r="P67" s="433" t="s">
        <v>512</v>
      </c>
      <c r="Q67" s="433" t="s">
        <v>734</v>
      </c>
      <c r="S67" s="464">
        <v>119102</v>
      </c>
      <c r="T67" s="461" t="s">
        <v>438</v>
      </c>
      <c r="U67" s="461" t="s">
        <v>996</v>
      </c>
      <c r="V67" s="464">
        <v>215101</v>
      </c>
      <c r="W67" s="462">
        <v>3755.86</v>
      </c>
      <c r="X67" s="463">
        <v>46091</v>
      </c>
      <c r="Y67" s="461" t="s">
        <v>512</v>
      </c>
      <c r="Z67" s="461" t="s">
        <v>958</v>
      </c>
      <c r="AB67" s="474">
        <v>331301</v>
      </c>
      <c r="AC67" s="472" t="s">
        <v>281</v>
      </c>
      <c r="AD67" s="472" t="s">
        <v>1183</v>
      </c>
      <c r="AE67" s="474">
        <v>215101</v>
      </c>
      <c r="AF67" s="473">
        <v>551490.38</v>
      </c>
      <c r="AG67" s="477">
        <v>46125</v>
      </c>
      <c r="AH67" s="472" t="s">
        <v>512</v>
      </c>
      <c r="AI67" s="472" t="s">
        <v>1184</v>
      </c>
      <c r="AK67" s="158"/>
      <c r="AL67" s="154"/>
      <c r="AM67" s="158"/>
      <c r="AN67" s="158"/>
      <c r="AO67" s="157"/>
      <c r="AP67" s="163"/>
      <c r="AQ67" s="158"/>
      <c r="AR67" s="158"/>
      <c r="AT67" s="158"/>
      <c r="AU67" s="154"/>
      <c r="AV67" s="158"/>
      <c r="AW67" s="158"/>
      <c r="AX67" s="157"/>
      <c r="AY67" s="163"/>
      <c r="AZ67" s="158"/>
      <c r="BA67" s="158"/>
      <c r="BC67" s="158"/>
      <c r="BD67" s="154"/>
      <c r="BE67" s="158"/>
      <c r="BF67" s="158"/>
      <c r="BG67" s="157"/>
      <c r="BH67" s="163"/>
      <c r="BI67" s="158"/>
      <c r="BJ67" s="158"/>
      <c r="BL67" s="236"/>
      <c r="BM67" s="233"/>
      <c r="BN67" s="233"/>
      <c r="BO67" s="233"/>
      <c r="BP67" s="234"/>
      <c r="BQ67" s="235"/>
      <c r="BR67" s="233"/>
      <c r="BS67" s="233"/>
      <c r="BU67" s="158"/>
      <c r="BV67" s="154"/>
      <c r="BW67" s="158"/>
      <c r="BX67" s="158"/>
      <c r="BY67" s="157"/>
      <c r="BZ67" s="163"/>
      <c r="CA67" s="158"/>
      <c r="CB67" s="158"/>
      <c r="CD67" s="332"/>
      <c r="CE67" s="327"/>
      <c r="CF67" s="327"/>
      <c r="CG67" s="327"/>
      <c r="CH67" s="328"/>
      <c r="CI67" s="331"/>
      <c r="CJ67" s="327"/>
      <c r="CK67" s="327"/>
      <c r="CM67" s="332"/>
      <c r="CN67" s="327"/>
      <c r="CO67" s="327"/>
      <c r="CP67" s="327"/>
      <c r="CQ67" s="328"/>
      <c r="CR67" s="331"/>
      <c r="CS67" s="327"/>
      <c r="CT67" s="327"/>
      <c r="CV67" s="112"/>
      <c r="CW67" s="110"/>
      <c r="CX67" s="110"/>
      <c r="CY67" s="110"/>
      <c r="CZ67" s="399"/>
      <c r="DA67" s="127"/>
      <c r="DB67" s="110"/>
      <c r="DC67" s="110"/>
    </row>
    <row r="68" spans="1:107">
      <c r="A68" s="431">
        <v>331305</v>
      </c>
      <c r="B68" s="432" t="s">
        <v>282</v>
      </c>
      <c r="C68" s="432" t="s">
        <v>898</v>
      </c>
      <c r="D68" s="431">
        <v>211104</v>
      </c>
      <c r="E68" s="434">
        <v>28184.78</v>
      </c>
      <c r="F68" s="436">
        <v>46041</v>
      </c>
      <c r="G68" s="432" t="s">
        <v>512</v>
      </c>
      <c r="H68" s="432" t="s">
        <v>863</v>
      </c>
      <c r="J68" s="431">
        <v>331304</v>
      </c>
      <c r="K68" s="432" t="s">
        <v>7</v>
      </c>
      <c r="L68" s="432" t="s">
        <v>771</v>
      </c>
      <c r="M68" s="431">
        <v>215101</v>
      </c>
      <c r="N68" s="434">
        <v>6096.07</v>
      </c>
      <c r="O68" s="436">
        <v>46071</v>
      </c>
      <c r="P68" s="432" t="s">
        <v>512</v>
      </c>
      <c r="Q68" s="432" t="s">
        <v>680</v>
      </c>
      <c r="S68" s="465">
        <v>119103</v>
      </c>
      <c r="T68" s="458" t="s">
        <v>130</v>
      </c>
      <c r="U68" s="458" t="s">
        <v>997</v>
      </c>
      <c r="V68" s="465">
        <v>211104</v>
      </c>
      <c r="W68" s="459">
        <v>113361.37</v>
      </c>
      <c r="X68" s="460">
        <v>46106</v>
      </c>
      <c r="Y68" s="458" t="s">
        <v>512</v>
      </c>
      <c r="Z68" s="458" t="s">
        <v>956</v>
      </c>
      <c r="AB68" s="469">
        <v>331252</v>
      </c>
      <c r="AC68" s="470" t="s">
        <v>279</v>
      </c>
      <c r="AD68" s="470" t="s">
        <v>1185</v>
      </c>
      <c r="AE68" s="469">
        <v>211104</v>
      </c>
      <c r="AF68" s="471">
        <v>4339.34</v>
      </c>
      <c r="AG68" s="476">
        <v>46142</v>
      </c>
      <c r="AH68" s="470" t="s">
        <v>512</v>
      </c>
      <c r="AI68" s="470" t="s">
        <v>1152</v>
      </c>
      <c r="AK68" s="155"/>
      <c r="AL68" s="153"/>
      <c r="AM68" s="155"/>
      <c r="AN68" s="155"/>
      <c r="AO68" s="156"/>
      <c r="AP68" s="162"/>
      <c r="AQ68" s="155"/>
      <c r="AR68" s="155"/>
      <c r="AT68" s="155"/>
      <c r="AU68" s="153"/>
      <c r="AV68" s="155"/>
      <c r="AW68" s="155"/>
      <c r="AX68" s="156"/>
      <c r="AY68" s="162"/>
      <c r="AZ68" s="155"/>
      <c r="BA68" s="155"/>
      <c r="BC68" s="155"/>
      <c r="BD68" s="153"/>
      <c r="BE68" s="155"/>
      <c r="BF68" s="155"/>
      <c r="BG68" s="156"/>
      <c r="BH68" s="162"/>
      <c r="BI68" s="155"/>
      <c r="BJ68" s="155"/>
      <c r="BL68" s="237"/>
      <c r="BM68" s="230"/>
      <c r="BN68" s="230"/>
      <c r="BO68" s="230"/>
      <c r="BP68" s="231"/>
      <c r="BQ68" s="232"/>
      <c r="BR68" s="230"/>
      <c r="BS68" s="230"/>
      <c r="BU68" s="155"/>
      <c r="BV68" s="153"/>
      <c r="BW68" s="155"/>
      <c r="BX68" s="155"/>
      <c r="BY68" s="156"/>
      <c r="BZ68" s="162"/>
      <c r="CA68" s="155"/>
      <c r="CB68" s="155"/>
      <c r="CD68" s="329"/>
      <c r="CE68" s="325"/>
      <c r="CF68" s="325"/>
      <c r="CG68" s="325"/>
      <c r="CH68" s="326"/>
      <c r="CI68" s="330"/>
      <c r="CJ68" s="325"/>
      <c r="CK68" s="325"/>
      <c r="CM68" s="329"/>
      <c r="CN68" s="325"/>
      <c r="CO68" s="325"/>
      <c r="CP68" s="325"/>
      <c r="CQ68" s="326"/>
      <c r="CR68" s="330"/>
      <c r="CS68" s="325"/>
      <c r="CT68" s="325"/>
      <c r="CW68" s="108"/>
      <c r="CX68" s="108"/>
      <c r="CY68" s="108"/>
      <c r="CZ68" s="400"/>
      <c r="DA68" s="125"/>
      <c r="DB68" s="108"/>
      <c r="DC68" s="108"/>
    </row>
    <row r="69" spans="1:107">
      <c r="A69" s="430">
        <v>331304</v>
      </c>
      <c r="B69" s="433" t="s">
        <v>7</v>
      </c>
      <c r="C69" s="433" t="s">
        <v>899</v>
      </c>
      <c r="D69" s="430">
        <v>215101</v>
      </c>
      <c r="E69" s="435">
        <v>6096.54</v>
      </c>
      <c r="F69" s="437">
        <v>46037</v>
      </c>
      <c r="G69" s="433" t="s">
        <v>512</v>
      </c>
      <c r="H69" s="433" t="s">
        <v>700</v>
      </c>
      <c r="J69" s="430">
        <v>331303</v>
      </c>
      <c r="K69" s="433" t="s">
        <v>6</v>
      </c>
      <c r="L69" s="433" t="s">
        <v>770</v>
      </c>
      <c r="M69" s="430">
        <v>211104</v>
      </c>
      <c r="N69" s="435">
        <v>1573.44</v>
      </c>
      <c r="O69" s="437">
        <v>46073</v>
      </c>
      <c r="P69" s="433" t="s">
        <v>512</v>
      </c>
      <c r="Q69" s="433" t="s">
        <v>699</v>
      </c>
      <c r="S69" s="464">
        <v>331317</v>
      </c>
      <c r="T69" s="461" t="s">
        <v>288</v>
      </c>
      <c r="U69" s="461" t="s">
        <v>977</v>
      </c>
      <c r="V69" s="464">
        <v>211104</v>
      </c>
      <c r="W69" s="462">
        <v>1590.07</v>
      </c>
      <c r="X69" s="463">
        <v>46101</v>
      </c>
      <c r="Y69" s="461" t="s">
        <v>512</v>
      </c>
      <c r="Z69" s="461" t="s">
        <v>973</v>
      </c>
      <c r="AB69" s="474">
        <v>331304</v>
      </c>
      <c r="AC69" s="472" t="s">
        <v>7</v>
      </c>
      <c r="AD69" s="472" t="s">
        <v>1186</v>
      </c>
      <c r="AE69" s="474">
        <v>211104</v>
      </c>
      <c r="AF69" s="473">
        <v>6102.17</v>
      </c>
      <c r="AG69" s="477">
        <v>46127</v>
      </c>
      <c r="AH69" s="472" t="s">
        <v>512</v>
      </c>
      <c r="AI69" s="472" t="s">
        <v>1141</v>
      </c>
      <c r="AK69" s="158"/>
      <c r="AL69" s="154"/>
      <c r="AM69" s="158"/>
      <c r="AN69" s="158"/>
      <c r="AO69" s="157"/>
      <c r="AP69" s="163"/>
      <c r="AQ69" s="158"/>
      <c r="AR69" s="158"/>
      <c r="AT69" s="158"/>
      <c r="AU69" s="154"/>
      <c r="AV69" s="158"/>
      <c r="AW69" s="158"/>
      <c r="AX69" s="157"/>
      <c r="AY69" s="163"/>
      <c r="AZ69" s="158"/>
      <c r="BA69" s="158"/>
      <c r="BC69" s="158"/>
      <c r="BD69" s="154"/>
      <c r="BE69" s="158"/>
      <c r="BF69" s="158"/>
      <c r="BG69" s="157"/>
      <c r="BH69" s="163"/>
      <c r="BI69" s="158"/>
      <c r="BJ69" s="158"/>
      <c r="BL69" s="236"/>
      <c r="BM69" s="233"/>
      <c r="BN69" s="233"/>
      <c r="BO69" s="233"/>
      <c r="BP69" s="234"/>
      <c r="BQ69" s="235"/>
      <c r="BR69" s="233"/>
      <c r="BS69" s="233"/>
      <c r="BU69" s="158"/>
      <c r="BV69" s="154"/>
      <c r="BW69" s="158"/>
      <c r="BX69" s="158"/>
      <c r="BY69" s="157"/>
      <c r="BZ69" s="163"/>
      <c r="CA69" s="158"/>
      <c r="CB69" s="158"/>
      <c r="CD69" s="332"/>
      <c r="CE69" s="327"/>
      <c r="CF69" s="327"/>
      <c r="CG69" s="327"/>
      <c r="CH69" s="328"/>
      <c r="CI69" s="331"/>
      <c r="CJ69" s="327"/>
      <c r="CK69" s="327"/>
      <c r="CM69" s="332"/>
      <c r="CN69" s="327"/>
      <c r="CO69" s="327"/>
      <c r="CP69" s="327"/>
      <c r="CQ69" s="328"/>
      <c r="CR69" s="331"/>
      <c r="CS69" s="327"/>
      <c r="CT69" s="327"/>
      <c r="CV69" s="112"/>
      <c r="CW69" s="110"/>
      <c r="CX69" s="110"/>
      <c r="CY69" s="110"/>
      <c r="CZ69" s="399"/>
      <c r="DA69" s="127"/>
      <c r="DB69" s="110"/>
      <c r="DC69" s="110"/>
    </row>
    <row r="70" spans="1:107">
      <c r="A70" s="431">
        <v>331317</v>
      </c>
      <c r="B70" s="432" t="s">
        <v>288</v>
      </c>
      <c r="C70" s="432" t="s">
        <v>694</v>
      </c>
      <c r="D70" s="431">
        <v>211104</v>
      </c>
      <c r="E70" s="434">
        <v>3895.08</v>
      </c>
      <c r="F70" s="436">
        <v>46042</v>
      </c>
      <c r="G70" s="432" t="s">
        <v>512</v>
      </c>
      <c r="H70" s="432" t="s">
        <v>687</v>
      </c>
      <c r="J70" s="431">
        <v>331302</v>
      </c>
      <c r="K70" s="432" t="s">
        <v>40</v>
      </c>
      <c r="L70" s="432" t="s">
        <v>785</v>
      </c>
      <c r="M70" s="431">
        <v>211104</v>
      </c>
      <c r="N70" s="434">
        <v>56010.7</v>
      </c>
      <c r="O70" s="436">
        <v>46071</v>
      </c>
      <c r="P70" s="432" t="s">
        <v>512</v>
      </c>
      <c r="Q70" s="432" t="s">
        <v>680</v>
      </c>
      <c r="S70" s="465">
        <v>331310</v>
      </c>
      <c r="T70" s="458" t="s">
        <v>283</v>
      </c>
      <c r="U70" s="458" t="s">
        <v>1000</v>
      </c>
      <c r="V70" s="465">
        <v>211104</v>
      </c>
      <c r="W70" s="459">
        <v>45606.559999999998</v>
      </c>
      <c r="X70" s="460">
        <v>46108</v>
      </c>
      <c r="Y70" s="458" t="s">
        <v>512</v>
      </c>
      <c r="Z70" s="458" t="s">
        <v>1001</v>
      </c>
      <c r="AB70" s="469">
        <v>331303</v>
      </c>
      <c r="AC70" s="470" t="s">
        <v>6</v>
      </c>
      <c r="AD70" s="470" t="s">
        <v>1187</v>
      </c>
      <c r="AE70" s="469">
        <v>211104</v>
      </c>
      <c r="AF70" s="471">
        <v>309.75</v>
      </c>
      <c r="AG70" s="476">
        <v>46127</v>
      </c>
      <c r="AH70" s="470" t="s">
        <v>512</v>
      </c>
      <c r="AI70" s="470" t="s">
        <v>1141</v>
      </c>
      <c r="AK70" s="159"/>
      <c r="AL70" s="160"/>
      <c r="AM70" s="155"/>
      <c r="AN70" s="155"/>
      <c r="AO70" s="156"/>
      <c r="AP70" s="162"/>
      <c r="AQ70" s="155"/>
      <c r="AR70" s="155"/>
      <c r="AT70" s="155"/>
      <c r="AU70" s="153"/>
      <c r="AV70" s="155"/>
      <c r="AW70" s="155"/>
      <c r="AX70" s="156"/>
      <c r="AY70" s="162"/>
      <c r="AZ70" s="155"/>
      <c r="BA70" s="155"/>
      <c r="BC70" s="155"/>
      <c r="BD70" s="153"/>
      <c r="BE70" s="155"/>
      <c r="BF70" s="155"/>
      <c r="BG70" s="156"/>
      <c r="BH70" s="162"/>
      <c r="BI70" s="155"/>
      <c r="BJ70" s="155"/>
      <c r="BL70" s="237"/>
      <c r="BM70" s="230"/>
      <c r="BN70" s="230"/>
      <c r="BO70" s="230"/>
      <c r="BP70" s="231"/>
      <c r="BQ70" s="232"/>
      <c r="BR70" s="230"/>
      <c r="BS70" s="230"/>
      <c r="BU70" s="155"/>
      <c r="BV70" s="153"/>
      <c r="BW70" s="155"/>
      <c r="BX70" s="155"/>
      <c r="BY70" s="156"/>
      <c r="BZ70" s="162"/>
      <c r="CA70" s="155"/>
      <c r="CB70" s="155"/>
      <c r="CD70" s="329"/>
      <c r="CE70" s="325"/>
      <c r="CF70" s="325"/>
      <c r="CG70" s="325"/>
      <c r="CH70" s="326"/>
      <c r="CI70" s="330"/>
      <c r="CJ70" s="325"/>
      <c r="CK70" s="325"/>
      <c r="CM70" s="329"/>
      <c r="CN70" s="325"/>
      <c r="CO70" s="325"/>
      <c r="CP70" s="325"/>
      <c r="CQ70" s="326"/>
      <c r="CR70" s="330"/>
      <c r="CS70" s="325"/>
      <c r="CT70" s="325"/>
      <c r="CW70" s="108"/>
      <c r="CX70" s="108"/>
      <c r="CY70" s="108"/>
      <c r="CZ70" s="400"/>
      <c r="DA70" s="125"/>
      <c r="DB70" s="108"/>
      <c r="DC70" s="108"/>
    </row>
    <row r="71" spans="1:107">
      <c r="A71" s="430">
        <v>331316</v>
      </c>
      <c r="B71" s="433" t="s">
        <v>287</v>
      </c>
      <c r="C71" s="433" t="s">
        <v>736</v>
      </c>
      <c r="D71" s="430">
        <v>211104</v>
      </c>
      <c r="E71" s="435">
        <v>12340</v>
      </c>
      <c r="F71" s="437">
        <v>46042</v>
      </c>
      <c r="G71" s="433" t="s">
        <v>512</v>
      </c>
      <c r="H71" s="433" t="s">
        <v>687</v>
      </c>
      <c r="J71" s="430">
        <v>331313</v>
      </c>
      <c r="K71" s="433" t="s">
        <v>285</v>
      </c>
      <c r="L71" s="433" t="s">
        <v>783</v>
      </c>
      <c r="M71" s="430">
        <v>211104</v>
      </c>
      <c r="N71" s="435">
        <v>12584.81</v>
      </c>
      <c r="O71" s="437">
        <v>46073</v>
      </c>
      <c r="P71" s="433" t="s">
        <v>512</v>
      </c>
      <c r="Q71" s="433" t="s">
        <v>699</v>
      </c>
      <c r="S71" s="464">
        <v>116701</v>
      </c>
      <c r="T71" s="461" t="s">
        <v>267</v>
      </c>
      <c r="U71" s="461" t="s">
        <v>1002</v>
      </c>
      <c r="V71" s="464">
        <v>211104</v>
      </c>
      <c r="W71" s="462">
        <v>89689.65</v>
      </c>
      <c r="X71" s="463">
        <v>46084</v>
      </c>
      <c r="Y71" s="461" t="s">
        <v>512</v>
      </c>
      <c r="Z71" s="461" t="s">
        <v>988</v>
      </c>
      <c r="AB71" s="474">
        <v>332590</v>
      </c>
      <c r="AC71" s="472" t="s">
        <v>325</v>
      </c>
      <c r="AD71" s="472" t="s">
        <v>1188</v>
      </c>
      <c r="AE71" s="474">
        <v>211104</v>
      </c>
      <c r="AF71" s="473">
        <v>196.1</v>
      </c>
      <c r="AG71" s="477">
        <v>46122</v>
      </c>
      <c r="AH71" s="472" t="s">
        <v>512</v>
      </c>
      <c r="AI71" s="472" t="s">
        <v>1189</v>
      </c>
      <c r="AK71" s="159"/>
      <c r="AL71" s="160"/>
      <c r="AM71" s="158"/>
      <c r="AN71" s="158"/>
      <c r="AO71" s="157"/>
      <c r="AP71" s="163"/>
      <c r="AQ71" s="158"/>
      <c r="AR71" s="158"/>
      <c r="AT71" s="158"/>
      <c r="AU71" s="154"/>
      <c r="AV71" s="158"/>
      <c r="AW71" s="158"/>
      <c r="AX71" s="157"/>
      <c r="AY71" s="163"/>
      <c r="AZ71" s="158"/>
      <c r="BA71" s="158"/>
      <c r="BC71" s="158"/>
      <c r="BD71" s="154"/>
      <c r="BE71" s="158"/>
      <c r="BF71" s="158"/>
      <c r="BG71" s="157"/>
      <c r="BH71" s="163"/>
      <c r="BI71" s="158"/>
      <c r="BJ71" s="158"/>
      <c r="BL71" s="236"/>
      <c r="BM71" s="233"/>
      <c r="BN71" s="233"/>
      <c r="BO71" s="233"/>
      <c r="BP71" s="234"/>
      <c r="BQ71" s="235"/>
      <c r="BR71" s="233"/>
      <c r="BS71" s="233"/>
      <c r="BU71" s="158"/>
      <c r="BV71" s="154"/>
      <c r="BW71" s="158"/>
      <c r="BX71" s="158"/>
      <c r="BY71" s="157"/>
      <c r="BZ71" s="163"/>
      <c r="CA71" s="158"/>
      <c r="CB71" s="158"/>
      <c r="CD71" s="332"/>
      <c r="CE71" s="327"/>
      <c r="CF71" s="327"/>
      <c r="CG71" s="327"/>
      <c r="CH71" s="328"/>
      <c r="CI71" s="331"/>
      <c r="CJ71" s="327"/>
      <c r="CK71" s="327"/>
      <c r="CM71" s="332"/>
      <c r="CN71" s="327"/>
      <c r="CO71" s="327"/>
      <c r="CP71" s="327"/>
      <c r="CQ71" s="328"/>
      <c r="CR71" s="331"/>
      <c r="CS71" s="327"/>
      <c r="CT71" s="327"/>
      <c r="CV71" s="112"/>
      <c r="CW71" s="110"/>
      <c r="CX71" s="110"/>
      <c r="CY71" s="110"/>
      <c r="CZ71" s="399"/>
      <c r="DA71" s="127"/>
      <c r="DB71" s="110"/>
      <c r="DC71" s="110"/>
    </row>
    <row r="72" spans="1:107">
      <c r="A72" s="431">
        <v>331315</v>
      </c>
      <c r="B72" s="432" t="s">
        <v>286</v>
      </c>
      <c r="C72" s="432" t="s">
        <v>772</v>
      </c>
      <c r="D72" s="431">
        <v>211104</v>
      </c>
      <c r="E72" s="434">
        <v>7132.24</v>
      </c>
      <c r="F72" s="436">
        <v>46037</v>
      </c>
      <c r="G72" s="432" t="s">
        <v>512</v>
      </c>
      <c r="H72" s="432" t="s">
        <v>700</v>
      </c>
      <c r="J72" s="431">
        <v>331252</v>
      </c>
      <c r="K72" s="432" t="s">
        <v>279</v>
      </c>
      <c r="L72" s="432" t="s">
        <v>749</v>
      </c>
      <c r="M72" s="431">
        <v>211104</v>
      </c>
      <c r="N72" s="434">
        <v>9230.44</v>
      </c>
      <c r="O72" s="436">
        <v>46063</v>
      </c>
      <c r="P72" s="432" t="s">
        <v>512</v>
      </c>
      <c r="Q72" s="432" t="s">
        <v>706</v>
      </c>
      <c r="S72" s="465">
        <v>331313</v>
      </c>
      <c r="T72" s="458" t="s">
        <v>285</v>
      </c>
      <c r="U72" s="458" t="s">
        <v>998</v>
      </c>
      <c r="V72" s="465">
        <v>211104</v>
      </c>
      <c r="W72" s="459">
        <v>185033.72</v>
      </c>
      <c r="X72" s="460">
        <v>46101</v>
      </c>
      <c r="Y72" s="458" t="s">
        <v>512</v>
      </c>
      <c r="Z72" s="458" t="s">
        <v>973</v>
      </c>
      <c r="AB72" s="469">
        <v>331202</v>
      </c>
      <c r="AC72" s="470" t="s">
        <v>275</v>
      </c>
      <c r="AD72" s="470" t="s">
        <v>1190</v>
      </c>
      <c r="AE72" s="469">
        <v>211104</v>
      </c>
      <c r="AF72" s="471">
        <v>24901.56</v>
      </c>
      <c r="AG72" s="476">
        <v>46139</v>
      </c>
      <c r="AH72" s="470" t="s">
        <v>512</v>
      </c>
      <c r="AI72" s="470" t="s">
        <v>1146</v>
      </c>
      <c r="AK72" s="155"/>
      <c r="AL72" s="153"/>
      <c r="AM72" s="155"/>
      <c r="AN72" s="155"/>
      <c r="AO72" s="156"/>
      <c r="AP72" s="162"/>
      <c r="AQ72" s="155"/>
      <c r="AR72" s="155"/>
      <c r="AT72" s="155"/>
      <c r="AU72" s="153"/>
      <c r="AV72" s="155"/>
      <c r="AW72" s="155"/>
      <c r="AX72" s="156"/>
      <c r="AY72" s="162"/>
      <c r="AZ72" s="155"/>
      <c r="BA72" s="155"/>
      <c r="BC72" s="159"/>
      <c r="BD72" s="160"/>
      <c r="BE72" s="155"/>
      <c r="BF72" s="155"/>
      <c r="BG72" s="156"/>
      <c r="BH72" s="162"/>
      <c r="BI72" s="155"/>
      <c r="BJ72" s="155"/>
      <c r="BL72" s="237"/>
      <c r="BM72" s="230"/>
      <c r="BN72" s="230"/>
      <c r="BO72" s="230"/>
      <c r="BP72" s="231"/>
      <c r="BQ72" s="232"/>
      <c r="BR72" s="230"/>
      <c r="BS72" s="230"/>
      <c r="BU72" s="155"/>
      <c r="BV72" s="153"/>
      <c r="BW72" s="155"/>
      <c r="BX72" s="155"/>
      <c r="BY72" s="156"/>
      <c r="BZ72" s="162"/>
      <c r="CA72" s="155"/>
      <c r="CB72" s="155"/>
      <c r="CD72" s="329"/>
      <c r="CE72" s="325"/>
      <c r="CF72" s="325"/>
      <c r="CG72" s="325"/>
      <c r="CH72" s="326"/>
      <c r="CI72" s="330"/>
      <c r="CJ72" s="325"/>
      <c r="CK72" s="325"/>
      <c r="CM72" s="329"/>
      <c r="CN72" s="325"/>
      <c r="CO72" s="325"/>
      <c r="CP72" s="325"/>
      <c r="CQ72" s="326"/>
      <c r="CR72" s="330"/>
      <c r="CS72" s="325"/>
      <c r="CT72" s="325"/>
      <c r="CW72" s="108"/>
      <c r="CX72" s="108"/>
      <c r="CY72" s="108"/>
      <c r="CZ72" s="400"/>
      <c r="DA72" s="125"/>
      <c r="DB72" s="108"/>
      <c r="DC72" s="108"/>
    </row>
    <row r="73" spans="1:107">
      <c r="A73" s="430">
        <v>331313</v>
      </c>
      <c r="B73" s="433" t="s">
        <v>285</v>
      </c>
      <c r="C73" s="433" t="s">
        <v>900</v>
      </c>
      <c r="D73" s="430">
        <v>211104</v>
      </c>
      <c r="E73" s="435">
        <v>91025</v>
      </c>
      <c r="F73" s="437">
        <v>46052</v>
      </c>
      <c r="G73" s="433" t="s">
        <v>512</v>
      </c>
      <c r="H73" s="433" t="s">
        <v>691</v>
      </c>
      <c r="J73" s="430">
        <v>331315</v>
      </c>
      <c r="K73" s="433" t="s">
        <v>286</v>
      </c>
      <c r="L73" s="433" t="s">
        <v>780</v>
      </c>
      <c r="M73" s="430">
        <v>211104</v>
      </c>
      <c r="N73" s="435">
        <v>7132.24</v>
      </c>
      <c r="O73" s="437">
        <v>46071</v>
      </c>
      <c r="P73" s="433" t="s">
        <v>512</v>
      </c>
      <c r="Q73" s="433" t="s">
        <v>671</v>
      </c>
      <c r="S73" s="464">
        <v>332505</v>
      </c>
      <c r="T73" s="461" t="s">
        <v>419</v>
      </c>
      <c r="U73" s="461" t="s">
        <v>1016</v>
      </c>
      <c r="V73" s="464">
        <v>211104</v>
      </c>
      <c r="W73" s="462">
        <v>780</v>
      </c>
      <c r="X73" s="463">
        <v>46094</v>
      </c>
      <c r="Y73" s="461" t="s">
        <v>513</v>
      </c>
      <c r="Z73" s="461" t="s">
        <v>1011</v>
      </c>
      <c r="AB73" s="474">
        <v>332503</v>
      </c>
      <c r="AC73" s="472" t="s">
        <v>322</v>
      </c>
      <c r="AD73" s="472" t="s">
        <v>1191</v>
      </c>
      <c r="AE73" s="474">
        <v>211103</v>
      </c>
      <c r="AF73" s="473">
        <v>32595.23</v>
      </c>
      <c r="AG73" s="477">
        <v>46128</v>
      </c>
      <c r="AH73" s="472" t="s">
        <v>512</v>
      </c>
      <c r="AI73" s="472" t="s">
        <v>1133</v>
      </c>
      <c r="AK73" s="158"/>
      <c r="AL73" s="154"/>
      <c r="AM73" s="158"/>
      <c r="AN73" s="158"/>
      <c r="AO73" s="157"/>
      <c r="AP73" s="163"/>
      <c r="AQ73" s="158"/>
      <c r="AR73" s="158"/>
      <c r="AT73" s="158"/>
      <c r="AU73" s="154"/>
      <c r="AV73" s="158"/>
      <c r="AW73" s="158"/>
      <c r="AX73" s="157"/>
      <c r="AY73" s="163"/>
      <c r="AZ73" s="158"/>
      <c r="BA73" s="158"/>
      <c r="BC73" s="158"/>
      <c r="BD73" s="154"/>
      <c r="BE73" s="158"/>
      <c r="BF73" s="158"/>
      <c r="BG73" s="157"/>
      <c r="BH73" s="163"/>
      <c r="BI73" s="158"/>
      <c r="BJ73" s="158"/>
      <c r="BL73" s="236"/>
      <c r="BM73" s="233"/>
      <c r="BN73" s="233"/>
      <c r="BO73" s="233"/>
      <c r="BP73" s="234"/>
      <c r="BQ73" s="235"/>
      <c r="BR73" s="233"/>
      <c r="BS73" s="233"/>
      <c r="BU73" s="158"/>
      <c r="BV73" s="154"/>
      <c r="BW73" s="158"/>
      <c r="BX73" s="158"/>
      <c r="BY73" s="157"/>
      <c r="BZ73" s="163"/>
      <c r="CA73" s="158"/>
      <c r="CB73" s="158"/>
      <c r="CD73" s="332"/>
      <c r="CE73" s="327"/>
      <c r="CF73" s="327"/>
      <c r="CG73" s="327"/>
      <c r="CH73" s="328"/>
      <c r="CI73" s="331"/>
      <c r="CJ73" s="327"/>
      <c r="CK73" s="327"/>
      <c r="CM73" s="332"/>
      <c r="CN73" s="327"/>
      <c r="CO73" s="327"/>
      <c r="CP73" s="327"/>
      <c r="CQ73" s="328"/>
      <c r="CR73" s="331"/>
      <c r="CS73" s="327"/>
      <c r="CT73" s="327"/>
      <c r="CV73" s="112"/>
      <c r="CW73" s="110"/>
      <c r="CX73" s="110"/>
      <c r="CY73" s="110"/>
      <c r="CZ73" s="399"/>
      <c r="DA73" s="127"/>
      <c r="DB73" s="110"/>
      <c r="DC73" s="110"/>
    </row>
    <row r="74" spans="1:107">
      <c r="A74" s="431">
        <v>331301</v>
      </c>
      <c r="B74" s="432" t="s">
        <v>281</v>
      </c>
      <c r="C74" s="432" t="s">
        <v>901</v>
      </c>
      <c r="D74" s="431">
        <v>215101</v>
      </c>
      <c r="E74" s="434">
        <v>523866.45</v>
      </c>
      <c r="F74" s="436">
        <v>46051</v>
      </c>
      <c r="G74" s="432" t="s">
        <v>512</v>
      </c>
      <c r="H74" s="432" t="s">
        <v>727</v>
      </c>
      <c r="J74" s="431">
        <v>331305</v>
      </c>
      <c r="K74" s="432" t="s">
        <v>282</v>
      </c>
      <c r="L74" s="432" t="s">
        <v>773</v>
      </c>
      <c r="M74" s="431">
        <v>211104</v>
      </c>
      <c r="N74" s="434">
        <v>36388.14</v>
      </c>
      <c r="O74" s="436">
        <v>46063</v>
      </c>
      <c r="P74" s="432" t="s">
        <v>512</v>
      </c>
      <c r="Q74" s="432" t="s">
        <v>706</v>
      </c>
      <c r="S74" s="465">
        <v>332409</v>
      </c>
      <c r="T74" s="458" t="s">
        <v>315</v>
      </c>
      <c r="U74" s="458" t="s">
        <v>1012</v>
      </c>
      <c r="V74" s="465">
        <v>211104</v>
      </c>
      <c r="W74" s="459">
        <v>9480</v>
      </c>
      <c r="X74" s="460">
        <v>46100</v>
      </c>
      <c r="Y74" s="458" t="s">
        <v>513</v>
      </c>
      <c r="Z74" s="458" t="s">
        <v>1013</v>
      </c>
      <c r="AB74" s="469">
        <v>332990</v>
      </c>
      <c r="AC74" s="470" t="s">
        <v>328</v>
      </c>
      <c r="AD74" s="470" t="s">
        <v>1192</v>
      </c>
      <c r="AE74" s="469">
        <v>211104</v>
      </c>
      <c r="AF74" s="471">
        <v>2865.34</v>
      </c>
      <c r="AG74" s="476">
        <v>46120</v>
      </c>
      <c r="AH74" s="470" t="s">
        <v>513</v>
      </c>
      <c r="AI74" s="470" t="s">
        <v>1193</v>
      </c>
      <c r="AK74" s="155"/>
      <c r="AL74" s="153"/>
      <c r="AM74" s="155"/>
      <c r="AN74" s="155"/>
      <c r="AO74" s="156"/>
      <c r="AP74" s="162"/>
      <c r="AQ74" s="155"/>
      <c r="AR74" s="155"/>
      <c r="AT74" s="155"/>
      <c r="AU74" s="153"/>
      <c r="AV74" s="155"/>
      <c r="AW74" s="155"/>
      <c r="AX74" s="156"/>
      <c r="AY74" s="162"/>
      <c r="AZ74" s="155"/>
      <c r="BA74" s="155"/>
      <c r="BC74" s="155"/>
      <c r="BD74" s="153"/>
      <c r="BE74" s="155"/>
      <c r="BF74" s="155"/>
      <c r="BG74" s="156"/>
      <c r="BH74" s="162"/>
      <c r="BI74" s="155"/>
      <c r="BJ74" s="155"/>
      <c r="BL74" s="237"/>
      <c r="BM74" s="230"/>
      <c r="BN74" s="230"/>
      <c r="BO74" s="230"/>
      <c r="BP74" s="231"/>
      <c r="BQ74" s="232"/>
      <c r="BR74" s="230"/>
      <c r="BS74" s="230"/>
      <c r="BU74" s="155"/>
      <c r="BV74" s="153"/>
      <c r="BW74" s="155"/>
      <c r="BX74" s="155"/>
      <c r="BY74" s="156"/>
      <c r="BZ74" s="162"/>
      <c r="CA74" s="155"/>
      <c r="CB74" s="155"/>
      <c r="CD74" s="329"/>
      <c r="CE74" s="325"/>
      <c r="CF74" s="325"/>
      <c r="CG74" s="325"/>
      <c r="CH74" s="326"/>
      <c r="CI74" s="330"/>
      <c r="CJ74" s="325"/>
      <c r="CK74" s="325"/>
      <c r="CM74" s="329"/>
      <c r="CN74" s="325"/>
      <c r="CO74" s="325"/>
      <c r="CP74" s="325"/>
      <c r="CQ74" s="326"/>
      <c r="CR74" s="330"/>
      <c r="CS74" s="325"/>
      <c r="CT74" s="325"/>
      <c r="CW74" s="108"/>
      <c r="CX74" s="108"/>
      <c r="CY74" s="108"/>
      <c r="CZ74" s="400"/>
      <c r="DA74" s="125"/>
      <c r="DB74" s="108"/>
      <c r="DC74" s="108"/>
    </row>
    <row r="75" spans="1:107">
      <c r="A75" s="430">
        <v>331302</v>
      </c>
      <c r="B75" s="433" t="s">
        <v>40</v>
      </c>
      <c r="C75" s="433" t="s">
        <v>902</v>
      </c>
      <c r="D75" s="430">
        <v>211104</v>
      </c>
      <c r="E75" s="435">
        <v>86784.1</v>
      </c>
      <c r="F75" s="437">
        <v>46041</v>
      </c>
      <c r="G75" s="433" t="s">
        <v>512</v>
      </c>
      <c r="H75" s="433" t="s">
        <v>863</v>
      </c>
      <c r="J75" s="430">
        <v>332414</v>
      </c>
      <c r="K75" s="433" t="s">
        <v>316</v>
      </c>
      <c r="L75" s="433" t="s">
        <v>787</v>
      </c>
      <c r="M75" s="430">
        <v>211104</v>
      </c>
      <c r="N75" s="435">
        <v>14308.96</v>
      </c>
      <c r="O75" s="437">
        <v>46058</v>
      </c>
      <c r="P75" s="433" t="s">
        <v>513</v>
      </c>
      <c r="Q75" s="433" t="s">
        <v>788</v>
      </c>
      <c r="S75" s="464">
        <v>332406</v>
      </c>
      <c r="T75" s="461" t="s">
        <v>204</v>
      </c>
      <c r="U75" s="461" t="s">
        <v>1010</v>
      </c>
      <c r="V75" s="464">
        <v>215101</v>
      </c>
      <c r="W75" s="462">
        <v>1000</v>
      </c>
      <c r="X75" s="463">
        <v>46094</v>
      </c>
      <c r="Y75" s="461" t="s">
        <v>513</v>
      </c>
      <c r="Z75" s="461" t="s">
        <v>1011</v>
      </c>
      <c r="AB75" s="474">
        <v>332308</v>
      </c>
      <c r="AC75" s="472" t="s">
        <v>311</v>
      </c>
      <c r="AD75" s="472" t="s">
        <v>1194</v>
      </c>
      <c r="AE75" s="474">
        <v>211104</v>
      </c>
      <c r="AF75" s="473">
        <v>18780.05</v>
      </c>
      <c r="AG75" s="477">
        <v>46142</v>
      </c>
      <c r="AH75" s="472" t="s">
        <v>513</v>
      </c>
      <c r="AI75" s="472" t="s">
        <v>1195</v>
      </c>
      <c r="AK75" s="158"/>
      <c r="AL75" s="154"/>
      <c r="AM75" s="158"/>
      <c r="AN75" s="158"/>
      <c r="AO75" s="157"/>
      <c r="AP75" s="163"/>
      <c r="AQ75" s="158"/>
      <c r="AR75" s="158"/>
      <c r="AT75" s="158"/>
      <c r="AU75" s="154"/>
      <c r="AV75" s="158"/>
      <c r="AW75" s="158"/>
      <c r="AX75" s="157"/>
      <c r="AY75" s="163"/>
      <c r="AZ75" s="158"/>
      <c r="BA75" s="158"/>
      <c r="BC75" s="158"/>
      <c r="BD75" s="154"/>
      <c r="BE75" s="158"/>
      <c r="BF75" s="158"/>
      <c r="BG75" s="157"/>
      <c r="BH75" s="163"/>
      <c r="BI75" s="158"/>
      <c r="BJ75" s="158"/>
      <c r="BL75" s="236"/>
      <c r="BM75" s="233"/>
      <c r="BN75" s="233"/>
      <c r="BO75" s="233"/>
      <c r="BP75" s="234"/>
      <c r="BQ75" s="235"/>
      <c r="BR75" s="233"/>
      <c r="BS75" s="233"/>
      <c r="BU75" s="158"/>
      <c r="BV75" s="154"/>
      <c r="BW75" s="158"/>
      <c r="BX75" s="158"/>
      <c r="BY75" s="157"/>
      <c r="BZ75" s="163"/>
      <c r="CA75" s="158"/>
      <c r="CB75" s="158"/>
      <c r="CD75" s="332"/>
      <c r="CE75" s="327"/>
      <c r="CF75" s="327"/>
      <c r="CG75" s="327"/>
      <c r="CH75" s="328"/>
      <c r="CI75" s="331"/>
      <c r="CJ75" s="327"/>
      <c r="CK75" s="327"/>
      <c r="CM75" s="332"/>
      <c r="CN75" s="327"/>
      <c r="CO75" s="327"/>
      <c r="CP75" s="327"/>
      <c r="CQ75" s="328"/>
      <c r="CR75" s="331"/>
      <c r="CS75" s="327"/>
      <c r="CT75" s="327"/>
      <c r="CV75" s="112"/>
      <c r="CW75" s="110"/>
      <c r="CX75" s="110"/>
      <c r="CY75" s="110"/>
      <c r="CZ75" s="399"/>
      <c r="DA75" s="127"/>
      <c r="DB75" s="110"/>
      <c r="DC75" s="110"/>
    </row>
    <row r="76" spans="1:107">
      <c r="A76" s="431">
        <v>331303</v>
      </c>
      <c r="B76" s="432" t="s">
        <v>6</v>
      </c>
      <c r="C76" s="432" t="s">
        <v>903</v>
      </c>
      <c r="D76" s="431">
        <v>211104</v>
      </c>
      <c r="E76" s="434">
        <v>1815.56</v>
      </c>
      <c r="F76" s="436">
        <v>46037</v>
      </c>
      <c r="G76" s="432" t="s">
        <v>512</v>
      </c>
      <c r="H76" s="432" t="s">
        <v>700</v>
      </c>
      <c r="J76" s="431">
        <v>332415</v>
      </c>
      <c r="K76" s="432" t="s">
        <v>317</v>
      </c>
      <c r="L76" s="432" t="s">
        <v>809</v>
      </c>
      <c r="M76" s="431">
        <v>211104</v>
      </c>
      <c r="N76" s="434">
        <v>5000</v>
      </c>
      <c r="O76" s="436">
        <v>46066</v>
      </c>
      <c r="P76" s="432" t="s">
        <v>513</v>
      </c>
      <c r="Q76" s="432" t="s">
        <v>810</v>
      </c>
      <c r="S76" s="465">
        <v>332405</v>
      </c>
      <c r="T76" s="458" t="s">
        <v>314</v>
      </c>
      <c r="U76" s="458" t="s">
        <v>1008</v>
      </c>
      <c r="V76" s="465">
        <v>215101</v>
      </c>
      <c r="W76" s="459">
        <v>127452.17</v>
      </c>
      <c r="X76" s="460">
        <v>46097</v>
      </c>
      <c r="Y76" s="458" t="s">
        <v>513</v>
      </c>
      <c r="Z76" s="458" t="s">
        <v>1009</v>
      </c>
      <c r="AB76" s="469">
        <v>332510</v>
      </c>
      <c r="AC76" s="470" t="s">
        <v>441</v>
      </c>
      <c r="AD76" s="470" t="s">
        <v>1196</v>
      </c>
      <c r="AE76" s="469">
        <v>211104</v>
      </c>
      <c r="AF76" s="471">
        <v>16150</v>
      </c>
      <c r="AG76" s="476">
        <v>46142</v>
      </c>
      <c r="AH76" s="470" t="s">
        <v>513</v>
      </c>
      <c r="AI76" s="470" t="s">
        <v>1195</v>
      </c>
      <c r="AK76" s="155"/>
      <c r="AL76" s="153"/>
      <c r="AM76" s="155"/>
      <c r="AN76" s="155"/>
      <c r="AO76" s="156"/>
      <c r="AP76" s="162"/>
      <c r="AQ76" s="155"/>
      <c r="AR76" s="155"/>
      <c r="AT76" s="155"/>
      <c r="AU76" s="153"/>
      <c r="AV76" s="155"/>
      <c r="AW76" s="155"/>
      <c r="AX76" s="156"/>
      <c r="AY76" s="162"/>
      <c r="AZ76" s="155"/>
      <c r="BA76" s="155"/>
      <c r="BC76" s="155"/>
      <c r="BD76" s="153"/>
      <c r="BE76" s="155"/>
      <c r="BF76" s="155"/>
      <c r="BG76" s="156"/>
      <c r="BH76" s="162"/>
      <c r="BI76" s="155"/>
      <c r="BJ76" s="155"/>
      <c r="BL76" s="237"/>
      <c r="BM76" s="230"/>
      <c r="BN76" s="230"/>
      <c r="BO76" s="230"/>
      <c r="BP76" s="231"/>
      <c r="BQ76" s="232"/>
      <c r="BR76" s="230"/>
      <c r="BS76" s="230"/>
      <c r="BU76" s="155"/>
      <c r="BV76" s="153"/>
      <c r="BW76" s="155"/>
      <c r="BX76" s="155"/>
      <c r="BY76" s="156"/>
      <c r="BZ76" s="162"/>
      <c r="CA76" s="155"/>
      <c r="CB76" s="155"/>
      <c r="CD76" s="329"/>
      <c r="CE76" s="325"/>
      <c r="CF76" s="325"/>
      <c r="CG76" s="325"/>
      <c r="CH76" s="326"/>
      <c r="CI76" s="330"/>
      <c r="CJ76" s="325"/>
      <c r="CK76" s="325"/>
      <c r="CM76" s="329"/>
      <c r="CN76" s="325"/>
      <c r="CO76" s="325"/>
      <c r="CP76" s="325"/>
      <c r="CQ76" s="326"/>
      <c r="CR76" s="330"/>
      <c r="CS76" s="325"/>
      <c r="CT76" s="325"/>
      <c r="CW76" s="108"/>
      <c r="CX76" s="108"/>
      <c r="CY76" s="108"/>
      <c r="CZ76" s="400"/>
      <c r="DA76" s="125"/>
      <c r="DB76" s="108"/>
      <c r="DC76" s="108"/>
    </row>
    <row r="77" spans="1:107">
      <c r="A77" s="430">
        <v>331310</v>
      </c>
      <c r="B77" s="433" t="s">
        <v>283</v>
      </c>
      <c r="C77" s="433" t="s">
        <v>904</v>
      </c>
      <c r="D77" s="430">
        <v>211104</v>
      </c>
      <c r="E77" s="435">
        <v>58136.55</v>
      </c>
      <c r="F77" s="437">
        <v>46029</v>
      </c>
      <c r="G77" s="433" t="s">
        <v>513</v>
      </c>
      <c r="H77" s="433" t="s">
        <v>905</v>
      </c>
      <c r="J77" s="430">
        <v>331308</v>
      </c>
      <c r="K77" s="433" t="s">
        <v>407</v>
      </c>
      <c r="L77" s="433" t="s">
        <v>828</v>
      </c>
      <c r="M77" s="430">
        <v>215101</v>
      </c>
      <c r="N77" s="435">
        <v>200</v>
      </c>
      <c r="O77" s="437">
        <v>46077</v>
      </c>
      <c r="P77" s="433" t="s">
        <v>513</v>
      </c>
      <c r="Q77" s="433" t="s">
        <v>829</v>
      </c>
      <c r="S77" s="464">
        <v>332414</v>
      </c>
      <c r="T77" s="461" t="s">
        <v>316</v>
      </c>
      <c r="U77" s="461" t="s">
        <v>1006</v>
      </c>
      <c r="V77" s="464">
        <v>211104</v>
      </c>
      <c r="W77" s="462">
        <v>28225</v>
      </c>
      <c r="X77" s="463">
        <v>46092</v>
      </c>
      <c r="Y77" s="461" t="s">
        <v>513</v>
      </c>
      <c r="Z77" s="461" t="s">
        <v>1007</v>
      </c>
      <c r="AB77" s="474">
        <v>332908</v>
      </c>
      <c r="AC77" s="472" t="s">
        <v>327</v>
      </c>
      <c r="AD77" s="472" t="s">
        <v>1197</v>
      </c>
      <c r="AE77" s="474">
        <v>215101</v>
      </c>
      <c r="AF77" s="473">
        <v>13454.5</v>
      </c>
      <c r="AG77" s="477">
        <v>46113</v>
      </c>
      <c r="AH77" s="472" t="s">
        <v>513</v>
      </c>
      <c r="AI77" s="472" t="s">
        <v>1198</v>
      </c>
      <c r="AK77" s="158"/>
      <c r="AL77" s="154"/>
      <c r="AM77" s="158"/>
      <c r="AN77" s="158"/>
      <c r="AO77" s="157"/>
      <c r="AP77" s="163"/>
      <c r="AQ77" s="158"/>
      <c r="AR77" s="158"/>
      <c r="AT77" s="158"/>
      <c r="AU77" s="154"/>
      <c r="AV77" s="158"/>
      <c r="AW77" s="158"/>
      <c r="AX77" s="157"/>
      <c r="AY77" s="163"/>
      <c r="AZ77" s="158"/>
      <c r="BA77" s="158"/>
      <c r="BC77" s="158"/>
      <c r="BD77" s="154"/>
      <c r="BE77" s="158"/>
      <c r="BF77" s="158"/>
      <c r="BG77" s="157"/>
      <c r="BH77" s="163"/>
      <c r="BI77" s="158"/>
      <c r="BJ77" s="158"/>
      <c r="BL77" s="236"/>
      <c r="BM77" s="233"/>
      <c r="BN77" s="233"/>
      <c r="BO77" s="233"/>
      <c r="BP77" s="234"/>
      <c r="BQ77" s="235"/>
      <c r="BR77" s="233"/>
      <c r="BS77" s="233"/>
      <c r="BU77" s="158"/>
      <c r="BV77" s="154"/>
      <c r="BW77" s="158"/>
      <c r="BX77" s="158"/>
      <c r="BY77" s="157"/>
      <c r="BZ77" s="163"/>
      <c r="CA77" s="158"/>
      <c r="CB77" s="158"/>
      <c r="CD77" s="332"/>
      <c r="CE77" s="327"/>
      <c r="CF77" s="327"/>
      <c r="CG77" s="327"/>
      <c r="CH77" s="328"/>
      <c r="CI77" s="331"/>
      <c r="CJ77" s="327"/>
      <c r="CK77" s="327"/>
      <c r="CM77" s="332"/>
      <c r="CN77" s="327"/>
      <c r="CO77" s="327"/>
      <c r="CP77" s="327"/>
      <c r="CQ77" s="328"/>
      <c r="CR77" s="331"/>
      <c r="CS77" s="327"/>
      <c r="CT77" s="327"/>
      <c r="CV77" s="112"/>
      <c r="CW77" s="110"/>
      <c r="CX77" s="110"/>
      <c r="CY77" s="110"/>
      <c r="CZ77" s="399"/>
      <c r="DA77" s="127"/>
      <c r="DB77" s="110"/>
      <c r="DC77" s="110"/>
    </row>
    <row r="78" spans="1:107">
      <c r="A78" s="431">
        <v>331251</v>
      </c>
      <c r="B78" s="432" t="s">
        <v>278</v>
      </c>
      <c r="C78" s="432" t="s">
        <v>820</v>
      </c>
      <c r="D78" s="431">
        <v>211104</v>
      </c>
      <c r="E78" s="434">
        <v>10010</v>
      </c>
      <c r="F78" s="436">
        <v>46038</v>
      </c>
      <c r="G78" s="432" t="s">
        <v>513</v>
      </c>
      <c r="H78" s="432" t="s">
        <v>821</v>
      </c>
      <c r="J78" s="431">
        <v>331310</v>
      </c>
      <c r="K78" s="432" t="s">
        <v>283</v>
      </c>
      <c r="L78" s="432" t="s">
        <v>826</v>
      </c>
      <c r="M78" s="431">
        <v>211104</v>
      </c>
      <c r="N78" s="434">
        <v>32668.76</v>
      </c>
      <c r="O78" s="436">
        <v>46058</v>
      </c>
      <c r="P78" s="432" t="s">
        <v>513</v>
      </c>
      <c r="Q78" s="432" t="s">
        <v>788</v>
      </c>
      <c r="S78" s="465">
        <v>128801</v>
      </c>
      <c r="T78" s="458" t="s">
        <v>492</v>
      </c>
      <c r="U78" s="458" t="s">
        <v>1020</v>
      </c>
      <c r="V78" s="465">
        <v>211104</v>
      </c>
      <c r="W78" s="459">
        <v>7949.51</v>
      </c>
      <c r="X78" s="460">
        <v>46112</v>
      </c>
      <c r="Y78" s="458" t="s">
        <v>513</v>
      </c>
      <c r="Z78" s="458" t="s">
        <v>1021</v>
      </c>
      <c r="AB78" s="469">
        <v>332404</v>
      </c>
      <c r="AC78" s="470" t="s">
        <v>313</v>
      </c>
      <c r="AD78" s="470" t="s">
        <v>1199</v>
      </c>
      <c r="AE78" s="469">
        <v>211104</v>
      </c>
      <c r="AF78" s="471">
        <v>7406</v>
      </c>
      <c r="AG78" s="476">
        <v>46120</v>
      </c>
      <c r="AH78" s="470" t="s">
        <v>513</v>
      </c>
      <c r="AI78" s="470" t="s">
        <v>1193</v>
      </c>
      <c r="AK78" s="155"/>
      <c r="AL78" s="153"/>
      <c r="AM78" s="155"/>
      <c r="AN78" s="155"/>
      <c r="AO78" s="156"/>
      <c r="AP78" s="162"/>
      <c r="AQ78" s="155"/>
      <c r="AR78" s="155"/>
      <c r="AT78" s="155"/>
      <c r="AU78" s="153"/>
      <c r="AV78" s="155"/>
      <c r="AW78" s="155"/>
      <c r="AX78" s="156"/>
      <c r="AY78" s="162"/>
      <c r="AZ78" s="155"/>
      <c r="BA78" s="155"/>
      <c r="BC78" s="155"/>
      <c r="BD78" s="153"/>
      <c r="BE78" s="155"/>
      <c r="BF78" s="155"/>
      <c r="BG78" s="156"/>
      <c r="BH78" s="162"/>
      <c r="BI78" s="155"/>
      <c r="BJ78" s="155"/>
      <c r="BL78" s="237"/>
      <c r="BM78" s="230"/>
      <c r="BN78" s="230"/>
      <c r="BO78" s="230"/>
      <c r="BP78" s="231"/>
      <c r="BQ78" s="232"/>
      <c r="BR78" s="230"/>
      <c r="BS78" s="230"/>
      <c r="BU78" s="155"/>
      <c r="BV78" s="153"/>
      <c r="BW78" s="155"/>
      <c r="BX78" s="155"/>
      <c r="BY78" s="156"/>
      <c r="BZ78" s="162"/>
      <c r="CA78" s="155"/>
      <c r="CB78" s="155"/>
      <c r="CD78" s="329"/>
      <c r="CE78" s="325"/>
      <c r="CF78" s="325"/>
      <c r="CG78" s="325"/>
      <c r="CH78" s="326"/>
      <c r="CI78" s="330"/>
      <c r="CJ78" s="325"/>
      <c r="CK78" s="325"/>
      <c r="CM78" s="329"/>
      <c r="CN78" s="325"/>
      <c r="CO78" s="325"/>
      <c r="CP78" s="325"/>
      <c r="CQ78" s="326"/>
      <c r="CR78" s="330"/>
      <c r="CS78" s="325"/>
      <c r="CT78" s="325"/>
      <c r="CW78" s="108"/>
      <c r="CX78" s="108"/>
      <c r="CY78" s="108"/>
      <c r="CZ78" s="400"/>
      <c r="DA78" s="125"/>
      <c r="DB78" s="108"/>
      <c r="DC78" s="108"/>
    </row>
    <row r="79" spans="1:107">
      <c r="A79" s="430">
        <v>331206</v>
      </c>
      <c r="B79" s="433" t="s">
        <v>277</v>
      </c>
      <c r="C79" s="433" t="s">
        <v>906</v>
      </c>
      <c r="D79" s="430">
        <v>211104</v>
      </c>
      <c r="E79" s="435">
        <v>21062.400000000001</v>
      </c>
      <c r="F79" s="437">
        <v>46031</v>
      </c>
      <c r="G79" s="433" t="s">
        <v>513</v>
      </c>
      <c r="H79" s="433" t="s">
        <v>803</v>
      </c>
      <c r="J79" s="430">
        <v>116112</v>
      </c>
      <c r="K79" s="433" t="s">
        <v>263</v>
      </c>
      <c r="L79" s="433" t="s">
        <v>805</v>
      </c>
      <c r="M79" s="430">
        <v>211103</v>
      </c>
      <c r="N79" s="435">
        <v>141.35</v>
      </c>
      <c r="O79" s="437">
        <v>46064</v>
      </c>
      <c r="P79" s="433" t="s">
        <v>513</v>
      </c>
      <c r="Q79" s="433" t="s">
        <v>806</v>
      </c>
      <c r="S79" s="464">
        <v>332510</v>
      </c>
      <c r="T79" s="461" t="s">
        <v>441</v>
      </c>
      <c r="U79" s="461" t="s">
        <v>1014</v>
      </c>
      <c r="V79" s="464">
        <v>211104</v>
      </c>
      <c r="W79" s="462">
        <v>5950</v>
      </c>
      <c r="X79" s="463">
        <v>46111</v>
      </c>
      <c r="Y79" s="461" t="s">
        <v>513</v>
      </c>
      <c r="Z79" s="461" t="s">
        <v>1015</v>
      </c>
      <c r="AB79" s="474">
        <v>332490</v>
      </c>
      <c r="AC79" s="472" t="s">
        <v>319</v>
      </c>
      <c r="AD79" s="472" t="s">
        <v>1200</v>
      </c>
      <c r="AE79" s="474">
        <v>211104</v>
      </c>
      <c r="AF79" s="473">
        <v>18200</v>
      </c>
      <c r="AG79" s="477">
        <v>46118</v>
      </c>
      <c r="AH79" s="472" t="s">
        <v>513</v>
      </c>
      <c r="AI79" s="472" t="s">
        <v>1201</v>
      </c>
      <c r="AK79" s="158"/>
      <c r="AL79" s="154"/>
      <c r="AM79" s="158"/>
      <c r="AN79" s="158"/>
      <c r="AO79" s="157"/>
      <c r="AP79" s="163"/>
      <c r="AQ79" s="158"/>
      <c r="AR79" s="158"/>
      <c r="AT79" s="158"/>
      <c r="AU79" s="154"/>
      <c r="AV79" s="158"/>
      <c r="AW79" s="158"/>
      <c r="AX79" s="157"/>
      <c r="AY79" s="163"/>
      <c r="AZ79" s="158"/>
      <c r="BA79" s="158"/>
      <c r="BC79" s="158"/>
      <c r="BD79" s="154"/>
      <c r="BE79" s="158"/>
      <c r="BF79" s="158"/>
      <c r="BG79" s="157"/>
      <c r="BH79" s="163"/>
      <c r="BI79" s="158"/>
      <c r="BJ79" s="158"/>
      <c r="BL79" s="236"/>
      <c r="BM79" s="233"/>
      <c r="BN79" s="233"/>
      <c r="BO79" s="233"/>
      <c r="BP79" s="234"/>
      <c r="BQ79" s="235"/>
      <c r="BR79" s="233"/>
      <c r="BS79" s="233"/>
      <c r="BU79" s="158"/>
      <c r="BV79" s="154"/>
      <c r="BW79" s="158"/>
      <c r="BX79" s="158"/>
      <c r="BY79" s="157"/>
      <c r="BZ79" s="163"/>
      <c r="CA79" s="158"/>
      <c r="CB79" s="158"/>
      <c r="CD79" s="332"/>
      <c r="CE79" s="327"/>
      <c r="CF79" s="327"/>
      <c r="CG79" s="327"/>
      <c r="CH79" s="328"/>
      <c r="CI79" s="331"/>
      <c r="CJ79" s="327"/>
      <c r="CK79" s="327"/>
      <c r="CM79" s="332"/>
      <c r="CN79" s="327"/>
      <c r="CO79" s="327"/>
      <c r="CP79" s="327"/>
      <c r="CQ79" s="328"/>
      <c r="CR79" s="331"/>
      <c r="CS79" s="327"/>
      <c r="CT79" s="327"/>
      <c r="CV79" s="112"/>
      <c r="CW79" s="110"/>
      <c r="CX79" s="110"/>
      <c r="CY79" s="110"/>
      <c r="CZ79" s="399"/>
      <c r="DA79" s="127"/>
      <c r="DB79" s="110"/>
      <c r="DC79" s="110"/>
    </row>
    <row r="80" spans="1:107">
      <c r="A80" s="431">
        <v>331405</v>
      </c>
      <c r="B80" s="432" t="s">
        <v>567</v>
      </c>
      <c r="C80" s="432" t="s">
        <v>907</v>
      </c>
      <c r="D80" s="431">
        <v>211104</v>
      </c>
      <c r="E80" s="434">
        <v>14147.4</v>
      </c>
      <c r="F80" s="436">
        <v>46043</v>
      </c>
      <c r="G80" s="432" t="s">
        <v>513</v>
      </c>
      <c r="H80" s="432" t="s">
        <v>908</v>
      </c>
      <c r="J80" s="431">
        <v>331318</v>
      </c>
      <c r="K80" s="432" t="s">
        <v>289</v>
      </c>
      <c r="L80" s="432" t="s">
        <v>824</v>
      </c>
      <c r="M80" s="431">
        <v>211104</v>
      </c>
      <c r="N80" s="434">
        <v>155</v>
      </c>
      <c r="O80" s="436">
        <v>46071</v>
      </c>
      <c r="P80" s="432" t="s">
        <v>513</v>
      </c>
      <c r="Q80" s="432" t="s">
        <v>797</v>
      </c>
      <c r="S80" s="465">
        <v>332602</v>
      </c>
      <c r="T80" s="458" t="s">
        <v>326</v>
      </c>
      <c r="U80" s="458" t="s">
        <v>1022</v>
      </c>
      <c r="V80" s="465">
        <v>215101</v>
      </c>
      <c r="W80" s="459">
        <v>11158.62</v>
      </c>
      <c r="X80" s="460">
        <v>46086</v>
      </c>
      <c r="Y80" s="458" t="s">
        <v>513</v>
      </c>
      <c r="Z80" s="458" t="s">
        <v>1023</v>
      </c>
      <c r="AB80" s="469">
        <v>332414</v>
      </c>
      <c r="AC80" s="470" t="s">
        <v>316</v>
      </c>
      <c r="AD80" s="470" t="s">
        <v>1202</v>
      </c>
      <c r="AE80" s="469">
        <v>211104</v>
      </c>
      <c r="AF80" s="471">
        <v>26750</v>
      </c>
      <c r="AG80" s="476">
        <v>46142</v>
      </c>
      <c r="AH80" s="470" t="s">
        <v>513</v>
      </c>
      <c r="AI80" s="470" t="s">
        <v>1195</v>
      </c>
      <c r="AK80" s="155"/>
      <c r="AL80" s="153"/>
      <c r="AM80" s="155"/>
      <c r="AN80" s="155"/>
      <c r="AO80" s="156"/>
      <c r="AP80" s="162"/>
      <c r="AQ80" s="155"/>
      <c r="AR80" s="155"/>
      <c r="AT80" s="155"/>
      <c r="AU80" s="153"/>
      <c r="AV80" s="155"/>
      <c r="AW80" s="155"/>
      <c r="AX80" s="156"/>
      <c r="AY80" s="162"/>
      <c r="AZ80" s="155"/>
      <c r="BA80" s="155"/>
      <c r="BC80" s="155"/>
      <c r="BD80" s="153"/>
      <c r="BE80" s="155"/>
      <c r="BF80" s="155"/>
      <c r="BG80" s="156"/>
      <c r="BH80" s="162"/>
      <c r="BI80" s="155"/>
      <c r="BJ80" s="155"/>
      <c r="BL80" s="237"/>
      <c r="BM80" s="230"/>
      <c r="BN80" s="230"/>
      <c r="BO80" s="230"/>
      <c r="BP80" s="231"/>
      <c r="BQ80" s="232"/>
      <c r="BR80" s="230"/>
      <c r="BS80" s="230"/>
      <c r="BU80" s="155"/>
      <c r="BV80" s="153"/>
      <c r="BW80" s="155"/>
      <c r="BX80" s="155"/>
      <c r="BY80" s="156"/>
      <c r="BZ80" s="162"/>
      <c r="CA80" s="155"/>
      <c r="CB80" s="155"/>
      <c r="CD80" s="329"/>
      <c r="CE80" s="325"/>
      <c r="CF80" s="325"/>
      <c r="CG80" s="325"/>
      <c r="CH80" s="326"/>
      <c r="CI80" s="330"/>
      <c r="CJ80" s="325"/>
      <c r="CK80" s="325"/>
      <c r="CM80" s="329"/>
      <c r="CN80" s="325"/>
      <c r="CO80" s="325"/>
      <c r="CP80" s="325"/>
      <c r="CQ80" s="326"/>
      <c r="CR80" s="330"/>
      <c r="CS80" s="325"/>
      <c r="CT80" s="325"/>
      <c r="CW80" s="108"/>
      <c r="CX80" s="108"/>
      <c r="CY80" s="108"/>
      <c r="CZ80" s="400"/>
      <c r="DA80" s="125"/>
      <c r="DB80" s="108"/>
      <c r="DC80" s="108"/>
    </row>
    <row r="81" spans="1:107">
      <c r="A81" s="430">
        <v>332498</v>
      </c>
      <c r="B81" s="433" t="s">
        <v>793</v>
      </c>
      <c r="C81" s="433" t="s">
        <v>794</v>
      </c>
      <c r="D81" s="430">
        <v>215101</v>
      </c>
      <c r="E81" s="435">
        <v>9898.02</v>
      </c>
      <c r="F81" s="437">
        <v>46027</v>
      </c>
      <c r="G81" s="433" t="s">
        <v>513</v>
      </c>
      <c r="H81" s="433" t="s">
        <v>795</v>
      </c>
      <c r="J81" s="430">
        <v>333291</v>
      </c>
      <c r="K81" s="433" t="s">
        <v>442</v>
      </c>
      <c r="L81" s="433" t="s">
        <v>791</v>
      </c>
      <c r="M81" s="430">
        <v>215101</v>
      </c>
      <c r="N81" s="435">
        <v>157.38999999999999</v>
      </c>
      <c r="O81" s="437">
        <v>46063</v>
      </c>
      <c r="P81" s="433" t="s">
        <v>513</v>
      </c>
      <c r="Q81" s="433" t="s">
        <v>792</v>
      </c>
      <c r="S81" s="464">
        <v>215323</v>
      </c>
      <c r="T81" s="461" t="s">
        <v>272</v>
      </c>
      <c r="U81" s="461" t="s">
        <v>1082</v>
      </c>
      <c r="V81" s="464">
        <v>211104</v>
      </c>
      <c r="W81" s="462">
        <v>78911.67</v>
      </c>
      <c r="X81" s="463">
        <v>46107</v>
      </c>
      <c r="Y81" s="461" t="s">
        <v>513</v>
      </c>
      <c r="Z81" s="461" t="s">
        <v>1019</v>
      </c>
      <c r="AB81" s="474">
        <v>332505</v>
      </c>
      <c r="AC81" s="472" t="s">
        <v>419</v>
      </c>
      <c r="AD81" s="472" t="s">
        <v>1203</v>
      </c>
      <c r="AE81" s="474">
        <v>211104</v>
      </c>
      <c r="AF81" s="473">
        <v>650</v>
      </c>
      <c r="AG81" s="477">
        <v>46125</v>
      </c>
      <c r="AH81" s="472" t="s">
        <v>513</v>
      </c>
      <c r="AI81" s="472" t="s">
        <v>1204</v>
      </c>
      <c r="AK81" s="158"/>
      <c r="AL81" s="154"/>
      <c r="AM81" s="158"/>
      <c r="AN81" s="158"/>
      <c r="AO81" s="157"/>
      <c r="AP81" s="163"/>
      <c r="AQ81" s="158"/>
      <c r="AR81" s="158"/>
      <c r="AT81" s="158"/>
      <c r="AU81" s="154"/>
      <c r="AV81" s="158"/>
      <c r="AW81" s="158"/>
      <c r="AX81" s="157"/>
      <c r="AY81" s="163"/>
      <c r="AZ81" s="158"/>
      <c r="BA81" s="158"/>
      <c r="BC81" s="158"/>
      <c r="BD81" s="154"/>
      <c r="BE81" s="158"/>
      <c r="BF81" s="158"/>
      <c r="BG81" s="157"/>
      <c r="BH81" s="163"/>
      <c r="BI81" s="158"/>
      <c r="BJ81" s="158"/>
      <c r="BL81" s="236"/>
      <c r="BM81" s="233"/>
      <c r="BN81" s="233"/>
      <c r="BO81" s="233"/>
      <c r="BP81" s="234"/>
      <c r="BQ81" s="235"/>
      <c r="BR81" s="233"/>
      <c r="BS81" s="233"/>
      <c r="BU81" s="159"/>
      <c r="BV81" s="160"/>
      <c r="BW81" s="158"/>
      <c r="BX81" s="158"/>
      <c r="BY81" s="157"/>
      <c r="BZ81" s="163"/>
      <c r="CA81" s="158"/>
      <c r="CB81" s="158"/>
      <c r="CD81" s="332"/>
      <c r="CE81" s="327"/>
      <c r="CF81" s="327"/>
      <c r="CG81" s="327"/>
      <c r="CH81" s="328"/>
      <c r="CI81" s="331"/>
      <c r="CJ81" s="327"/>
      <c r="CK81" s="327"/>
      <c r="CM81" s="332"/>
      <c r="CN81" s="327"/>
      <c r="CO81" s="327"/>
      <c r="CP81" s="327"/>
      <c r="CQ81" s="328"/>
      <c r="CR81" s="331"/>
      <c r="CS81" s="327"/>
      <c r="CT81" s="327"/>
      <c r="CV81" s="112"/>
      <c r="CW81" s="110"/>
      <c r="CX81" s="110"/>
      <c r="CY81" s="110"/>
      <c r="CZ81" s="399"/>
      <c r="DA81" s="127"/>
      <c r="DB81" s="110"/>
      <c r="DC81" s="110"/>
    </row>
    <row r="82" spans="1:107">
      <c r="A82" s="431">
        <v>116112</v>
      </c>
      <c r="B82" s="432" t="s">
        <v>263</v>
      </c>
      <c r="C82" s="432" t="s">
        <v>825</v>
      </c>
      <c r="D82" s="431">
        <v>211103</v>
      </c>
      <c r="E82" s="434">
        <v>74.12</v>
      </c>
      <c r="F82" s="436">
        <v>46048</v>
      </c>
      <c r="G82" s="432" t="s">
        <v>513</v>
      </c>
      <c r="H82" s="432" t="s">
        <v>823</v>
      </c>
      <c r="J82" s="431">
        <v>332505</v>
      </c>
      <c r="K82" s="432" t="s">
        <v>419</v>
      </c>
      <c r="L82" s="432" t="s">
        <v>796</v>
      </c>
      <c r="M82" s="431">
        <v>211104</v>
      </c>
      <c r="N82" s="434">
        <v>300</v>
      </c>
      <c r="O82" s="436">
        <v>46071</v>
      </c>
      <c r="P82" s="432" t="s">
        <v>513</v>
      </c>
      <c r="Q82" s="432" t="s">
        <v>797</v>
      </c>
      <c r="S82" s="465">
        <v>332509</v>
      </c>
      <c r="T82" s="458" t="s">
        <v>323</v>
      </c>
      <c r="U82" s="458" t="s">
        <v>1017</v>
      </c>
      <c r="V82" s="465">
        <v>211104</v>
      </c>
      <c r="W82" s="459">
        <v>21460</v>
      </c>
      <c r="X82" s="460">
        <v>46111</v>
      </c>
      <c r="Y82" s="458" t="s">
        <v>513</v>
      </c>
      <c r="Z82" s="458" t="s">
        <v>1015</v>
      </c>
      <c r="AB82" s="469">
        <v>331206</v>
      </c>
      <c r="AC82" s="470" t="s">
        <v>277</v>
      </c>
      <c r="AD82" s="470" t="s">
        <v>1205</v>
      </c>
      <c r="AE82" s="469">
        <v>211104</v>
      </c>
      <c r="AF82" s="471">
        <v>14919.2</v>
      </c>
      <c r="AG82" s="476">
        <v>46122</v>
      </c>
      <c r="AH82" s="470" t="s">
        <v>513</v>
      </c>
      <c r="AI82" s="470" t="s">
        <v>1206</v>
      </c>
      <c r="AK82" s="155"/>
      <c r="AL82" s="153"/>
      <c r="AM82" s="155"/>
      <c r="AN82" s="155"/>
      <c r="AO82" s="156"/>
      <c r="AP82" s="162"/>
      <c r="AQ82" s="155"/>
      <c r="AR82" s="155"/>
      <c r="AT82" s="155"/>
      <c r="AU82" s="153"/>
      <c r="AV82" s="155"/>
      <c r="AW82" s="155"/>
      <c r="AX82" s="156"/>
      <c r="AY82" s="162"/>
      <c r="AZ82" s="155"/>
      <c r="BA82" s="155"/>
      <c r="BC82" s="155"/>
      <c r="BD82" s="153"/>
      <c r="BE82" s="155"/>
      <c r="BF82" s="155"/>
      <c r="BG82" s="156"/>
      <c r="BH82" s="162"/>
      <c r="BI82" s="155"/>
      <c r="BJ82" s="155"/>
      <c r="BL82" s="237"/>
      <c r="BM82" s="230"/>
      <c r="BN82" s="230"/>
      <c r="BO82" s="230"/>
      <c r="BP82" s="231"/>
      <c r="BQ82" s="232"/>
      <c r="BR82" s="230"/>
      <c r="BS82" s="230"/>
      <c r="BU82" s="155"/>
      <c r="BV82" s="153"/>
      <c r="BW82" s="155"/>
      <c r="BX82" s="155"/>
      <c r="BY82" s="156"/>
      <c r="BZ82" s="162"/>
      <c r="CA82" s="155"/>
      <c r="CB82" s="155"/>
      <c r="CD82" s="329"/>
      <c r="CE82" s="325"/>
      <c r="CF82" s="325"/>
      <c r="CG82" s="325"/>
      <c r="CH82" s="326"/>
      <c r="CI82" s="330"/>
      <c r="CJ82" s="325"/>
      <c r="CK82" s="325"/>
      <c r="CM82" s="329"/>
      <c r="CN82" s="325"/>
      <c r="CO82" s="325"/>
      <c r="CP82" s="325"/>
      <c r="CQ82" s="326"/>
      <c r="CR82" s="330"/>
      <c r="CS82" s="325"/>
      <c r="CT82" s="325"/>
      <c r="CW82" s="108"/>
      <c r="CX82" s="108"/>
      <c r="CY82" s="108"/>
      <c r="CZ82" s="400"/>
      <c r="DA82" s="125"/>
      <c r="DB82" s="108"/>
      <c r="DC82" s="108"/>
    </row>
    <row r="83" spans="1:107">
      <c r="A83" s="430">
        <v>331503</v>
      </c>
      <c r="B83" s="433" t="s">
        <v>302</v>
      </c>
      <c r="C83" s="433" t="s">
        <v>832</v>
      </c>
      <c r="D83" s="430">
        <v>211103</v>
      </c>
      <c r="E83" s="435">
        <v>1218.8399999999999</v>
      </c>
      <c r="F83" s="437">
        <v>46038</v>
      </c>
      <c r="G83" s="433" t="s">
        <v>513</v>
      </c>
      <c r="H83" s="433" t="s">
        <v>821</v>
      </c>
      <c r="J83" s="430">
        <v>332509</v>
      </c>
      <c r="K83" s="433" t="s">
        <v>323</v>
      </c>
      <c r="L83" s="433" t="s">
        <v>800</v>
      </c>
      <c r="M83" s="430">
        <v>211104</v>
      </c>
      <c r="N83" s="435">
        <v>500</v>
      </c>
      <c r="O83" s="437">
        <v>46072</v>
      </c>
      <c r="P83" s="433" t="s">
        <v>513</v>
      </c>
      <c r="Q83" s="433" t="s">
        <v>801</v>
      </c>
      <c r="S83" s="464">
        <v>331307</v>
      </c>
      <c r="T83" s="461" t="s">
        <v>448</v>
      </c>
      <c r="U83" s="461" t="s">
        <v>1024</v>
      </c>
      <c r="V83" s="464">
        <v>215101</v>
      </c>
      <c r="W83" s="462">
        <v>246.05</v>
      </c>
      <c r="X83" s="463">
        <v>46090</v>
      </c>
      <c r="Y83" s="461" t="s">
        <v>513</v>
      </c>
      <c r="Z83" s="461" t="s">
        <v>1025</v>
      </c>
      <c r="AB83" s="474">
        <v>331250</v>
      </c>
      <c r="AC83" s="472" t="s">
        <v>489</v>
      </c>
      <c r="AD83" s="472" t="s">
        <v>1207</v>
      </c>
      <c r="AE83" s="474">
        <v>211104</v>
      </c>
      <c r="AF83" s="473">
        <v>6150</v>
      </c>
      <c r="AG83" s="477">
        <v>46118</v>
      </c>
      <c r="AH83" s="472" t="s">
        <v>513</v>
      </c>
      <c r="AI83" s="472" t="s">
        <v>1201</v>
      </c>
      <c r="AK83" s="158"/>
      <c r="AL83" s="154"/>
      <c r="AM83" s="158"/>
      <c r="AN83" s="158"/>
      <c r="AO83" s="157"/>
      <c r="AP83" s="163"/>
      <c r="AQ83" s="158"/>
      <c r="AR83" s="158"/>
      <c r="AT83" s="158"/>
      <c r="AU83" s="154"/>
      <c r="AV83" s="158"/>
      <c r="AW83" s="158"/>
      <c r="AX83" s="157"/>
      <c r="AY83" s="163"/>
      <c r="AZ83" s="158"/>
      <c r="BA83" s="158"/>
      <c r="BC83" s="158"/>
      <c r="BD83" s="154"/>
      <c r="BE83" s="158"/>
      <c r="BF83" s="158"/>
      <c r="BG83" s="157"/>
      <c r="BH83" s="163"/>
      <c r="BI83" s="158"/>
      <c r="BJ83" s="158"/>
      <c r="BL83" s="236"/>
      <c r="BM83" s="233"/>
      <c r="BN83" s="233"/>
      <c r="BO83" s="233"/>
      <c r="BP83" s="234"/>
      <c r="BQ83" s="235"/>
      <c r="BR83" s="233"/>
      <c r="BS83" s="233"/>
      <c r="BU83" s="158"/>
      <c r="BV83" s="154"/>
      <c r="BW83" s="158"/>
      <c r="BX83" s="158"/>
      <c r="BY83" s="157"/>
      <c r="BZ83" s="163"/>
      <c r="CA83" s="158"/>
      <c r="CB83" s="158"/>
      <c r="CD83" s="332"/>
      <c r="CE83" s="327"/>
      <c r="CF83" s="327"/>
      <c r="CG83" s="327"/>
      <c r="CH83" s="328"/>
      <c r="CI83" s="331"/>
      <c r="CJ83" s="327"/>
      <c r="CK83" s="327"/>
      <c r="CM83" s="332"/>
      <c r="CN83" s="327"/>
      <c r="CO83" s="327"/>
      <c r="CP83" s="327"/>
      <c r="CQ83" s="328"/>
      <c r="CR83" s="331"/>
      <c r="CS83" s="327"/>
      <c r="CT83" s="327"/>
      <c r="CV83" s="112"/>
      <c r="CW83" s="110"/>
      <c r="CX83" s="110"/>
      <c r="CY83" s="110"/>
      <c r="CZ83" s="399"/>
      <c r="DA83" s="127"/>
      <c r="DB83" s="110"/>
      <c r="DC83" s="110"/>
    </row>
    <row r="84" spans="1:107">
      <c r="A84" s="431">
        <v>331318</v>
      </c>
      <c r="B84" s="432" t="s">
        <v>289</v>
      </c>
      <c r="C84" s="432" t="s">
        <v>909</v>
      </c>
      <c r="D84" s="431">
        <v>211104</v>
      </c>
      <c r="E84" s="434">
        <v>439</v>
      </c>
      <c r="F84" s="436">
        <v>46036</v>
      </c>
      <c r="G84" s="432" t="s">
        <v>513</v>
      </c>
      <c r="H84" s="432" t="s">
        <v>845</v>
      </c>
      <c r="J84" s="431">
        <v>332510</v>
      </c>
      <c r="K84" s="432" t="s">
        <v>441</v>
      </c>
      <c r="L84" s="432" t="s">
        <v>804</v>
      </c>
      <c r="M84" s="431">
        <v>211104</v>
      </c>
      <c r="N84" s="434">
        <v>5100</v>
      </c>
      <c r="O84" s="436">
        <v>46072</v>
      </c>
      <c r="P84" s="432" t="s">
        <v>513</v>
      </c>
      <c r="Q84" s="432" t="s">
        <v>801</v>
      </c>
      <c r="S84" s="465">
        <v>116193</v>
      </c>
      <c r="T84" s="458" t="s">
        <v>264</v>
      </c>
      <c r="U84" s="458" t="s">
        <v>1026</v>
      </c>
      <c r="V84" s="465">
        <v>211104</v>
      </c>
      <c r="W84" s="459">
        <v>6970</v>
      </c>
      <c r="X84" s="460">
        <v>46091</v>
      </c>
      <c r="Y84" s="458" t="s">
        <v>513</v>
      </c>
      <c r="Z84" s="458" t="s">
        <v>1027</v>
      </c>
      <c r="AB84" s="469">
        <v>331298</v>
      </c>
      <c r="AC84" s="470" t="s">
        <v>488</v>
      </c>
      <c r="AD84" s="470" t="s">
        <v>1208</v>
      </c>
      <c r="AE84" s="469">
        <v>215101</v>
      </c>
      <c r="AF84" s="471">
        <v>5455.85</v>
      </c>
      <c r="AG84" s="476">
        <v>46127</v>
      </c>
      <c r="AH84" s="470" t="s">
        <v>513</v>
      </c>
      <c r="AI84" s="470" t="s">
        <v>1209</v>
      </c>
      <c r="AK84" s="155"/>
      <c r="AL84" s="153"/>
      <c r="AM84" s="155"/>
      <c r="AN84" s="155"/>
      <c r="AO84" s="156"/>
      <c r="AP84" s="162"/>
      <c r="AQ84" s="155"/>
      <c r="AR84" s="155"/>
      <c r="AT84" s="155"/>
      <c r="AU84" s="153"/>
      <c r="AV84" s="155"/>
      <c r="AW84" s="155"/>
      <c r="AX84" s="156"/>
      <c r="AY84" s="162"/>
      <c r="AZ84" s="155"/>
      <c r="BA84" s="155"/>
      <c r="BC84" s="155"/>
      <c r="BD84" s="153"/>
      <c r="BE84" s="155"/>
      <c r="BF84" s="155"/>
      <c r="BG84" s="156"/>
      <c r="BH84" s="162"/>
      <c r="BI84" s="155"/>
      <c r="BJ84" s="155"/>
      <c r="BL84" s="237"/>
      <c r="BM84" s="230"/>
      <c r="BN84" s="230"/>
      <c r="BO84" s="230"/>
      <c r="BP84" s="231"/>
      <c r="BQ84" s="232"/>
      <c r="BR84" s="230"/>
      <c r="BS84" s="230"/>
      <c r="BU84" s="155"/>
      <c r="BV84" s="153"/>
      <c r="BW84" s="155"/>
      <c r="BX84" s="155"/>
      <c r="BY84" s="156"/>
      <c r="BZ84" s="162"/>
      <c r="CA84" s="155"/>
      <c r="CB84" s="155"/>
      <c r="CD84" s="329"/>
      <c r="CE84" s="325"/>
      <c r="CF84" s="325"/>
      <c r="CG84" s="325"/>
      <c r="CH84" s="326"/>
      <c r="CI84" s="330"/>
      <c r="CJ84" s="325"/>
      <c r="CK84" s="325"/>
      <c r="CM84" s="329"/>
      <c r="CN84" s="325"/>
      <c r="CO84" s="325"/>
      <c r="CP84" s="325"/>
      <c r="CQ84" s="326"/>
      <c r="CR84" s="330"/>
      <c r="CS84" s="325"/>
      <c r="CT84" s="325"/>
      <c r="CW84" s="108"/>
      <c r="CX84" s="108"/>
      <c r="CY84" s="108"/>
      <c r="CZ84" s="400"/>
      <c r="DA84" s="125"/>
      <c r="DB84" s="108"/>
      <c r="DC84" s="108"/>
    </row>
    <row r="85" spans="1:107">
      <c r="A85" s="430">
        <v>332509</v>
      </c>
      <c r="B85" s="433" t="s">
        <v>323</v>
      </c>
      <c r="C85" s="433" t="s">
        <v>910</v>
      </c>
      <c r="D85" s="430">
        <v>211104</v>
      </c>
      <c r="E85" s="435">
        <v>12300</v>
      </c>
      <c r="F85" s="437">
        <v>46036</v>
      </c>
      <c r="G85" s="433" t="s">
        <v>513</v>
      </c>
      <c r="H85" s="433" t="s">
        <v>845</v>
      </c>
      <c r="J85" s="430">
        <v>331453</v>
      </c>
      <c r="K85" s="433" t="s">
        <v>300</v>
      </c>
      <c r="L85" s="433" t="s">
        <v>819</v>
      </c>
      <c r="M85" s="430">
        <v>211104</v>
      </c>
      <c r="N85" s="435">
        <v>300</v>
      </c>
      <c r="O85" s="437">
        <v>46071</v>
      </c>
      <c r="P85" s="433" t="s">
        <v>513</v>
      </c>
      <c r="Q85" s="433" t="s">
        <v>797</v>
      </c>
      <c r="S85" s="464">
        <v>331318</v>
      </c>
      <c r="T85" s="461" t="s">
        <v>289</v>
      </c>
      <c r="U85" s="461" t="s">
        <v>1028</v>
      </c>
      <c r="V85" s="464">
        <v>211104</v>
      </c>
      <c r="W85" s="462">
        <v>284</v>
      </c>
      <c r="X85" s="463">
        <v>46093</v>
      </c>
      <c r="Y85" s="461" t="s">
        <v>513</v>
      </c>
      <c r="Z85" s="461" t="s">
        <v>1018</v>
      </c>
      <c r="AB85" s="474">
        <v>331199</v>
      </c>
      <c r="AC85" s="472" t="s">
        <v>439</v>
      </c>
      <c r="AD85" s="472" t="s">
        <v>1210</v>
      </c>
      <c r="AE85" s="474">
        <v>215101</v>
      </c>
      <c r="AF85" s="473">
        <v>1600</v>
      </c>
      <c r="AG85" s="477">
        <v>46113</v>
      </c>
      <c r="AH85" s="472" t="s">
        <v>513</v>
      </c>
      <c r="AI85" s="472" t="s">
        <v>1211</v>
      </c>
      <c r="AK85" s="158"/>
      <c r="AL85" s="154"/>
      <c r="AM85" s="158"/>
      <c r="AN85" s="158"/>
      <c r="AO85" s="157"/>
      <c r="AP85" s="163"/>
      <c r="AQ85" s="158"/>
      <c r="AR85" s="158"/>
      <c r="AT85" s="158"/>
      <c r="AU85" s="154"/>
      <c r="AV85" s="158"/>
      <c r="AW85" s="158"/>
      <c r="AX85" s="157"/>
      <c r="AY85" s="163"/>
      <c r="AZ85" s="158"/>
      <c r="BA85" s="158"/>
      <c r="BC85" s="158"/>
      <c r="BD85" s="154"/>
      <c r="BE85" s="158"/>
      <c r="BF85" s="158"/>
      <c r="BG85" s="157"/>
      <c r="BH85" s="163"/>
      <c r="BI85" s="158"/>
      <c r="BJ85" s="158"/>
      <c r="BL85" s="236"/>
      <c r="BM85" s="233"/>
      <c r="BN85" s="233"/>
      <c r="BO85" s="233"/>
      <c r="BP85" s="234"/>
      <c r="BQ85" s="235"/>
      <c r="BR85" s="233"/>
      <c r="BS85" s="233"/>
      <c r="BU85" s="158"/>
      <c r="BV85" s="154"/>
      <c r="BW85" s="158"/>
      <c r="BX85" s="158"/>
      <c r="BY85" s="157"/>
      <c r="BZ85" s="163"/>
      <c r="CA85" s="158"/>
      <c r="CB85" s="158"/>
      <c r="CD85" s="332"/>
      <c r="CE85" s="327"/>
      <c r="CF85" s="327"/>
      <c r="CG85" s="327"/>
      <c r="CH85" s="328"/>
      <c r="CI85" s="331"/>
      <c r="CJ85" s="327"/>
      <c r="CK85" s="327"/>
      <c r="CM85" s="332"/>
      <c r="CN85" s="327"/>
      <c r="CO85" s="327"/>
      <c r="CP85" s="327"/>
      <c r="CQ85" s="328"/>
      <c r="CR85" s="331"/>
      <c r="CS85" s="327"/>
      <c r="CT85" s="327"/>
      <c r="CV85" s="112"/>
      <c r="CW85" s="110"/>
      <c r="CX85" s="110"/>
      <c r="CY85" s="110"/>
      <c r="CZ85" s="399"/>
      <c r="DA85" s="127"/>
      <c r="DB85" s="110"/>
      <c r="DC85" s="110"/>
    </row>
    <row r="86" spans="1:107">
      <c r="A86" s="431">
        <v>332510</v>
      </c>
      <c r="B86" s="432" t="s">
        <v>441</v>
      </c>
      <c r="C86" s="432" t="s">
        <v>911</v>
      </c>
      <c r="D86" s="431">
        <v>211104</v>
      </c>
      <c r="E86" s="434">
        <v>39950</v>
      </c>
      <c r="F86" s="436">
        <v>46051</v>
      </c>
      <c r="G86" s="432" t="s">
        <v>513</v>
      </c>
      <c r="H86" s="432" t="s">
        <v>816</v>
      </c>
      <c r="J86" s="431">
        <v>331298</v>
      </c>
      <c r="K86" s="432" t="s">
        <v>488</v>
      </c>
      <c r="L86" s="432" t="s">
        <v>817</v>
      </c>
      <c r="M86" s="431">
        <v>215101</v>
      </c>
      <c r="N86" s="434">
        <v>4842</v>
      </c>
      <c r="O86" s="436">
        <v>46080</v>
      </c>
      <c r="P86" s="432" t="s">
        <v>513</v>
      </c>
      <c r="Q86" s="432" t="s">
        <v>818</v>
      </c>
      <c r="S86" s="465">
        <v>331308</v>
      </c>
      <c r="T86" s="458" t="s">
        <v>407</v>
      </c>
      <c r="U86" s="458" t="s">
        <v>1029</v>
      </c>
      <c r="V86" s="465">
        <v>215101</v>
      </c>
      <c r="W86" s="459">
        <v>602.5</v>
      </c>
      <c r="X86" s="460">
        <v>46086</v>
      </c>
      <c r="Y86" s="458" t="s">
        <v>513</v>
      </c>
      <c r="Z86" s="458" t="s">
        <v>1030</v>
      </c>
      <c r="AB86" s="469">
        <v>116112</v>
      </c>
      <c r="AC86" s="470" t="s">
        <v>263</v>
      </c>
      <c r="AD86" s="470" t="s">
        <v>1212</v>
      </c>
      <c r="AE86" s="469">
        <v>211103</v>
      </c>
      <c r="AF86" s="471">
        <v>4734.5200000000004</v>
      </c>
      <c r="AG86" s="476">
        <v>46134</v>
      </c>
      <c r="AH86" s="470" t="s">
        <v>513</v>
      </c>
      <c r="AI86" s="470" t="s">
        <v>1213</v>
      </c>
      <c r="AK86" s="155"/>
      <c r="AL86" s="153"/>
      <c r="AM86" s="155"/>
      <c r="AN86" s="155"/>
      <c r="AO86" s="156"/>
      <c r="AP86" s="162"/>
      <c r="AQ86" s="155"/>
      <c r="AR86" s="155"/>
      <c r="AT86" s="155"/>
      <c r="AU86" s="153"/>
      <c r="AV86" s="155"/>
      <c r="AW86" s="155"/>
      <c r="AX86" s="156"/>
      <c r="AY86" s="162"/>
      <c r="AZ86" s="155"/>
      <c r="BA86" s="155"/>
      <c r="BC86" s="155"/>
      <c r="BD86" s="153"/>
      <c r="BE86" s="155"/>
      <c r="BF86" s="155"/>
      <c r="BG86" s="156"/>
      <c r="BH86" s="162"/>
      <c r="BI86" s="155"/>
      <c r="BJ86" s="155"/>
      <c r="BL86" s="237"/>
      <c r="BM86" s="230"/>
      <c r="BN86" s="230"/>
      <c r="BO86" s="230"/>
      <c r="BP86" s="231"/>
      <c r="BQ86" s="232"/>
      <c r="BR86" s="230"/>
      <c r="BS86" s="230"/>
      <c r="BU86" s="155"/>
      <c r="BV86" s="153"/>
      <c r="BW86" s="155"/>
      <c r="BX86" s="155"/>
      <c r="BY86" s="156"/>
      <c r="BZ86" s="162"/>
      <c r="CA86" s="155"/>
      <c r="CB86" s="155"/>
      <c r="CD86" s="329"/>
      <c r="CE86" s="325"/>
      <c r="CF86" s="325"/>
      <c r="CG86" s="325"/>
      <c r="CH86" s="326"/>
      <c r="CI86" s="330"/>
      <c r="CJ86" s="325"/>
      <c r="CK86" s="325"/>
      <c r="CM86" s="329"/>
      <c r="CN86" s="325"/>
      <c r="CO86" s="325"/>
      <c r="CP86" s="325"/>
      <c r="CQ86" s="326"/>
      <c r="CR86" s="330"/>
      <c r="CS86" s="325"/>
      <c r="CT86" s="325"/>
      <c r="CW86" s="108"/>
      <c r="CX86" s="108"/>
      <c r="CY86" s="108"/>
      <c r="CZ86" s="400"/>
      <c r="DA86" s="125"/>
      <c r="DB86" s="108"/>
      <c r="DC86" s="108"/>
    </row>
    <row r="87" spans="1:107">
      <c r="A87" s="430">
        <v>331252</v>
      </c>
      <c r="B87" s="433" t="s">
        <v>279</v>
      </c>
      <c r="C87" s="433" t="s">
        <v>912</v>
      </c>
      <c r="D87" s="430">
        <v>211104</v>
      </c>
      <c r="E87" s="435">
        <v>13715.44</v>
      </c>
      <c r="F87" s="437">
        <v>46034</v>
      </c>
      <c r="G87" s="433" t="s">
        <v>513</v>
      </c>
      <c r="H87" s="433" t="s">
        <v>827</v>
      </c>
      <c r="J87" s="430">
        <v>331811</v>
      </c>
      <c r="K87" s="433" t="s">
        <v>308</v>
      </c>
      <c r="L87" s="433" t="s">
        <v>844</v>
      </c>
      <c r="M87" s="430">
        <v>211104</v>
      </c>
      <c r="N87" s="435">
        <v>21976.43</v>
      </c>
      <c r="O87" s="437">
        <v>46071</v>
      </c>
      <c r="P87" s="433" t="s">
        <v>513</v>
      </c>
      <c r="Q87" s="433" t="s">
        <v>797</v>
      </c>
      <c r="S87" s="464">
        <v>331401</v>
      </c>
      <c r="T87" s="461" t="s">
        <v>290</v>
      </c>
      <c r="U87" s="461" t="s">
        <v>1031</v>
      </c>
      <c r="V87" s="464">
        <v>211104</v>
      </c>
      <c r="W87" s="462">
        <v>27046.37</v>
      </c>
      <c r="X87" s="463">
        <v>46107</v>
      </c>
      <c r="Y87" s="461" t="s">
        <v>513</v>
      </c>
      <c r="Z87" s="461" t="s">
        <v>1019</v>
      </c>
      <c r="AB87" s="474">
        <v>215323</v>
      </c>
      <c r="AC87" s="472" t="s">
        <v>272</v>
      </c>
      <c r="AD87" s="472" t="s">
        <v>1214</v>
      </c>
      <c r="AE87" s="474">
        <v>211104</v>
      </c>
      <c r="AF87" s="473">
        <v>82547.710000000006</v>
      </c>
      <c r="AG87" s="477">
        <v>46139</v>
      </c>
      <c r="AH87" s="472" t="s">
        <v>513</v>
      </c>
      <c r="AI87" s="472" t="s">
        <v>1215</v>
      </c>
      <c r="AK87" s="158"/>
      <c r="AL87" s="154"/>
      <c r="AM87" s="158"/>
      <c r="AN87" s="158"/>
      <c r="AO87" s="157"/>
      <c r="AP87" s="163"/>
      <c r="AQ87" s="158"/>
      <c r="AR87" s="158"/>
      <c r="AT87" s="158"/>
      <c r="AU87" s="154"/>
      <c r="AV87" s="158"/>
      <c r="AW87" s="158"/>
      <c r="AX87" s="157"/>
      <c r="AY87" s="163"/>
      <c r="AZ87" s="158"/>
      <c r="BA87" s="158"/>
      <c r="BC87" s="158"/>
      <c r="BD87" s="154"/>
      <c r="BE87" s="158"/>
      <c r="BF87" s="158"/>
      <c r="BG87" s="157"/>
      <c r="BH87" s="163"/>
      <c r="BI87" s="158"/>
      <c r="BJ87" s="158"/>
      <c r="BL87" s="236"/>
      <c r="BM87" s="233"/>
      <c r="BN87" s="233"/>
      <c r="BO87" s="233"/>
      <c r="BP87" s="234"/>
      <c r="BQ87" s="235"/>
      <c r="BR87" s="233"/>
      <c r="BS87" s="233"/>
      <c r="BU87" s="158"/>
      <c r="BV87" s="154"/>
      <c r="BW87" s="158"/>
      <c r="BX87" s="158"/>
      <c r="BY87" s="157"/>
      <c r="BZ87" s="163"/>
      <c r="CA87" s="158"/>
      <c r="CB87" s="158"/>
      <c r="CD87" s="332"/>
      <c r="CE87" s="327"/>
      <c r="CF87" s="327"/>
      <c r="CG87" s="327"/>
      <c r="CH87" s="328"/>
      <c r="CI87" s="331"/>
      <c r="CJ87" s="327"/>
      <c r="CK87" s="327"/>
      <c r="CM87" s="332"/>
      <c r="CN87" s="327"/>
      <c r="CO87" s="327"/>
      <c r="CP87" s="327"/>
      <c r="CQ87" s="328"/>
      <c r="CR87" s="331"/>
      <c r="CS87" s="327"/>
      <c r="CT87" s="327"/>
      <c r="CV87" s="112"/>
      <c r="CW87" s="110"/>
      <c r="CX87" s="110"/>
      <c r="CY87" s="110"/>
      <c r="CZ87" s="399"/>
      <c r="DA87" s="127"/>
      <c r="DB87" s="110"/>
      <c r="DC87" s="110"/>
    </row>
    <row r="88" spans="1:107">
      <c r="A88" s="431">
        <v>332308</v>
      </c>
      <c r="B88" s="432" t="s">
        <v>311</v>
      </c>
      <c r="C88" s="432" t="s">
        <v>913</v>
      </c>
      <c r="D88" s="431">
        <v>211104</v>
      </c>
      <c r="E88" s="434">
        <v>41371.800000000003</v>
      </c>
      <c r="F88" s="436">
        <v>46037</v>
      </c>
      <c r="G88" s="432" t="s">
        <v>513</v>
      </c>
      <c r="H88" s="432" t="s">
        <v>836</v>
      </c>
      <c r="J88" s="431">
        <v>331206</v>
      </c>
      <c r="K88" s="432" t="s">
        <v>277</v>
      </c>
      <c r="L88" s="432" t="s">
        <v>830</v>
      </c>
      <c r="M88" s="431">
        <v>211104</v>
      </c>
      <c r="N88" s="434">
        <v>15519.2</v>
      </c>
      <c r="O88" s="436">
        <v>46063</v>
      </c>
      <c r="P88" s="432" t="s">
        <v>513</v>
      </c>
      <c r="Q88" s="432" t="s">
        <v>831</v>
      </c>
      <c r="S88" s="465">
        <v>116401</v>
      </c>
      <c r="T88" s="458" t="s">
        <v>266</v>
      </c>
      <c r="U88" s="458" t="s">
        <v>1032</v>
      </c>
      <c r="V88" s="465">
        <v>211103</v>
      </c>
      <c r="W88" s="459">
        <v>183249.46</v>
      </c>
      <c r="X88" s="460">
        <v>46107</v>
      </c>
      <c r="Y88" s="458" t="s">
        <v>513</v>
      </c>
      <c r="Z88" s="458" t="s">
        <v>1019</v>
      </c>
      <c r="AB88" s="469">
        <v>331124</v>
      </c>
      <c r="AC88" s="470" t="s">
        <v>274</v>
      </c>
      <c r="AD88" s="470" t="s">
        <v>1216</v>
      </c>
      <c r="AE88" s="469">
        <v>211104</v>
      </c>
      <c r="AF88" s="471">
        <v>55615.96</v>
      </c>
      <c r="AG88" s="476">
        <v>46119</v>
      </c>
      <c r="AH88" s="470" t="s">
        <v>513</v>
      </c>
      <c r="AI88" s="470" t="s">
        <v>1217</v>
      </c>
      <c r="AK88" s="155"/>
      <c r="AL88" s="153"/>
      <c r="AM88" s="155"/>
      <c r="AN88" s="155"/>
      <c r="AO88" s="156"/>
      <c r="AP88" s="162"/>
      <c r="AQ88" s="155"/>
      <c r="AR88" s="155"/>
      <c r="AT88" s="155"/>
      <c r="AU88" s="153"/>
      <c r="AV88" s="155"/>
      <c r="AW88" s="155"/>
      <c r="AX88" s="156"/>
      <c r="AY88" s="162"/>
      <c r="AZ88" s="155"/>
      <c r="BA88" s="155"/>
      <c r="BC88" s="155"/>
      <c r="BD88" s="153"/>
      <c r="BE88" s="155"/>
      <c r="BF88" s="155"/>
      <c r="BG88" s="156"/>
      <c r="BH88" s="162"/>
      <c r="BI88" s="155"/>
      <c r="BJ88" s="155"/>
      <c r="BL88" s="237"/>
      <c r="BM88" s="230"/>
      <c r="BN88" s="230"/>
      <c r="BO88" s="230"/>
      <c r="BP88" s="231"/>
      <c r="BQ88" s="232"/>
      <c r="BR88" s="230"/>
      <c r="BS88" s="230"/>
      <c r="BU88" s="155"/>
      <c r="BV88" s="153"/>
      <c r="BW88" s="155"/>
      <c r="BX88" s="155"/>
      <c r="BY88" s="156"/>
      <c r="BZ88" s="162"/>
      <c r="CA88" s="155"/>
      <c r="CB88" s="155"/>
      <c r="CD88" s="329"/>
      <c r="CE88" s="325"/>
      <c r="CF88" s="325"/>
      <c r="CG88" s="325"/>
      <c r="CH88" s="326"/>
      <c r="CI88" s="330"/>
      <c r="CJ88" s="325"/>
      <c r="CK88" s="325"/>
      <c r="CM88" s="329"/>
      <c r="CN88" s="325"/>
      <c r="CO88" s="325"/>
      <c r="CP88" s="325"/>
      <c r="CQ88" s="326"/>
      <c r="CR88" s="330"/>
      <c r="CS88" s="325"/>
      <c r="CT88" s="325"/>
      <c r="CW88" s="108"/>
      <c r="CX88" s="108"/>
      <c r="CY88" s="108"/>
      <c r="CZ88" s="400"/>
      <c r="DA88" s="125"/>
      <c r="DB88" s="108"/>
      <c r="DC88" s="108"/>
    </row>
    <row r="89" spans="1:107">
      <c r="A89" s="430">
        <v>332305</v>
      </c>
      <c r="B89" s="433" t="s">
        <v>310</v>
      </c>
      <c r="C89" s="433" t="s">
        <v>914</v>
      </c>
      <c r="D89" s="430">
        <v>211104</v>
      </c>
      <c r="E89" s="435">
        <v>14422.2</v>
      </c>
      <c r="F89" s="437">
        <v>46044</v>
      </c>
      <c r="G89" s="433" t="s">
        <v>513</v>
      </c>
      <c r="H89" s="433" t="s">
        <v>915</v>
      </c>
      <c r="J89" s="430">
        <v>331454</v>
      </c>
      <c r="K89" s="433" t="s">
        <v>301</v>
      </c>
      <c r="L89" s="433" t="s">
        <v>822</v>
      </c>
      <c r="M89" s="430">
        <v>211104</v>
      </c>
      <c r="N89" s="435">
        <v>5828.91</v>
      </c>
      <c r="O89" s="437">
        <v>46066</v>
      </c>
      <c r="P89" s="433" t="s">
        <v>513</v>
      </c>
      <c r="Q89" s="433" t="s">
        <v>810</v>
      </c>
      <c r="S89" s="464">
        <v>331407</v>
      </c>
      <c r="T89" s="461" t="s">
        <v>445</v>
      </c>
      <c r="U89" s="461" t="s">
        <v>1033</v>
      </c>
      <c r="V89" s="464">
        <v>211104</v>
      </c>
      <c r="W89" s="462">
        <v>430</v>
      </c>
      <c r="X89" s="463">
        <v>46097</v>
      </c>
      <c r="Y89" s="461" t="s">
        <v>513</v>
      </c>
      <c r="Z89" s="461" t="s">
        <v>1034</v>
      </c>
      <c r="AB89" s="474">
        <v>331309</v>
      </c>
      <c r="AC89" s="472" t="s">
        <v>408</v>
      </c>
      <c r="AD89" s="472" t="s">
        <v>1218</v>
      </c>
      <c r="AE89" s="474">
        <v>215101</v>
      </c>
      <c r="AF89" s="473">
        <v>657.02</v>
      </c>
      <c r="AG89" s="477">
        <v>46122</v>
      </c>
      <c r="AH89" s="472" t="s">
        <v>513</v>
      </c>
      <c r="AI89" s="472" t="s">
        <v>1219</v>
      </c>
      <c r="AK89" s="158"/>
      <c r="AL89" s="154"/>
      <c r="AM89" s="158"/>
      <c r="AN89" s="158"/>
      <c r="AO89" s="157"/>
      <c r="AP89" s="163"/>
      <c r="AQ89" s="158"/>
      <c r="AR89" s="158"/>
      <c r="AT89" s="158"/>
      <c r="AU89" s="154"/>
      <c r="AV89" s="158"/>
      <c r="AW89" s="158"/>
      <c r="AX89" s="157"/>
      <c r="AY89" s="163"/>
      <c r="AZ89" s="158"/>
      <c r="BA89" s="158"/>
      <c r="BC89" s="158"/>
      <c r="BD89" s="154"/>
      <c r="BE89" s="158"/>
      <c r="BF89" s="158"/>
      <c r="BG89" s="157"/>
      <c r="BH89" s="163"/>
      <c r="BI89" s="158"/>
      <c r="BJ89" s="158"/>
      <c r="BL89" s="236"/>
      <c r="BM89" s="233"/>
      <c r="BN89" s="233"/>
      <c r="BO89" s="233"/>
      <c r="BP89" s="234"/>
      <c r="BQ89" s="235"/>
      <c r="BR89" s="233"/>
      <c r="BS89" s="233"/>
      <c r="BU89" s="158"/>
      <c r="BV89" s="154"/>
      <c r="BW89" s="158"/>
      <c r="BX89" s="158"/>
      <c r="BY89" s="157"/>
      <c r="BZ89" s="163"/>
      <c r="CA89" s="158"/>
      <c r="CB89" s="158"/>
      <c r="CD89" s="332"/>
      <c r="CE89" s="327"/>
      <c r="CF89" s="327"/>
      <c r="CG89" s="327"/>
      <c r="CH89" s="328"/>
      <c r="CI89" s="331"/>
      <c r="CJ89" s="327"/>
      <c r="CK89" s="327"/>
      <c r="CM89" s="332"/>
      <c r="CN89" s="327"/>
      <c r="CO89" s="327"/>
      <c r="CP89" s="327"/>
      <c r="CQ89" s="328"/>
      <c r="CR89" s="331"/>
      <c r="CS89" s="327"/>
      <c r="CT89" s="327"/>
      <c r="CV89" s="112"/>
      <c r="CW89" s="110"/>
      <c r="CX89" s="110"/>
      <c r="CY89" s="110"/>
      <c r="CZ89" s="399"/>
      <c r="DA89" s="127"/>
      <c r="DB89" s="110"/>
      <c r="DC89" s="110"/>
    </row>
    <row r="90" spans="1:107">
      <c r="A90" s="431">
        <v>332302</v>
      </c>
      <c r="B90" s="432" t="s">
        <v>309</v>
      </c>
      <c r="C90" s="432" t="s">
        <v>839</v>
      </c>
      <c r="D90" s="431">
        <v>211104</v>
      </c>
      <c r="E90" s="434">
        <v>1014</v>
      </c>
      <c r="F90" s="436">
        <v>46037</v>
      </c>
      <c r="G90" s="432" t="s">
        <v>513</v>
      </c>
      <c r="H90" s="432" t="s">
        <v>836</v>
      </c>
      <c r="J90" s="431">
        <v>331124</v>
      </c>
      <c r="K90" s="432" t="s">
        <v>274</v>
      </c>
      <c r="L90" s="432" t="s">
        <v>842</v>
      </c>
      <c r="M90" s="431">
        <v>211104</v>
      </c>
      <c r="N90" s="434">
        <v>49741.4</v>
      </c>
      <c r="O90" s="436">
        <v>46059</v>
      </c>
      <c r="P90" s="432" t="s">
        <v>513</v>
      </c>
      <c r="Q90" s="432" t="s">
        <v>843</v>
      </c>
      <c r="S90" s="465">
        <v>332308</v>
      </c>
      <c r="T90" s="458" t="s">
        <v>311</v>
      </c>
      <c r="U90" s="458" t="s">
        <v>1037</v>
      </c>
      <c r="V90" s="465">
        <v>211104</v>
      </c>
      <c r="W90" s="459">
        <v>14292</v>
      </c>
      <c r="X90" s="460">
        <v>46111</v>
      </c>
      <c r="Y90" s="458" t="s">
        <v>513</v>
      </c>
      <c r="Z90" s="458" t="s">
        <v>1015</v>
      </c>
      <c r="AB90" s="469">
        <v>331408</v>
      </c>
      <c r="AC90" s="470" t="s">
        <v>494</v>
      </c>
      <c r="AD90" s="470" t="s">
        <v>1220</v>
      </c>
      <c r="AE90" s="469">
        <v>211104</v>
      </c>
      <c r="AF90" s="471">
        <v>600</v>
      </c>
      <c r="AG90" s="476">
        <v>46120</v>
      </c>
      <c r="AH90" s="470" t="s">
        <v>513</v>
      </c>
      <c r="AI90" s="470" t="s">
        <v>1193</v>
      </c>
      <c r="AK90" s="159"/>
      <c r="AL90" s="160"/>
      <c r="AM90" s="155"/>
      <c r="AN90" s="155"/>
      <c r="AO90" s="156"/>
      <c r="AP90" s="162"/>
      <c r="AQ90" s="155"/>
      <c r="AR90" s="155"/>
      <c r="AT90" s="155"/>
      <c r="AU90" s="153"/>
      <c r="AV90" s="155"/>
      <c r="AW90" s="155"/>
      <c r="AX90" s="156"/>
      <c r="AY90" s="162"/>
      <c r="AZ90" s="155"/>
      <c r="BA90" s="155"/>
      <c r="BC90" s="155"/>
      <c r="BD90" s="153"/>
      <c r="BE90" s="155"/>
      <c r="BF90" s="155"/>
      <c r="BG90" s="156"/>
      <c r="BH90" s="162"/>
      <c r="BI90" s="155"/>
      <c r="BJ90" s="155"/>
      <c r="BL90" s="237"/>
      <c r="BM90" s="230"/>
      <c r="BN90" s="230"/>
      <c r="BO90" s="230"/>
      <c r="BP90" s="231"/>
      <c r="BQ90" s="232"/>
      <c r="BR90" s="230"/>
      <c r="BS90" s="230"/>
      <c r="BU90" s="155"/>
      <c r="BV90" s="153"/>
      <c r="BW90" s="155"/>
      <c r="BX90" s="155"/>
      <c r="BY90" s="156"/>
      <c r="BZ90" s="162"/>
      <c r="CA90" s="155"/>
      <c r="CB90" s="155"/>
      <c r="CD90" s="329"/>
      <c r="CE90" s="325"/>
      <c r="CF90" s="325"/>
      <c r="CG90" s="325"/>
      <c r="CH90" s="326"/>
      <c r="CI90" s="330"/>
      <c r="CJ90" s="325"/>
      <c r="CK90" s="325"/>
      <c r="CM90" s="329"/>
      <c r="CN90" s="325"/>
      <c r="CO90" s="325"/>
      <c r="CP90" s="325"/>
      <c r="CQ90" s="326"/>
      <c r="CR90" s="330"/>
      <c r="CS90" s="325"/>
      <c r="CT90" s="325"/>
      <c r="CW90" s="108"/>
      <c r="CX90" s="108"/>
      <c r="CY90" s="108"/>
      <c r="CZ90" s="400"/>
      <c r="DA90" s="125"/>
      <c r="DB90" s="108"/>
      <c r="DC90" s="108"/>
    </row>
    <row r="91" spans="1:107">
      <c r="A91" s="430">
        <v>331811</v>
      </c>
      <c r="B91" s="433" t="s">
        <v>308</v>
      </c>
      <c r="C91" s="433" t="s">
        <v>835</v>
      </c>
      <c r="D91" s="430">
        <v>211104</v>
      </c>
      <c r="E91" s="435">
        <v>21976.43</v>
      </c>
      <c r="F91" s="437">
        <v>46037</v>
      </c>
      <c r="G91" s="433" t="s">
        <v>513</v>
      </c>
      <c r="H91" s="433" t="s">
        <v>836</v>
      </c>
      <c r="J91" s="430">
        <v>332409</v>
      </c>
      <c r="K91" s="433" t="s">
        <v>315</v>
      </c>
      <c r="L91" s="433" t="s">
        <v>789</v>
      </c>
      <c r="M91" s="430">
        <v>211104</v>
      </c>
      <c r="N91" s="435">
        <v>7260</v>
      </c>
      <c r="O91" s="437">
        <v>46073</v>
      </c>
      <c r="P91" s="433" t="s">
        <v>513</v>
      </c>
      <c r="Q91" s="433" t="s">
        <v>790</v>
      </c>
      <c r="S91" s="464">
        <v>331199</v>
      </c>
      <c r="T91" s="461" t="s">
        <v>439</v>
      </c>
      <c r="U91" s="461" t="s">
        <v>1035</v>
      </c>
      <c r="V91" s="464">
        <v>215101</v>
      </c>
      <c r="W91" s="462">
        <v>4450</v>
      </c>
      <c r="X91" s="463">
        <v>46106</v>
      </c>
      <c r="Y91" s="461" t="s">
        <v>513</v>
      </c>
      <c r="Z91" s="461" t="s">
        <v>1036</v>
      </c>
      <c r="AB91" s="474">
        <v>331453</v>
      </c>
      <c r="AC91" s="472" t="s">
        <v>300</v>
      </c>
      <c r="AD91" s="472" t="s">
        <v>1221</v>
      </c>
      <c r="AE91" s="474">
        <v>211104</v>
      </c>
      <c r="AF91" s="473">
        <v>600</v>
      </c>
      <c r="AG91" s="477">
        <v>46118</v>
      </c>
      <c r="AH91" s="472" t="s">
        <v>513</v>
      </c>
      <c r="AI91" s="472" t="s">
        <v>1201</v>
      </c>
      <c r="AK91" s="158"/>
      <c r="AL91" s="154"/>
      <c r="AM91" s="158"/>
      <c r="AN91" s="158"/>
      <c r="AO91" s="157"/>
      <c r="AP91" s="163"/>
      <c r="AQ91" s="158"/>
      <c r="AR91" s="158"/>
      <c r="AT91" s="158"/>
      <c r="AU91" s="154"/>
      <c r="AV91" s="158"/>
      <c r="AW91" s="158"/>
      <c r="AX91" s="157"/>
      <c r="AY91" s="163"/>
      <c r="AZ91" s="158"/>
      <c r="BA91" s="158"/>
      <c r="BC91" s="158"/>
      <c r="BD91" s="154"/>
      <c r="BE91" s="158"/>
      <c r="BF91" s="158"/>
      <c r="BG91" s="157"/>
      <c r="BH91" s="163"/>
      <c r="BI91" s="158"/>
      <c r="BJ91" s="158"/>
      <c r="BL91" s="236"/>
      <c r="BM91" s="233"/>
      <c r="BN91" s="233"/>
      <c r="BO91" s="233"/>
      <c r="BP91" s="234"/>
      <c r="BQ91" s="235"/>
      <c r="BR91" s="233"/>
      <c r="BS91" s="233"/>
      <c r="BU91" s="158"/>
      <c r="BV91" s="154"/>
      <c r="BW91" s="158"/>
      <c r="BX91" s="158"/>
      <c r="BY91" s="157"/>
      <c r="BZ91" s="163"/>
      <c r="CA91" s="158"/>
      <c r="CB91" s="158"/>
      <c r="CD91" s="332"/>
      <c r="CE91" s="327"/>
      <c r="CF91" s="327"/>
      <c r="CG91" s="327"/>
      <c r="CH91" s="328"/>
      <c r="CI91" s="331"/>
      <c r="CJ91" s="327"/>
      <c r="CK91" s="327"/>
      <c r="CM91" s="332"/>
      <c r="CN91" s="327"/>
      <c r="CO91" s="327"/>
      <c r="CP91" s="327"/>
      <c r="CQ91" s="328"/>
      <c r="CR91" s="331"/>
      <c r="CS91" s="327"/>
      <c r="CT91" s="327"/>
      <c r="CV91" s="112"/>
      <c r="CW91" s="110"/>
      <c r="CX91" s="110"/>
      <c r="CY91" s="110"/>
      <c r="CZ91" s="399"/>
      <c r="DA91" s="127"/>
      <c r="DB91" s="110"/>
      <c r="DC91" s="110"/>
    </row>
    <row r="92" spans="1:107">
      <c r="A92" s="431">
        <v>331124</v>
      </c>
      <c r="B92" s="432" t="s">
        <v>274</v>
      </c>
      <c r="C92" s="432" t="s">
        <v>815</v>
      </c>
      <c r="D92" s="431">
        <v>211104</v>
      </c>
      <c r="E92" s="434">
        <v>47782.05</v>
      </c>
      <c r="F92" s="436">
        <v>46051</v>
      </c>
      <c r="G92" s="432" t="s">
        <v>513</v>
      </c>
      <c r="H92" s="432" t="s">
        <v>816</v>
      </c>
      <c r="J92" s="431">
        <v>332308</v>
      </c>
      <c r="K92" s="432" t="s">
        <v>311</v>
      </c>
      <c r="L92" s="432" t="s">
        <v>833</v>
      </c>
      <c r="M92" s="431">
        <v>211104</v>
      </c>
      <c r="N92" s="434">
        <v>15234.48</v>
      </c>
      <c r="O92" s="436">
        <v>46078</v>
      </c>
      <c r="P92" s="432" t="s">
        <v>513</v>
      </c>
      <c r="Q92" s="432" t="s">
        <v>834</v>
      </c>
      <c r="S92" s="465">
        <v>331124</v>
      </c>
      <c r="T92" s="458" t="s">
        <v>274</v>
      </c>
      <c r="U92" s="458" t="s">
        <v>1038</v>
      </c>
      <c r="V92" s="465">
        <v>211104</v>
      </c>
      <c r="W92" s="459">
        <v>44671.4</v>
      </c>
      <c r="X92" s="460">
        <v>46086</v>
      </c>
      <c r="Y92" s="458" t="s">
        <v>513</v>
      </c>
      <c r="Z92" s="458" t="s">
        <v>1023</v>
      </c>
      <c r="AB92" s="469">
        <v>331811</v>
      </c>
      <c r="AC92" s="470" t="s">
        <v>308</v>
      </c>
      <c r="AD92" s="470" t="s">
        <v>1222</v>
      </c>
      <c r="AE92" s="469">
        <v>211104</v>
      </c>
      <c r="AF92" s="471">
        <v>21976.43</v>
      </c>
      <c r="AG92" s="476">
        <v>46127</v>
      </c>
      <c r="AH92" s="470" t="s">
        <v>513</v>
      </c>
      <c r="AI92" s="470" t="s">
        <v>1209</v>
      </c>
      <c r="AK92" s="155"/>
      <c r="AL92" s="153"/>
      <c r="AM92" s="155"/>
      <c r="AN92" s="155"/>
      <c r="AO92" s="156"/>
      <c r="AP92" s="162"/>
      <c r="AQ92" s="155"/>
      <c r="AR92" s="155"/>
      <c r="AT92" s="155"/>
      <c r="AU92" s="153"/>
      <c r="AV92" s="155"/>
      <c r="AW92" s="155"/>
      <c r="AX92" s="156"/>
      <c r="AY92" s="162"/>
      <c r="AZ92" s="155"/>
      <c r="BA92" s="155"/>
      <c r="BC92" s="155"/>
      <c r="BD92" s="153"/>
      <c r="BE92" s="155"/>
      <c r="BF92" s="155"/>
      <c r="BG92" s="156"/>
      <c r="BH92" s="162"/>
      <c r="BI92" s="155"/>
      <c r="BJ92" s="155"/>
      <c r="BL92" s="237"/>
      <c r="BM92" s="230"/>
      <c r="BN92" s="230"/>
      <c r="BO92" s="230"/>
      <c r="BP92" s="231"/>
      <c r="BQ92" s="232"/>
      <c r="BR92" s="230"/>
      <c r="BS92" s="230"/>
      <c r="BU92" s="155"/>
      <c r="BV92" s="153"/>
      <c r="BW92" s="155"/>
      <c r="BX92" s="155"/>
      <c r="BY92" s="156"/>
      <c r="BZ92" s="162"/>
      <c r="CA92" s="155"/>
      <c r="CB92" s="155"/>
      <c r="CD92" s="329"/>
      <c r="CE92" s="325"/>
      <c r="CF92" s="325"/>
      <c r="CG92" s="325"/>
      <c r="CH92" s="326"/>
      <c r="CI92" s="330"/>
      <c r="CJ92" s="325"/>
      <c r="CK92" s="325"/>
      <c r="CM92" s="329"/>
      <c r="CN92" s="325"/>
      <c r="CO92" s="325"/>
      <c r="CP92" s="325"/>
      <c r="CQ92" s="326"/>
      <c r="CR92" s="330"/>
      <c r="CS92" s="325"/>
      <c r="CT92" s="325"/>
      <c r="CW92" s="108"/>
      <c r="CX92" s="108"/>
      <c r="CY92" s="108"/>
      <c r="CZ92" s="400"/>
      <c r="DA92" s="125"/>
      <c r="DB92" s="108"/>
      <c r="DC92" s="108"/>
    </row>
    <row r="93" spans="1:107">
      <c r="A93" s="430">
        <v>128504</v>
      </c>
      <c r="B93" s="433" t="s">
        <v>271</v>
      </c>
      <c r="C93" s="433" t="s">
        <v>811</v>
      </c>
      <c r="D93" s="430">
        <v>215101</v>
      </c>
      <c r="E93" s="435">
        <v>4400</v>
      </c>
      <c r="F93" s="437">
        <v>46050</v>
      </c>
      <c r="G93" s="433" t="s">
        <v>513</v>
      </c>
      <c r="H93" s="433" t="s">
        <v>812</v>
      </c>
      <c r="J93" s="430">
        <v>332405</v>
      </c>
      <c r="K93" s="433" t="s">
        <v>314</v>
      </c>
      <c r="L93" s="433" t="s">
        <v>813</v>
      </c>
      <c r="M93" s="430">
        <v>215101</v>
      </c>
      <c r="N93" s="435">
        <v>21519.13</v>
      </c>
      <c r="O93" s="437">
        <v>46077</v>
      </c>
      <c r="P93" s="433" t="s">
        <v>513</v>
      </c>
      <c r="Q93" s="433" t="s">
        <v>814</v>
      </c>
      <c r="S93" s="464">
        <v>331206</v>
      </c>
      <c r="T93" s="461" t="s">
        <v>277</v>
      </c>
      <c r="U93" s="461" t="s">
        <v>1042</v>
      </c>
      <c r="V93" s="464">
        <v>211104</v>
      </c>
      <c r="W93" s="462">
        <v>16519.2</v>
      </c>
      <c r="X93" s="463">
        <v>46091</v>
      </c>
      <c r="Y93" s="461" t="s">
        <v>513</v>
      </c>
      <c r="Z93" s="461" t="s">
        <v>1027</v>
      </c>
      <c r="AB93" s="474">
        <v>331407</v>
      </c>
      <c r="AC93" s="472" t="s">
        <v>445</v>
      </c>
      <c r="AD93" s="472" t="s">
        <v>1223</v>
      </c>
      <c r="AE93" s="474">
        <v>211104</v>
      </c>
      <c r="AF93" s="473">
        <v>470</v>
      </c>
      <c r="AG93" s="477">
        <v>46142</v>
      </c>
      <c r="AH93" s="472" t="s">
        <v>513</v>
      </c>
      <c r="AI93" s="472" t="s">
        <v>1195</v>
      </c>
      <c r="AK93" s="158"/>
      <c r="AL93" s="154"/>
      <c r="AM93" s="158"/>
      <c r="AN93" s="158"/>
      <c r="AO93" s="157"/>
      <c r="AP93" s="163"/>
      <c r="AQ93" s="158"/>
      <c r="AR93" s="158"/>
      <c r="AT93" s="158"/>
      <c r="AU93" s="154"/>
      <c r="AV93" s="158"/>
      <c r="AW93" s="158"/>
      <c r="AX93" s="157"/>
      <c r="AY93" s="163"/>
      <c r="AZ93" s="158"/>
      <c r="BA93" s="158"/>
      <c r="BL93" s="236"/>
      <c r="BM93" s="233"/>
      <c r="BN93" s="233"/>
      <c r="BO93" s="233"/>
      <c r="BP93" s="234"/>
      <c r="BQ93" s="235"/>
      <c r="BR93" s="233"/>
      <c r="BS93" s="233"/>
      <c r="BU93" s="158"/>
      <c r="BV93" s="154"/>
      <c r="BW93" s="158"/>
      <c r="BX93" s="158"/>
      <c r="BY93" s="157"/>
      <c r="BZ93" s="163"/>
      <c r="CA93" s="158"/>
      <c r="CB93" s="158"/>
      <c r="CD93" s="332"/>
      <c r="CE93" s="327"/>
      <c r="CF93" s="327"/>
      <c r="CG93" s="327"/>
      <c r="CH93" s="328"/>
      <c r="CI93" s="331"/>
      <c r="CJ93" s="327"/>
      <c r="CK93" s="327"/>
      <c r="CM93" s="332"/>
      <c r="CN93" s="327"/>
      <c r="CO93" s="327"/>
      <c r="CP93" s="327"/>
      <c r="CQ93" s="328"/>
      <c r="CR93" s="331"/>
      <c r="CS93" s="327"/>
      <c r="CT93" s="327"/>
      <c r="CV93" s="112"/>
      <c r="CW93" s="110"/>
      <c r="CX93" s="110"/>
      <c r="CY93" s="110"/>
      <c r="CZ93" s="399"/>
      <c r="DA93" s="127"/>
      <c r="DB93" s="110"/>
      <c r="DC93" s="110"/>
    </row>
    <row r="94" spans="1:107">
      <c r="A94" s="431">
        <v>332415</v>
      </c>
      <c r="B94" s="432" t="s">
        <v>317</v>
      </c>
      <c r="C94" s="432" t="s">
        <v>798</v>
      </c>
      <c r="D94" s="431">
        <v>211104</v>
      </c>
      <c r="E94" s="434">
        <v>5000</v>
      </c>
      <c r="F94" s="436">
        <v>46052</v>
      </c>
      <c r="G94" s="432" t="s">
        <v>513</v>
      </c>
      <c r="H94" s="432" t="s">
        <v>799</v>
      </c>
      <c r="J94" s="431">
        <v>332305</v>
      </c>
      <c r="K94" s="432" t="s">
        <v>310</v>
      </c>
      <c r="L94" s="432" t="s">
        <v>840</v>
      </c>
      <c r="M94" s="431">
        <v>211104</v>
      </c>
      <c r="N94" s="434">
        <v>7892.2</v>
      </c>
      <c r="O94" s="436">
        <v>46077</v>
      </c>
      <c r="P94" s="432" t="s">
        <v>513</v>
      </c>
      <c r="Q94" s="432" t="s">
        <v>841</v>
      </c>
      <c r="S94" s="465">
        <v>331298</v>
      </c>
      <c r="T94" s="458" t="s">
        <v>488</v>
      </c>
      <c r="U94" s="458" t="s">
        <v>1040</v>
      </c>
      <c r="V94" s="465">
        <v>215101</v>
      </c>
      <c r="W94" s="459">
        <v>4592</v>
      </c>
      <c r="X94" s="460">
        <v>46111</v>
      </c>
      <c r="Y94" s="458" t="s">
        <v>513</v>
      </c>
      <c r="Z94" s="458" t="s">
        <v>1015</v>
      </c>
      <c r="AB94" s="469">
        <v>331310</v>
      </c>
      <c r="AC94" s="470" t="s">
        <v>283</v>
      </c>
      <c r="AD94" s="470" t="s">
        <v>1224</v>
      </c>
      <c r="AE94" s="469">
        <v>211104</v>
      </c>
      <c r="AF94" s="471">
        <v>42154.18</v>
      </c>
      <c r="AG94" s="476">
        <v>46119</v>
      </c>
      <c r="AH94" s="470" t="s">
        <v>513</v>
      </c>
      <c r="AI94" s="470" t="s">
        <v>1217</v>
      </c>
      <c r="AK94" s="155"/>
      <c r="AL94" s="153"/>
      <c r="AM94" s="155"/>
      <c r="AN94" s="155"/>
      <c r="AO94" s="156"/>
      <c r="AP94" s="162"/>
      <c r="AQ94" s="155"/>
      <c r="AR94" s="155"/>
      <c r="AT94" s="155"/>
      <c r="AU94" s="153"/>
      <c r="AV94" s="155"/>
      <c r="AW94" s="155"/>
      <c r="AX94" s="156"/>
      <c r="AY94" s="162"/>
      <c r="AZ94" s="155"/>
      <c r="BA94" s="155"/>
      <c r="BL94" s="237"/>
      <c r="BM94" s="230"/>
      <c r="BN94" s="230"/>
      <c r="BO94" s="230"/>
      <c r="BP94" s="231"/>
      <c r="BQ94" s="232"/>
      <c r="BR94" s="230"/>
      <c r="BS94" s="230"/>
      <c r="BU94" s="155"/>
      <c r="BV94" s="153"/>
      <c r="BW94" s="155"/>
      <c r="BX94" s="155"/>
      <c r="BY94" s="156"/>
      <c r="BZ94" s="162"/>
      <c r="CA94" s="155"/>
      <c r="CB94" s="155"/>
      <c r="CD94" s="329"/>
      <c r="CE94" s="325"/>
      <c r="CF94" s="325"/>
      <c r="CG94" s="325"/>
      <c r="CH94" s="326"/>
      <c r="CI94" s="330"/>
      <c r="CJ94" s="325"/>
      <c r="CK94" s="325"/>
      <c r="CM94" s="329"/>
      <c r="CN94" s="325"/>
      <c r="CO94" s="325"/>
      <c r="CP94" s="325"/>
      <c r="CQ94" s="326"/>
      <c r="CR94" s="330"/>
      <c r="CS94" s="325"/>
      <c r="CT94" s="325"/>
      <c r="CW94" s="108"/>
      <c r="CX94" s="108"/>
      <c r="CY94" s="108"/>
      <c r="CZ94" s="400"/>
      <c r="DA94" s="125"/>
      <c r="DB94" s="108"/>
      <c r="DC94" s="108"/>
    </row>
    <row r="95" spans="1:107">
      <c r="A95" s="430">
        <v>331407</v>
      </c>
      <c r="B95" s="433" t="s">
        <v>445</v>
      </c>
      <c r="C95" s="433" t="s">
        <v>848</v>
      </c>
      <c r="D95" s="430">
        <v>211104</v>
      </c>
      <c r="E95" s="435">
        <v>400</v>
      </c>
      <c r="F95" s="437">
        <v>46045</v>
      </c>
      <c r="G95" s="433" t="s">
        <v>513</v>
      </c>
      <c r="H95" s="433" t="s">
        <v>849</v>
      </c>
      <c r="J95" s="430">
        <v>332302</v>
      </c>
      <c r="K95" s="433" t="s">
        <v>309</v>
      </c>
      <c r="L95" s="433" t="s">
        <v>837</v>
      </c>
      <c r="M95" s="430">
        <v>211104</v>
      </c>
      <c r="N95" s="435">
        <v>1564.8</v>
      </c>
      <c r="O95" s="437">
        <v>46062</v>
      </c>
      <c r="P95" s="433" t="s">
        <v>513</v>
      </c>
      <c r="Q95" s="433" t="s">
        <v>838</v>
      </c>
      <c r="S95" s="464">
        <v>331250</v>
      </c>
      <c r="T95" s="461" t="s">
        <v>489</v>
      </c>
      <c r="U95" s="461" t="s">
        <v>1041</v>
      </c>
      <c r="V95" s="464">
        <v>211104</v>
      </c>
      <c r="W95" s="462">
        <v>1250</v>
      </c>
      <c r="X95" s="463">
        <v>46094</v>
      </c>
      <c r="Y95" s="461" t="s">
        <v>513</v>
      </c>
      <c r="Z95" s="461" t="s">
        <v>1011</v>
      </c>
      <c r="AB95" s="474">
        <v>331318</v>
      </c>
      <c r="AC95" s="472" t="s">
        <v>289</v>
      </c>
      <c r="AD95" s="472" t="s">
        <v>1225</v>
      </c>
      <c r="AE95" s="474">
        <v>211104</v>
      </c>
      <c r="AF95" s="473">
        <v>530</v>
      </c>
      <c r="AG95" s="477">
        <v>46132</v>
      </c>
      <c r="AH95" s="472" t="s">
        <v>513</v>
      </c>
      <c r="AI95" s="472" t="s">
        <v>1226</v>
      </c>
      <c r="AK95" s="158"/>
      <c r="AL95" s="154"/>
      <c r="AM95" s="158"/>
      <c r="AN95" s="158"/>
      <c r="AO95" s="157"/>
      <c r="AP95" s="163"/>
      <c r="AQ95" s="158"/>
      <c r="AR95" s="158"/>
      <c r="AT95" s="158"/>
      <c r="AU95" s="154"/>
      <c r="AV95" s="158"/>
      <c r="AW95" s="158"/>
      <c r="AX95" s="157"/>
      <c r="AY95" s="163"/>
      <c r="AZ95" s="158"/>
      <c r="BA95" s="158"/>
      <c r="BL95" s="236"/>
      <c r="BM95" s="233"/>
      <c r="BN95" s="233"/>
      <c r="BO95" s="233"/>
      <c r="BP95" s="234"/>
      <c r="BQ95" s="235"/>
      <c r="BR95" s="233"/>
      <c r="BS95" s="233"/>
      <c r="BU95" s="158"/>
      <c r="BV95" s="154"/>
      <c r="BW95" s="158"/>
      <c r="BX95" s="158"/>
      <c r="BY95" s="157"/>
      <c r="BZ95" s="163"/>
      <c r="CA95" s="158"/>
      <c r="CB95" s="158"/>
      <c r="CD95" s="332"/>
      <c r="CE95" s="327"/>
      <c r="CF95" s="327"/>
      <c r="CG95" s="327"/>
      <c r="CH95" s="328"/>
      <c r="CI95" s="331"/>
      <c r="CJ95" s="327"/>
      <c r="CK95" s="327"/>
      <c r="CM95" s="332"/>
      <c r="CN95" s="327"/>
      <c r="CO95" s="327"/>
      <c r="CP95" s="327"/>
      <c r="CQ95" s="328"/>
      <c r="CR95" s="331"/>
      <c r="CS95" s="327"/>
      <c r="CT95" s="327"/>
      <c r="CV95" s="112"/>
      <c r="CW95" s="110"/>
      <c r="CX95" s="110"/>
      <c r="CY95" s="110"/>
      <c r="CZ95" s="399"/>
      <c r="DA95" s="127"/>
      <c r="DB95" s="110"/>
      <c r="DC95" s="110"/>
    </row>
    <row r="96" spans="1:107">
      <c r="A96" s="431">
        <v>332409</v>
      </c>
      <c r="B96" s="432" t="s">
        <v>315</v>
      </c>
      <c r="C96" s="432" t="s">
        <v>802</v>
      </c>
      <c r="D96" s="431">
        <v>211104</v>
      </c>
      <c r="E96" s="434">
        <v>35770</v>
      </c>
      <c r="F96" s="436">
        <v>46031</v>
      </c>
      <c r="G96" s="432" t="s">
        <v>513</v>
      </c>
      <c r="H96" s="432" t="s">
        <v>803</v>
      </c>
      <c r="J96" s="431">
        <v>331301</v>
      </c>
      <c r="K96" s="432" t="s">
        <v>281</v>
      </c>
      <c r="L96" s="432" t="s">
        <v>846</v>
      </c>
      <c r="M96" s="431">
        <v>215101</v>
      </c>
      <c r="N96" s="434">
        <v>514813.91</v>
      </c>
      <c r="O96" s="436">
        <v>46072</v>
      </c>
      <c r="P96" s="432" t="s">
        <v>547</v>
      </c>
      <c r="Q96" s="432" t="s">
        <v>847</v>
      </c>
      <c r="S96" s="465">
        <v>331811</v>
      </c>
      <c r="T96" s="458" t="s">
        <v>308</v>
      </c>
      <c r="U96" s="458" t="s">
        <v>1039</v>
      </c>
      <c r="V96" s="465">
        <v>211104</v>
      </c>
      <c r="W96" s="459">
        <v>21976.43</v>
      </c>
      <c r="X96" s="460">
        <v>46097</v>
      </c>
      <c r="Y96" s="458" t="s">
        <v>513</v>
      </c>
      <c r="Z96" s="458" t="s">
        <v>1034</v>
      </c>
      <c r="AB96" s="469">
        <v>331402</v>
      </c>
      <c r="AC96" s="470" t="s">
        <v>291</v>
      </c>
      <c r="AD96" s="470" t="s">
        <v>1227</v>
      </c>
      <c r="AE96" s="469">
        <v>211104</v>
      </c>
      <c r="AF96" s="471">
        <v>4350</v>
      </c>
      <c r="AG96" s="476">
        <v>46114</v>
      </c>
      <c r="AH96" s="470" t="s">
        <v>513</v>
      </c>
      <c r="AI96" s="470" t="s">
        <v>1228</v>
      </c>
      <c r="AK96" s="155"/>
      <c r="AL96" s="153"/>
      <c r="AM96" s="155"/>
      <c r="AN96" s="155"/>
      <c r="AO96" s="156"/>
      <c r="AP96" s="162"/>
      <c r="AQ96" s="155"/>
      <c r="AR96" s="155"/>
      <c r="AT96" s="155"/>
      <c r="AU96" s="153"/>
      <c r="AV96" s="155"/>
      <c r="AW96" s="155"/>
      <c r="AX96" s="156"/>
      <c r="AY96" s="162"/>
      <c r="AZ96" s="155"/>
      <c r="BA96" s="155"/>
      <c r="BL96" s="357"/>
      <c r="BM96" s="358"/>
      <c r="BN96" s="361"/>
      <c r="BO96" s="358"/>
      <c r="BP96" s="359"/>
      <c r="BQ96" s="360"/>
      <c r="BR96" s="358"/>
      <c r="BS96" s="361"/>
      <c r="BU96" s="155"/>
      <c r="BV96" s="153"/>
      <c r="BW96" s="155"/>
      <c r="BX96" s="155"/>
      <c r="BY96" s="156"/>
      <c r="BZ96" s="162"/>
      <c r="CA96" s="155"/>
      <c r="CB96" s="155"/>
      <c r="CD96" s="329"/>
      <c r="CE96" s="325"/>
      <c r="CF96" s="325"/>
      <c r="CG96" s="325"/>
      <c r="CH96" s="326"/>
      <c r="CI96" s="330"/>
      <c r="CJ96" s="325"/>
      <c r="CK96" s="325"/>
      <c r="CM96" s="329"/>
      <c r="CN96" s="325"/>
      <c r="CO96" s="325"/>
      <c r="CP96" s="325"/>
      <c r="CQ96" s="326"/>
      <c r="CR96" s="330"/>
      <c r="CS96" s="325"/>
      <c r="CT96" s="325"/>
      <c r="CW96" s="108"/>
      <c r="CX96" s="108"/>
      <c r="CY96" s="108"/>
      <c r="CZ96" s="400"/>
      <c r="DA96" s="125"/>
      <c r="DB96" s="108"/>
      <c r="DC96" s="108"/>
    </row>
    <row r="97" spans="1:107">
      <c r="A97" s="430">
        <v>332408</v>
      </c>
      <c r="B97" s="433" t="s">
        <v>417</v>
      </c>
      <c r="C97" s="433" t="s">
        <v>807</v>
      </c>
      <c r="D97" s="430">
        <v>211104</v>
      </c>
      <c r="E97" s="435">
        <v>600</v>
      </c>
      <c r="F97" s="437">
        <v>46024</v>
      </c>
      <c r="G97" s="433" t="s">
        <v>513</v>
      </c>
      <c r="H97" s="433" t="s">
        <v>808</v>
      </c>
      <c r="J97" s="430">
        <v>331309</v>
      </c>
      <c r="K97" s="433" t="s">
        <v>408</v>
      </c>
      <c r="L97" s="433" t="s">
        <v>850</v>
      </c>
      <c r="M97" s="430">
        <v>215101</v>
      </c>
      <c r="N97" s="435">
        <v>2501.2800000000002</v>
      </c>
      <c r="O97" s="437">
        <v>46055</v>
      </c>
      <c r="P97" s="433" t="s">
        <v>851</v>
      </c>
      <c r="Q97" s="433" t="s">
        <v>852</v>
      </c>
      <c r="S97" s="464">
        <v>331309</v>
      </c>
      <c r="T97" s="461" t="s">
        <v>408</v>
      </c>
      <c r="U97" s="461" t="s">
        <v>1043</v>
      </c>
      <c r="V97" s="464">
        <v>215101</v>
      </c>
      <c r="W97" s="462">
        <v>552.71</v>
      </c>
      <c r="X97" s="463">
        <v>46084</v>
      </c>
      <c r="Y97" s="461" t="s">
        <v>851</v>
      </c>
      <c r="Z97" s="461" t="s">
        <v>1044</v>
      </c>
      <c r="AF97" s="124"/>
      <c r="AK97" s="158"/>
      <c r="AL97" s="154"/>
      <c r="AM97" s="158"/>
      <c r="AN97" s="158"/>
      <c r="AO97" s="157"/>
      <c r="AP97" s="163"/>
      <c r="AQ97" s="158"/>
      <c r="AR97" s="158"/>
      <c r="AT97" s="158"/>
      <c r="AU97" s="154"/>
      <c r="AV97" s="158"/>
      <c r="AW97" s="158"/>
      <c r="AX97" s="157"/>
      <c r="AY97" s="163"/>
      <c r="AZ97" s="158"/>
      <c r="BA97" s="158"/>
      <c r="BL97" s="236"/>
      <c r="BM97" s="233"/>
      <c r="BN97" s="233"/>
      <c r="BO97" s="233"/>
      <c r="BP97" s="234"/>
      <c r="BQ97" s="235"/>
      <c r="BR97" s="233"/>
      <c r="BS97" s="233"/>
      <c r="BU97" s="158"/>
      <c r="BV97" s="154"/>
      <c r="BW97" s="158"/>
      <c r="BX97" s="158"/>
      <c r="BY97" s="157"/>
      <c r="BZ97" s="163"/>
      <c r="CA97" s="158"/>
      <c r="CB97" s="158"/>
      <c r="CD97" s="332"/>
      <c r="CE97" s="327"/>
      <c r="CF97" s="327"/>
      <c r="CG97" s="327"/>
      <c r="CH97" s="328"/>
      <c r="CI97" s="331"/>
      <c r="CJ97" s="327"/>
      <c r="CK97" s="327"/>
      <c r="CM97" s="332"/>
      <c r="CN97" s="327"/>
      <c r="CO97" s="327"/>
      <c r="CP97" s="327"/>
      <c r="CQ97" s="328"/>
      <c r="CR97" s="331"/>
      <c r="CS97" s="327"/>
      <c r="CT97" s="327"/>
      <c r="CV97" s="112"/>
      <c r="CW97" s="110"/>
      <c r="CX97" s="110"/>
      <c r="CY97" s="110"/>
      <c r="CZ97" s="399"/>
      <c r="DA97" s="127"/>
      <c r="DB97" s="110"/>
      <c r="DC97" s="110"/>
    </row>
    <row r="98" spans="1:107">
      <c r="A98" s="431">
        <v>332405</v>
      </c>
      <c r="B98" s="432" t="s">
        <v>314</v>
      </c>
      <c r="C98" s="432" t="s">
        <v>916</v>
      </c>
      <c r="D98" s="431">
        <v>211104</v>
      </c>
      <c r="E98" s="434">
        <v>44481.59</v>
      </c>
      <c r="F98" s="436">
        <v>46038</v>
      </c>
      <c r="G98" s="432" t="s">
        <v>513</v>
      </c>
      <c r="H98" s="432" t="s">
        <v>821</v>
      </c>
      <c r="J98"/>
      <c r="L98"/>
      <c r="M98"/>
      <c r="P98"/>
      <c r="Q98"/>
      <c r="S98" s="465">
        <v>331601</v>
      </c>
      <c r="T98" s="458" t="s">
        <v>43</v>
      </c>
      <c r="U98" s="458" t="s">
        <v>1045</v>
      </c>
      <c r="V98" s="465">
        <v>211104</v>
      </c>
      <c r="W98" s="459">
        <v>2828.71</v>
      </c>
      <c r="X98" s="460">
        <v>46106</v>
      </c>
      <c r="Y98" s="458" t="s">
        <v>1046</v>
      </c>
      <c r="Z98" s="458" t="s">
        <v>1047</v>
      </c>
      <c r="AK98" s="155"/>
      <c r="AL98" s="153"/>
      <c r="AM98" s="155"/>
      <c r="AN98" s="155"/>
      <c r="AO98" s="156"/>
      <c r="AP98" s="162"/>
      <c r="AQ98" s="155"/>
      <c r="AR98" s="155"/>
      <c r="AT98" s="155"/>
      <c r="AU98" s="153"/>
      <c r="AV98" s="155"/>
      <c r="AW98" s="155"/>
      <c r="AX98" s="156"/>
      <c r="AY98" s="162"/>
      <c r="AZ98" s="155"/>
      <c r="BA98" s="155"/>
      <c r="BL98" s="237"/>
      <c r="BM98" s="230"/>
      <c r="BN98" s="230"/>
      <c r="BO98" s="230"/>
      <c r="BP98" s="231"/>
      <c r="BQ98" s="232"/>
      <c r="BR98" s="230"/>
      <c r="BS98" s="230"/>
      <c r="BU98" s="155"/>
      <c r="BV98" s="153"/>
      <c r="BW98" s="155"/>
      <c r="BX98" s="155"/>
      <c r="BY98" s="156"/>
      <c r="BZ98" s="162"/>
      <c r="CA98" s="155"/>
      <c r="CB98" s="155"/>
      <c r="CD98" s="329"/>
      <c r="CE98" s="325"/>
      <c r="CF98" s="325"/>
      <c r="CG98" s="325"/>
      <c r="CH98" s="326"/>
      <c r="CI98" s="330"/>
      <c r="CJ98" s="325"/>
      <c r="CK98" s="325"/>
      <c r="CM98" s="329"/>
      <c r="CN98" s="325"/>
      <c r="CO98" s="325"/>
      <c r="CP98" s="325"/>
      <c r="CQ98" s="326"/>
      <c r="CR98" s="330"/>
      <c r="CS98" s="325"/>
      <c r="CT98" s="325"/>
      <c r="CW98" s="108"/>
      <c r="CX98" s="108"/>
      <c r="CY98" s="108"/>
      <c r="CZ98" s="400"/>
      <c r="DA98" s="125"/>
      <c r="DB98" s="108"/>
      <c r="DC98" s="108"/>
    </row>
    <row r="99" spans="1:107">
      <c r="A99" s="115"/>
      <c r="B99" s="115"/>
      <c r="C99" s="115"/>
      <c r="D99" s="115"/>
      <c r="E99" s="116"/>
      <c r="F99" s="114"/>
      <c r="G99" s="115"/>
      <c r="H99" s="115"/>
      <c r="J99" s="112"/>
      <c r="K99" s="110"/>
      <c r="L99" s="112"/>
      <c r="M99" s="112"/>
      <c r="N99" s="126"/>
      <c r="O99" s="127"/>
      <c r="P99" s="112"/>
      <c r="Q99" s="112"/>
      <c r="AK99" s="158"/>
      <c r="AL99" s="154"/>
      <c r="AM99" s="158"/>
      <c r="AN99" s="158"/>
      <c r="AO99" s="157"/>
      <c r="AP99" s="163"/>
      <c r="AQ99" s="158"/>
      <c r="AR99" s="158"/>
      <c r="AT99" s="158"/>
      <c r="AU99" s="154"/>
      <c r="AV99" s="158"/>
      <c r="AW99" s="158"/>
      <c r="AX99" s="157"/>
      <c r="AY99" s="163"/>
      <c r="AZ99" s="158"/>
      <c r="BA99" s="158"/>
      <c r="BL99" s="236"/>
      <c r="BM99" s="233"/>
      <c r="BN99" s="233"/>
      <c r="BO99" s="233"/>
      <c r="BP99" s="234"/>
      <c r="BQ99" s="235"/>
      <c r="BR99" s="233"/>
      <c r="BS99" s="233"/>
      <c r="CD99" s="332"/>
      <c r="CE99" s="327"/>
      <c r="CF99" s="327"/>
      <c r="CG99" s="327"/>
      <c r="CH99" s="328"/>
      <c r="CI99" s="331"/>
      <c r="CJ99" s="327"/>
      <c r="CK99" s="327"/>
      <c r="CM99" s="332"/>
      <c r="CN99" s="327"/>
      <c r="CO99" s="327"/>
      <c r="CP99" s="327"/>
      <c r="CQ99" s="328"/>
      <c r="CR99" s="331"/>
      <c r="CS99" s="327"/>
      <c r="CT99" s="327"/>
      <c r="CV99" s="112"/>
      <c r="CW99" s="110"/>
      <c r="CX99" s="110"/>
      <c r="CY99" s="110"/>
      <c r="CZ99" s="399"/>
      <c r="DA99" s="127"/>
      <c r="DB99" s="110"/>
      <c r="DC99" s="110"/>
    </row>
    <row r="100" spans="1:107">
      <c r="J100"/>
      <c r="L100"/>
      <c r="M100"/>
      <c r="P100"/>
      <c r="Q100"/>
      <c r="AK100" s="155"/>
      <c r="AL100" s="153"/>
      <c r="AM100" s="155"/>
      <c r="AN100" s="155"/>
      <c r="AO100" s="156"/>
      <c r="AP100" s="162"/>
      <c r="AQ100" s="155"/>
      <c r="AR100" s="155"/>
      <c r="BL100" s="237"/>
      <c r="BM100" s="230"/>
      <c r="BN100" s="230"/>
      <c r="BO100" s="230"/>
      <c r="BP100" s="231"/>
      <c r="BQ100" s="232"/>
      <c r="BR100" s="230"/>
      <c r="BS100" s="230"/>
      <c r="CD100" s="329"/>
      <c r="CE100" s="325"/>
      <c r="CF100" s="325"/>
      <c r="CG100" s="325"/>
      <c r="CH100" s="326"/>
      <c r="CI100" s="330"/>
      <c r="CJ100" s="325"/>
      <c r="CK100" s="325"/>
      <c r="CM100" s="329"/>
      <c r="CN100" s="325"/>
      <c r="CO100" s="325"/>
      <c r="CP100" s="325"/>
      <c r="CQ100" s="326"/>
      <c r="CR100" s="330"/>
      <c r="CS100" s="325"/>
      <c r="CT100" s="325"/>
      <c r="CW100" s="108"/>
      <c r="CX100" s="108"/>
      <c r="CY100" s="108"/>
      <c r="CZ100" s="400"/>
      <c r="DA100" s="125"/>
      <c r="DB100" s="108"/>
      <c r="DC100" s="108"/>
    </row>
    <row r="101" spans="1:107">
      <c r="CD101" s="335"/>
      <c r="CE101" s="327"/>
      <c r="CF101" s="327"/>
      <c r="CG101" s="327"/>
      <c r="CH101" s="328"/>
      <c r="CI101" s="331"/>
      <c r="CJ101" s="327"/>
      <c r="CK101" s="327"/>
    </row>
    <row r="102" spans="1:107">
      <c r="A102" s="114"/>
      <c r="B102" s="114"/>
      <c r="C102" s="115"/>
      <c r="D102" s="114"/>
      <c r="E102" s="114"/>
      <c r="F102" s="114"/>
      <c r="G102" s="114"/>
      <c r="H102" s="114"/>
    </row>
    <row r="109" spans="1:107">
      <c r="BQ109" s="124"/>
    </row>
    <row r="110" spans="1:107">
      <c r="BL110" s="358"/>
    </row>
  </sheetData>
  <autoFilter ref="S13:Z96" xr:uid="{00000000-0009-0000-0000-000007000000}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LH205"/>
  <sheetViews>
    <sheetView showGridLines="0" zoomScale="90" zoomScaleNormal="90" workbookViewId="0">
      <pane xSplit="1" ySplit="3" topLeftCell="B169" activePane="bottomRight" state="frozen"/>
      <selection activeCell="I110" sqref="I110:I112"/>
      <selection pane="topRight" activeCell="I110" sqref="I110:I112"/>
      <selection pane="bottomLeft" activeCell="I110" sqref="I110:I112"/>
      <selection pane="bottomRight" activeCell="J124" sqref="J124"/>
    </sheetView>
  </sheetViews>
  <sheetFormatPr defaultColWidth="9" defaultRowHeight="14.4"/>
  <cols>
    <col min="1" max="1" width="9" style="40"/>
    <col min="2" max="2" width="11.88671875" style="41" bestFit="1" customWidth="1"/>
    <col min="3" max="3" width="11.109375" style="41" bestFit="1" customWidth="1"/>
    <col min="4" max="4" width="2" style="41" bestFit="1" customWidth="1"/>
    <col min="5" max="5" width="11.88671875" style="41" bestFit="1" customWidth="1"/>
    <col min="6" max="6" width="52.5546875" style="41" customWidth="1"/>
    <col min="7" max="7" width="14.6640625" style="42" bestFit="1" customWidth="1"/>
    <col min="8" max="8" width="16.6640625" style="42" bestFit="1" customWidth="1"/>
    <col min="9" max="9" width="14.109375" style="42" bestFit="1" customWidth="1"/>
    <col min="10" max="11" width="13.88671875" style="42" bestFit="1" customWidth="1"/>
    <col min="12" max="13" width="13.88671875" style="41" bestFit="1" customWidth="1"/>
    <col min="14" max="14" width="14.6640625" style="41" bestFit="1" customWidth="1"/>
    <col min="15" max="15" width="16.6640625" style="41" bestFit="1" customWidth="1"/>
    <col min="16" max="16" width="16" style="41" bestFit="1" customWidth="1"/>
    <col min="17" max="17" width="17.88671875" style="41" bestFit="1" customWidth="1"/>
    <col min="18" max="18" width="17" style="41" bestFit="1" customWidth="1"/>
    <col min="19" max="996" width="9" style="41"/>
    <col min="997" max="16384" width="9" style="7"/>
  </cols>
  <sheetData>
    <row r="1" spans="1:19" s="46" customFormat="1">
      <c r="A1" s="33"/>
      <c r="B1" s="43"/>
      <c r="C1" s="43"/>
      <c r="D1" s="43"/>
      <c r="E1" s="43"/>
      <c r="F1" s="43"/>
      <c r="G1" s="44" t="s">
        <v>3</v>
      </c>
      <c r="H1" s="45"/>
      <c r="I1" s="45"/>
      <c r="J1" s="45"/>
      <c r="K1" s="45"/>
    </row>
    <row r="2" spans="1:19" s="46" customFormat="1">
      <c r="A2" s="38"/>
      <c r="B2" s="28" t="s">
        <v>70</v>
      </c>
      <c r="C2" s="35" t="s">
        <v>71</v>
      </c>
      <c r="D2" s="28"/>
      <c r="E2" s="35" t="s">
        <v>1</v>
      </c>
      <c r="F2" s="35" t="s">
        <v>72</v>
      </c>
      <c r="G2" s="47" t="s">
        <v>58</v>
      </c>
      <c r="H2" s="47" t="s">
        <v>59</v>
      </c>
      <c r="I2" s="47" t="s">
        <v>60</v>
      </c>
      <c r="J2" s="47" t="s">
        <v>61</v>
      </c>
      <c r="K2" s="47" t="s">
        <v>11</v>
      </c>
      <c r="L2" s="47" t="s">
        <v>62</v>
      </c>
      <c r="M2" s="47" t="s">
        <v>63</v>
      </c>
      <c r="N2" s="47" t="s">
        <v>64</v>
      </c>
      <c r="O2" s="47" t="s">
        <v>65</v>
      </c>
      <c r="P2" s="47" t="s">
        <v>66</v>
      </c>
      <c r="Q2" s="47" t="s">
        <v>67</v>
      </c>
      <c r="R2" s="47" t="s">
        <v>68</v>
      </c>
      <c r="S2" s="47"/>
    </row>
    <row r="3" spans="1:19">
      <c r="A3" s="37"/>
      <c r="B3" t="str">
        <f t="shared" ref="B3:B85" si="0">D3&amp;E3</f>
        <v>E111103</v>
      </c>
      <c r="C3" s="36" t="s">
        <v>216</v>
      </c>
      <c r="D3" s="26" t="s">
        <v>73</v>
      </c>
      <c r="E3" s="7">
        <v>111103</v>
      </c>
      <c r="F3" s="48" t="s">
        <v>74</v>
      </c>
      <c r="G3" s="49">
        <f>IFERROR(VLOOKUP(E3,'BD - A - Mvto Cx'!$A$15:$D$501,4,0),0)</f>
        <v>0</v>
      </c>
      <c r="H3" s="50">
        <f>IFERROR(VLOOKUP(E3,'BD - A - Mvto Cx'!$J$15:$M$500,4,0),0)</f>
        <v>0</v>
      </c>
      <c r="I3" s="50">
        <f>IFERROR(VLOOKUP(E3,'BD - A - Mvto Cx'!$S$15:$V$500,4,0),0)</f>
        <v>0</v>
      </c>
      <c r="J3" s="50">
        <f>IFERROR(VLOOKUP(E3,'BD - A - Mvto Cx'!$AB$15:$AE$500,4,0),0)</f>
        <v>0</v>
      </c>
      <c r="K3" s="50">
        <f>IFERROR(VLOOKUP(E3,'BD - A - Mvto Cx'!$AK$15:$AN$500,4,0),0)</f>
        <v>0</v>
      </c>
      <c r="L3" s="50">
        <f>IFERROR(VLOOKUP(E3,'BD - A - Mvto Cx'!$AT$15:$AW$500,4,0),0)</f>
        <v>0</v>
      </c>
      <c r="M3" s="50">
        <f>IFERROR(VLOOKUP(E3,'BD - A - Mvto Cx'!$BC$15:$BF$500,4,0),0)</f>
        <v>0</v>
      </c>
      <c r="N3" s="50">
        <f>IFERROR(VLOOKUP(E3,'BD - A - Mvto Cx'!$BL$15:$BO$500,4,0),0)</f>
        <v>0</v>
      </c>
      <c r="O3" s="50">
        <f>IFERROR(VLOOKUP(E3,'BD - A - Mvto Cx'!$BU$15:$BX$500,4,0),0)</f>
        <v>0</v>
      </c>
      <c r="P3" s="50">
        <f>IFERROR(VLOOKUP(E3,'BD - A - Mvto Cx'!$CD$15:$CG$500,4,0),0)</f>
        <v>0</v>
      </c>
      <c r="Q3" s="50">
        <f>IFERROR(VLOOKUP(E3,'BD - A - Mvto Cx'!$CM$15:$CP$500,4,0),0)</f>
        <v>0</v>
      </c>
      <c r="R3" s="50">
        <f>IFERROR(VLOOKUP(E3,'BD - A - Mvto Cx'!$CV$15:$CY$500,4,0),0)</f>
        <v>0</v>
      </c>
    </row>
    <row r="4" spans="1:19">
      <c r="A4" s="37"/>
      <c r="B4" t="str">
        <f t="shared" si="0"/>
        <v>E111808</v>
      </c>
      <c r="C4" s="36" t="s">
        <v>217</v>
      </c>
      <c r="D4" s="26" t="s">
        <v>73</v>
      </c>
      <c r="E4" s="7">
        <v>111808</v>
      </c>
      <c r="F4" s="48" t="s">
        <v>75</v>
      </c>
      <c r="G4" s="423">
        <f>IFERROR(VLOOKUP(E4,'BD - A - Mvto Cx'!$A$15:$D$501,4,0),0)</f>
        <v>0</v>
      </c>
      <c r="H4" s="50">
        <f>IFERROR(VLOOKUP(E4,'BD - A - Mvto Cx'!$J$15:$M$500,4,0),0)</f>
        <v>0</v>
      </c>
      <c r="I4" s="50">
        <f>IFERROR(VLOOKUP(E4,'BD - A - Mvto Cx'!$S$15:$V$500,4,0),0)</f>
        <v>0</v>
      </c>
      <c r="J4" s="50">
        <f>IFERROR(VLOOKUP(E4,'BD - A - Mvto Cx'!$AB$15:$AE$500,4,0),0)</f>
        <v>0</v>
      </c>
      <c r="K4" s="50">
        <f>IFERROR(VLOOKUP(E4,'BD - A - Mvto Cx'!$AK$15:$AN$500,4,0),0)</f>
        <v>0</v>
      </c>
      <c r="L4" s="50">
        <f>IFERROR(VLOOKUP(E4,'BD - A - Mvto Cx'!$AT$15:$AW$500,4,0),0)</f>
        <v>0</v>
      </c>
      <c r="M4" s="50">
        <f>IFERROR(VLOOKUP(E4,'BD - A - Mvto Cx'!$BC$15:$BF$500,4,0),0)</f>
        <v>0</v>
      </c>
      <c r="N4" s="50">
        <f>IFERROR(VLOOKUP(E4,'BD - A - Mvto Cx'!$BL$15:$BO$500,4,0),0)</f>
        <v>0</v>
      </c>
      <c r="O4" s="50">
        <f>IFERROR(VLOOKUP(E4,'BD - A - Mvto Cx'!$BU$15:$BX$500,4,0),0)</f>
        <v>0</v>
      </c>
      <c r="P4" s="50">
        <f>IFERROR(VLOOKUP(E4,'BD - A - Mvto Cx'!$CD$15:$CG$500,4,0),0)</f>
        <v>0</v>
      </c>
      <c r="Q4" s="50">
        <f>IFERROR(VLOOKUP(E4,'BD - A - Mvto Cx'!$CM$15:$CP$500,4,0),0)</f>
        <v>0</v>
      </c>
      <c r="R4" s="50">
        <f>IFERROR(VLOOKUP(E4,'BD - A - Mvto Cx'!$CV$15:$CY$500,4,0),0)</f>
        <v>0</v>
      </c>
    </row>
    <row r="5" spans="1:19">
      <c r="A5" s="37"/>
      <c r="B5" t="str">
        <f t="shared" si="0"/>
        <v>E111902</v>
      </c>
      <c r="C5" t="s">
        <v>365</v>
      </c>
      <c r="D5" s="26" t="s">
        <v>73</v>
      </c>
      <c r="E5" s="7">
        <v>111902</v>
      </c>
      <c r="F5" s="48" t="s">
        <v>76</v>
      </c>
      <c r="G5" s="49">
        <f>IFERROR(VLOOKUP(E5,'BD - A - Mvto Cx'!$A$15:$D$501,4,0),0)</f>
        <v>0</v>
      </c>
      <c r="H5" s="50">
        <f>IFERROR(VLOOKUP(E5,'BD - A - Mvto Cx'!$J$15:$M$500,4,0),0)</f>
        <v>0</v>
      </c>
      <c r="I5" s="50">
        <f>IFERROR(VLOOKUP(E5,'BD - A - Mvto Cx'!$S$15:$V$500,4,0),0)</f>
        <v>0</v>
      </c>
      <c r="J5" s="50">
        <f>IFERROR(VLOOKUP(E5,'BD - A - Mvto Cx'!$AB$15:$AE$500,4,0),0)</f>
        <v>0</v>
      </c>
      <c r="K5" s="50">
        <f>IFERROR(VLOOKUP(E5,'BD - A - Mvto Cx'!$AK$15:$AN$500,4,0),0)</f>
        <v>0</v>
      </c>
      <c r="L5" s="50">
        <f>IFERROR(VLOOKUP(E5,'BD - A - Mvto Cx'!$AT$15:$AW$500,4,0),0)</f>
        <v>0</v>
      </c>
      <c r="M5" s="50">
        <f>IFERROR(VLOOKUP(E5,'BD - A - Mvto Cx'!$BC$15:$BF$500,4,0),0)</f>
        <v>0</v>
      </c>
      <c r="N5" s="50">
        <f>IFERROR(VLOOKUP(E5,'BD - A - Mvto Cx'!$BL$15:$BO$500,4,0),0)</f>
        <v>0</v>
      </c>
      <c r="O5" s="50">
        <f>IFERROR(VLOOKUP(E5,'BD - A - Mvto Cx'!$BU$15:$BX$500,4,0),0)</f>
        <v>0</v>
      </c>
      <c r="P5" s="50">
        <f>IFERROR(VLOOKUP(E5,'BD - A - Mvto Cx'!$CD$15:$CG$500,4,0),0)</f>
        <v>0</v>
      </c>
      <c r="Q5" s="50">
        <f>IFERROR(VLOOKUP(E5,'BD - A - Mvto Cx'!$CM$15:$CP$500,4,0),0)</f>
        <v>0</v>
      </c>
      <c r="R5" s="50">
        <f>IFERROR(VLOOKUP(E5,'BD - A - Mvto Cx'!$CV$15:$CY$500,4,0),0)</f>
        <v>0</v>
      </c>
    </row>
    <row r="6" spans="1:19">
      <c r="A6" s="37"/>
      <c r="B6" t="str">
        <f t="shared" si="0"/>
        <v>E112101</v>
      </c>
      <c r="C6" s="36" t="s">
        <v>219</v>
      </c>
      <c r="D6" s="26" t="s">
        <v>73</v>
      </c>
      <c r="E6" s="7">
        <v>112101</v>
      </c>
      <c r="F6" s="48" t="s">
        <v>77</v>
      </c>
      <c r="G6" s="423">
        <f>IFERROR(VLOOKUP(E6,'BD - A - Mvto Cx'!$A$15:$D$501,4,0),0)</f>
        <v>0</v>
      </c>
      <c r="H6" s="50">
        <f>IFERROR(VLOOKUP(E6,'BD - A - Mvto Cx'!$J$15:$M$500,4,0),0)</f>
        <v>0</v>
      </c>
      <c r="I6" s="50">
        <f>IFERROR(VLOOKUP(E6,'BD - A - Mvto Cx'!$S$15:$V$500,4,0),0)</f>
        <v>0</v>
      </c>
      <c r="J6" s="50">
        <f>IFERROR(VLOOKUP(E6,'BD - A - Mvto Cx'!$AB$15:$AE$500,4,0),0)</f>
        <v>0</v>
      </c>
      <c r="K6" s="50">
        <f>IFERROR(VLOOKUP(E6,'BD - A - Mvto Cx'!$AK$15:$AN$500,4,0),0)</f>
        <v>0</v>
      </c>
      <c r="L6" s="50">
        <f>IFERROR(VLOOKUP(E6,'BD - A - Mvto Cx'!$AT$15:$AW$500,4,0),0)</f>
        <v>0</v>
      </c>
      <c r="M6" s="50">
        <f>IFERROR(VLOOKUP(E6,'BD - A - Mvto Cx'!$BC$15:$BF$500,4,0),0)</f>
        <v>0</v>
      </c>
      <c r="N6" s="50">
        <f>IFERROR(VLOOKUP(E6,'BD - A - Mvto Cx'!$BL$15:$BO$500,4,0),0)</f>
        <v>0</v>
      </c>
      <c r="O6" s="50">
        <f>IFERROR(VLOOKUP(E6,'BD - A - Mvto Cx'!$BU$15:$BX$500,4,0),0)</f>
        <v>0</v>
      </c>
      <c r="P6" s="50">
        <f>IFERROR(VLOOKUP(E6,'BD - A - Mvto Cx'!$CD$15:$CG$500,4,0),0)</f>
        <v>0</v>
      </c>
      <c r="Q6" s="50">
        <f>IFERROR(VLOOKUP(E6,'BD - A - Mvto Cx'!$CM$15:$CP$500,4,0),0)</f>
        <v>0</v>
      </c>
      <c r="R6" s="50">
        <f>IFERROR(VLOOKUP(E6,'BD - A - Mvto Cx'!$CV$15:$CY$500,4,0),0)</f>
        <v>0</v>
      </c>
    </row>
    <row r="7" spans="1:19">
      <c r="A7" s="37"/>
      <c r="B7" t="str">
        <f t="shared" si="0"/>
        <v>E112102</v>
      </c>
      <c r="C7" s="36" t="s">
        <v>219</v>
      </c>
      <c r="D7" s="26" t="s">
        <v>73</v>
      </c>
      <c r="E7" s="7">
        <v>112102</v>
      </c>
      <c r="F7" s="48" t="s">
        <v>78</v>
      </c>
      <c r="G7" s="423">
        <f>IFERROR(VLOOKUP(E7,'BD - A - Mvto Cx'!$A$15:$D$501,4,0),0)</f>
        <v>0</v>
      </c>
      <c r="H7" s="50">
        <f>IFERROR(VLOOKUP(E7,'BD - A - Mvto Cx'!$J$15:$M$500,4,0),0)</f>
        <v>0</v>
      </c>
      <c r="I7" s="50">
        <f>IFERROR(VLOOKUP(E7,'BD - A - Mvto Cx'!$S$15:$V$500,4,0),0)</f>
        <v>0</v>
      </c>
      <c r="J7" s="50">
        <f>IFERROR(VLOOKUP(E7,'BD - A - Mvto Cx'!$AB$15:$AE$500,4,0),0)</f>
        <v>0</v>
      </c>
      <c r="K7" s="50">
        <f>IFERROR(VLOOKUP(E7,'BD - A - Mvto Cx'!$AK$15:$AN$500,4,0),0)</f>
        <v>0</v>
      </c>
      <c r="L7" s="50">
        <f>IFERROR(VLOOKUP(E7,'BD - A - Mvto Cx'!$AT$15:$AW$500,4,0),0)</f>
        <v>0</v>
      </c>
      <c r="M7" s="50">
        <f>IFERROR(VLOOKUP(E7,'BD - A - Mvto Cx'!$BC$15:$BF$500,4,0),0)</f>
        <v>0</v>
      </c>
      <c r="N7" s="50">
        <f>IFERROR(VLOOKUP(E7,'BD - A - Mvto Cx'!$BL$15:$BO$500,4,0),0)</f>
        <v>0</v>
      </c>
      <c r="O7" s="50">
        <f>IFERROR(VLOOKUP(E7,'BD - A - Mvto Cx'!$BU$15:$BX$500,4,0),0)</f>
        <v>0</v>
      </c>
      <c r="P7" s="50">
        <f>IFERROR(VLOOKUP(E7,'BD - A - Mvto Cx'!$CD$15:$CG$500,4,0),0)</f>
        <v>0</v>
      </c>
      <c r="Q7" s="50">
        <f>IFERROR(VLOOKUP(E7,'BD - A - Mvto Cx'!$CM$15:$CP$500,4,0),0)</f>
        <v>0</v>
      </c>
      <c r="R7" s="50">
        <f>IFERROR(VLOOKUP(E7,'BD - A - Mvto Cx'!$CV$15:$CY$500,4,0),0)</f>
        <v>0</v>
      </c>
    </row>
    <row r="8" spans="1:19">
      <c r="A8" s="37"/>
      <c r="B8" t="str">
        <f t="shared" si="0"/>
        <v>E112103</v>
      </c>
      <c r="C8" s="36" t="s">
        <v>219</v>
      </c>
      <c r="D8" s="26" t="s">
        <v>73</v>
      </c>
      <c r="E8" s="7">
        <v>112103</v>
      </c>
      <c r="F8" s="48" t="s">
        <v>79</v>
      </c>
      <c r="G8" s="423">
        <f>IFERROR(VLOOKUP(E8,'BD - A - Mvto Cx'!$A$15:$D$501,4,0),0)</f>
        <v>0</v>
      </c>
      <c r="H8" s="50">
        <f>IFERROR(VLOOKUP(E8,'BD - A - Mvto Cx'!$J$15:$M$500,4,0),0)</f>
        <v>0</v>
      </c>
      <c r="I8" s="50">
        <f>IFERROR(VLOOKUP(E8,'BD - A - Mvto Cx'!$S$15:$V$500,4,0),0)</f>
        <v>11552.97</v>
      </c>
      <c r="J8" s="50">
        <f>IFERROR(VLOOKUP(E8,'BD - A - Mvto Cx'!$AB$15:$AE$500,4,0),0)</f>
        <v>0</v>
      </c>
      <c r="K8" s="50">
        <f>IFERROR(VLOOKUP(E8,'BD - A - Mvto Cx'!$AK$15:$AN$500,4,0),0)</f>
        <v>0</v>
      </c>
      <c r="L8" s="50">
        <f>IFERROR(VLOOKUP(E8,'BD - A - Mvto Cx'!$AT$15:$AW$500,4,0),0)</f>
        <v>0</v>
      </c>
      <c r="M8" s="50">
        <f>IFERROR(VLOOKUP(E8,'BD - A - Mvto Cx'!$BC$15:$BF$500,4,0),0)</f>
        <v>0</v>
      </c>
      <c r="N8" s="50">
        <f>IFERROR(VLOOKUP(E8,'BD - A - Mvto Cx'!$BL$15:$BO$500,4,0),0)</f>
        <v>0</v>
      </c>
      <c r="O8" s="50">
        <f>IFERROR(VLOOKUP(E8,'BD - A - Mvto Cx'!$BU$15:$BX$500,4,0),0)</f>
        <v>0</v>
      </c>
      <c r="P8" s="50">
        <f>IFERROR(VLOOKUP(E8,'BD - A - Mvto Cx'!$CD$15:$CG$500,4,0),0)</f>
        <v>0</v>
      </c>
      <c r="Q8" s="50">
        <f>IFERROR(VLOOKUP(E8,'BD - A - Mvto Cx'!$CM$15:$CP$500,4,0),0)</f>
        <v>0</v>
      </c>
      <c r="R8" s="50">
        <f>IFERROR(VLOOKUP(E8,'BD - A - Mvto Cx'!$CV$15:$CY$500,4,0),0)</f>
        <v>0</v>
      </c>
    </row>
    <row r="9" spans="1:19">
      <c r="A9" s="37"/>
      <c r="B9" t="str">
        <f t="shared" si="0"/>
        <v>E112112</v>
      </c>
      <c r="C9" s="36" t="s">
        <v>219</v>
      </c>
      <c r="D9" s="26" t="s">
        <v>73</v>
      </c>
      <c r="E9" s="7">
        <v>112112</v>
      </c>
      <c r="F9" s="48" t="s">
        <v>80</v>
      </c>
      <c r="G9" s="423">
        <f>IFERROR(VLOOKUP(E9,'BD - A - Mvto Cx'!$A$15:$D$501,4,0),0)</f>
        <v>148741.56</v>
      </c>
      <c r="H9" s="50">
        <f>IFERROR(VLOOKUP(E9,'BD - A - Mvto Cx'!$J$15:$M$500,4,0),0)</f>
        <v>173341.7</v>
      </c>
      <c r="I9" s="50">
        <f>IFERROR(VLOOKUP(E9,'BD - A - Mvto Cx'!$S$15:$V$500,4,0),0)</f>
        <v>187725.55</v>
      </c>
      <c r="J9" s="50">
        <f>IFERROR(VLOOKUP(E9,'BD - A - Mvto Cx'!$AB$15:$AE$500,4,0),0)</f>
        <v>239585.32</v>
      </c>
      <c r="K9" s="50">
        <f>IFERROR(VLOOKUP(E9,'BD - A - Mvto Cx'!$AK$15:$AN$500,4,0),0)</f>
        <v>0</v>
      </c>
      <c r="L9" s="50">
        <f>IFERROR(VLOOKUP(E9,'BD - A - Mvto Cx'!$AT$15:$AW$500,4,0),0)</f>
        <v>0</v>
      </c>
      <c r="M9" s="50">
        <f>IFERROR(VLOOKUP(E9,'BD - A - Mvto Cx'!$BC$15:$BF$500,4,0),0)</f>
        <v>0</v>
      </c>
      <c r="N9" s="50">
        <f>IFERROR(VLOOKUP(E9,'BD - A - Mvto Cx'!$BL$15:$BO$500,4,0),0)</f>
        <v>0</v>
      </c>
      <c r="O9" s="50">
        <f>IFERROR(VLOOKUP(E9,'BD - A - Mvto Cx'!$BU$15:$BX$500,4,0),0)</f>
        <v>0</v>
      </c>
      <c r="P9" s="50">
        <f>IFERROR(VLOOKUP(E9,'BD - A - Mvto Cx'!$CD$15:$CG$500,4,0),0)</f>
        <v>0</v>
      </c>
      <c r="Q9" s="50">
        <f>IFERROR(VLOOKUP(E9,'BD - A - Mvto Cx'!$CM$15:$CP$500,4,0),0)</f>
        <v>0</v>
      </c>
      <c r="R9" s="50">
        <f>IFERROR(VLOOKUP(E9,'BD - A - Mvto Cx'!$CV$15:$CY$500,4,0),0)</f>
        <v>0</v>
      </c>
    </row>
    <row r="10" spans="1:19">
      <c r="A10" s="37"/>
      <c r="B10" t="str">
        <f t="shared" si="0"/>
        <v>E112116</v>
      </c>
      <c r="C10" s="36" t="s">
        <v>219</v>
      </c>
      <c r="D10" s="26" t="s">
        <v>73</v>
      </c>
      <c r="E10" s="406">
        <v>112116</v>
      </c>
      <c r="F10" s="403" t="s">
        <v>577</v>
      </c>
      <c r="G10" s="423">
        <f>IFERROR(VLOOKUP(E10,'BD - A - Mvto Cx'!$A$15:$D$501,4,0),0)</f>
        <v>272619.67</v>
      </c>
      <c r="H10" s="50">
        <f>IFERROR(VLOOKUP(E10,'BD - A - Mvto Cx'!$J$15:$M$500,4,0),0)</f>
        <v>233582.64</v>
      </c>
      <c r="I10" s="50">
        <f>IFERROR(VLOOKUP(E10,'BD - A - Mvto Cx'!$S$15:$V$500,4,0),0)</f>
        <v>249621.86</v>
      </c>
      <c r="J10" s="50">
        <f>IFERROR(VLOOKUP(E10,'BD - A - Mvto Cx'!$AB$15:$AE$500,4,0),0)</f>
        <v>14889.37</v>
      </c>
      <c r="K10" s="50">
        <f>IFERROR(VLOOKUP(E10,'BD - A - Mvto Cx'!$AK$15:$AN$500,4,0),0)</f>
        <v>0</v>
      </c>
      <c r="L10" s="50">
        <f>IFERROR(VLOOKUP(E10,'BD - A - Mvto Cx'!$AT$15:$AW$500,4,0),0)</f>
        <v>0</v>
      </c>
      <c r="M10" s="50">
        <f>IFERROR(VLOOKUP(E10,'BD - A - Mvto Cx'!$BC$15:$BF$500,4,0),0)</f>
        <v>0</v>
      </c>
      <c r="N10" s="50">
        <f>IFERROR(VLOOKUP(E10,'BD - A - Mvto Cx'!$BL$15:$BO$500,4,0),0)</f>
        <v>0</v>
      </c>
      <c r="O10" s="50">
        <f>IFERROR(VLOOKUP(E10,'BD - A - Mvto Cx'!$BU$15:$BX$500,4,0),0)</f>
        <v>0</v>
      </c>
      <c r="P10" s="50">
        <f>IFERROR(VLOOKUP(E10,'BD - A - Mvto Cx'!$CD$15:$CG$500,4,0),0)</f>
        <v>0</v>
      </c>
      <c r="Q10" s="50">
        <f>IFERROR(VLOOKUP(E10,'BD - A - Mvto Cx'!$CM$15:$CP$500,4,0),0)</f>
        <v>0</v>
      </c>
      <c r="R10" s="50">
        <f>IFERROR(VLOOKUP(E10,'BD - A - Mvto Cx'!$CV$15:$CY$500,4,0),0)</f>
        <v>0</v>
      </c>
    </row>
    <row r="11" spans="1:19" s="41" customFormat="1">
      <c r="A11" s="37"/>
      <c r="B11" t="str">
        <f t="shared" si="0"/>
        <v>E112117</v>
      </c>
      <c r="C11" s="36" t="s">
        <v>217</v>
      </c>
      <c r="D11" s="26" t="s">
        <v>73</v>
      </c>
      <c r="E11" s="7">
        <v>112117</v>
      </c>
      <c r="F11" s="48" t="s">
        <v>81</v>
      </c>
      <c r="G11" s="423">
        <f>IFERROR(VLOOKUP(E11,'BD - A - Mvto Cx'!$A$15:$D$501,4,0),0)</f>
        <v>0</v>
      </c>
      <c r="H11" s="50">
        <f>IFERROR(VLOOKUP(E11,'BD - A - Mvto Cx'!$J$15:$M$500,4,0),0)</f>
        <v>0</v>
      </c>
      <c r="I11" s="50">
        <f>IFERROR(VLOOKUP(E11,'BD - A - Mvto Cx'!$S$15:$V$500,4,0),0)</f>
        <v>0</v>
      </c>
      <c r="J11" s="50">
        <f>IFERROR(VLOOKUP(E11,'BD - A - Mvto Cx'!$AB$15:$AE$500,4,0),0)</f>
        <v>0</v>
      </c>
      <c r="K11" s="50">
        <f>IFERROR(VLOOKUP(E11,'BD - A - Mvto Cx'!$AK$15:$AN$500,4,0),0)</f>
        <v>0</v>
      </c>
      <c r="L11" s="50">
        <f>IFERROR(VLOOKUP(E11,'BD - A - Mvto Cx'!$AT$15:$AW$500,4,0),0)</f>
        <v>0</v>
      </c>
      <c r="M11" s="50">
        <f>IFERROR(VLOOKUP(E11,'BD - A - Mvto Cx'!$BC$15:$BF$500,4,0),0)</f>
        <v>0</v>
      </c>
      <c r="N11" s="50">
        <f>IFERROR(VLOOKUP(E11,'BD - A - Mvto Cx'!$BL$15:$BO$500,4,0),0)</f>
        <v>0</v>
      </c>
      <c r="O11" s="50">
        <f>IFERROR(VLOOKUP(E11,'BD - A - Mvto Cx'!$BU$15:$BX$500,4,0),0)</f>
        <v>0</v>
      </c>
      <c r="P11" s="50">
        <f>IFERROR(VLOOKUP(E11,'BD - A - Mvto Cx'!$CD$15:$CG$500,4,0),0)</f>
        <v>0</v>
      </c>
      <c r="Q11" s="50">
        <f>IFERROR(VLOOKUP(E11,'BD - A - Mvto Cx'!$CM$15:$CP$500,4,0),0)</f>
        <v>0</v>
      </c>
      <c r="R11" s="50">
        <f>IFERROR(VLOOKUP(E11,'BD - A - Mvto Cx'!$CV$15:$CY$500,4,0),0)</f>
        <v>0</v>
      </c>
    </row>
    <row r="12" spans="1:19" s="41" customFormat="1">
      <c r="A12" s="37"/>
      <c r="B12" t="str">
        <f t="shared" ref="B12" si="1">D12&amp;E12</f>
        <v>E112118</v>
      </c>
      <c r="C12" s="36" t="s">
        <v>217</v>
      </c>
      <c r="D12" s="26" t="s">
        <v>73</v>
      </c>
      <c r="E12" s="75">
        <v>112118</v>
      </c>
      <c r="F12" s="105" t="s">
        <v>451</v>
      </c>
      <c r="G12" s="423">
        <f>IFERROR(VLOOKUP(E12,'BD - A - Mvto Cx'!$A$15:$D$501,4,0),0)</f>
        <v>230404.64</v>
      </c>
      <c r="H12" s="73">
        <f>IFERROR(VLOOKUP(E12,'BD - A - Mvto Cx'!$J$15:$M$500,4,0),0)</f>
        <v>185954.55</v>
      </c>
      <c r="I12" s="73">
        <f>IFERROR(VLOOKUP(E12,'BD - A - Mvto Cx'!$S$15:$V$500,4,0),0)</f>
        <v>208795.25</v>
      </c>
      <c r="J12" s="73">
        <f>IFERROR(VLOOKUP(E12,'BD - A - Mvto Cx'!$AB$15:$AE$500,4,0),0)</f>
        <v>164338.74</v>
      </c>
      <c r="K12" s="73">
        <f>IFERROR(VLOOKUP(E12,'BD - A - Mvto Cx'!$AK$15:$AN$500,4,0),0)</f>
        <v>0</v>
      </c>
      <c r="L12" s="73">
        <f>IFERROR(VLOOKUP(E12,'BD - A - Mvto Cx'!$AT$15:$AW$500,4,0),0)</f>
        <v>0</v>
      </c>
      <c r="M12" s="73">
        <f>IFERROR(VLOOKUP(E12,'BD - A - Mvto Cx'!$BC$15:$BF$500,4,0),0)</f>
        <v>0</v>
      </c>
      <c r="N12" s="73">
        <f>IFERROR(VLOOKUP(E12,'BD - A - Mvto Cx'!$BL$15:$BO$500,4,0),0)</f>
        <v>0</v>
      </c>
      <c r="O12" s="73">
        <f>IFERROR(VLOOKUP(E12,'BD - A - Mvto Cx'!$BU$15:$BX$500,4,0),0)</f>
        <v>0</v>
      </c>
      <c r="P12" s="73">
        <f>IFERROR(VLOOKUP(E12,'BD - A - Mvto Cx'!$CD$15:$CG$500,4,0),0)</f>
        <v>0</v>
      </c>
      <c r="Q12" s="73">
        <f>IFERROR(VLOOKUP(E12,'BD - A - Mvto Cx'!$CM$15:$CP$500,4,0),0)</f>
        <v>0</v>
      </c>
      <c r="R12" s="73">
        <f>IFERROR(VLOOKUP(E12,'BD - A - Mvto Cx'!$CV$15:$CY$500,4,0),0)</f>
        <v>0</v>
      </c>
    </row>
    <row r="13" spans="1:19" s="41" customFormat="1">
      <c r="A13" s="37"/>
      <c r="B13" t="str">
        <f t="shared" si="0"/>
        <v>E112201</v>
      </c>
      <c r="C13" s="36" t="s">
        <v>231</v>
      </c>
      <c r="D13" s="26" t="s">
        <v>73</v>
      </c>
      <c r="E13" s="7">
        <v>112201</v>
      </c>
      <c r="F13" s="48" t="s">
        <v>82</v>
      </c>
      <c r="G13" s="49">
        <f>IFERROR(VLOOKUP(E13,'BD - A - Mvto Cx'!$A$15:$D$501,4,0),0)</f>
        <v>0</v>
      </c>
      <c r="H13" s="50">
        <f>IFERROR(VLOOKUP(E13,'BD - A - Mvto Cx'!$J$15:$M$500,4,0),0)</f>
        <v>0</v>
      </c>
      <c r="I13" s="50">
        <f>IFERROR(VLOOKUP(E13,'BD - A - Mvto Cx'!$S$15:$V$500,4,0),0)</f>
        <v>0</v>
      </c>
      <c r="J13" s="50">
        <f>IFERROR(VLOOKUP(E13,'BD - A - Mvto Cx'!$AB$15:$AE$500,4,0),0)</f>
        <v>0</v>
      </c>
      <c r="K13" s="50">
        <f>IFERROR(VLOOKUP(E13,'BD - A - Mvto Cx'!$AK$15:$AN$500,4,0),0)</f>
        <v>0</v>
      </c>
      <c r="L13" s="50">
        <f>IFERROR(VLOOKUP(E13,'BD - A - Mvto Cx'!$AT$15:$AW$500,4,0),0)</f>
        <v>0</v>
      </c>
      <c r="M13" s="50">
        <f>IFERROR(VLOOKUP(E13,'BD - A - Mvto Cx'!$BC$15:$BF$500,4,0),0)</f>
        <v>0</v>
      </c>
      <c r="N13" s="50">
        <f>IFERROR(VLOOKUP(E13,'BD - A - Mvto Cx'!$BL$15:$BO$500,4,0),0)</f>
        <v>0</v>
      </c>
      <c r="O13" s="50">
        <f>IFERROR(VLOOKUP(E13,'BD - A - Mvto Cx'!$BU$15:$BX$500,4,0),0)</f>
        <v>0</v>
      </c>
      <c r="P13" s="50">
        <f>IFERROR(VLOOKUP(E13,'BD - A - Mvto Cx'!$CD$15:$CG$500,4,0),0)</f>
        <v>0</v>
      </c>
      <c r="Q13" s="50">
        <f>IFERROR(VLOOKUP(E13,'BD - A - Mvto Cx'!$CM$15:$CP$500,4,0),0)</f>
        <v>0</v>
      </c>
      <c r="R13" s="50">
        <f>IFERROR(VLOOKUP(E13,'BD - A - Mvto Cx'!$CV$15:$CY$500,4,0),0)</f>
        <v>0</v>
      </c>
    </row>
    <row r="14" spans="1:19" s="41" customFormat="1">
      <c r="A14" s="37"/>
      <c r="B14" t="str">
        <f t="shared" si="0"/>
        <v>E112301</v>
      </c>
      <c r="C14" s="36" t="s">
        <v>224</v>
      </c>
      <c r="D14" s="26" t="s">
        <v>73</v>
      </c>
      <c r="E14" s="7">
        <v>112301</v>
      </c>
      <c r="F14" s="48" t="s">
        <v>83</v>
      </c>
      <c r="G14" s="423">
        <f>IFERROR(VLOOKUP(E14,'BD - A - Mvto Cx'!$A$15:$D$501,4,0),0)</f>
        <v>1019795.3</v>
      </c>
      <c r="H14" s="50">
        <f>IFERROR(VLOOKUP(E14,'BD - A - Mvto Cx'!$J$15:$M$500,4,0),0)</f>
        <v>901444.92</v>
      </c>
      <c r="I14" s="50">
        <f>IFERROR(VLOOKUP(E14,'BD - A - Mvto Cx'!$S$15:$V$500,4,0),0)</f>
        <v>944749.24</v>
      </c>
      <c r="J14" s="50">
        <f>IFERROR(VLOOKUP(E14,'BD - A - Mvto Cx'!$AB$15:$AE$500,4,0),0)</f>
        <v>882567.41</v>
      </c>
      <c r="K14" s="50">
        <f>IFERROR(VLOOKUP(E14,'BD - A - Mvto Cx'!$AK$15:$AN$500,4,0),0)</f>
        <v>0</v>
      </c>
      <c r="L14" s="50">
        <f>IFERROR(VLOOKUP(E14,'BD - A - Mvto Cx'!$AT$15:$AW$500,4,0),0)</f>
        <v>0</v>
      </c>
      <c r="M14" s="50">
        <f>IFERROR(VLOOKUP(E14,'BD - A - Mvto Cx'!$BC$15:$BF$500,4,0),0)</f>
        <v>0</v>
      </c>
      <c r="N14" s="50">
        <f>IFERROR(VLOOKUP(E14,'BD - A - Mvto Cx'!$BL$15:$BO$500,4,0),0)</f>
        <v>0</v>
      </c>
      <c r="O14" s="50">
        <f>IFERROR(VLOOKUP(E14,'BD - A - Mvto Cx'!$BU$15:$BX$500,4,0),0)</f>
        <v>0</v>
      </c>
      <c r="P14" s="50">
        <f>IFERROR(VLOOKUP(E14,'BD - A - Mvto Cx'!$CD$15:$CG$500,4,0),0)</f>
        <v>0</v>
      </c>
      <c r="Q14" s="50">
        <f>IFERROR(VLOOKUP(E14,'BD - A - Mvto Cx'!$CM$15:$CP$500,4,0),0)</f>
        <v>0</v>
      </c>
      <c r="R14" s="50">
        <f>IFERROR(VLOOKUP(E14,'BD - A - Mvto Cx'!$CV$15:$CY$500,4,0),0)</f>
        <v>0</v>
      </c>
    </row>
    <row r="15" spans="1:19" s="41" customFormat="1">
      <c r="A15" s="37"/>
      <c r="B15" t="str">
        <f t="shared" si="0"/>
        <v>E112302</v>
      </c>
      <c r="C15" s="36" t="s">
        <v>224</v>
      </c>
      <c r="D15" s="26" t="s">
        <v>73</v>
      </c>
      <c r="E15" s="7">
        <v>112302</v>
      </c>
      <c r="F15" s="48" t="s">
        <v>84</v>
      </c>
      <c r="G15" s="423">
        <f>IFERROR(VLOOKUP(E15,'BD - A - Mvto Cx'!$A$15:$D$501,4,0),0)</f>
        <v>1104055.99</v>
      </c>
      <c r="H15" s="50">
        <f>IFERROR(VLOOKUP(E15,'BD - A - Mvto Cx'!$J$15:$M$500,4,0),0)</f>
        <v>1004049.89</v>
      </c>
      <c r="I15" s="50">
        <f>IFERROR(VLOOKUP(E15,'BD - A - Mvto Cx'!$S$15:$V$500,4,0),0)</f>
        <v>994757.72</v>
      </c>
      <c r="J15" s="50">
        <f>IFERROR(VLOOKUP(E15,'BD - A - Mvto Cx'!$AB$15:$AE$500,4,0),0)</f>
        <v>947228.35</v>
      </c>
      <c r="K15" s="50">
        <f>IFERROR(VLOOKUP(E15,'BD - A - Mvto Cx'!$AK$15:$AN$500,4,0),0)</f>
        <v>0</v>
      </c>
      <c r="L15" s="50">
        <f>IFERROR(VLOOKUP(E15,'BD - A - Mvto Cx'!$AT$15:$AW$500,4,0),0)</f>
        <v>0</v>
      </c>
      <c r="M15" s="50">
        <f>IFERROR(VLOOKUP(E15,'BD - A - Mvto Cx'!$BC$15:$BF$500,4,0),0)</f>
        <v>0</v>
      </c>
      <c r="N15" s="50">
        <f>IFERROR(VLOOKUP(E15,'BD - A - Mvto Cx'!$BL$15:$BO$500,4,0),0)</f>
        <v>0</v>
      </c>
      <c r="O15" s="50">
        <f>IFERROR(VLOOKUP(E15,'BD - A - Mvto Cx'!$BU$15:$BX$500,4,0),0)</f>
        <v>0</v>
      </c>
      <c r="P15" s="50">
        <f>IFERROR(VLOOKUP(E15,'BD - A - Mvto Cx'!$CD$15:$CG$500,4,0),0)</f>
        <v>0</v>
      </c>
      <c r="Q15" s="50">
        <f>IFERROR(VLOOKUP(E15,'BD - A - Mvto Cx'!$CM$15:$CP$500,4,0),0)</f>
        <v>0</v>
      </c>
      <c r="R15" s="50">
        <f>IFERROR(VLOOKUP(E15,'BD - A - Mvto Cx'!$CV$15:$CY$500,4,0),0)</f>
        <v>0</v>
      </c>
    </row>
    <row r="16" spans="1:19" s="41" customFormat="1">
      <c r="A16" s="37"/>
      <c r="B16" t="str">
        <f t="shared" si="0"/>
        <v>E112303</v>
      </c>
      <c r="C16" s="36" t="s">
        <v>224</v>
      </c>
      <c r="D16" s="26" t="s">
        <v>73</v>
      </c>
      <c r="E16" s="7">
        <v>112303</v>
      </c>
      <c r="F16" s="48" t="s">
        <v>85</v>
      </c>
      <c r="G16" s="423">
        <f>IFERROR(VLOOKUP(E16,'BD - A - Mvto Cx'!$A$15:$D$501,4,0),0)</f>
        <v>108.73</v>
      </c>
      <c r="H16" s="50">
        <f>IFERROR(VLOOKUP(E16,'BD - A - Mvto Cx'!$J$15:$M$500,4,0),0)</f>
        <v>120</v>
      </c>
      <c r="I16" s="50">
        <f>IFERROR(VLOOKUP(E16,'BD - A - Mvto Cx'!$S$15:$V$500,4,0),0)</f>
        <v>0</v>
      </c>
      <c r="J16" s="50">
        <f>IFERROR(VLOOKUP(E16,'BD - A - Mvto Cx'!$AB$15:$AE$500,4,0),0)</f>
        <v>52.69</v>
      </c>
      <c r="K16" s="50">
        <f>IFERROR(VLOOKUP(E16,'BD - A - Mvto Cx'!$AK$15:$AN$500,4,0),0)</f>
        <v>0</v>
      </c>
      <c r="L16" s="50">
        <f>IFERROR(VLOOKUP(E16,'BD - A - Mvto Cx'!$AT$15:$AW$500,4,0),0)</f>
        <v>0</v>
      </c>
      <c r="M16" s="50">
        <f>IFERROR(VLOOKUP(E16,'BD - A - Mvto Cx'!$BC$15:$BF$500,4,0),0)</f>
        <v>0</v>
      </c>
      <c r="N16" s="50">
        <f>IFERROR(VLOOKUP(E16,'BD - A - Mvto Cx'!$BL$15:$BO$500,4,0),0)</f>
        <v>0</v>
      </c>
      <c r="O16" s="50">
        <f>IFERROR(VLOOKUP(E16,'BD - A - Mvto Cx'!$BU$15:$BX$500,4,0),0)</f>
        <v>0</v>
      </c>
      <c r="P16" s="50">
        <f>IFERROR(VLOOKUP(E16,'BD - A - Mvto Cx'!$CD$15:$CG$500,4,0),0)</f>
        <v>0</v>
      </c>
      <c r="Q16" s="50">
        <f>IFERROR(VLOOKUP(E16,'BD - A - Mvto Cx'!$CM$15:$CP$500,4,0),0)</f>
        <v>0</v>
      </c>
      <c r="R16" s="50">
        <f>IFERROR(VLOOKUP(E16,'BD - A - Mvto Cx'!$CV$15:$CY$500,4,0),0)</f>
        <v>0</v>
      </c>
    </row>
    <row r="17" spans="1:18" s="41" customFormat="1">
      <c r="A17" s="37"/>
      <c r="B17" t="str">
        <f t="shared" si="0"/>
        <v>E112304</v>
      </c>
      <c r="C17" s="36" t="s">
        <v>224</v>
      </c>
      <c r="D17" s="26" t="s">
        <v>73</v>
      </c>
      <c r="E17" s="7">
        <v>112304</v>
      </c>
      <c r="F17" s="48" t="s">
        <v>86</v>
      </c>
      <c r="G17" s="423">
        <f>IFERROR(VLOOKUP(E17,'BD - A - Mvto Cx'!$A$15:$D$501,4,0),0)</f>
        <v>59131.39</v>
      </c>
      <c r="H17" s="50">
        <f>IFERROR(VLOOKUP(E17,'BD - A - Mvto Cx'!$J$15:$M$500,4,0),0)</f>
        <v>44902.58</v>
      </c>
      <c r="I17" s="50">
        <f>IFERROR(VLOOKUP(E17,'BD - A - Mvto Cx'!$S$15:$V$500,4,0),0)</f>
        <v>44470.38</v>
      </c>
      <c r="J17" s="50">
        <f>IFERROR(VLOOKUP(E17,'BD - A - Mvto Cx'!$AB$15:$AE$500,4,0),0)</f>
        <v>46816.74</v>
      </c>
      <c r="K17" s="50">
        <f>IFERROR(VLOOKUP(E17,'BD - A - Mvto Cx'!$AK$15:$AN$500,4,0),0)</f>
        <v>0</v>
      </c>
      <c r="L17" s="50">
        <f>IFERROR(VLOOKUP(E17,'BD - A - Mvto Cx'!$AT$15:$AW$500,4,0),0)</f>
        <v>0</v>
      </c>
      <c r="M17" s="50">
        <f>IFERROR(VLOOKUP(E17,'BD - A - Mvto Cx'!$BC$15:$BF$500,4,0),0)</f>
        <v>0</v>
      </c>
      <c r="N17" s="50">
        <f>IFERROR(VLOOKUP(E17,'BD - A - Mvto Cx'!$BL$15:$BO$500,4,0),0)</f>
        <v>0</v>
      </c>
      <c r="O17" s="50">
        <f>IFERROR(VLOOKUP(E17,'BD - A - Mvto Cx'!$BU$15:$BX$500,4,0),0)</f>
        <v>0</v>
      </c>
      <c r="P17" s="50">
        <f>IFERROR(VLOOKUP(E17,'BD - A - Mvto Cx'!$CD$15:$CG$500,4,0),0)</f>
        <v>0</v>
      </c>
      <c r="Q17" s="50">
        <f>IFERROR(VLOOKUP(E17,'BD - A - Mvto Cx'!$CM$15:$CP$500,4,0),0)</f>
        <v>0</v>
      </c>
      <c r="R17" s="50">
        <f>IFERROR(VLOOKUP(E17,'BD - A - Mvto Cx'!$CV$15:$CY$500,4,0),0)</f>
        <v>0</v>
      </c>
    </row>
    <row r="18" spans="1:18" s="41" customFormat="1">
      <c r="A18" s="37"/>
      <c r="B18" t="str">
        <f t="shared" si="0"/>
        <v>E112306</v>
      </c>
      <c r="C18" s="36" t="s">
        <v>224</v>
      </c>
      <c r="D18" s="26" t="s">
        <v>73</v>
      </c>
      <c r="E18" s="7">
        <v>112306</v>
      </c>
      <c r="F18" s="48" t="s">
        <v>87</v>
      </c>
      <c r="G18" s="423">
        <f>IFERROR(VLOOKUP(E18,'BD - A - Mvto Cx'!$A$15:$D$501,4,0),0)</f>
        <v>114064.36</v>
      </c>
      <c r="H18" s="50">
        <f>IFERROR(VLOOKUP(E18,'BD - A - Mvto Cx'!$J$15:$M$500,4,0),0)</f>
        <v>91838.31</v>
      </c>
      <c r="I18" s="50">
        <f>IFERROR(VLOOKUP(E18,'BD - A - Mvto Cx'!$S$15:$V$500,4,0),0)</f>
        <v>90047.33</v>
      </c>
      <c r="J18" s="50">
        <f>IFERROR(VLOOKUP(E18,'BD - A - Mvto Cx'!$AB$15:$AE$500,4,0),0)</f>
        <v>80965.179999999993</v>
      </c>
      <c r="K18" s="50">
        <f>IFERROR(VLOOKUP(E18,'BD - A - Mvto Cx'!$AK$15:$AN$500,4,0),0)</f>
        <v>0</v>
      </c>
      <c r="L18" s="50">
        <f>IFERROR(VLOOKUP(E18,'BD - A - Mvto Cx'!$AT$15:$AW$500,4,0),0)</f>
        <v>0</v>
      </c>
      <c r="M18" s="50">
        <f>IFERROR(VLOOKUP(E18,'BD - A - Mvto Cx'!$BC$15:$BF$500,4,0),0)</f>
        <v>0</v>
      </c>
      <c r="N18" s="50">
        <f>IFERROR(VLOOKUP(E18,'BD - A - Mvto Cx'!$BL$15:$BO$500,4,0),0)</f>
        <v>0</v>
      </c>
      <c r="O18" s="50">
        <f>IFERROR(VLOOKUP(E18,'BD - A - Mvto Cx'!$BU$15:$BX$500,4,0),0)</f>
        <v>0</v>
      </c>
      <c r="P18" s="50">
        <f>IFERROR(VLOOKUP(E18,'BD - A - Mvto Cx'!$CD$15:$CG$500,4,0),0)</f>
        <v>0</v>
      </c>
      <c r="Q18" s="50">
        <f>IFERROR(VLOOKUP(E18,'BD - A - Mvto Cx'!$CM$15:$CP$500,4,0),0)</f>
        <v>0</v>
      </c>
      <c r="R18" s="50">
        <f>IFERROR(VLOOKUP(E18,'BD - A - Mvto Cx'!$CV$15:$CY$500,4,0),0)</f>
        <v>0</v>
      </c>
    </row>
    <row r="19" spans="1:18" s="41" customFormat="1">
      <c r="A19" s="37"/>
      <c r="B19" t="str">
        <f t="shared" si="0"/>
        <v>E112307</v>
      </c>
      <c r="C19" s="36" t="s">
        <v>224</v>
      </c>
      <c r="D19" s="26" t="s">
        <v>73</v>
      </c>
      <c r="E19" s="7">
        <v>112307</v>
      </c>
      <c r="F19" s="48" t="s">
        <v>88</v>
      </c>
      <c r="G19" s="423">
        <f>IFERROR(VLOOKUP(E19,'BD - A - Mvto Cx'!$A$15:$D$501,4,0),0)</f>
        <v>0</v>
      </c>
      <c r="H19" s="50">
        <f>IFERROR(VLOOKUP(E19,'BD - A - Mvto Cx'!$J$15:$M$500,4,0),0)</f>
        <v>0</v>
      </c>
      <c r="I19" s="50">
        <f>IFERROR(VLOOKUP(E19,'BD - A - Mvto Cx'!$S$15:$V$500,4,0),0)</f>
        <v>0</v>
      </c>
      <c r="J19" s="50">
        <f>IFERROR(VLOOKUP(E19,'BD - A - Mvto Cx'!$AB$15:$AE$500,4,0),0)</f>
        <v>0</v>
      </c>
      <c r="K19" s="50">
        <f>IFERROR(VLOOKUP(E19,'BD - A - Mvto Cx'!$AK$15:$AN$500,4,0),0)</f>
        <v>0</v>
      </c>
      <c r="L19" s="50">
        <f>IFERROR(VLOOKUP(E19,'BD - A - Mvto Cx'!$AT$15:$AW$500,4,0),0)</f>
        <v>0</v>
      </c>
      <c r="M19" s="50">
        <f>IFERROR(VLOOKUP(E19,'BD - A - Mvto Cx'!$BC$15:$BF$500,4,0),0)</f>
        <v>0</v>
      </c>
      <c r="N19" s="50">
        <f>IFERROR(VLOOKUP(E19,'BD - A - Mvto Cx'!$BL$15:$BO$500,4,0),0)</f>
        <v>0</v>
      </c>
      <c r="O19" s="50">
        <f>IFERROR(VLOOKUP(E19,'BD - A - Mvto Cx'!$BU$15:$BX$500,4,0),0)</f>
        <v>0</v>
      </c>
      <c r="P19" s="50">
        <f>IFERROR(VLOOKUP(E19,'BD - A - Mvto Cx'!$CD$15:$CG$500,4,0),0)</f>
        <v>0</v>
      </c>
      <c r="Q19" s="50">
        <f>IFERROR(VLOOKUP(E19,'BD - A - Mvto Cx'!$CM$15:$CP$500,4,0),0)</f>
        <v>0</v>
      </c>
      <c r="R19" s="50">
        <f>IFERROR(VLOOKUP(E19,'BD - A - Mvto Cx'!$CV$15:$CY$500,4,0),0)</f>
        <v>0</v>
      </c>
    </row>
    <row r="20" spans="1:18" s="41" customFormat="1">
      <c r="A20" s="37"/>
      <c r="B20" t="str">
        <f t="shared" si="0"/>
        <v>E112401</v>
      </c>
      <c r="C20" s="36" t="s">
        <v>225</v>
      </c>
      <c r="D20" s="26" t="s">
        <v>73</v>
      </c>
      <c r="E20" s="7">
        <v>112401</v>
      </c>
      <c r="F20" s="48" t="s">
        <v>89</v>
      </c>
      <c r="G20" s="423">
        <f>IFERROR(VLOOKUP(E20,'BD - A - Mvto Cx'!$A$15:$D$501,4,0),0)</f>
        <v>374468.65</v>
      </c>
      <c r="H20" s="50">
        <f>IFERROR(VLOOKUP(E20,'BD - A - Mvto Cx'!$J$15:$M$500,4,0),0)</f>
        <v>285144.92</v>
      </c>
      <c r="I20" s="50">
        <f>IFERROR(VLOOKUP(E20,'BD - A - Mvto Cx'!$S$15:$V$500,4,0),0)</f>
        <v>313717.84000000003</v>
      </c>
      <c r="J20" s="50">
        <f>IFERROR(VLOOKUP(E20,'BD - A - Mvto Cx'!$AB$15:$AE$500,4,0),0)</f>
        <v>276504.23</v>
      </c>
      <c r="K20" s="50">
        <f>IFERROR(VLOOKUP(E20,'BD - A - Mvto Cx'!$AK$15:$AN$500,4,0),0)</f>
        <v>0</v>
      </c>
      <c r="L20" s="50">
        <f>IFERROR(VLOOKUP(E20,'BD - A - Mvto Cx'!$AT$15:$AW$500,4,0),0)</f>
        <v>0</v>
      </c>
      <c r="M20" s="50">
        <f>IFERROR(VLOOKUP(E20,'BD - A - Mvto Cx'!$BC$15:$BF$500,4,0),0)</f>
        <v>0</v>
      </c>
      <c r="N20" s="50">
        <f>IFERROR(VLOOKUP(E20,'BD - A - Mvto Cx'!$BL$15:$BO$500,4,0),0)</f>
        <v>0</v>
      </c>
      <c r="O20" s="50">
        <f>IFERROR(VLOOKUP(E20,'BD - A - Mvto Cx'!$BU$15:$BX$500,4,0),0)</f>
        <v>0</v>
      </c>
      <c r="P20" s="50">
        <f>IFERROR(VLOOKUP(E20,'BD - A - Mvto Cx'!$CD$15:$CG$500,4,0),0)</f>
        <v>0</v>
      </c>
      <c r="Q20" s="50">
        <f>IFERROR(VLOOKUP(E20,'BD - A - Mvto Cx'!$CM$15:$CP$500,4,0),0)</f>
        <v>0</v>
      </c>
      <c r="R20" s="50">
        <f>IFERROR(VLOOKUP(E20,'BD - A - Mvto Cx'!$CV$15:$CY$500,4,0),0)</f>
        <v>0</v>
      </c>
    </row>
    <row r="21" spans="1:18" s="41" customFormat="1">
      <c r="A21" s="37"/>
      <c r="B21" t="str">
        <f t="shared" si="0"/>
        <v>E112402</v>
      </c>
      <c r="C21" s="36" t="s">
        <v>225</v>
      </c>
      <c r="D21" s="26" t="s">
        <v>73</v>
      </c>
      <c r="E21" s="7">
        <v>112402</v>
      </c>
      <c r="F21" s="48" t="s">
        <v>90</v>
      </c>
      <c r="G21" s="423">
        <f>IFERROR(VLOOKUP(E21,'BD - A - Mvto Cx'!$A$15:$D$501,4,0),0)</f>
        <v>531214.1</v>
      </c>
      <c r="H21" s="50">
        <f>IFERROR(VLOOKUP(E21,'BD - A - Mvto Cx'!$J$15:$M$500,4,0),0)</f>
        <v>418770.45</v>
      </c>
      <c r="I21" s="50">
        <f>IFERROR(VLOOKUP(E21,'BD - A - Mvto Cx'!$S$15:$V$500,4,0),0)</f>
        <v>517727.64</v>
      </c>
      <c r="J21" s="50">
        <f>IFERROR(VLOOKUP(E21,'BD - A - Mvto Cx'!$AB$15:$AE$500,4,0),0)</f>
        <v>420733.09</v>
      </c>
      <c r="K21" s="50">
        <f>IFERROR(VLOOKUP(E21,'BD - A - Mvto Cx'!$AK$15:$AN$500,4,0),0)</f>
        <v>0</v>
      </c>
      <c r="L21" s="50">
        <f>IFERROR(VLOOKUP(E21,'BD - A - Mvto Cx'!$AT$15:$AW$500,4,0),0)</f>
        <v>0</v>
      </c>
      <c r="M21" s="50">
        <f>IFERROR(VLOOKUP(E21,'BD - A - Mvto Cx'!$BC$15:$BF$500,4,0),0)</f>
        <v>0</v>
      </c>
      <c r="N21" s="50">
        <f>IFERROR(VLOOKUP(E21,'BD - A - Mvto Cx'!$BL$15:$BO$500,4,0),0)</f>
        <v>0</v>
      </c>
      <c r="O21" s="50">
        <f>IFERROR(VLOOKUP(E21,'BD - A - Mvto Cx'!$BU$15:$BX$500,4,0),0)</f>
        <v>0</v>
      </c>
      <c r="P21" s="50">
        <f>IFERROR(VLOOKUP(E21,'BD - A - Mvto Cx'!$CD$15:$CG$500,4,0),0)</f>
        <v>0</v>
      </c>
      <c r="Q21" s="50">
        <f>IFERROR(VLOOKUP(E21,'BD - A - Mvto Cx'!$CM$15:$CP$500,4,0),0)</f>
        <v>0</v>
      </c>
      <c r="R21" s="50">
        <f>IFERROR(VLOOKUP(E21,'BD - A - Mvto Cx'!$CV$15:$CY$500,4,0),0)</f>
        <v>0</v>
      </c>
    </row>
    <row r="22" spans="1:18" s="41" customFormat="1">
      <c r="A22" s="37"/>
      <c r="B22" t="str">
        <f t="shared" si="0"/>
        <v>E112405</v>
      </c>
      <c r="C22" s="36" t="s">
        <v>225</v>
      </c>
      <c r="D22" s="26" t="s">
        <v>73</v>
      </c>
      <c r="E22" s="7">
        <v>112405</v>
      </c>
      <c r="F22" s="48" t="s">
        <v>91</v>
      </c>
      <c r="G22" s="423">
        <f>IFERROR(VLOOKUP(E22,'BD - A - Mvto Cx'!$A$15:$D$501,4,0),0)</f>
        <v>85753.99</v>
      </c>
      <c r="H22" s="50">
        <f>IFERROR(VLOOKUP(E22,'BD - A - Mvto Cx'!$J$15:$M$500,4,0),0)</f>
        <v>73001.72</v>
      </c>
      <c r="I22" s="50">
        <f>IFERROR(VLOOKUP(E22,'BD - A - Mvto Cx'!$S$15:$V$500,4,0),0)</f>
        <v>72348.23</v>
      </c>
      <c r="J22" s="50">
        <f>IFERROR(VLOOKUP(E22,'BD - A - Mvto Cx'!$AB$15:$AE$500,4,0),0)</f>
        <v>73083.009999999995</v>
      </c>
      <c r="K22" s="50">
        <f>IFERROR(VLOOKUP(E22,'BD - A - Mvto Cx'!$AK$15:$AN$500,4,0),0)</f>
        <v>0</v>
      </c>
      <c r="L22" s="50">
        <f>IFERROR(VLOOKUP(E22,'BD - A - Mvto Cx'!$AT$15:$AW$500,4,0),0)</f>
        <v>0</v>
      </c>
      <c r="M22" s="50">
        <f>IFERROR(VLOOKUP(E22,'BD - A - Mvto Cx'!$BC$15:$BF$500,4,0),0)</f>
        <v>0</v>
      </c>
      <c r="N22" s="50">
        <f>IFERROR(VLOOKUP(E22,'BD - A - Mvto Cx'!$BL$15:$BO$500,4,0),0)</f>
        <v>0</v>
      </c>
      <c r="O22" s="50">
        <f>IFERROR(VLOOKUP(E22,'BD - A - Mvto Cx'!$BU$15:$BX$500,4,0),0)</f>
        <v>0</v>
      </c>
      <c r="P22" s="50">
        <f>IFERROR(VLOOKUP(E22,'BD - A - Mvto Cx'!$CD$15:$CG$500,4,0),0)</f>
        <v>0</v>
      </c>
      <c r="Q22" s="50">
        <f>IFERROR(VLOOKUP(E22,'BD - A - Mvto Cx'!$CM$15:$CP$500,4,0),0)</f>
        <v>0</v>
      </c>
      <c r="R22" s="50">
        <f>IFERROR(VLOOKUP(E22,'BD - A - Mvto Cx'!$CV$15:$CY$500,4,0),0)</f>
        <v>0</v>
      </c>
    </row>
    <row r="23" spans="1:18" s="46" customFormat="1">
      <c r="A23" s="38"/>
      <c r="B23" t="str">
        <f t="shared" si="0"/>
        <v>E112501</v>
      </c>
      <c r="C23" s="36" t="s">
        <v>226</v>
      </c>
      <c r="D23" s="26" t="s">
        <v>73</v>
      </c>
      <c r="E23" s="7">
        <v>112501</v>
      </c>
      <c r="F23" s="48" t="s">
        <v>92</v>
      </c>
      <c r="G23" s="423">
        <f>IFERROR(VLOOKUP(E23,'BD - A - Mvto Cx'!$A$15:$D$501,4,0),0)</f>
        <v>0</v>
      </c>
      <c r="H23" s="50">
        <f>IFERROR(VLOOKUP(E23,'BD - A - Mvto Cx'!$J$15:$M$500,4,0),0)</f>
        <v>0</v>
      </c>
      <c r="I23" s="50">
        <f>IFERROR(VLOOKUP(E23,'BD - A - Mvto Cx'!$S$15:$V$500,4,0),0)</f>
        <v>0</v>
      </c>
      <c r="J23" s="50">
        <f>IFERROR(VLOOKUP(E23,'BD - A - Mvto Cx'!$AB$15:$AE$500,4,0),0)</f>
        <v>0</v>
      </c>
      <c r="K23" s="50">
        <f>IFERROR(VLOOKUP(E23,'BD - A - Mvto Cx'!$AK$15:$AN$500,4,0),0)</f>
        <v>0</v>
      </c>
      <c r="L23" s="50">
        <f>IFERROR(VLOOKUP(E23,'BD - A - Mvto Cx'!$AT$15:$AW$500,4,0),0)</f>
        <v>0</v>
      </c>
      <c r="M23" s="50">
        <f>IFERROR(VLOOKUP(E23,'BD - A - Mvto Cx'!$BC$15:$BF$500,4,0),0)</f>
        <v>0</v>
      </c>
      <c r="N23" s="50">
        <f>IFERROR(VLOOKUP(E23,'BD - A - Mvto Cx'!$BL$15:$BO$500,4,0),0)</f>
        <v>0</v>
      </c>
      <c r="O23" s="50">
        <f>IFERROR(VLOOKUP(E23,'BD - A - Mvto Cx'!$BU$15:$BX$500,4,0),0)</f>
        <v>0</v>
      </c>
      <c r="P23" s="50">
        <f>IFERROR(VLOOKUP(E23,'BD - A - Mvto Cx'!$CD$15:$CG$500,4,0),0)</f>
        <v>0</v>
      </c>
      <c r="Q23" s="50">
        <f>IFERROR(VLOOKUP(E23,'BD - A - Mvto Cx'!$CM$15:$CP$500,4,0),0)</f>
        <v>0</v>
      </c>
      <c r="R23" s="50">
        <f>IFERROR(VLOOKUP(E23,'BD - A - Mvto Cx'!$CV$15:$CY$500,4,0),0)</f>
        <v>0</v>
      </c>
    </row>
    <row r="24" spans="1:18" s="41" customFormat="1">
      <c r="A24" s="37"/>
      <c r="B24" t="str">
        <f t="shared" si="0"/>
        <v>E112502</v>
      </c>
      <c r="C24" s="36" t="s">
        <v>226</v>
      </c>
      <c r="D24" s="26" t="s">
        <v>73</v>
      </c>
      <c r="E24" s="7">
        <v>112502</v>
      </c>
      <c r="F24" s="48" t="s">
        <v>93</v>
      </c>
      <c r="G24" s="423">
        <f>IFERROR(VLOOKUP(E24,'BD - A - Mvto Cx'!$A$15:$D$501,4,0),0)</f>
        <v>5870.68</v>
      </c>
      <c r="H24" s="50">
        <f>IFERROR(VLOOKUP(E24,'BD - A - Mvto Cx'!$J$15:$M$500,4,0),0)</f>
        <v>4097.49</v>
      </c>
      <c r="I24" s="50">
        <f>IFERROR(VLOOKUP(E24,'BD - A - Mvto Cx'!$S$15:$V$500,4,0),0)</f>
        <v>7395.17</v>
      </c>
      <c r="J24" s="50">
        <f>IFERROR(VLOOKUP(E24,'BD - A - Mvto Cx'!$AB$15:$AE$500,4,0),0)</f>
        <v>5273.4</v>
      </c>
      <c r="K24" s="50">
        <f>IFERROR(VLOOKUP(E24,'BD - A - Mvto Cx'!$AK$15:$AN$500,4,0),0)</f>
        <v>0</v>
      </c>
      <c r="L24" s="50">
        <f>IFERROR(VLOOKUP(E24,'BD - A - Mvto Cx'!$AT$15:$AW$500,4,0),0)</f>
        <v>0</v>
      </c>
      <c r="M24" s="50">
        <f>IFERROR(VLOOKUP(E24,'BD - A - Mvto Cx'!$BC$15:$BF$500,4,0),0)</f>
        <v>0</v>
      </c>
      <c r="N24" s="50">
        <f>IFERROR(VLOOKUP(E24,'BD - A - Mvto Cx'!$BL$15:$BO$500,4,0),0)</f>
        <v>0</v>
      </c>
      <c r="O24" s="50">
        <f>IFERROR(VLOOKUP(E24,'BD - A - Mvto Cx'!$BU$15:$BX$500,4,0),0)</f>
        <v>0</v>
      </c>
      <c r="P24" s="50">
        <f>IFERROR(VLOOKUP(E24,'BD - A - Mvto Cx'!$CD$15:$CG$500,4,0),0)</f>
        <v>0</v>
      </c>
      <c r="Q24" s="50">
        <f>IFERROR(VLOOKUP(E24,'BD - A - Mvto Cx'!$CM$15:$CP$500,4,0),0)</f>
        <v>0</v>
      </c>
      <c r="R24" s="50">
        <f>IFERROR(VLOOKUP(E24,'BD - A - Mvto Cx'!$CV$15:$CY$500,4,0),0)</f>
        <v>0</v>
      </c>
    </row>
    <row r="25" spans="1:18" s="41" customFormat="1">
      <c r="A25" s="37"/>
      <c r="B25" t="str">
        <f t="shared" si="0"/>
        <v>E112503</v>
      </c>
      <c r="C25" s="36" t="s">
        <v>226</v>
      </c>
      <c r="D25" s="26" t="s">
        <v>73</v>
      </c>
      <c r="E25" s="7">
        <v>112503</v>
      </c>
      <c r="F25" s="48" t="s">
        <v>94</v>
      </c>
      <c r="G25" s="423">
        <f>IFERROR(VLOOKUP(E25,'BD - A - Mvto Cx'!$A$15:$D$501,4,0),0)</f>
        <v>0</v>
      </c>
      <c r="H25" s="50">
        <f>IFERROR(VLOOKUP(E25,'BD - A - Mvto Cx'!$J$15:$M$500,4,0),0)</f>
        <v>0</v>
      </c>
      <c r="I25" s="50">
        <f>IFERROR(VLOOKUP(E25,'BD - A - Mvto Cx'!$S$15:$V$500,4,0),0)</f>
        <v>0</v>
      </c>
      <c r="J25" s="50">
        <f>IFERROR(VLOOKUP(E25,'BD - A - Mvto Cx'!$AB$15:$AE$500,4,0),0)</f>
        <v>0</v>
      </c>
      <c r="K25" s="50">
        <f>IFERROR(VLOOKUP(E25,'BD - A - Mvto Cx'!$AK$15:$AN$500,4,0),0)</f>
        <v>0</v>
      </c>
      <c r="L25" s="50">
        <f>IFERROR(VLOOKUP(E25,'BD - A - Mvto Cx'!$AT$15:$AW$500,4,0),0)</f>
        <v>0</v>
      </c>
      <c r="M25" s="50">
        <f>IFERROR(VLOOKUP(E25,'BD - A - Mvto Cx'!$BC$15:$BF$500,4,0),0)</f>
        <v>0</v>
      </c>
      <c r="N25" s="50">
        <f>IFERROR(VLOOKUP(E25,'BD - A - Mvto Cx'!$BL$15:$BO$500,4,0),0)</f>
        <v>0</v>
      </c>
      <c r="O25" s="50">
        <f>IFERROR(VLOOKUP(E25,'BD - A - Mvto Cx'!$BU$15:$BX$500,4,0),0)</f>
        <v>0</v>
      </c>
      <c r="P25" s="50">
        <f>IFERROR(VLOOKUP(E25,'BD - A - Mvto Cx'!$CD$15:$CG$500,4,0),0)</f>
        <v>0</v>
      </c>
      <c r="Q25" s="50">
        <f>IFERROR(VLOOKUP(E25,'BD - A - Mvto Cx'!$CM$15:$CP$500,4,0),0)</f>
        <v>0</v>
      </c>
      <c r="R25" s="50">
        <f>IFERROR(VLOOKUP(E25,'BD - A - Mvto Cx'!$CV$15:$CY$500,4,0),0)</f>
        <v>0</v>
      </c>
    </row>
    <row r="26" spans="1:18" s="41" customFormat="1">
      <c r="A26" s="37"/>
      <c r="B26" t="str">
        <f t="shared" si="0"/>
        <v>E112504</v>
      </c>
      <c r="C26" s="36" t="s">
        <v>226</v>
      </c>
      <c r="D26" s="26" t="s">
        <v>73</v>
      </c>
      <c r="E26" s="7">
        <v>112504</v>
      </c>
      <c r="F26" s="48" t="s">
        <v>519</v>
      </c>
      <c r="G26" s="423">
        <f>IFERROR(VLOOKUP(E26,'BD - A - Mvto Cx'!$A$15:$D$501,4,0),0)</f>
        <v>462.58</v>
      </c>
      <c r="H26" s="50">
        <f>IFERROR(VLOOKUP(E26,'BD - A - Mvto Cx'!$J$15:$M$500,4,0),0)</f>
        <v>0</v>
      </c>
      <c r="I26" s="50">
        <f>IFERROR(VLOOKUP(E26,'BD - A - Mvto Cx'!$S$15:$V$500,4,0),0)</f>
        <v>0</v>
      </c>
      <c r="J26" s="50">
        <f>IFERROR(VLOOKUP(E26,'BD - A - Mvto Cx'!$AB$15:$AE$500,4,0),0)</f>
        <v>0</v>
      </c>
      <c r="K26" s="50">
        <f>IFERROR(VLOOKUP(E26,'BD - A - Mvto Cx'!$AK$15:$AN$500,4,0),0)</f>
        <v>0</v>
      </c>
      <c r="L26" s="50">
        <f>IFERROR(VLOOKUP(E26,'BD - A - Mvto Cx'!$AT$15:$AW$500,4,0),0)</f>
        <v>0</v>
      </c>
      <c r="M26" s="50">
        <f>IFERROR(VLOOKUP(E26,'BD - A - Mvto Cx'!$BC$15:$BF$500,4,0),0)</f>
        <v>0</v>
      </c>
      <c r="N26" s="50">
        <f>IFERROR(VLOOKUP(E26,'BD - A - Mvto Cx'!$BL$15:$BO$500,4,0),0)</f>
        <v>0</v>
      </c>
      <c r="O26" s="50">
        <f>IFERROR(VLOOKUP(E26,'BD - A - Mvto Cx'!$BU$15:$BX$500,4,0),0)</f>
        <v>0</v>
      </c>
      <c r="P26" s="50">
        <f>IFERROR(VLOOKUP(E26,'BD - A - Mvto Cx'!$CD$15:$CG$500,4,0),0)</f>
        <v>0</v>
      </c>
      <c r="Q26" s="50">
        <f>IFERROR(VLOOKUP(E26,'BD - A - Mvto Cx'!$CM$15:$CP$500,4,0),0)</f>
        <v>0</v>
      </c>
      <c r="R26" s="50">
        <f>IFERROR(VLOOKUP(E26,'BD - A - Mvto Cx'!$CV$15:$CY$500,4,0),0)</f>
        <v>0</v>
      </c>
    </row>
    <row r="27" spans="1:18" s="41" customFormat="1">
      <c r="A27" s="37"/>
      <c r="B27" t="str">
        <f t="shared" si="0"/>
        <v>E112505</v>
      </c>
      <c r="C27" s="36" t="s">
        <v>226</v>
      </c>
      <c r="D27" s="26" t="s">
        <v>73</v>
      </c>
      <c r="E27" s="7">
        <v>112505</v>
      </c>
      <c r="F27" s="48" t="s">
        <v>95</v>
      </c>
      <c r="G27" s="423">
        <f>IFERROR(VLOOKUP(E27,'BD - A - Mvto Cx'!$A$15:$D$501,4,0),0)</f>
        <v>3225.76</v>
      </c>
      <c r="H27" s="50">
        <f>IFERROR(VLOOKUP(E27,'BD - A - Mvto Cx'!$J$15:$M$500,4,0),0)</f>
        <v>1977.07</v>
      </c>
      <c r="I27" s="50">
        <f>IFERROR(VLOOKUP(E27,'BD - A - Mvto Cx'!$S$15:$V$500,4,0),0)</f>
        <v>4833</v>
      </c>
      <c r="J27" s="50">
        <f>IFERROR(VLOOKUP(E27,'BD - A - Mvto Cx'!$AB$15:$AE$500,4,0),0)</f>
        <v>2868.28</v>
      </c>
      <c r="K27" s="50">
        <f>IFERROR(VLOOKUP(E27,'BD - A - Mvto Cx'!$AK$15:$AN$500,4,0),0)</f>
        <v>0</v>
      </c>
      <c r="L27" s="50">
        <f>IFERROR(VLOOKUP(E27,'BD - A - Mvto Cx'!$AT$15:$AW$500,4,0),0)</f>
        <v>0</v>
      </c>
      <c r="M27" s="50">
        <f>IFERROR(VLOOKUP(E27,'BD - A - Mvto Cx'!$BC$15:$BF$500,4,0),0)</f>
        <v>0</v>
      </c>
      <c r="N27" s="50">
        <f>IFERROR(VLOOKUP(E27,'BD - A - Mvto Cx'!$BL$15:$BO$500,4,0),0)</f>
        <v>0</v>
      </c>
      <c r="O27" s="50">
        <f>IFERROR(VLOOKUP(E27,'BD - A - Mvto Cx'!$BU$15:$BX$500,4,0),0)</f>
        <v>0</v>
      </c>
      <c r="P27" s="50">
        <f>IFERROR(VLOOKUP(E27,'BD - A - Mvto Cx'!$CD$15:$CG$500,4,0),0)</f>
        <v>0</v>
      </c>
      <c r="Q27" s="50">
        <f>IFERROR(VLOOKUP(E27,'BD - A - Mvto Cx'!$CM$15:$CP$500,4,0),0)</f>
        <v>0</v>
      </c>
      <c r="R27" s="50">
        <f>IFERROR(VLOOKUP(E27,'BD - A - Mvto Cx'!$CV$15:$CY$500,4,0),0)</f>
        <v>0</v>
      </c>
    </row>
    <row r="28" spans="1:18" s="41" customFormat="1">
      <c r="A28" s="37"/>
      <c r="B28" t="str">
        <f t="shared" si="0"/>
        <v>E112506</v>
      </c>
      <c r="C28" s="36" t="s">
        <v>226</v>
      </c>
      <c r="D28" s="26" t="s">
        <v>73</v>
      </c>
      <c r="E28" s="7">
        <v>112506</v>
      </c>
      <c r="F28" s="48" t="s">
        <v>96</v>
      </c>
      <c r="G28" s="423">
        <f>IFERROR(VLOOKUP(E28,'BD - A - Mvto Cx'!$A$15:$D$501,4,0),0)</f>
        <v>0</v>
      </c>
      <c r="H28" s="50">
        <f>IFERROR(VLOOKUP(E28,'BD - A - Mvto Cx'!$J$15:$M$500,4,0),0)</f>
        <v>0</v>
      </c>
      <c r="I28" s="50">
        <f>IFERROR(VLOOKUP(E28,'BD - A - Mvto Cx'!$S$15:$V$500,4,0),0)</f>
        <v>0</v>
      </c>
      <c r="J28" s="50">
        <f>IFERROR(VLOOKUP(E28,'BD - A - Mvto Cx'!$AB$15:$AE$500,4,0),0)</f>
        <v>0</v>
      </c>
      <c r="K28" s="50">
        <f>IFERROR(VLOOKUP(E28,'BD - A - Mvto Cx'!$AK$15:$AN$500,4,0),0)</f>
        <v>0</v>
      </c>
      <c r="L28" s="50">
        <f>IFERROR(VLOOKUP(E28,'BD - A - Mvto Cx'!$AT$15:$AW$500,4,0),0)</f>
        <v>0</v>
      </c>
      <c r="M28" s="50">
        <f>IFERROR(VLOOKUP(E28,'BD - A - Mvto Cx'!$BC$15:$BF$500,4,0),0)</f>
        <v>0</v>
      </c>
      <c r="N28" s="50">
        <f>IFERROR(VLOOKUP(E28,'BD - A - Mvto Cx'!$BL$15:$BO$500,4,0),0)</f>
        <v>0</v>
      </c>
      <c r="O28" s="50">
        <f>IFERROR(VLOOKUP(E28,'BD - A - Mvto Cx'!$BU$15:$BX$500,4,0),0)</f>
        <v>0</v>
      </c>
      <c r="P28" s="50">
        <f>IFERROR(VLOOKUP(E28,'BD - A - Mvto Cx'!$CD$15:$CG$500,4,0),0)</f>
        <v>0</v>
      </c>
      <c r="Q28" s="50">
        <f>IFERROR(VLOOKUP(E28,'BD - A - Mvto Cx'!$CM$15:$CP$500,4,0),0)</f>
        <v>0</v>
      </c>
      <c r="R28" s="50">
        <f>IFERROR(VLOOKUP(E28,'BD - A - Mvto Cx'!$CV$15:$CY$500,4,0),0)</f>
        <v>0</v>
      </c>
    </row>
    <row r="29" spans="1:18" s="41" customFormat="1">
      <c r="A29" s="37"/>
      <c r="B29" t="str">
        <f t="shared" si="0"/>
        <v>E112510</v>
      </c>
      <c r="C29" s="36" t="s">
        <v>226</v>
      </c>
      <c r="D29" s="26" t="s">
        <v>73</v>
      </c>
      <c r="E29" s="7">
        <v>112510</v>
      </c>
      <c r="F29" s="48" t="s">
        <v>97</v>
      </c>
      <c r="G29" s="423">
        <f>IFERROR(VLOOKUP(E29,'BD - A - Mvto Cx'!$A$15:$D$501,4,0),0)</f>
        <v>0</v>
      </c>
      <c r="H29" s="50">
        <f>IFERROR(VLOOKUP(E29,'BD - A - Mvto Cx'!$J$15:$M$500,4,0),0)</f>
        <v>0</v>
      </c>
      <c r="I29" s="50">
        <f>IFERROR(VLOOKUP(E29,'BD - A - Mvto Cx'!$S$15:$V$500,4,0),0)</f>
        <v>0</v>
      </c>
      <c r="J29" s="50">
        <f>IFERROR(VLOOKUP(E29,'BD - A - Mvto Cx'!$AB$15:$AE$500,4,0),0)</f>
        <v>0</v>
      </c>
      <c r="K29" s="50">
        <f>IFERROR(VLOOKUP(E29,'BD - A - Mvto Cx'!$AK$15:$AN$500,4,0),0)</f>
        <v>0</v>
      </c>
      <c r="L29" s="50">
        <f>IFERROR(VLOOKUP(E29,'BD - A - Mvto Cx'!$AT$15:$AW$500,4,0),0)</f>
        <v>0</v>
      </c>
      <c r="M29" s="50">
        <f>IFERROR(VLOOKUP(E29,'BD - A - Mvto Cx'!$BC$15:$BF$500,4,0),0)</f>
        <v>0</v>
      </c>
      <c r="N29" s="50">
        <f>IFERROR(VLOOKUP(E29,'BD - A - Mvto Cx'!$BL$15:$BO$500,4,0),0)</f>
        <v>0</v>
      </c>
      <c r="O29" s="50">
        <f>IFERROR(VLOOKUP(E29,'BD - A - Mvto Cx'!$BU$15:$BX$500,4,0),0)</f>
        <v>0</v>
      </c>
      <c r="P29" s="50">
        <f>IFERROR(VLOOKUP(E29,'BD - A - Mvto Cx'!$CD$15:$CG$500,4,0),0)</f>
        <v>0</v>
      </c>
      <c r="Q29" s="50">
        <f>IFERROR(VLOOKUP(E29,'BD - A - Mvto Cx'!$CM$15:$CP$500,4,0),0)</f>
        <v>0</v>
      </c>
      <c r="R29" s="50">
        <f>IFERROR(VLOOKUP(E29,'BD - A - Mvto Cx'!$CV$15:$CY$500,4,0),0)</f>
        <v>0</v>
      </c>
    </row>
    <row r="30" spans="1:18" s="46" customFormat="1">
      <c r="A30" s="38"/>
      <c r="B30" t="str">
        <f t="shared" si="0"/>
        <v>E112511</v>
      </c>
      <c r="C30" s="36" t="s">
        <v>226</v>
      </c>
      <c r="D30" s="26" t="s">
        <v>73</v>
      </c>
      <c r="E30" s="7">
        <v>112511</v>
      </c>
      <c r="F30" s="48" t="s">
        <v>98</v>
      </c>
      <c r="G30" s="423">
        <f>IFERROR(VLOOKUP(E30,'BD - A - Mvto Cx'!$A$15:$D$501,4,0),0)</f>
        <v>0</v>
      </c>
      <c r="H30" s="50">
        <f>IFERROR(VLOOKUP(E30,'BD - A - Mvto Cx'!$J$15:$M$500,4,0),0)</f>
        <v>0</v>
      </c>
      <c r="I30" s="50">
        <f>IFERROR(VLOOKUP(E30,'BD - A - Mvto Cx'!$S$15:$V$500,4,0),0)</f>
        <v>0</v>
      </c>
      <c r="J30" s="50">
        <f>IFERROR(VLOOKUP(E30,'BD - A - Mvto Cx'!$AB$15:$AE$500,4,0),0)</f>
        <v>0</v>
      </c>
      <c r="K30" s="50">
        <f>IFERROR(VLOOKUP(E30,'BD - A - Mvto Cx'!$AK$15:$AN$500,4,0),0)</f>
        <v>0</v>
      </c>
      <c r="L30" s="50">
        <f>IFERROR(VLOOKUP(E30,'BD - A - Mvto Cx'!$AT$15:$AW$500,4,0),0)</f>
        <v>0</v>
      </c>
      <c r="M30" s="50">
        <f>IFERROR(VLOOKUP(E30,'BD - A - Mvto Cx'!$BC$15:$BF$500,4,0),0)</f>
        <v>0</v>
      </c>
      <c r="N30" s="50">
        <f>IFERROR(VLOOKUP(E30,'BD - A - Mvto Cx'!$BL$15:$BO$500,4,0),0)</f>
        <v>0</v>
      </c>
      <c r="O30" s="50">
        <f>IFERROR(VLOOKUP(E30,'BD - A - Mvto Cx'!$BU$15:$BX$500,4,0),0)</f>
        <v>0</v>
      </c>
      <c r="P30" s="50">
        <f>IFERROR(VLOOKUP(E30,'BD - A - Mvto Cx'!$CD$15:$CG$500,4,0),0)</f>
        <v>0</v>
      </c>
      <c r="Q30" s="50">
        <f>IFERROR(VLOOKUP(E30,'BD - A - Mvto Cx'!$CM$15:$CP$500,4,0),0)</f>
        <v>0</v>
      </c>
      <c r="R30" s="50">
        <f>IFERROR(VLOOKUP(E30,'BD - A - Mvto Cx'!$CV$15:$CY$500,4,0),0)</f>
        <v>0</v>
      </c>
    </row>
    <row r="31" spans="1:18" s="41" customFormat="1">
      <c r="A31" s="37"/>
      <c r="B31" t="str">
        <f t="shared" si="0"/>
        <v>E112512</v>
      </c>
      <c r="C31" s="36" t="s">
        <v>226</v>
      </c>
      <c r="D31" s="26" t="s">
        <v>73</v>
      </c>
      <c r="E31" s="7">
        <v>112512</v>
      </c>
      <c r="F31" s="48" t="s">
        <v>99</v>
      </c>
      <c r="G31" s="423">
        <f>IFERROR(VLOOKUP(E31,'BD - A - Mvto Cx'!$A$15:$D$501,4,0),0)</f>
        <v>1531.35</v>
      </c>
      <c r="H31" s="50">
        <f>IFERROR(VLOOKUP(E31,'BD - A - Mvto Cx'!$J$15:$M$500,4,0),0)</f>
        <v>1008.26</v>
      </c>
      <c r="I31" s="50">
        <f>IFERROR(VLOOKUP(E31,'BD - A - Mvto Cx'!$S$15:$V$500,4,0),0)</f>
        <v>1727.24</v>
      </c>
      <c r="J31" s="50">
        <f>IFERROR(VLOOKUP(E31,'BD - A - Mvto Cx'!$AB$15:$AE$500,4,0),0)</f>
        <v>1428.61</v>
      </c>
      <c r="K31" s="50">
        <f>IFERROR(VLOOKUP(E31,'BD - A - Mvto Cx'!$AK$15:$AN$500,4,0),0)</f>
        <v>0</v>
      </c>
      <c r="L31" s="50">
        <f>IFERROR(VLOOKUP(E31,'BD - A - Mvto Cx'!$AT$15:$AW$500,4,0),0)</f>
        <v>0</v>
      </c>
      <c r="M31" s="50">
        <f>IFERROR(VLOOKUP(E31,'BD - A - Mvto Cx'!$BC$15:$BF$500,4,0),0)</f>
        <v>0</v>
      </c>
      <c r="N31" s="50">
        <f>IFERROR(VLOOKUP(E31,'BD - A - Mvto Cx'!$BL$15:$BO$500,4,0),0)</f>
        <v>0</v>
      </c>
      <c r="O31" s="50">
        <f>IFERROR(VLOOKUP(E31,'BD - A - Mvto Cx'!$BU$15:$BX$500,4,0),0)</f>
        <v>0</v>
      </c>
      <c r="P31" s="50">
        <f>IFERROR(VLOOKUP(E31,'BD - A - Mvto Cx'!$CD$15:$CG$500,4,0),0)</f>
        <v>0</v>
      </c>
      <c r="Q31" s="50">
        <f>IFERROR(VLOOKUP(E31,'BD - A - Mvto Cx'!$CM$15:$CP$500,4,0),0)</f>
        <v>0</v>
      </c>
      <c r="R31" s="50">
        <f>IFERROR(VLOOKUP(E31,'BD - A - Mvto Cx'!$CV$15:$CY$500,4,0),0)</f>
        <v>0</v>
      </c>
    </row>
    <row r="32" spans="1:18" s="41" customFormat="1">
      <c r="A32" s="37"/>
      <c r="B32" t="str">
        <f t="shared" si="0"/>
        <v>E112513</v>
      </c>
      <c r="C32" s="36" t="s">
        <v>226</v>
      </c>
      <c r="D32" s="26" t="s">
        <v>73</v>
      </c>
      <c r="E32" s="7">
        <v>112513</v>
      </c>
      <c r="F32" s="48" t="s">
        <v>100</v>
      </c>
      <c r="G32" s="423">
        <f>IFERROR(VLOOKUP(E32,'BD - A - Mvto Cx'!$A$15:$D$501,4,0),0)</f>
        <v>278.99</v>
      </c>
      <c r="H32" s="50">
        <f>IFERROR(VLOOKUP(E32,'BD - A - Mvto Cx'!$J$15:$M$500,4,0),0)</f>
        <v>0</v>
      </c>
      <c r="I32" s="50">
        <f>IFERROR(VLOOKUP(E32,'BD - A - Mvto Cx'!$S$15:$V$500,4,0),0)</f>
        <v>1115.1199999999999</v>
      </c>
      <c r="J32" s="50">
        <f>IFERROR(VLOOKUP(E32,'BD - A - Mvto Cx'!$AB$15:$AE$500,4,0),0)</f>
        <v>459.47</v>
      </c>
      <c r="K32" s="50">
        <f>IFERROR(VLOOKUP(E32,'BD - A - Mvto Cx'!$AK$15:$AN$500,4,0),0)</f>
        <v>0</v>
      </c>
      <c r="L32" s="50">
        <f>IFERROR(VLOOKUP(E32,'BD - A - Mvto Cx'!$AT$15:$AW$500,4,0),0)</f>
        <v>0</v>
      </c>
      <c r="M32" s="50">
        <f>IFERROR(VLOOKUP(E32,'BD - A - Mvto Cx'!$BC$15:$BF$500,4,0),0)</f>
        <v>0</v>
      </c>
      <c r="N32" s="50">
        <f>IFERROR(VLOOKUP(E32,'BD - A - Mvto Cx'!$BL$15:$BO$500,4,0),0)</f>
        <v>0</v>
      </c>
      <c r="O32" s="50">
        <f>IFERROR(VLOOKUP(E32,'BD - A - Mvto Cx'!$BU$15:$BX$500,4,0),0)</f>
        <v>0</v>
      </c>
      <c r="P32" s="50">
        <f>IFERROR(VLOOKUP(E32,'BD - A - Mvto Cx'!$CD$15:$CG$500,4,0),0)</f>
        <v>0</v>
      </c>
      <c r="Q32" s="50">
        <f>IFERROR(VLOOKUP(E32,'BD - A - Mvto Cx'!$CM$15:$CP$500,4,0),0)</f>
        <v>0</v>
      </c>
      <c r="R32" s="50">
        <f>IFERROR(VLOOKUP(E32,'BD - A - Mvto Cx'!$CV$15:$CY$500,4,0),0)</f>
        <v>0</v>
      </c>
    </row>
    <row r="33" spans="1:18" s="41" customFormat="1">
      <c r="A33" s="37"/>
      <c r="B33" t="str">
        <f t="shared" si="0"/>
        <v>E112514</v>
      </c>
      <c r="C33" s="36" t="s">
        <v>226</v>
      </c>
      <c r="D33" s="26" t="s">
        <v>73</v>
      </c>
      <c r="E33" s="7">
        <v>112514</v>
      </c>
      <c r="F33" s="48" t="s">
        <v>101</v>
      </c>
      <c r="G33" s="423">
        <f>IFERROR(VLOOKUP(E33,'BD - A - Mvto Cx'!$A$15:$D$501,4,0),0)</f>
        <v>0</v>
      </c>
      <c r="H33" s="50">
        <f>IFERROR(VLOOKUP(E33,'BD - A - Mvto Cx'!$J$15:$M$500,4,0),0)</f>
        <v>0</v>
      </c>
      <c r="I33" s="50">
        <f>IFERROR(VLOOKUP(E33,'BD - A - Mvto Cx'!$S$15:$V$500,4,0),0)</f>
        <v>0</v>
      </c>
      <c r="J33" s="50">
        <f>IFERROR(VLOOKUP(E33,'BD - A - Mvto Cx'!$AB$15:$AE$500,4,0),0)</f>
        <v>0</v>
      </c>
      <c r="K33" s="50">
        <f>IFERROR(VLOOKUP(E33,'BD - A - Mvto Cx'!$AK$15:$AN$500,4,0),0)</f>
        <v>0</v>
      </c>
      <c r="L33" s="50">
        <f>IFERROR(VLOOKUP(E33,'BD - A - Mvto Cx'!$AT$15:$AW$500,4,0),0)</f>
        <v>0</v>
      </c>
      <c r="M33" s="50">
        <f>IFERROR(VLOOKUP(E33,'BD - A - Mvto Cx'!$BC$15:$BF$500,4,0),0)</f>
        <v>0</v>
      </c>
      <c r="N33" s="50">
        <f>IFERROR(VLOOKUP(E33,'BD - A - Mvto Cx'!$BL$15:$BO$500,4,0),0)</f>
        <v>0</v>
      </c>
      <c r="O33" s="50">
        <f>IFERROR(VLOOKUP(E33,'BD - A - Mvto Cx'!$BU$15:$BX$500,4,0),0)</f>
        <v>0</v>
      </c>
      <c r="P33" s="50">
        <f>IFERROR(VLOOKUP(E33,'BD - A - Mvto Cx'!$CD$15:$CG$500,4,0),0)</f>
        <v>0</v>
      </c>
      <c r="Q33" s="50">
        <f>IFERROR(VLOOKUP(E33,'BD - A - Mvto Cx'!$CM$15:$CP$500,4,0),0)</f>
        <v>0</v>
      </c>
      <c r="R33" s="50">
        <f>IFERROR(VLOOKUP(E33,'BD - A - Mvto Cx'!$CV$15:$CY$500,4,0),0)</f>
        <v>0</v>
      </c>
    </row>
    <row r="34" spans="1:18" s="41" customFormat="1">
      <c r="A34" s="37"/>
      <c r="B34" t="str">
        <f t="shared" ref="B34" si="2">D34&amp;E34</f>
        <v>E112515</v>
      </c>
      <c r="C34" s="36" t="s">
        <v>226</v>
      </c>
      <c r="D34" s="26" t="s">
        <v>73</v>
      </c>
      <c r="E34" s="7">
        <v>112515</v>
      </c>
      <c r="F34" s="48" t="s">
        <v>455</v>
      </c>
      <c r="G34" s="423">
        <f>IFERROR(VLOOKUP(E34,'BD - A - Mvto Cx'!$A$15:$D$501,4,0),0)</f>
        <v>0</v>
      </c>
      <c r="H34" s="50">
        <f>IFERROR(VLOOKUP(E34,'BD - A - Mvto Cx'!$J$15:$M$500,4,0),0)</f>
        <v>0</v>
      </c>
      <c r="I34" s="50">
        <f>IFERROR(VLOOKUP(E34,'BD - A - Mvto Cx'!$S$15:$V$500,4,0),0)</f>
        <v>0</v>
      </c>
      <c r="J34" s="50">
        <f>IFERROR(VLOOKUP(E34,'BD - A - Mvto Cx'!$AB$15:$AE$500,4,0),0)</f>
        <v>0</v>
      </c>
      <c r="K34" s="50">
        <f>IFERROR(VLOOKUP(E34,'BD - A - Mvto Cx'!$AK$15:$AN$500,4,0),0)</f>
        <v>0</v>
      </c>
      <c r="L34" s="50">
        <f>IFERROR(VLOOKUP(E34,'BD - A - Mvto Cx'!$AT$15:$AW$500,4,0),0)</f>
        <v>0</v>
      </c>
      <c r="M34" s="50">
        <f>IFERROR(VLOOKUP(E34,'BD - A - Mvto Cx'!$BC$15:$BF$500,4,0),0)</f>
        <v>0</v>
      </c>
      <c r="N34" s="50">
        <f>IFERROR(VLOOKUP(E34,'BD - A - Mvto Cx'!$BL$15:$BO$500,4,0),0)</f>
        <v>0</v>
      </c>
      <c r="O34" s="50">
        <f>IFERROR(VLOOKUP(E34,'BD - A - Mvto Cx'!$BU$15:$BX$500,4,0),0)</f>
        <v>0</v>
      </c>
      <c r="P34" s="50">
        <f>IFERROR(VLOOKUP(E34,'BD - A - Mvto Cx'!$CD$15:$CG$500,4,0),0)</f>
        <v>0</v>
      </c>
      <c r="Q34" s="50">
        <f>IFERROR(VLOOKUP(E34,'BD - A - Mvto Cx'!$CM$15:$CP$500,4,0),0)</f>
        <v>0</v>
      </c>
      <c r="R34" s="50">
        <f>IFERROR(VLOOKUP(E34,'BD - A - Mvto Cx'!$CV$15:$CY$500,4,0),0)</f>
        <v>0</v>
      </c>
    </row>
    <row r="35" spans="1:18" s="41" customFormat="1">
      <c r="A35" s="37"/>
      <c r="B35" t="str">
        <f t="shared" si="0"/>
        <v>E114704</v>
      </c>
      <c r="C35" s="36" t="s">
        <v>237</v>
      </c>
      <c r="D35" s="26" t="s">
        <v>73</v>
      </c>
      <c r="E35" s="7">
        <v>114704</v>
      </c>
      <c r="F35" s="48" t="s">
        <v>102</v>
      </c>
      <c r="G35" s="49">
        <f>IFERROR(VLOOKUP(E35,'BD - A - Mvto Cx'!$A$15:$D$501,4,0),0)</f>
        <v>0</v>
      </c>
      <c r="H35" s="50">
        <f>IFERROR(VLOOKUP(E35,'BD - A - Mvto Cx'!$J$15:$M$500,4,0),0)</f>
        <v>0</v>
      </c>
      <c r="I35" s="50">
        <f>IFERROR(VLOOKUP(E35,'BD - A - Mvto Cx'!$S$15:$V$500,4,0),0)</f>
        <v>0</v>
      </c>
      <c r="J35" s="50">
        <f>IFERROR(VLOOKUP(E35,'BD - A - Mvto Cx'!$AB$15:$AE$500,4,0),0)</f>
        <v>0</v>
      </c>
      <c r="K35" s="50">
        <f>IFERROR(VLOOKUP(E35,'BD - A - Mvto Cx'!$AK$15:$AN$500,4,0),0)</f>
        <v>0</v>
      </c>
      <c r="L35" s="50">
        <f>IFERROR(VLOOKUP(E35,'BD - A - Mvto Cx'!$AT$15:$AW$500,4,0),0)</f>
        <v>0</v>
      </c>
      <c r="M35" s="50">
        <f>IFERROR(VLOOKUP(E35,'BD - A - Mvto Cx'!$BC$15:$BF$500,4,0),0)</f>
        <v>0</v>
      </c>
      <c r="N35" s="50">
        <f>IFERROR(VLOOKUP(E35,'BD - A - Mvto Cx'!$BL$15:$BO$500,4,0),0)</f>
        <v>0</v>
      </c>
      <c r="O35" s="50">
        <f>IFERROR(VLOOKUP(E35,'BD - A - Mvto Cx'!$BU$15:$BX$500,4,0),0)</f>
        <v>0</v>
      </c>
      <c r="P35" s="50">
        <f>IFERROR(VLOOKUP(E35,'BD - A - Mvto Cx'!$CD$15:$CG$500,4,0),0)</f>
        <v>0</v>
      </c>
      <c r="Q35" s="50">
        <f>IFERROR(VLOOKUP(E35,'BD - A - Mvto Cx'!$CM$15:$CP$500,4,0),0)</f>
        <v>0</v>
      </c>
      <c r="R35" s="50">
        <f>IFERROR(VLOOKUP(E35,'BD - A - Mvto Cx'!$CV$15:$CY$500,4,0),0)</f>
        <v>0</v>
      </c>
    </row>
    <row r="36" spans="1:18" s="41" customFormat="1">
      <c r="A36" s="37"/>
      <c r="B36" t="str">
        <f t="shared" si="0"/>
        <v>E114796</v>
      </c>
      <c r="C36" s="29" t="s">
        <v>355</v>
      </c>
      <c r="D36" s="26" t="s">
        <v>73</v>
      </c>
      <c r="E36" s="7">
        <v>114796</v>
      </c>
      <c r="F36" s="48" t="s">
        <v>103</v>
      </c>
      <c r="G36" s="49">
        <f>IFERROR(VLOOKUP(E36,'BD - A - Mvto Cx'!$A$15:$D$501,4,0),0)</f>
        <v>4773.84</v>
      </c>
      <c r="H36" s="50">
        <f>IFERROR(VLOOKUP(E36,'BD - A - Mvto Cx'!$J$15:$M$500,4,0),0)</f>
        <v>12404.57</v>
      </c>
      <c r="I36" s="50">
        <f>IFERROR(VLOOKUP(E36,'BD - A - Mvto Cx'!$S$15:$V$500,4,0),0)</f>
        <v>21701.73</v>
      </c>
      <c r="J36" s="50">
        <f>IFERROR(VLOOKUP(E36,'BD - A - Mvto Cx'!$AB$15:$AE$500,4,0),0)</f>
        <v>16268.44</v>
      </c>
      <c r="K36" s="50">
        <f>IFERROR(VLOOKUP(E36,'BD - A - Mvto Cx'!$AK$15:$AN$500,4,0),0)</f>
        <v>0</v>
      </c>
      <c r="L36" s="50">
        <f>IFERROR(VLOOKUP(E36,'BD - A - Mvto Cx'!$AT$15:$AW$500,4,0),0)</f>
        <v>0</v>
      </c>
      <c r="M36" s="50">
        <f>IFERROR(VLOOKUP(E36,'BD - A - Mvto Cx'!$BC$15:$BF$500,4,0),0)</f>
        <v>0</v>
      </c>
      <c r="N36" s="50">
        <f>IFERROR(VLOOKUP(E36,'BD - A - Mvto Cx'!$BL$15:$BO$500,4,0),0)</f>
        <v>0</v>
      </c>
      <c r="O36" s="50">
        <f>IFERROR(VLOOKUP(E36,'BD - A - Mvto Cx'!$BU$15:$BX$500,4,0),0)</f>
        <v>0</v>
      </c>
      <c r="P36" s="50">
        <f>IFERROR(VLOOKUP(E36,'BD - A - Mvto Cx'!$CD$15:$CG$500,4,0),0)</f>
        <v>0</v>
      </c>
      <c r="Q36" s="50">
        <f>IFERROR(VLOOKUP(E36,'BD - A - Mvto Cx'!$CM$15:$CP$500,4,0),0)</f>
        <v>0</v>
      </c>
      <c r="R36" s="50">
        <f>IFERROR(VLOOKUP(E36,'BD - A - Mvto Cx'!$CV$15:$CY$500,4,0),0)</f>
        <v>0</v>
      </c>
    </row>
    <row r="37" spans="1:18">
      <c r="A37" s="37"/>
      <c r="B37" t="str">
        <f t="shared" si="0"/>
        <v>E114797</v>
      </c>
      <c r="C37" s="29" t="s">
        <v>357</v>
      </c>
      <c r="D37" s="26" t="s">
        <v>73</v>
      </c>
      <c r="E37" s="7">
        <v>114797</v>
      </c>
      <c r="F37" s="48" t="s">
        <v>398</v>
      </c>
      <c r="G37" s="49">
        <f>IFERROR(VLOOKUP(E37,'BD - A - Mvto Cx'!$A$15:$D$501,4,0),0)</f>
        <v>0</v>
      </c>
      <c r="H37" s="50">
        <f>IFERROR(VLOOKUP(E37,'BD - A - Mvto Cx'!$J$15:$M$500,4,0),0)</f>
        <v>0</v>
      </c>
      <c r="I37" s="50">
        <f>IFERROR(VLOOKUP(E37,'BD - A - Mvto Cx'!$S$15:$V$500,4,0),0)</f>
        <v>0</v>
      </c>
      <c r="J37" s="50">
        <f>IFERROR(VLOOKUP(E37,'BD - A - Mvto Cx'!$AB$15:$AE$500,4,0),0)</f>
        <v>0</v>
      </c>
      <c r="K37" s="50">
        <f>IFERROR(VLOOKUP(E37,'BD - A - Mvto Cx'!$AK$15:$AN$500,4,0),0)</f>
        <v>0</v>
      </c>
      <c r="L37" s="50">
        <f>IFERROR(VLOOKUP(E37,'BD - A - Mvto Cx'!$AT$15:$AW$500,4,0),0)</f>
        <v>0</v>
      </c>
      <c r="M37" s="50">
        <f>IFERROR(VLOOKUP(E37,'BD - A - Mvto Cx'!$BC$15:$BF$500,4,0),0)</f>
        <v>0</v>
      </c>
      <c r="N37" s="50">
        <f>IFERROR(VLOOKUP(E37,'BD - A - Mvto Cx'!$BL$15:$BO$500,4,0),0)</f>
        <v>0</v>
      </c>
      <c r="O37" s="50">
        <f>IFERROR(VLOOKUP(E37,'BD - A - Mvto Cx'!$BU$15:$BX$500,4,0),0)</f>
        <v>0</v>
      </c>
      <c r="P37" s="50">
        <f>IFERROR(VLOOKUP(E37,'BD - A - Mvto Cx'!$CD$15:$CG$500,4,0),0)</f>
        <v>0</v>
      </c>
      <c r="Q37" s="50">
        <f>IFERROR(VLOOKUP(E37,'BD - A - Mvto Cx'!$CM$15:$CP$500,4,0),0)</f>
        <v>0</v>
      </c>
      <c r="R37" s="50">
        <f>IFERROR(VLOOKUP(E37,'BD - A - Mvto Cx'!$CV$15:$CY$500,4,0),0)</f>
        <v>0</v>
      </c>
    </row>
    <row r="38" spans="1:18">
      <c r="A38" s="37"/>
      <c r="B38" t="str">
        <f t="shared" si="0"/>
        <v>E114798</v>
      </c>
      <c r="C38" s="29" t="s">
        <v>237</v>
      </c>
      <c r="D38" s="26" t="s">
        <v>73</v>
      </c>
      <c r="E38" s="7">
        <v>114798</v>
      </c>
      <c r="F38" s="48" t="s">
        <v>104</v>
      </c>
      <c r="G38" s="49">
        <f>IFERROR(VLOOKUP(E38,'BD - A - Mvto Cx'!$A$15:$D$501,4,0),0)</f>
        <v>0</v>
      </c>
      <c r="H38" s="50">
        <f>IFERROR(VLOOKUP(E38,'BD - A - Mvto Cx'!$J$15:$M$500,4,0),0)</f>
        <v>0</v>
      </c>
      <c r="I38" s="50">
        <f>IFERROR(VLOOKUP(E38,'BD - A - Mvto Cx'!$S$15:$V$500,4,0),0)</f>
        <v>0</v>
      </c>
      <c r="J38" s="50">
        <f>IFERROR(VLOOKUP(E38,'BD - A - Mvto Cx'!$AB$15:$AE$500,4,0),0)</f>
        <v>0</v>
      </c>
      <c r="K38" s="50">
        <f>IFERROR(VLOOKUP(E38,'BD - A - Mvto Cx'!$AK$15:$AN$500,4,0),0)</f>
        <v>0</v>
      </c>
      <c r="L38" s="50">
        <f>IFERROR(VLOOKUP(E38,'BD - A - Mvto Cx'!$AT$15:$AW$500,4,0),0)</f>
        <v>0</v>
      </c>
      <c r="M38" s="50">
        <f>IFERROR(VLOOKUP(E38,'BD - A - Mvto Cx'!$BC$15:$BF$500,4,0),0)</f>
        <v>0</v>
      </c>
      <c r="N38" s="50">
        <f>IFERROR(VLOOKUP(E38,'BD - A - Mvto Cx'!$BL$15:$BO$500,4,0),0)</f>
        <v>0</v>
      </c>
      <c r="O38" s="50">
        <f>IFERROR(VLOOKUP(E38,'BD - A - Mvto Cx'!$BU$15:$BX$500,4,0),0)</f>
        <v>0</v>
      </c>
      <c r="P38" s="50">
        <f>IFERROR(VLOOKUP(E38,'BD - A - Mvto Cx'!$CD$15:$CG$500,4,0),0)</f>
        <v>0</v>
      </c>
      <c r="Q38" s="50">
        <f>IFERROR(VLOOKUP(E38,'BD - A - Mvto Cx'!$CM$15:$CP$500,4,0),0)</f>
        <v>0</v>
      </c>
      <c r="R38" s="50">
        <f>IFERROR(VLOOKUP(E38,'BD - A - Mvto Cx'!$CV$15:$CY$500,4,0),0)</f>
        <v>0</v>
      </c>
    </row>
    <row r="39" spans="1:18">
      <c r="A39" s="37"/>
      <c r="B39" t="str">
        <f t="shared" si="0"/>
        <v>E117208</v>
      </c>
      <c r="C39" s="29" t="s">
        <v>357</v>
      </c>
      <c r="D39" s="26" t="s">
        <v>73</v>
      </c>
      <c r="E39" s="7">
        <v>117208</v>
      </c>
      <c r="F39" s="48" t="s">
        <v>105</v>
      </c>
      <c r="G39" s="49">
        <f>IFERROR(VLOOKUP(E39,'BD - A - Mvto Cx'!$A$15:$D$501,4,0),0)</f>
        <v>75</v>
      </c>
      <c r="H39" s="50">
        <f>IFERROR(VLOOKUP(E39,'BD - A - Mvto Cx'!$J$15:$M$500,4,0),0)</f>
        <v>0</v>
      </c>
      <c r="I39" s="50">
        <f>IFERROR(VLOOKUP(E39,'BD - A - Mvto Cx'!$S$15:$V$500,4,0),0)</f>
        <v>0</v>
      </c>
      <c r="J39" s="50">
        <f>IFERROR(VLOOKUP(E39,'BD - A - Mvto Cx'!$AB$15:$AE$500,4,0),0)</f>
        <v>466.86</v>
      </c>
      <c r="K39" s="50">
        <f>IFERROR(VLOOKUP(E39,'BD - A - Mvto Cx'!$AK$15:$AN$500,4,0),0)</f>
        <v>0</v>
      </c>
      <c r="L39" s="50">
        <f>IFERROR(VLOOKUP(E39,'BD - A - Mvto Cx'!$AT$15:$AW$500,4,0),0)</f>
        <v>0</v>
      </c>
      <c r="M39" s="50">
        <f>IFERROR(VLOOKUP(E39,'BD - A - Mvto Cx'!$BC$15:$BF$500,4,0),0)</f>
        <v>0</v>
      </c>
      <c r="N39" s="50">
        <f>IFERROR(VLOOKUP(E39,'BD - A - Mvto Cx'!$BL$15:$BO$500,4,0),0)</f>
        <v>0</v>
      </c>
      <c r="O39" s="50">
        <f>IFERROR(VLOOKUP(E39,'BD - A - Mvto Cx'!$BU$15:$BX$500,4,0),0)</f>
        <v>0</v>
      </c>
      <c r="P39" s="50">
        <f>IFERROR(VLOOKUP(E39,'BD - A - Mvto Cx'!$CD$15:$CG$500,4,0),0)</f>
        <v>0</v>
      </c>
      <c r="Q39" s="50">
        <f>IFERROR(VLOOKUP(E39,'BD - A - Mvto Cx'!$CM$15:$CP$500,4,0),0)</f>
        <v>0</v>
      </c>
      <c r="R39" s="50">
        <f>IFERROR(VLOOKUP(E39,'BD - A - Mvto Cx'!$CV$15:$CY$500,4,0),0)</f>
        <v>0</v>
      </c>
    </row>
    <row r="40" spans="1:18">
      <c r="A40" s="37"/>
      <c r="B40" t="str">
        <f t="shared" si="0"/>
        <v>E117301</v>
      </c>
      <c r="C40" s="29" t="s">
        <v>357</v>
      </c>
      <c r="D40" s="26" t="s">
        <v>73</v>
      </c>
      <c r="E40" s="7">
        <v>117301</v>
      </c>
      <c r="F40" s="48" t="s">
        <v>106</v>
      </c>
      <c r="G40" s="49">
        <f>IFERROR(VLOOKUP(E40,'BD - A - Mvto Cx'!$A$15:$D$501,4,0),0)</f>
        <v>0</v>
      </c>
      <c r="H40" s="50">
        <f>IFERROR(VLOOKUP(E40,'BD - A - Mvto Cx'!$J$15:$M$500,4,0),0)</f>
        <v>0</v>
      </c>
      <c r="I40" s="50">
        <f>IFERROR(VLOOKUP(E40,'BD - A - Mvto Cx'!$S$15:$V$500,4,0),0)</f>
        <v>0</v>
      </c>
      <c r="J40" s="50">
        <f>IFERROR(VLOOKUP(E40,'BD - A - Mvto Cx'!$AB$15:$AE$500,4,0),0)</f>
        <v>0</v>
      </c>
      <c r="K40" s="50">
        <f>IFERROR(VLOOKUP(E40,'BD - A - Mvto Cx'!$AK$15:$AN$500,4,0),0)</f>
        <v>0</v>
      </c>
      <c r="L40" s="50">
        <f>IFERROR(VLOOKUP(E40,'BD - A - Mvto Cx'!$AT$15:$AW$500,4,0),0)</f>
        <v>0</v>
      </c>
      <c r="M40" s="50">
        <f>IFERROR(VLOOKUP(E40,'BD - A - Mvto Cx'!$BC$15:$BF$500,4,0),0)</f>
        <v>0</v>
      </c>
      <c r="N40" s="50">
        <f>IFERROR(VLOOKUP(E40,'BD - A - Mvto Cx'!$BL$15:$BO$500,4,0),0)</f>
        <v>0</v>
      </c>
      <c r="O40" s="50">
        <f>IFERROR(VLOOKUP(E40,'BD - A - Mvto Cx'!$BU$15:$BX$500,4,0),0)</f>
        <v>0</v>
      </c>
      <c r="P40" s="50">
        <f>IFERROR(VLOOKUP(E40,'BD - A - Mvto Cx'!$CD$15:$CG$500,4,0),0)</f>
        <v>0</v>
      </c>
      <c r="Q40" s="50">
        <f>IFERROR(VLOOKUP(E40,'BD - A - Mvto Cx'!$CM$15:$CP$500,4,0),0)</f>
        <v>0</v>
      </c>
      <c r="R40" s="50">
        <f>IFERROR(VLOOKUP(E40,'BD - A - Mvto Cx'!$CV$15:$CY$500,4,0),0)</f>
        <v>0</v>
      </c>
    </row>
    <row r="41" spans="1:18">
      <c r="A41" s="37"/>
      <c r="B41" t="str">
        <f t="shared" si="0"/>
        <v>E117302</v>
      </c>
      <c r="C41" s="29" t="s">
        <v>357</v>
      </c>
      <c r="D41" s="26" t="s">
        <v>73</v>
      </c>
      <c r="E41" s="7">
        <v>117302</v>
      </c>
      <c r="F41" s="48" t="s">
        <v>107</v>
      </c>
      <c r="G41" s="49">
        <f>IFERROR(VLOOKUP(E41,'BD - A - Mvto Cx'!$A$15:$D$501,4,0),0)</f>
        <v>0</v>
      </c>
      <c r="H41" s="50">
        <f>IFERROR(VLOOKUP(E41,'BD - A - Mvto Cx'!$J$15:$M$500,4,0),0)</f>
        <v>0</v>
      </c>
      <c r="I41" s="50">
        <f>IFERROR(VLOOKUP(E41,'BD - A - Mvto Cx'!$S$15:$V$500,4,0),0)</f>
        <v>0</v>
      </c>
      <c r="J41" s="50">
        <f>IFERROR(VLOOKUP(E41,'BD - A - Mvto Cx'!$AB$15:$AE$500,4,0),0)</f>
        <v>0</v>
      </c>
      <c r="K41" s="50">
        <f>IFERROR(VLOOKUP(E41,'BD - A - Mvto Cx'!$AK$15:$AN$500,4,0),0)</f>
        <v>0</v>
      </c>
      <c r="L41" s="50">
        <f>IFERROR(VLOOKUP(E41,'BD - A - Mvto Cx'!$AT$15:$AW$500,4,0),0)</f>
        <v>0</v>
      </c>
      <c r="M41" s="50">
        <f>IFERROR(VLOOKUP(E41,'BD - A - Mvto Cx'!$BC$15:$BF$500,4,0),0)</f>
        <v>0</v>
      </c>
      <c r="N41" s="50">
        <f>IFERROR(VLOOKUP(E41,'BD - A - Mvto Cx'!$BL$15:$BO$500,4,0),0)</f>
        <v>0</v>
      </c>
      <c r="O41" s="50">
        <f>IFERROR(VLOOKUP(E41,'BD - A - Mvto Cx'!$BU$15:$BX$500,4,0),0)</f>
        <v>0</v>
      </c>
      <c r="P41" s="50">
        <f>IFERROR(VLOOKUP(E41,'BD - A - Mvto Cx'!$CD$15:$CG$500,4,0),0)</f>
        <v>0</v>
      </c>
      <c r="Q41" s="50">
        <f>IFERROR(VLOOKUP(E41,'BD - A - Mvto Cx'!$CM$15:$CP$500,4,0),0)</f>
        <v>0</v>
      </c>
      <c r="R41" s="50">
        <f>IFERROR(VLOOKUP(E41,'BD - A - Mvto Cx'!$CV$15:$CY$500,4,0),0)</f>
        <v>0</v>
      </c>
    </row>
    <row r="42" spans="1:18">
      <c r="A42" s="37"/>
      <c r="B42" t="str">
        <f t="shared" si="0"/>
        <v>E122103</v>
      </c>
      <c r="C42" s="29" t="s">
        <v>231</v>
      </c>
      <c r="D42" s="26" t="s">
        <v>73</v>
      </c>
      <c r="E42" s="7">
        <v>122103</v>
      </c>
      <c r="F42" s="48" t="s">
        <v>108</v>
      </c>
      <c r="G42" s="49">
        <f>IFERROR(VLOOKUP(E42,'BD - A - Mvto Cx'!$A$15:$D$501,4,0),0)</f>
        <v>0</v>
      </c>
      <c r="H42" s="50">
        <f>IFERROR(VLOOKUP(E42,'BD - A - Mvto Cx'!$J$15:$M$500,4,0),0)</f>
        <v>0</v>
      </c>
      <c r="I42" s="50">
        <f>IFERROR(VLOOKUP(E42,'BD - A - Mvto Cx'!$S$15:$V$500,4,0),0)</f>
        <v>0</v>
      </c>
      <c r="J42" s="50">
        <f>IFERROR(VLOOKUP(E42,'BD - A - Mvto Cx'!$AB$15:$AE$500,4,0),0)</f>
        <v>0</v>
      </c>
      <c r="K42" s="50">
        <f>IFERROR(VLOOKUP(E42,'BD - A - Mvto Cx'!$AK$15:$AN$500,4,0),0)</f>
        <v>0</v>
      </c>
      <c r="L42" s="50">
        <f>IFERROR(VLOOKUP(E42,'BD - A - Mvto Cx'!$AT$15:$AW$500,4,0),0)</f>
        <v>0</v>
      </c>
      <c r="M42" s="50">
        <f>IFERROR(VLOOKUP(E42,'BD - A - Mvto Cx'!$BC$15:$BF$500,4,0),0)</f>
        <v>0</v>
      </c>
      <c r="N42" s="50">
        <f>IFERROR(VLOOKUP(E42,'BD - A - Mvto Cx'!$BL$15:$BO$500,4,0),0)</f>
        <v>0</v>
      </c>
      <c r="O42" s="50">
        <f>IFERROR(VLOOKUP(E42,'BD - A - Mvto Cx'!$BU$15:$BX$500,4,0),0)</f>
        <v>0</v>
      </c>
      <c r="P42" s="50">
        <f>IFERROR(VLOOKUP(E42,'BD - A - Mvto Cx'!$CD$15:$CG$500,4,0),0)</f>
        <v>0</v>
      </c>
      <c r="Q42" s="50">
        <f>IFERROR(VLOOKUP(E42,'BD - A - Mvto Cx'!$CM$15:$CP$500,4,0),0)</f>
        <v>0</v>
      </c>
      <c r="R42" s="50">
        <f>IFERROR(VLOOKUP(E42,'BD - A - Mvto Cx'!$CV$15:$CY$500,4,0),0)</f>
        <v>0</v>
      </c>
    </row>
    <row r="43" spans="1:18">
      <c r="A43" s="37"/>
      <c r="B43" t="str">
        <f t="shared" si="0"/>
        <v>E122601</v>
      </c>
      <c r="C43" s="29" t="s">
        <v>231</v>
      </c>
      <c r="D43" s="26" t="s">
        <v>73</v>
      </c>
      <c r="E43" s="7">
        <v>122601</v>
      </c>
      <c r="F43" s="48" t="s">
        <v>109</v>
      </c>
      <c r="G43" s="49">
        <f>IFERROR(VLOOKUP(E43,'BD - A - Mvto Cx'!$A$15:$D$501,4,0),0)</f>
        <v>425948</v>
      </c>
      <c r="H43" s="50">
        <f>IFERROR(VLOOKUP(E43,'BD - A - Mvto Cx'!$J$15:$M$500,4,0),0)</f>
        <v>13900</v>
      </c>
      <c r="I43" s="50">
        <f>IFERROR(VLOOKUP(E43,'BD - A - Mvto Cx'!$S$15:$V$500,4,0),0)</f>
        <v>136600</v>
      </c>
      <c r="J43" s="50">
        <f>IFERROR(VLOOKUP(E43,'BD - A - Mvto Cx'!$AB$15:$AE$500,4,0),0)</f>
        <v>0</v>
      </c>
      <c r="K43" s="50">
        <f>IFERROR(VLOOKUP(E43,'BD - A - Mvto Cx'!$AK$15:$AN$500,4,0),0)</f>
        <v>0</v>
      </c>
      <c r="L43" s="50">
        <f>IFERROR(VLOOKUP(E43,'BD - A - Mvto Cx'!$AT$15:$AW$500,4,0),0)</f>
        <v>0</v>
      </c>
      <c r="M43" s="50">
        <f>IFERROR(VLOOKUP(E43,'BD - A - Mvto Cx'!$BC$15:$BF$500,4,0),0)</f>
        <v>0</v>
      </c>
      <c r="N43" s="50">
        <f>IFERROR(VLOOKUP(E43,'BD - A - Mvto Cx'!$BL$15:$BO$500,4,0),0)</f>
        <v>0</v>
      </c>
      <c r="O43" s="50">
        <f>IFERROR(VLOOKUP(E43,'BD - A - Mvto Cx'!$BU$15:$BX$500,4,0),0)</f>
        <v>0</v>
      </c>
      <c r="P43" s="50">
        <f>IFERROR(VLOOKUP(E43,'BD - A - Mvto Cx'!$CD$15:$CG$500,4,0),0)</f>
        <v>0</v>
      </c>
      <c r="Q43" s="50">
        <f>IFERROR(VLOOKUP(E43,'BD - A - Mvto Cx'!$CM$15:$CP$500,4,0),0)</f>
        <v>0</v>
      </c>
      <c r="R43" s="50">
        <f>IFERROR(VLOOKUP(E43,'BD - A - Mvto Cx'!$CV$15:$CY$500,4,0),0)</f>
        <v>0</v>
      </c>
    </row>
    <row r="44" spans="1:18">
      <c r="A44" s="37"/>
      <c r="B44" t="str">
        <f t="shared" si="0"/>
        <v>E213202</v>
      </c>
      <c r="C44" s="7" t="s">
        <v>367</v>
      </c>
      <c r="D44" s="26" t="s">
        <v>73</v>
      </c>
      <c r="E44" s="7">
        <v>213202</v>
      </c>
      <c r="F44" s="48" t="s">
        <v>110</v>
      </c>
      <c r="G44" s="423">
        <f>IFERROR(VLOOKUP(E44,'BD - A - Mvto Cx'!$A$15:$D$501,4,0),0)</f>
        <v>0</v>
      </c>
      <c r="H44" s="50">
        <f>IFERROR(VLOOKUP(E44,'BD - A - Mvto Cx'!$J$15:$M$500,4,0),0)</f>
        <v>0</v>
      </c>
      <c r="I44" s="50">
        <f>IFERROR(VLOOKUP(E44,'BD - A - Mvto Cx'!$S$15:$V$500,4,0),0)</f>
        <v>0</v>
      </c>
      <c r="J44" s="50">
        <f>IFERROR(VLOOKUP(E44,'BD - A - Mvto Cx'!$AB$15:$AE$500,4,0),0)</f>
        <v>0</v>
      </c>
      <c r="K44" s="50">
        <f>IFERROR(VLOOKUP(E44,'BD - A - Mvto Cx'!$AK$15:$AN$500,4,0),0)</f>
        <v>0</v>
      </c>
      <c r="L44" s="50">
        <f>IFERROR(VLOOKUP(E44,'BD - A - Mvto Cx'!$AT$15:$AW$500,4,0),0)</f>
        <v>0</v>
      </c>
      <c r="M44" s="50">
        <f>IFERROR(VLOOKUP(E44,'BD - A - Mvto Cx'!$BC$15:$BF$500,4,0),0)</f>
        <v>0</v>
      </c>
      <c r="N44" s="50">
        <f>IFERROR(VLOOKUP(E44,'BD - A - Mvto Cx'!$BL$15:$BO$500,4,0),0)</f>
        <v>0</v>
      </c>
      <c r="O44" s="50">
        <f>IFERROR(VLOOKUP(E44,'BD - A - Mvto Cx'!$BU$15:$BX$500,4,0),0)</f>
        <v>0</v>
      </c>
      <c r="P44" s="50">
        <f>IFERROR(VLOOKUP(E44,'BD - A - Mvto Cx'!$CD$15:$CG$500,4,0),0)</f>
        <v>0</v>
      </c>
      <c r="Q44" s="50">
        <f>IFERROR(VLOOKUP(E44,'BD - A - Mvto Cx'!$CM$15:$CP$500,4,0),0)</f>
        <v>0</v>
      </c>
      <c r="R44" s="50">
        <f>IFERROR(VLOOKUP(E44,'BD - A - Mvto Cx'!$CV$15:$CY$500,4,0),0)</f>
        <v>0</v>
      </c>
    </row>
    <row r="45" spans="1:18">
      <c r="A45" s="37"/>
      <c r="B45" t="str">
        <f t="shared" ref="B45" si="3">D45&amp;E45</f>
        <v>E213204</v>
      </c>
      <c r="C45" s="7" t="s">
        <v>367</v>
      </c>
      <c r="D45" s="26" t="s">
        <v>73</v>
      </c>
      <c r="E45" s="7">
        <v>213204</v>
      </c>
      <c r="F45" s="48" t="s">
        <v>452</v>
      </c>
      <c r="G45" s="423">
        <f>IFERROR(VLOOKUP(E45,'BD - A - Mvto Cx'!$A$15:$D$501,4,0),0)</f>
        <v>0</v>
      </c>
      <c r="H45" s="50">
        <f>IFERROR(VLOOKUP(E45,'BD - A - Mvto Cx'!$J$15:$M$500,4,0),0)</f>
        <v>0</v>
      </c>
      <c r="I45" s="50">
        <f>IFERROR(VLOOKUP(E45,'BD - A - Mvto Cx'!$S$15:$V$500,4,0),0)</f>
        <v>0</v>
      </c>
      <c r="J45" s="50">
        <f>IFERROR(VLOOKUP(E45,'BD - A - Mvto Cx'!$AB$15:$AE$500,4,0),0)</f>
        <v>0</v>
      </c>
      <c r="K45" s="50">
        <f>IFERROR(VLOOKUP(E45,'BD - A - Mvto Cx'!$AK$15:$AN$500,4,0),0)</f>
        <v>0</v>
      </c>
      <c r="L45" s="50">
        <f>IFERROR(VLOOKUP(E45,'BD - A - Mvto Cx'!$AT$15:$AW$500,4,0),0)</f>
        <v>0</v>
      </c>
      <c r="M45" s="50">
        <f>IFERROR(VLOOKUP(E45,'BD - A - Mvto Cx'!$BC$15:$BF$500,4,0),0)</f>
        <v>0</v>
      </c>
      <c r="N45" s="50">
        <f>IFERROR(VLOOKUP(E45,'BD - A - Mvto Cx'!$BL$15:$BO$500,4,0),0)</f>
        <v>0</v>
      </c>
      <c r="O45" s="50">
        <f>IFERROR(VLOOKUP(E45,'BD - A - Mvto Cx'!$BU$15:$BX$500,4,0),0)</f>
        <v>0</v>
      </c>
      <c r="P45" s="50">
        <f>IFERROR(VLOOKUP(E45,'BD - A - Mvto Cx'!$CD$15:$CG$500,4,0),0)</f>
        <v>0</v>
      </c>
      <c r="Q45" s="50">
        <f>IFERROR(VLOOKUP(E45,'BD - A - Mvto Cx'!$CM$15:$CP$500,4,0),0)</f>
        <v>0</v>
      </c>
      <c r="R45" s="50">
        <f>IFERROR(VLOOKUP(E45,'BD - A - Mvto Cx'!$CV$15:$CY$500,4,0),0)</f>
        <v>0</v>
      </c>
    </row>
    <row r="46" spans="1:18">
      <c r="A46" s="37"/>
      <c r="B46" t="str">
        <f t="shared" si="0"/>
        <v>E213205</v>
      </c>
      <c r="C46" s="7" t="s">
        <v>367</v>
      </c>
      <c r="D46" s="26" t="s">
        <v>73</v>
      </c>
      <c r="E46" s="7">
        <v>213205</v>
      </c>
      <c r="F46" s="48" t="s">
        <v>111</v>
      </c>
      <c r="G46" s="423">
        <f>IFERROR(VLOOKUP(E46,'BD - A - Mvto Cx'!$A$15:$D$501,4,0),0)</f>
        <v>0</v>
      </c>
      <c r="H46" s="50">
        <f>IFERROR(VLOOKUP(E46,'BD - A - Mvto Cx'!$J$15:$M$500,4,0),0)</f>
        <v>0</v>
      </c>
      <c r="I46" s="50">
        <f>IFERROR(VLOOKUP(E46,'BD - A - Mvto Cx'!$S$15:$V$500,4,0),0)</f>
        <v>0</v>
      </c>
      <c r="J46" s="50">
        <f>IFERROR(VLOOKUP(E46,'BD - A - Mvto Cx'!$AB$15:$AE$500,4,0),0)</f>
        <v>0</v>
      </c>
      <c r="K46" s="50">
        <f>IFERROR(VLOOKUP(E46,'BD - A - Mvto Cx'!$AK$15:$AN$500,4,0),0)</f>
        <v>0</v>
      </c>
      <c r="L46" s="50">
        <f>IFERROR(VLOOKUP(E46,'BD - A - Mvto Cx'!$AT$15:$AW$500,4,0),0)</f>
        <v>0</v>
      </c>
      <c r="M46" s="50">
        <f>IFERROR(VLOOKUP(E46,'BD - A - Mvto Cx'!$BC$15:$BF$500,4,0),0)</f>
        <v>0</v>
      </c>
      <c r="N46" s="50">
        <f>IFERROR(VLOOKUP(E46,'BD - A - Mvto Cx'!$BL$15:$BO$500,4,0),0)</f>
        <v>0</v>
      </c>
      <c r="O46" s="50">
        <f>IFERROR(VLOOKUP(E46,'BD - A - Mvto Cx'!$BU$15:$BX$500,4,0),0)</f>
        <v>0</v>
      </c>
      <c r="P46" s="50">
        <f>IFERROR(VLOOKUP(E46,'BD - A - Mvto Cx'!$CD$15:$CG$500,4,0),0)</f>
        <v>0</v>
      </c>
      <c r="Q46" s="50">
        <f>IFERROR(VLOOKUP(E46,'BD - A - Mvto Cx'!$CM$15:$CP$500,4,0),0)</f>
        <v>0</v>
      </c>
      <c r="R46" s="50">
        <f>IFERROR(VLOOKUP(E46,'BD - A - Mvto Cx'!$CV$15:$CY$500,4,0),0)</f>
        <v>0</v>
      </c>
    </row>
    <row r="47" spans="1:18">
      <c r="A47" s="37"/>
      <c r="B47" t="str">
        <f t="shared" si="0"/>
        <v>E213206</v>
      </c>
      <c r="C47" s="7" t="s">
        <v>367</v>
      </c>
      <c r="D47" s="26" t="s">
        <v>73</v>
      </c>
      <c r="E47" s="7">
        <v>213206</v>
      </c>
      <c r="F47" s="48" t="s">
        <v>112</v>
      </c>
      <c r="G47" s="423">
        <f>IFERROR(VLOOKUP(E47,'BD - A - Mvto Cx'!$A$15:$D$501,4,0),0)</f>
        <v>7936.96</v>
      </c>
      <c r="H47" s="50">
        <f>IFERROR(VLOOKUP(E47,'BD - A - Mvto Cx'!$J$15:$M$500,4,0),0)</f>
        <v>7376.88</v>
      </c>
      <c r="I47" s="50">
        <f>IFERROR(VLOOKUP(E47,'BD - A - Mvto Cx'!$S$15:$V$500,4,0),0)</f>
        <v>5458</v>
      </c>
      <c r="J47" s="50">
        <f>IFERROR(VLOOKUP(E47,'BD - A - Mvto Cx'!$AB$15:$AE$500,4,0),0)</f>
        <v>5697.6</v>
      </c>
      <c r="K47" s="50">
        <f>IFERROR(VLOOKUP(E47,'BD - A - Mvto Cx'!$AK$15:$AN$500,4,0),0)</f>
        <v>0</v>
      </c>
      <c r="L47" s="50">
        <f>IFERROR(VLOOKUP(E47,'BD - A - Mvto Cx'!$AT$15:$AW$500,4,0),0)</f>
        <v>0</v>
      </c>
      <c r="M47" s="50">
        <f>IFERROR(VLOOKUP(E47,'BD - A - Mvto Cx'!$BC$15:$BF$500,4,0),0)</f>
        <v>0</v>
      </c>
      <c r="N47" s="50">
        <f>IFERROR(VLOOKUP(E47,'BD - A - Mvto Cx'!$BL$15:$BO$500,4,0),0)</f>
        <v>0</v>
      </c>
      <c r="O47" s="50">
        <f>IFERROR(VLOOKUP(E47,'BD - A - Mvto Cx'!$BU$15:$BX$500,4,0),0)</f>
        <v>0</v>
      </c>
      <c r="P47" s="50">
        <f>IFERROR(VLOOKUP(E47,'BD - A - Mvto Cx'!$CD$15:$CG$500,4,0),0)</f>
        <v>0</v>
      </c>
      <c r="Q47" s="50">
        <f>IFERROR(VLOOKUP(E47,'BD - A - Mvto Cx'!$CM$15:$CP$500,4,0),0)</f>
        <v>0</v>
      </c>
      <c r="R47" s="50">
        <f>IFERROR(VLOOKUP(E47,'BD - A - Mvto Cx'!$CV$15:$CY$500,4,0),0)</f>
        <v>0</v>
      </c>
    </row>
    <row r="48" spans="1:18">
      <c r="A48" s="37"/>
      <c r="B48" t="str">
        <f t="shared" si="0"/>
        <v>E213210</v>
      </c>
      <c r="C48" s="7" t="s">
        <v>367</v>
      </c>
      <c r="D48" s="26" t="s">
        <v>73</v>
      </c>
      <c r="E48" s="7">
        <v>213210</v>
      </c>
      <c r="F48" s="48" t="s">
        <v>113</v>
      </c>
      <c r="G48" s="423">
        <f>IFERROR(VLOOKUP(E48,'BD - A - Mvto Cx'!$A$15:$D$501,4,0),0)</f>
        <v>0</v>
      </c>
      <c r="H48" s="50">
        <f>IFERROR(VLOOKUP(E48,'BD - A - Mvto Cx'!$J$15:$M$500,4,0),0)</f>
        <v>0</v>
      </c>
      <c r="I48" s="50">
        <f>IFERROR(VLOOKUP(E48,'BD - A - Mvto Cx'!$S$15:$V$500,4,0),0)</f>
        <v>0</v>
      </c>
      <c r="J48" s="50">
        <f>IFERROR(VLOOKUP(E48,'BD - A - Mvto Cx'!$AB$15:$AE$500,4,0),0)</f>
        <v>0</v>
      </c>
      <c r="K48" s="50">
        <f>IFERROR(VLOOKUP(E48,'BD - A - Mvto Cx'!$AK$15:$AN$500,4,0),0)</f>
        <v>0</v>
      </c>
      <c r="L48" s="50">
        <f>IFERROR(VLOOKUP(E48,'BD - A - Mvto Cx'!$AT$15:$AW$500,4,0),0)</f>
        <v>0</v>
      </c>
      <c r="M48" s="50">
        <f>IFERROR(VLOOKUP(E48,'BD - A - Mvto Cx'!$BC$15:$BF$500,4,0),0)</f>
        <v>0</v>
      </c>
      <c r="N48" s="50">
        <f>IFERROR(VLOOKUP(E48,'BD - A - Mvto Cx'!$BL$15:$BO$500,4,0),0)</f>
        <v>0</v>
      </c>
      <c r="O48" s="50">
        <f>IFERROR(VLOOKUP(E48,'BD - A - Mvto Cx'!$BU$15:$BX$500,4,0),0)</f>
        <v>0</v>
      </c>
      <c r="P48" s="50">
        <f>IFERROR(VLOOKUP(E48,'BD - A - Mvto Cx'!$CD$15:$CG$500,4,0),0)</f>
        <v>0</v>
      </c>
      <c r="Q48" s="50">
        <f>IFERROR(VLOOKUP(E48,'BD - A - Mvto Cx'!$CM$15:$CP$500,4,0),0)</f>
        <v>0</v>
      </c>
      <c r="R48" s="50">
        <f>IFERROR(VLOOKUP(E48,'BD - A - Mvto Cx'!$CV$15:$CY$500,4,0),0)</f>
        <v>0</v>
      </c>
    </row>
    <row r="49" spans="1:18">
      <c r="A49" s="37"/>
      <c r="B49" t="str">
        <f t="shared" si="0"/>
        <v>E213211</v>
      </c>
      <c r="C49" s="7" t="s">
        <v>367</v>
      </c>
      <c r="D49" s="26" t="s">
        <v>73</v>
      </c>
      <c r="E49" s="7">
        <v>213211</v>
      </c>
      <c r="F49" s="48" t="s">
        <v>114</v>
      </c>
      <c r="G49" s="423">
        <f>IFERROR(VLOOKUP(E49,'BD - A - Mvto Cx'!$A$15:$D$501,4,0),0)</f>
        <v>0</v>
      </c>
      <c r="H49" s="50">
        <f>IFERROR(VLOOKUP(E49,'BD - A - Mvto Cx'!$J$15:$M$500,4,0),0)</f>
        <v>0</v>
      </c>
      <c r="I49" s="50">
        <f>IFERROR(VLOOKUP(E49,'BD - A - Mvto Cx'!$S$15:$V$500,4,0),0)</f>
        <v>0</v>
      </c>
      <c r="J49" s="50">
        <f>IFERROR(VLOOKUP(E49,'BD - A - Mvto Cx'!$AB$15:$AE$500,4,0),0)</f>
        <v>0</v>
      </c>
      <c r="K49" s="50">
        <f>IFERROR(VLOOKUP(E49,'BD - A - Mvto Cx'!$AK$15:$AN$500,4,0),0)</f>
        <v>0</v>
      </c>
      <c r="L49" s="50">
        <f>IFERROR(VLOOKUP(E49,'BD - A - Mvto Cx'!$AT$15:$AW$500,4,0),0)</f>
        <v>0</v>
      </c>
      <c r="M49" s="50">
        <f>IFERROR(VLOOKUP(E49,'BD - A - Mvto Cx'!$BC$15:$BF$500,4,0),0)</f>
        <v>0</v>
      </c>
      <c r="N49" s="50">
        <f>IFERROR(VLOOKUP(E49,'BD - A - Mvto Cx'!$BL$15:$BO$500,4,0),0)</f>
        <v>0</v>
      </c>
      <c r="O49" s="50">
        <f>IFERROR(VLOOKUP(E49,'BD - A - Mvto Cx'!$BU$15:$BX$500,4,0),0)</f>
        <v>0</v>
      </c>
      <c r="P49" s="50">
        <f>IFERROR(VLOOKUP(E49,'BD - A - Mvto Cx'!$CD$15:$CG$500,4,0),0)</f>
        <v>0</v>
      </c>
      <c r="Q49" s="50">
        <f>IFERROR(VLOOKUP(E49,'BD - A - Mvto Cx'!$CM$15:$CP$500,4,0),0)</f>
        <v>0</v>
      </c>
      <c r="R49" s="50">
        <f>IFERROR(VLOOKUP(E49,'BD - A - Mvto Cx'!$CV$15:$CY$500,4,0),0)</f>
        <v>0</v>
      </c>
    </row>
    <row r="50" spans="1:18">
      <c r="A50" s="37"/>
      <c r="B50" t="str">
        <f t="shared" si="0"/>
        <v>E213212</v>
      </c>
      <c r="C50" s="7" t="s">
        <v>367</v>
      </c>
      <c r="D50" s="26" t="s">
        <v>73</v>
      </c>
      <c r="E50" s="7">
        <v>213212</v>
      </c>
      <c r="F50" s="48" t="s">
        <v>115</v>
      </c>
      <c r="G50" s="49">
        <f>IFERROR(VLOOKUP(E50,'BD - A - Mvto Cx'!$A$15:$D$501,4,0),0)</f>
        <v>0</v>
      </c>
      <c r="H50" s="50">
        <f>IFERROR(VLOOKUP(E50,'BD - A - Mvto Cx'!$J$15:$M$500,4,0),0)</f>
        <v>0</v>
      </c>
      <c r="I50" s="50">
        <f>IFERROR(VLOOKUP(E50,'BD - A - Mvto Cx'!$S$15:$V$500,4,0),0)</f>
        <v>0</v>
      </c>
      <c r="J50" s="50">
        <f>IFERROR(VLOOKUP(E50,'BD - A - Mvto Cx'!$AB$15:$AE$500,4,0),0)</f>
        <v>0</v>
      </c>
      <c r="K50" s="50">
        <f>IFERROR(VLOOKUP(E50,'BD - A - Mvto Cx'!$AK$15:$AN$500,4,0),0)</f>
        <v>0</v>
      </c>
      <c r="L50" s="50">
        <f>IFERROR(VLOOKUP(E50,'BD - A - Mvto Cx'!$AT$15:$AW$500,4,0),0)</f>
        <v>0</v>
      </c>
      <c r="M50" s="50">
        <f>IFERROR(VLOOKUP(E50,'BD - A - Mvto Cx'!$BC$15:$BF$500,4,0),0)</f>
        <v>0</v>
      </c>
      <c r="N50" s="50">
        <f>IFERROR(VLOOKUP(E50,'BD - A - Mvto Cx'!$BL$15:$BO$500,4,0),0)</f>
        <v>0</v>
      </c>
      <c r="O50" s="50">
        <f>IFERROR(VLOOKUP(E50,'BD - A - Mvto Cx'!$BU$15:$BX$500,4,0),0)</f>
        <v>0</v>
      </c>
      <c r="P50" s="50">
        <f>IFERROR(VLOOKUP(E50,'BD - A - Mvto Cx'!$CD$15:$CG$500,4,0),0)</f>
        <v>0</v>
      </c>
      <c r="Q50" s="50">
        <f>IFERROR(VLOOKUP(E50,'BD - A - Mvto Cx'!$CM$15:$CP$500,4,0),0)</f>
        <v>0</v>
      </c>
      <c r="R50" s="50">
        <f>IFERROR(VLOOKUP(E50,'BD - A - Mvto Cx'!$CV$15:$CY$500,4,0),0)</f>
        <v>0</v>
      </c>
    </row>
    <row r="51" spans="1:18">
      <c r="A51" s="37"/>
      <c r="B51" t="str">
        <f t="shared" si="0"/>
        <v>E213406</v>
      </c>
      <c r="C51" s="7" t="s">
        <v>367</v>
      </c>
      <c r="D51" s="26" t="s">
        <v>73</v>
      </c>
      <c r="E51" s="7">
        <v>213406</v>
      </c>
      <c r="F51" s="48" t="s">
        <v>116</v>
      </c>
      <c r="G51" s="49">
        <f>IFERROR(VLOOKUP(E51,'BD - A - Mvto Cx'!$A$15:$D$501,4,0),0)</f>
        <v>0</v>
      </c>
      <c r="H51" s="50">
        <f>IFERROR(VLOOKUP(E51,'BD - A - Mvto Cx'!$J$15:$M$500,4,0),0)</f>
        <v>0</v>
      </c>
      <c r="I51" s="50">
        <f>IFERROR(VLOOKUP(E51,'BD - A - Mvto Cx'!$S$15:$V$500,4,0),0)</f>
        <v>0</v>
      </c>
      <c r="J51" s="50">
        <f>IFERROR(VLOOKUP(E51,'BD - A - Mvto Cx'!$AB$15:$AE$500,4,0),0)</f>
        <v>0</v>
      </c>
      <c r="K51" s="50">
        <f>IFERROR(VLOOKUP(E51,'BD - A - Mvto Cx'!$AK$15:$AN$500,4,0),0)</f>
        <v>0</v>
      </c>
      <c r="L51" s="50">
        <f>IFERROR(VLOOKUP(E51,'BD - A - Mvto Cx'!$AT$15:$AW$500,4,0),0)</f>
        <v>0</v>
      </c>
      <c r="M51" s="50">
        <f>IFERROR(VLOOKUP(E51,'BD - A - Mvto Cx'!$BC$15:$BF$500,4,0),0)</f>
        <v>0</v>
      </c>
      <c r="N51" s="50">
        <f>IFERROR(VLOOKUP(E51,'BD - A - Mvto Cx'!$BL$15:$BO$500,4,0),0)</f>
        <v>0</v>
      </c>
      <c r="O51" s="50">
        <f>IFERROR(VLOOKUP(E51,'BD - A - Mvto Cx'!$BU$15:$BX$500,4,0),0)</f>
        <v>0</v>
      </c>
      <c r="P51" s="50">
        <f>IFERROR(VLOOKUP(E51,'BD - A - Mvto Cx'!$CD$15:$CG$500,4,0),0)</f>
        <v>0</v>
      </c>
      <c r="Q51" s="50">
        <f>IFERROR(VLOOKUP(E51,'BD - A - Mvto Cx'!$CM$15:$CP$500,4,0),0)</f>
        <v>0</v>
      </c>
      <c r="R51" s="50">
        <f>IFERROR(VLOOKUP(E51,'BD - A - Mvto Cx'!$CV$15:$CY$500,4,0),0)</f>
        <v>0</v>
      </c>
    </row>
    <row r="52" spans="1:18">
      <c r="A52" s="37"/>
      <c r="B52" t="str">
        <f t="shared" si="0"/>
        <v>E213901</v>
      </c>
      <c r="C52" s="7" t="s">
        <v>365</v>
      </c>
      <c r="D52" s="26" t="s">
        <v>73</v>
      </c>
      <c r="E52" s="7">
        <v>213901</v>
      </c>
      <c r="F52" s="48" t="s">
        <v>117</v>
      </c>
      <c r="G52" s="49">
        <f>IFERROR(VLOOKUP(E52,'BD - A - Mvto Cx'!$A$15:$D$501,4,0),0)</f>
        <v>0</v>
      </c>
      <c r="H52" s="50">
        <f>IFERROR(VLOOKUP(E52,'BD - A - Mvto Cx'!$J$15:$M$500,4,0),0)</f>
        <v>0</v>
      </c>
      <c r="I52" s="50">
        <f>IFERROR(VLOOKUP(E52,'BD - A - Mvto Cx'!$S$15:$V$500,4,0),0)</f>
        <v>0</v>
      </c>
      <c r="J52" s="50">
        <f>IFERROR(VLOOKUP(E52,'BD - A - Mvto Cx'!$AB$15:$AE$500,4,0),0)</f>
        <v>0</v>
      </c>
      <c r="K52" s="50">
        <f>IFERROR(VLOOKUP(E52,'BD - A - Mvto Cx'!$AK$15:$AN$500,4,0),0)</f>
        <v>0</v>
      </c>
      <c r="L52" s="50">
        <f>IFERROR(VLOOKUP(E52,'BD - A - Mvto Cx'!$AT$15:$AW$500,4,0),0)</f>
        <v>0</v>
      </c>
      <c r="M52" s="50">
        <f>IFERROR(VLOOKUP(E52,'BD - A - Mvto Cx'!$BC$15:$BF$500,4,0),0)</f>
        <v>0</v>
      </c>
      <c r="N52" s="50">
        <f>IFERROR(VLOOKUP(E52,'BD - A - Mvto Cx'!$BL$15:$BO$500,4,0),0)</f>
        <v>0</v>
      </c>
      <c r="O52" s="50">
        <f>IFERROR(VLOOKUP(E52,'BD - A - Mvto Cx'!$BU$15:$BX$500,4,0),0)</f>
        <v>0</v>
      </c>
      <c r="P52" s="50">
        <f>IFERROR(VLOOKUP(E52,'BD - A - Mvto Cx'!$CD$15:$CG$500,4,0),0)</f>
        <v>0</v>
      </c>
      <c r="Q52" s="50">
        <f>IFERROR(VLOOKUP(E52,'BD - A - Mvto Cx'!$CM$15:$CP$500,4,0),0)</f>
        <v>0</v>
      </c>
      <c r="R52" s="50">
        <f>IFERROR(VLOOKUP(E52,'BD - A - Mvto Cx'!$CV$15:$CY$500,4,0),0)</f>
        <v>0</v>
      </c>
    </row>
    <row r="53" spans="1:18">
      <c r="A53" s="37"/>
      <c r="B53" t="str">
        <f t="shared" si="0"/>
        <v>E215302</v>
      </c>
      <c r="C53" s="36" t="s">
        <v>355</v>
      </c>
      <c r="D53" s="26" t="s">
        <v>73</v>
      </c>
      <c r="E53" s="7">
        <v>215302</v>
      </c>
      <c r="F53" s="48" t="s">
        <v>170</v>
      </c>
      <c r="G53" s="49">
        <f>IFERROR(VLOOKUP(E53,'BD - A - Mvto Cx'!$A$15:$D$501,4,0),0)</f>
        <v>0</v>
      </c>
      <c r="H53" s="50">
        <f>IFERROR(VLOOKUP(E53,'BD - A - Mvto Cx'!$J$15:$M$500,4,0),0)</f>
        <v>0</v>
      </c>
      <c r="I53" s="50">
        <f>IFERROR(VLOOKUP(E53,'BD - A - Mvto Cx'!$S$15:$V$500,4,0),0)</f>
        <v>0</v>
      </c>
      <c r="J53" s="50">
        <f>IFERROR(VLOOKUP(E53,'BD - A - Mvto Cx'!$AB$15:$AE$500,4,0),0)</f>
        <v>0</v>
      </c>
      <c r="K53" s="50">
        <f>IFERROR(VLOOKUP(E53,'BD - A - Mvto Cx'!$AK$15:$AN$500,4,0),0)</f>
        <v>0</v>
      </c>
      <c r="L53" s="50">
        <f>IFERROR(VLOOKUP(E53,'BD - A - Mvto Cx'!$AT$15:$AW$500,4,0),0)</f>
        <v>0</v>
      </c>
      <c r="M53" s="50">
        <f>IFERROR(VLOOKUP(E53,'BD - A - Mvto Cx'!$BC$15:$BF$500,4,0),0)</f>
        <v>0</v>
      </c>
      <c r="N53" s="50">
        <f>IFERROR(VLOOKUP(E53,'BD - A - Mvto Cx'!$BL$15:$BO$500,4,0),0)</f>
        <v>0</v>
      </c>
      <c r="O53" s="50">
        <f>IFERROR(VLOOKUP(E53,'BD - A - Mvto Cx'!$BU$15:$BX$500,4,0),0)</f>
        <v>0</v>
      </c>
      <c r="P53" s="50">
        <f>IFERROR(VLOOKUP(E53,'BD - A - Mvto Cx'!$CD$15:$CG$500,4,0),0)</f>
        <v>0</v>
      </c>
      <c r="Q53" s="50">
        <f>IFERROR(VLOOKUP(E53,'BD - A - Mvto Cx'!$CM$15:$CP$500,4,0),0)</f>
        <v>0</v>
      </c>
      <c r="R53" s="50">
        <f>IFERROR(VLOOKUP(E53,'BD - A - Mvto Cx'!$CV$15:$CY$500,4,0),0)</f>
        <v>0</v>
      </c>
    </row>
    <row r="54" spans="1:18">
      <c r="A54" s="37"/>
      <c r="B54" t="str">
        <f t="shared" si="0"/>
        <v>E215311</v>
      </c>
      <c r="C54" s="7" t="s">
        <v>422</v>
      </c>
      <c r="D54" s="26" t="s">
        <v>73</v>
      </c>
      <c r="E54" s="7">
        <v>215311</v>
      </c>
      <c r="F54" s="48" t="s">
        <v>390</v>
      </c>
      <c r="G54" s="49">
        <f>IFERROR(VLOOKUP(E54,'BD - A - Mvto Cx'!$A$15:$D$501,4,0),0)</f>
        <v>0</v>
      </c>
      <c r="H54" s="50">
        <f>IFERROR(VLOOKUP(E54,'BD - A - Mvto Cx'!$J$15:$M$500,4,0),0)</f>
        <v>64.02</v>
      </c>
      <c r="I54" s="50">
        <f>IFERROR(VLOOKUP(E54,'BD - A - Mvto Cx'!$S$15:$V$500,4,0),0)</f>
        <v>0</v>
      </c>
      <c r="J54" s="50">
        <f>IFERROR(VLOOKUP(E54,'BD - A - Mvto Cx'!$AB$15:$AE$500,4,0),0)</f>
        <v>0</v>
      </c>
      <c r="K54" s="50">
        <f>IFERROR(VLOOKUP(E54,'BD - A - Mvto Cx'!$AK$15:$AN$500,4,0),0)</f>
        <v>0</v>
      </c>
      <c r="L54" s="50">
        <f>IFERROR(VLOOKUP(E54,'BD - A - Mvto Cx'!$AT$15:$AW$500,4,0),0)</f>
        <v>0</v>
      </c>
      <c r="M54" s="50">
        <f>IFERROR(VLOOKUP(E54,'BD - A - Mvto Cx'!$BC$15:$BF$500,4,0),0)</f>
        <v>0</v>
      </c>
      <c r="N54" s="50">
        <f>IFERROR(VLOOKUP(E54,'BD - A - Mvto Cx'!$BL$15:$BO$500,4,0),0)</f>
        <v>0</v>
      </c>
      <c r="O54" s="50">
        <f>IFERROR(VLOOKUP(E54,'BD - A - Mvto Cx'!$BU$15:$BX$500,4,0),0)</f>
        <v>0</v>
      </c>
      <c r="P54" s="50">
        <f>IFERROR(VLOOKUP(E54,'BD - A - Mvto Cx'!$CD$15:$CG$500,4,0),0)</f>
        <v>0</v>
      </c>
      <c r="Q54" s="50">
        <f>IFERROR(VLOOKUP(E54,'BD - A - Mvto Cx'!$CM$15:$CP$500,4,0),0)</f>
        <v>0</v>
      </c>
      <c r="R54" s="50">
        <f>IFERROR(VLOOKUP(E54,'BD - A - Mvto Cx'!$CV$15:$CY$500,4,0),0)</f>
        <v>0</v>
      </c>
    </row>
    <row r="55" spans="1:18">
      <c r="A55" s="37"/>
      <c r="B55" t="str">
        <f t="shared" si="0"/>
        <v>E215320</v>
      </c>
      <c r="C55" s="7" t="s">
        <v>237</v>
      </c>
      <c r="D55" s="26" t="s">
        <v>73</v>
      </c>
      <c r="E55" s="7">
        <v>215320</v>
      </c>
      <c r="F55" s="48" t="s">
        <v>118</v>
      </c>
      <c r="G55" s="49">
        <f>IFERROR(VLOOKUP(E55,'BD - A - Mvto Cx'!$A$15:$D$501,4,0),0)</f>
        <v>0</v>
      </c>
      <c r="H55" s="50">
        <f>IFERROR(VLOOKUP(E55,'BD - A - Mvto Cx'!$J$15:$M$500,4,0),0)</f>
        <v>0</v>
      </c>
      <c r="I55" s="50">
        <f>IFERROR(VLOOKUP(E55,'BD - A - Mvto Cx'!$S$15:$V$500,4,0),0)</f>
        <v>0</v>
      </c>
      <c r="J55" s="50">
        <f>IFERROR(VLOOKUP(E55,'BD - A - Mvto Cx'!$AB$15:$AE$500,4,0),0)</f>
        <v>0</v>
      </c>
      <c r="K55" s="50">
        <f>IFERROR(VLOOKUP(E55,'BD - A - Mvto Cx'!$AK$15:$AN$500,4,0),0)</f>
        <v>0</v>
      </c>
      <c r="L55" s="50">
        <f>IFERROR(VLOOKUP(E55,'BD - A - Mvto Cx'!$AT$15:$AW$500,4,0),0)</f>
        <v>0</v>
      </c>
      <c r="M55" s="50">
        <f>IFERROR(VLOOKUP(E55,'BD - A - Mvto Cx'!$BC$15:$BF$500,4,0),0)</f>
        <v>0</v>
      </c>
      <c r="N55" s="50">
        <f>IFERROR(VLOOKUP(E55,'BD - A - Mvto Cx'!$BL$15:$BO$500,4,0),0)</f>
        <v>0</v>
      </c>
      <c r="O55" s="50">
        <f>IFERROR(VLOOKUP(E55,'BD - A - Mvto Cx'!$BU$15:$BX$500,4,0),0)</f>
        <v>0</v>
      </c>
      <c r="P55" s="50">
        <f>IFERROR(VLOOKUP(E55,'BD - A - Mvto Cx'!$CD$15:$CG$500,4,0),0)</f>
        <v>0</v>
      </c>
      <c r="Q55" s="50">
        <f>IFERROR(VLOOKUP(E55,'BD - A - Mvto Cx'!$CM$15:$CP$500,4,0),0)</f>
        <v>0</v>
      </c>
      <c r="R55" s="50">
        <f>IFERROR(VLOOKUP(E55,'BD - A - Mvto Cx'!$CV$15:$CY$500,4,0),0)</f>
        <v>0</v>
      </c>
    </row>
    <row r="56" spans="1:18">
      <c r="A56" s="37"/>
      <c r="B56" t="str">
        <f t="shared" si="0"/>
        <v>E215325</v>
      </c>
      <c r="C56" t="s">
        <v>119</v>
      </c>
      <c r="D56" s="26" t="s">
        <v>73</v>
      </c>
      <c r="E56" s="7">
        <v>215325</v>
      </c>
      <c r="F56" s="48" t="s">
        <v>466</v>
      </c>
      <c r="G56" s="49">
        <f>IFERROR(VLOOKUP(E56,'BD - A - Mvto Cx'!$A$15:$D$501,4,0),0)</f>
        <v>1312.4</v>
      </c>
      <c r="H56" s="50">
        <f>IFERROR(VLOOKUP(E56,'BD - A - Mvto Cx'!$J$15:$M$500,4,0),0)</f>
        <v>0</v>
      </c>
      <c r="I56" s="50">
        <f>IFERROR(VLOOKUP(E56,'BD - A - Mvto Cx'!$S$15:$V$500,4,0),0)</f>
        <v>0</v>
      </c>
      <c r="J56" s="50">
        <f>IFERROR(VLOOKUP(E56,'BD - A - Mvto Cx'!$AB$15:$AE$500,4,0),0)</f>
        <v>0</v>
      </c>
      <c r="K56" s="50">
        <f>IFERROR(VLOOKUP(E56,'BD - A - Mvto Cx'!$AK$15:$AN$500,4,0),0)</f>
        <v>0</v>
      </c>
      <c r="L56" s="50">
        <f>IFERROR(VLOOKUP(E56,'BD - A - Mvto Cx'!$AT$15:$AW$500,4,0),0)</f>
        <v>0</v>
      </c>
      <c r="M56" s="50">
        <f>IFERROR(VLOOKUP(E56,'BD - A - Mvto Cx'!$BC$15:$BF$500,4,0),0)</f>
        <v>0</v>
      </c>
      <c r="N56" s="50">
        <f>IFERROR(VLOOKUP(E56,'BD - A - Mvto Cx'!$BL$15:$BO$500,4,0),0)</f>
        <v>0</v>
      </c>
      <c r="O56" s="50">
        <f>IFERROR(VLOOKUP(E56,'BD - A - Mvto Cx'!$BU$15:$BX$500,4,0),0)</f>
        <v>0</v>
      </c>
      <c r="P56" s="50">
        <f>IFERROR(VLOOKUP(E56,'BD - A - Mvto Cx'!$CD$15:$CG$500,4,0),0)</f>
        <v>0</v>
      </c>
      <c r="Q56" s="50">
        <f>IFERROR(VLOOKUP(E56,'BD - A - Mvto Cx'!$CM$15:$CP$500,4,0),0)</f>
        <v>0</v>
      </c>
      <c r="R56" s="50">
        <f>IFERROR(VLOOKUP(E56,'BD - A - Mvto Cx'!$CV$15:$CY$500,4,0),0)</f>
        <v>0</v>
      </c>
    </row>
    <row r="57" spans="1:18">
      <c r="A57" s="37"/>
      <c r="B57" t="str">
        <f t="shared" si="0"/>
        <v>E259198</v>
      </c>
      <c r="C57" t="s">
        <v>119</v>
      </c>
      <c r="D57" s="26" t="s">
        <v>73</v>
      </c>
      <c r="E57" s="7">
        <v>259198</v>
      </c>
      <c r="F57" s="48" t="s">
        <v>1106</v>
      </c>
      <c r="G57" s="49">
        <f>IFERROR(VLOOKUP(E57,'BD - A - Mvto Cx'!$A$15:$D$501,4,0),0)</f>
        <v>0</v>
      </c>
      <c r="H57" s="50">
        <f>IFERROR(VLOOKUP(E57,'BD - A - Mvto Cx'!$J$15:$M$500,4,0),0)</f>
        <v>0</v>
      </c>
      <c r="I57" s="50">
        <f>IFERROR(VLOOKUP(E57,'BD - A - Mvto Cx'!$S$15:$V$500,4,0),0)</f>
        <v>0</v>
      </c>
      <c r="J57" s="50">
        <f>IFERROR(VLOOKUP(E57,'BD - A - Mvto Cx'!$AB$15:$AE$500,4,0),0)</f>
        <v>164000</v>
      </c>
      <c r="K57" s="50">
        <f>IFERROR(VLOOKUP(E57,'BD - A - Mvto Cx'!$AK$15:$AN$500,4,0),0)</f>
        <v>0</v>
      </c>
      <c r="L57" s="50">
        <f>IFERROR(VLOOKUP(E57,'BD - A - Mvto Cx'!$AT$15:$AW$500,4,0),0)</f>
        <v>0</v>
      </c>
      <c r="M57" s="50">
        <f>IFERROR(VLOOKUP(E57,'BD - A - Mvto Cx'!$BC$15:$BF$500,4,0),0)</f>
        <v>0</v>
      </c>
      <c r="N57" s="50">
        <f>IFERROR(VLOOKUP(E57,'BD - A - Mvto Cx'!$BL$15:$BO$500,4,0),0)</f>
        <v>0</v>
      </c>
      <c r="O57" s="50">
        <f>IFERROR(VLOOKUP(E57,'BD - A - Mvto Cx'!$BU$15:$BX$500,4,0),0)</f>
        <v>0</v>
      </c>
      <c r="P57" s="50">
        <f>IFERROR(VLOOKUP(E57,'BD - A - Mvto Cx'!$CD$15:$CG$500,4,0),0)</f>
        <v>0</v>
      </c>
      <c r="Q57" s="50">
        <f>IFERROR(VLOOKUP(E57,'BD - A - Mvto Cx'!$CM$15:$CP$500,4,0),0)</f>
        <v>0</v>
      </c>
      <c r="R57" s="50">
        <f>IFERROR(VLOOKUP(E57,'BD - A - Mvto Cx'!$CV$15:$CY$500,4,0),0)</f>
        <v>0</v>
      </c>
    </row>
    <row r="58" spans="1:18">
      <c r="A58" s="37"/>
      <c r="B58" t="str">
        <f t="shared" si="0"/>
        <v>E311101</v>
      </c>
      <c r="C58" s="36" t="s">
        <v>216</v>
      </c>
      <c r="D58" s="26" t="s">
        <v>73</v>
      </c>
      <c r="E58" s="7">
        <v>311101</v>
      </c>
      <c r="F58" s="48" t="s">
        <v>578</v>
      </c>
      <c r="G58" s="49">
        <f>IFERROR(VLOOKUP(E58,'BD - A - Mvto Cx'!$A$15:$D$501,4,0),0)</f>
        <v>0</v>
      </c>
      <c r="H58" s="50">
        <f>IFERROR(VLOOKUP(E58,'BD - A - Mvto Cx'!$J$15:$M$500,4,0),0)</f>
        <v>0</v>
      </c>
      <c r="I58" s="50">
        <f>IFERROR(VLOOKUP(E58,'BD - A - Mvto Cx'!$S$15:$V$500,4,0),0)</f>
        <v>0</v>
      </c>
      <c r="J58" s="50">
        <f>IFERROR(VLOOKUP(E58,'BD - A - Mvto Cx'!$AB$15:$AE$500,4,0),0)</f>
        <v>0</v>
      </c>
      <c r="K58" s="50">
        <f>IFERROR(VLOOKUP(E58,'BD - A - Mvto Cx'!$AK$15:$AN$500,4,0),0)</f>
        <v>0</v>
      </c>
      <c r="L58" s="50">
        <f>IFERROR(VLOOKUP(E58,'BD - A - Mvto Cx'!$AT$15:$AW$500,4,0),0)</f>
        <v>0</v>
      </c>
      <c r="M58" s="50">
        <f>IFERROR(VLOOKUP(E58,'BD - A - Mvto Cx'!$BC$15:$BF$500,4,0),0)</f>
        <v>0</v>
      </c>
      <c r="N58" s="50">
        <f>IFERROR(VLOOKUP(E58,'BD - A - Mvto Cx'!$BL$15:$BO$500,4,0),0)</f>
        <v>0</v>
      </c>
      <c r="O58" s="50">
        <f>IFERROR(VLOOKUP(E58,'BD - A - Mvto Cx'!$BU$15:$BX$500,4,0),0)</f>
        <v>0</v>
      </c>
      <c r="P58" s="50">
        <f>IFERROR(VLOOKUP(E58,'BD - A - Mvto Cx'!$CD$15:$CG$500,4,0),0)</f>
        <v>0</v>
      </c>
      <c r="Q58" s="50">
        <f>IFERROR(VLOOKUP(E58,'BD - A - Mvto Cx'!$CM$15:$CP$500,4,0),0)</f>
        <v>0</v>
      </c>
      <c r="R58" s="50">
        <f>IFERROR(VLOOKUP(E58,'BD - A - Mvto Cx'!$CV$15:$CY$500,4,0),0)</f>
        <v>0</v>
      </c>
    </row>
    <row r="59" spans="1:18">
      <c r="A59" s="37"/>
      <c r="B59" t="str">
        <f t="shared" si="0"/>
        <v>E311104</v>
      </c>
      <c r="C59" s="29" t="s">
        <v>224</v>
      </c>
      <c r="D59" s="26" t="s">
        <v>73</v>
      </c>
      <c r="E59" s="7">
        <v>311104</v>
      </c>
      <c r="F59" s="48" t="s">
        <v>579</v>
      </c>
      <c r="G59" s="49">
        <f>IFERROR(VLOOKUP(E59,'BD - A - Mvto Cx'!$A$15:$D$501,4,0),0)</f>
        <v>0</v>
      </c>
      <c r="H59" s="50">
        <f>IFERROR(VLOOKUP(E59,'BD - A - Mvto Cx'!$J$15:$M$500,4,0),0)</f>
        <v>0</v>
      </c>
      <c r="I59" s="50">
        <f>IFERROR(VLOOKUP(E59,'BD - A - Mvto Cx'!$S$15:$V$500,4,0),0)</f>
        <v>0</v>
      </c>
      <c r="J59" s="50">
        <f>IFERROR(VLOOKUP(E59,'BD - A - Mvto Cx'!$AB$15:$AE$500,4,0),0)</f>
        <v>0</v>
      </c>
      <c r="K59" s="50">
        <f>IFERROR(VLOOKUP(E59,'BD - A - Mvto Cx'!$AK$15:$AN$500,4,0),0)</f>
        <v>0</v>
      </c>
      <c r="L59" s="50">
        <f>IFERROR(VLOOKUP(E59,'BD - A - Mvto Cx'!$AT$15:$AW$500,4,0),0)</f>
        <v>0</v>
      </c>
      <c r="M59" s="50">
        <f>IFERROR(VLOOKUP(E59,'BD - A - Mvto Cx'!$BC$15:$BF$500,4,0),0)</f>
        <v>0</v>
      </c>
      <c r="N59" s="50">
        <f>IFERROR(VLOOKUP(E59,'BD - A - Mvto Cx'!$BL$15:$BO$500,4,0),0)</f>
        <v>0</v>
      </c>
      <c r="O59" s="50">
        <f>IFERROR(VLOOKUP(E59,'BD - A - Mvto Cx'!$BU$15:$BX$500,4,0),0)</f>
        <v>0</v>
      </c>
      <c r="P59" s="50">
        <f>IFERROR(VLOOKUP(E59,'BD - A - Mvto Cx'!$CD$15:$CG$500,4,0),0)</f>
        <v>0</v>
      </c>
      <c r="Q59" s="50">
        <f>IFERROR(VLOOKUP(E59,'BD - A - Mvto Cx'!$CM$15:$CP$500,4,0),0)</f>
        <v>0</v>
      </c>
      <c r="R59" s="50">
        <f>IFERROR(VLOOKUP(E59,'BD - A - Mvto Cx'!$CV$15:$CY$500,4,0),0)</f>
        <v>0</v>
      </c>
    </row>
    <row r="60" spans="1:18">
      <c r="A60" s="37"/>
      <c r="B60" t="str">
        <f t="shared" si="0"/>
        <v>E311105</v>
      </c>
      <c r="C60" s="29" t="s">
        <v>225</v>
      </c>
      <c r="D60" s="26" t="s">
        <v>73</v>
      </c>
      <c r="E60" s="7">
        <v>311105</v>
      </c>
      <c r="F60" s="48" t="s">
        <v>580</v>
      </c>
      <c r="G60" s="49">
        <f>IFERROR(VLOOKUP(E60,'BD - A - Mvto Cx'!$A$15:$D$501,4,0),0)</f>
        <v>0</v>
      </c>
      <c r="H60" s="50">
        <f>IFERROR(VLOOKUP(E60,'BD - A - Mvto Cx'!$J$15:$M$500,4,0),0)</f>
        <v>0</v>
      </c>
      <c r="I60" s="50">
        <f>IFERROR(VLOOKUP(E60,'BD - A - Mvto Cx'!$S$15:$V$500,4,0),0)</f>
        <v>0</v>
      </c>
      <c r="J60" s="50">
        <f>IFERROR(VLOOKUP(E60,'BD - A - Mvto Cx'!$AB$15:$AE$500,4,0),0)</f>
        <v>0</v>
      </c>
      <c r="K60" s="50">
        <f>IFERROR(VLOOKUP(E60,'BD - A - Mvto Cx'!$AK$15:$AN$500,4,0),0)</f>
        <v>0</v>
      </c>
      <c r="L60" s="50">
        <f>IFERROR(VLOOKUP(E60,'BD - A - Mvto Cx'!$AT$15:$AW$500,4,0),0)</f>
        <v>0</v>
      </c>
      <c r="M60" s="50">
        <f>IFERROR(VLOOKUP(E60,'BD - A - Mvto Cx'!$BC$15:$BF$500,4,0),0)</f>
        <v>0</v>
      </c>
      <c r="N60" s="50">
        <f>IFERROR(VLOOKUP(E60,'BD - A - Mvto Cx'!$BL$15:$BO$500,4,0),0)</f>
        <v>0</v>
      </c>
      <c r="O60" s="50">
        <f>IFERROR(VLOOKUP(E60,'BD - A - Mvto Cx'!$BU$15:$BX$500,4,0),0)</f>
        <v>0</v>
      </c>
      <c r="P60" s="50">
        <f>IFERROR(VLOOKUP(E60,'BD - A - Mvto Cx'!$CD$15:$CG$500,4,0),0)</f>
        <v>0</v>
      </c>
      <c r="Q60" s="50">
        <f>IFERROR(VLOOKUP(E60,'BD - A - Mvto Cx'!$CM$15:$CP$500,4,0),0)</f>
        <v>0</v>
      </c>
      <c r="R60" s="50">
        <f>IFERROR(VLOOKUP(E60,'BD - A - Mvto Cx'!$CV$15:$CY$500,4,0),0)</f>
        <v>0</v>
      </c>
    </row>
    <row r="61" spans="1:18">
      <c r="A61" s="37"/>
      <c r="B61" t="str">
        <f t="shared" si="0"/>
        <v>E313110</v>
      </c>
      <c r="C61" s="7" t="s">
        <v>119</v>
      </c>
      <c r="D61" s="26" t="s">
        <v>73</v>
      </c>
      <c r="E61" s="7">
        <v>313110</v>
      </c>
      <c r="F61" s="48" t="s">
        <v>120</v>
      </c>
      <c r="G61" s="423">
        <f>IFERROR(VLOOKUP(E61,'BD - A - Mvto Cx'!$A$15:$D$501,4,0),0)</f>
        <v>8.08</v>
      </c>
      <c r="H61" s="50">
        <f>IFERROR(VLOOKUP(E61,'BD - A - Mvto Cx'!$J$15:$M$500,4,0),0)</f>
        <v>1322</v>
      </c>
      <c r="I61" s="50">
        <f>IFERROR(VLOOKUP(E61,'BD - A - Mvto Cx'!$S$15:$V$500,4,0),0)</f>
        <v>1435.73</v>
      </c>
      <c r="J61" s="50">
        <f>IFERROR(VLOOKUP(E61,'BD - A - Mvto Cx'!$AB$15:$AE$500,4,0),0)</f>
        <v>1.39</v>
      </c>
      <c r="K61" s="50">
        <f>IFERROR(VLOOKUP(E61,'BD - A - Mvto Cx'!$AK$15:$AN$500,4,0),0)</f>
        <v>0</v>
      </c>
      <c r="L61" s="50">
        <f>IFERROR(VLOOKUP(E61,'BD - A - Mvto Cx'!$AT$15:$AW$500,4,0),0)</f>
        <v>0</v>
      </c>
      <c r="M61" s="50">
        <f>IFERROR(VLOOKUP(E61,'BD - A - Mvto Cx'!$BC$15:$BF$500,4,0),0)</f>
        <v>0</v>
      </c>
      <c r="N61" s="50">
        <f>IFERROR(VLOOKUP(E61,'BD - A - Mvto Cx'!$BL$15:$BO$500,4,0),0)</f>
        <v>0</v>
      </c>
      <c r="O61" s="50">
        <f>IFERROR(VLOOKUP(E61,'BD - A - Mvto Cx'!$BU$15:$BX$500,4,0),0)</f>
        <v>0</v>
      </c>
      <c r="P61" s="50">
        <f>IFERROR(VLOOKUP(E61,'BD - A - Mvto Cx'!$CD$15:$CG$500,4,0),0)</f>
        <v>0</v>
      </c>
      <c r="Q61" s="50">
        <f>IFERROR(VLOOKUP(E61,'BD - A - Mvto Cx'!$CM$15:$CP$500,4,0),0)</f>
        <v>0</v>
      </c>
      <c r="R61" s="50">
        <f>IFERROR(VLOOKUP(E61,'BD - A - Mvto Cx'!$CV$15:$CY$500,4,0),0)</f>
        <v>0</v>
      </c>
    </row>
    <row r="62" spans="1:18">
      <c r="A62" s="37"/>
      <c r="B62" t="str">
        <f t="shared" si="0"/>
        <v>E313111</v>
      </c>
      <c r="C62" s="7" t="s">
        <v>119</v>
      </c>
      <c r="D62" s="26" t="s">
        <v>73</v>
      </c>
      <c r="E62" s="7">
        <v>313111</v>
      </c>
      <c r="F62" s="48" t="s">
        <v>121</v>
      </c>
      <c r="G62" s="49">
        <f>IFERROR(VLOOKUP(E62,'BD - A - Mvto Cx'!$A$15:$D$501,4,0),0)</f>
        <v>0</v>
      </c>
      <c r="H62" s="50">
        <f>IFERROR(VLOOKUP(E62,'BD - A - Mvto Cx'!$J$15:$M$500,4,0),0)</f>
        <v>0</v>
      </c>
      <c r="I62" s="50">
        <f>IFERROR(VLOOKUP(E62,'BD - A - Mvto Cx'!$S$15:$V$500,4,0),0)</f>
        <v>0</v>
      </c>
      <c r="J62" s="50">
        <f>IFERROR(VLOOKUP(E62,'BD - A - Mvto Cx'!$AB$15:$AE$500,4,0),0)</f>
        <v>0</v>
      </c>
      <c r="K62" s="50">
        <f>IFERROR(VLOOKUP(E62,'BD - A - Mvto Cx'!$AK$15:$AN$500,4,0),0)</f>
        <v>0</v>
      </c>
      <c r="L62" s="50">
        <f>IFERROR(VLOOKUP(E62,'BD - A - Mvto Cx'!$AT$15:$AW$500,4,0),0)</f>
        <v>0</v>
      </c>
      <c r="M62" s="50">
        <f>IFERROR(VLOOKUP(E62,'BD - A - Mvto Cx'!$BC$15:$BF$500,4,0),0)</f>
        <v>0</v>
      </c>
      <c r="N62" s="50">
        <f>IFERROR(VLOOKUP(E62,'BD - A - Mvto Cx'!$BL$15:$BO$500,4,0),0)</f>
        <v>0</v>
      </c>
      <c r="O62" s="50">
        <f>IFERROR(VLOOKUP(E62,'BD - A - Mvto Cx'!$BU$15:$BX$500,4,0),0)</f>
        <v>0</v>
      </c>
      <c r="P62" s="50">
        <f>IFERROR(VLOOKUP(E62,'BD - A - Mvto Cx'!$CD$15:$CG$500,4,0),0)</f>
        <v>0</v>
      </c>
      <c r="Q62" s="50">
        <f>IFERROR(VLOOKUP(E62,'BD - A - Mvto Cx'!$CM$15:$CP$500,4,0),0)</f>
        <v>0</v>
      </c>
      <c r="R62" s="50">
        <f>IFERROR(VLOOKUP(E62,'BD - A - Mvto Cx'!$CV$15:$CY$500,4,0),0)</f>
        <v>0</v>
      </c>
    </row>
    <row r="63" spans="1:18">
      <c r="A63" s="37"/>
      <c r="B63" t="str">
        <f t="shared" si="0"/>
        <v>E313112</v>
      </c>
      <c r="C63" s="7" t="s">
        <v>119</v>
      </c>
      <c r="D63" s="26" t="s">
        <v>73</v>
      </c>
      <c r="E63" s="7">
        <v>313112</v>
      </c>
      <c r="F63" s="48" t="s">
        <v>122</v>
      </c>
      <c r="G63" s="49">
        <f>IFERROR(VLOOKUP(E63,'BD - A - Mvto Cx'!$A$15:$D$501,4,0),0)</f>
        <v>0</v>
      </c>
      <c r="H63" s="50">
        <f>IFERROR(VLOOKUP(E63,'BD - A - Mvto Cx'!$J$15:$M$500,4,0),0)</f>
        <v>0</v>
      </c>
      <c r="I63" s="50">
        <f>IFERROR(VLOOKUP(E63,'BD - A - Mvto Cx'!$S$15:$V$500,4,0),0)</f>
        <v>0</v>
      </c>
      <c r="J63" s="50">
        <f>IFERROR(VLOOKUP(E63,'BD - A - Mvto Cx'!$AB$15:$AE$500,4,0),0)</f>
        <v>0</v>
      </c>
      <c r="K63" s="50">
        <f>IFERROR(VLOOKUP(E63,'BD - A - Mvto Cx'!$AK$15:$AN$500,4,0),0)</f>
        <v>0</v>
      </c>
      <c r="L63" s="50">
        <f>IFERROR(VLOOKUP(E63,'BD - A - Mvto Cx'!$AT$15:$AW$500,4,0),0)</f>
        <v>0</v>
      </c>
      <c r="M63" s="50">
        <f>IFERROR(VLOOKUP(E63,'BD - A - Mvto Cx'!$BC$15:$BF$500,4,0),0)</f>
        <v>0</v>
      </c>
      <c r="N63" s="50">
        <f>IFERROR(VLOOKUP(E63,'BD - A - Mvto Cx'!$BL$15:$BO$500,4,0),0)</f>
        <v>0</v>
      </c>
      <c r="O63" s="50">
        <f>IFERROR(VLOOKUP(E63,'BD - A - Mvto Cx'!$BU$15:$BX$500,4,0),0)</f>
        <v>0</v>
      </c>
      <c r="P63" s="50">
        <f>IFERROR(VLOOKUP(E63,'BD - A - Mvto Cx'!$CD$15:$CG$500,4,0),0)</f>
        <v>0</v>
      </c>
      <c r="Q63" s="50">
        <f>IFERROR(VLOOKUP(E63,'BD - A - Mvto Cx'!$CM$15:$CP$500,4,0),0)</f>
        <v>0</v>
      </c>
      <c r="R63" s="50">
        <f>IFERROR(VLOOKUP(E63,'BD - A - Mvto Cx'!$CV$15:$CY$500,4,0),0)</f>
        <v>0</v>
      </c>
    </row>
    <row r="64" spans="1:18">
      <c r="A64" s="37"/>
      <c r="B64" t="str">
        <f t="shared" si="0"/>
        <v>E313291</v>
      </c>
      <c r="C64" s="7" t="s">
        <v>119</v>
      </c>
      <c r="D64" s="26" t="s">
        <v>73</v>
      </c>
      <c r="E64" s="7">
        <v>313291</v>
      </c>
      <c r="F64" s="48" t="s">
        <v>123</v>
      </c>
      <c r="G64" s="49">
        <f>IFERROR(VLOOKUP(E64,'BD - A - Mvto Cx'!$A$15:$D$501,4,0),0)</f>
        <v>0</v>
      </c>
      <c r="H64" s="50">
        <f>IFERROR(VLOOKUP(E64,'BD - A - Mvto Cx'!$J$15:$M$500,4,0),0)</f>
        <v>0</v>
      </c>
      <c r="I64" s="50">
        <f>IFERROR(VLOOKUP(E64,'BD - A - Mvto Cx'!$S$15:$V$500,4,0),0)</f>
        <v>0</v>
      </c>
      <c r="J64" s="50">
        <f>IFERROR(VLOOKUP(E64,'BD - A - Mvto Cx'!$AB$15:$AE$500,4,0),0)</f>
        <v>0</v>
      </c>
      <c r="K64" s="50">
        <f>IFERROR(VLOOKUP(E64,'BD - A - Mvto Cx'!$AK$15:$AN$500,4,0),0)</f>
        <v>0</v>
      </c>
      <c r="L64" s="50">
        <f>IFERROR(VLOOKUP(E64,'BD - A - Mvto Cx'!$AT$15:$AW$500,4,0),0)</f>
        <v>0</v>
      </c>
      <c r="M64" s="50">
        <f>IFERROR(VLOOKUP(E64,'BD - A - Mvto Cx'!$BC$15:$BF$500,4,0),0)</f>
        <v>0</v>
      </c>
      <c r="N64" s="50">
        <f>IFERROR(VLOOKUP(E64,'BD - A - Mvto Cx'!$BL$15:$BO$500,4,0),0)</f>
        <v>0</v>
      </c>
      <c r="O64" s="50">
        <f>IFERROR(VLOOKUP(E64,'BD - A - Mvto Cx'!$BU$15:$BX$500,4,0),0)</f>
        <v>0</v>
      </c>
      <c r="P64" s="50">
        <f>IFERROR(VLOOKUP(E64,'BD - A - Mvto Cx'!$CD$15:$CG$500,4,0),0)</f>
        <v>0</v>
      </c>
      <c r="Q64" s="50">
        <f>IFERROR(VLOOKUP(E64,'BD - A - Mvto Cx'!$CM$15:$CP$500,4,0),0)</f>
        <v>0</v>
      </c>
      <c r="R64" s="50">
        <f>IFERROR(VLOOKUP(E64,'BD - A - Mvto Cx'!$CV$15:$CY$500,4,0),0)</f>
        <v>0</v>
      </c>
    </row>
    <row r="65" spans="1:996">
      <c r="A65" s="37"/>
      <c r="B65" t="str">
        <f t="shared" si="0"/>
        <v>E331102</v>
      </c>
      <c r="C65" s="29" t="s">
        <v>357</v>
      </c>
      <c r="D65" s="26" t="s">
        <v>73</v>
      </c>
      <c r="E65" s="7">
        <v>331102</v>
      </c>
      <c r="F65" s="48" t="s">
        <v>391</v>
      </c>
      <c r="G65" s="49">
        <f>IFERROR(VLOOKUP(E65,'BD - A - Mvto Cx'!$A$15:$D$501,4,0),0)</f>
        <v>0</v>
      </c>
      <c r="H65" s="50">
        <f>IFERROR(VLOOKUP(E65,'BD - A - Mvto Cx'!$J$15:$M$500,4,0),0)</f>
        <v>0</v>
      </c>
      <c r="I65" s="50">
        <f>IFERROR(VLOOKUP(E65,'BD - A - Mvto Cx'!$S$15:$V$500,4,0),0)</f>
        <v>0</v>
      </c>
      <c r="J65" s="50">
        <f>IFERROR(VLOOKUP(E65,'BD - A - Mvto Cx'!$AB$15:$AE$500,4,0),0)</f>
        <v>0</v>
      </c>
      <c r="K65" s="50">
        <f>IFERROR(VLOOKUP(E65,'BD - A - Mvto Cx'!$AK$15:$AN$500,4,0),0)</f>
        <v>0</v>
      </c>
      <c r="L65" s="50">
        <f>IFERROR(VLOOKUP(E65,'BD - A - Mvto Cx'!$AT$15:$AW$500,4,0),0)</f>
        <v>0</v>
      </c>
      <c r="M65" s="50">
        <f>IFERROR(VLOOKUP(E65,'BD - A - Mvto Cx'!$BC$15:$BF$500,4,0),0)</f>
        <v>0</v>
      </c>
      <c r="N65" s="50">
        <f>IFERROR(VLOOKUP(E65,'BD - A - Mvto Cx'!$BL$15:$BO$500,4,0),0)</f>
        <v>0</v>
      </c>
      <c r="O65" s="50">
        <f>IFERROR(VLOOKUP(E65,'BD - A - Mvto Cx'!$BU$15:$BX$500,4,0),0)</f>
        <v>0</v>
      </c>
      <c r="P65" s="50">
        <f>IFERROR(VLOOKUP(E65,'BD - A - Mvto Cx'!$CD$15:$CG$500,4,0),0)</f>
        <v>0</v>
      </c>
      <c r="Q65" s="50">
        <f>IFERROR(VLOOKUP(E65,'BD - A - Mvto Cx'!$CM$15:$CP$500,4,0),0)</f>
        <v>0</v>
      </c>
      <c r="R65" s="50">
        <f>IFERROR(VLOOKUP(E65,'BD - A - Mvto Cx'!$CV$15:$CY$500,4,0),0)</f>
        <v>0</v>
      </c>
    </row>
    <row r="66" spans="1:996">
      <c r="A66" s="37"/>
      <c r="B66" t="str">
        <f t="shared" si="0"/>
        <v>E331814</v>
      </c>
      <c r="C66" s="29" t="s">
        <v>357</v>
      </c>
      <c r="D66" s="26" t="s">
        <v>73</v>
      </c>
      <c r="E66" s="7">
        <v>331814</v>
      </c>
      <c r="F66" s="48" t="s">
        <v>183</v>
      </c>
      <c r="G66" s="49">
        <f>IFERROR(VLOOKUP(E66,'BD - A - Mvto Cx'!$A$15:$D$501,4,0),0)</f>
        <v>0</v>
      </c>
      <c r="H66" s="50">
        <f>IFERROR(VLOOKUP(E66,'BD - A - Mvto Cx'!$J$15:$M$500,4,0),0)</f>
        <v>0</v>
      </c>
      <c r="I66" s="50">
        <f>IFERROR(VLOOKUP(E66,'BD - A - Mvto Cx'!$S$15:$V$500,4,0),0)</f>
        <v>0</v>
      </c>
      <c r="J66" s="50">
        <f>IFERROR(VLOOKUP(E66,'BD - A - Mvto Cx'!$AB$15:$AE$500,4,0),0)</f>
        <v>1.1599999999999999</v>
      </c>
      <c r="K66" s="50">
        <f>IFERROR(VLOOKUP(E66,'BD - A - Mvto Cx'!$AK$15:$AN$500,4,0),0)</f>
        <v>0</v>
      </c>
      <c r="L66" s="50">
        <f>IFERROR(VLOOKUP(E66,'BD - A - Mvto Cx'!$AT$15:$AW$500,4,0),0)</f>
        <v>0</v>
      </c>
      <c r="M66" s="50">
        <f>IFERROR(VLOOKUP(E66,'BD - A - Mvto Cx'!$BC$15:$BF$500,4,0),0)</f>
        <v>0</v>
      </c>
      <c r="N66" s="50">
        <f>IFERROR(VLOOKUP(E66,'BD - A - Mvto Cx'!$BL$15:$BO$500,4,0),0)</f>
        <v>0</v>
      </c>
      <c r="O66" s="50">
        <f>IFERROR(VLOOKUP(E66,'BD - A - Mvto Cx'!$BU$15:$BX$500,4,0),0)</f>
        <v>0</v>
      </c>
      <c r="P66" s="50">
        <f>IFERROR(VLOOKUP(E66,'BD - A - Mvto Cx'!$CD$15:$CG$500,4,0),0)</f>
        <v>0</v>
      </c>
      <c r="Q66" s="50">
        <f>IFERROR(VLOOKUP(E66,'BD - A - Mvto Cx'!$CM$15:$CP$500,4,0),0)</f>
        <v>0</v>
      </c>
      <c r="R66" s="50">
        <f>IFERROR(VLOOKUP(E66,'BD - A - Mvto Cx'!$CV$15:$CY$500,4,0),0)</f>
        <v>0</v>
      </c>
    </row>
    <row r="67" spans="1:996">
      <c r="A67" s="37"/>
      <c r="B67" t="str">
        <f t="shared" ref="B67" si="4">D67&amp;E67</f>
        <v>E331848</v>
      </c>
      <c r="C67" s="7" t="s">
        <v>119</v>
      </c>
      <c r="D67" s="26" t="s">
        <v>73</v>
      </c>
      <c r="E67">
        <v>331848</v>
      </c>
      <c r="F67" s="108" t="s">
        <v>184</v>
      </c>
      <c r="G67" s="423">
        <f>IFERROR(VLOOKUP(E67,'BD - A - Mvto Cx'!$A$15:$D$501,4,0),0)</f>
        <v>0.16</v>
      </c>
      <c r="H67" s="50">
        <f>IFERROR(VLOOKUP(E67,'BD - A - Mvto Cx'!$J$15:$M$500,4,0),0)</f>
        <v>0.12</v>
      </c>
      <c r="I67" s="50">
        <f>IFERROR(VLOOKUP(E67,'BD - A - Mvto Cx'!$S$15:$V$500,4,0),0)</f>
        <v>0.31</v>
      </c>
      <c r="J67" s="50">
        <f>IFERROR(VLOOKUP(E67,'BD - A - Mvto Cx'!$AB$15:$AE$500,4,0),0)</f>
        <v>0.37</v>
      </c>
      <c r="K67" s="50">
        <f>IFERROR(VLOOKUP(E67,'BD - A - Mvto Cx'!$AK$15:$AN$500,4,0),0)</f>
        <v>0</v>
      </c>
      <c r="L67" s="50">
        <f>IFERROR(VLOOKUP(E67,'BD - A - Mvto Cx'!$AT$15:$AW$500,4,0),0)</f>
        <v>0</v>
      </c>
      <c r="M67" s="50">
        <f>IFERROR(VLOOKUP(E67,'BD - A - Mvto Cx'!$BC$15:$BF$500,4,0),0)</f>
        <v>0</v>
      </c>
      <c r="N67" s="50">
        <f>IFERROR(VLOOKUP(E67,'BD - A - Mvto Cx'!$BL$15:$BO$500,4,0),0)</f>
        <v>0</v>
      </c>
      <c r="O67" s="50">
        <f>IFERROR(VLOOKUP(E67,'BD - A - Mvto Cx'!$BU$15:$BX$500,4,0),0)</f>
        <v>0</v>
      </c>
      <c r="P67" s="50">
        <f>IFERROR(VLOOKUP(E67,'BD - A - Mvto Cx'!$CD$15:$CG$500,4,0),0)</f>
        <v>0</v>
      </c>
      <c r="Q67" s="50">
        <f>IFERROR(VLOOKUP(E67,'BD - A - Mvto Cx'!$CM$15:$CP$500,4,0),0)</f>
        <v>0</v>
      </c>
      <c r="R67" s="50">
        <f>IFERROR(VLOOKUP(E67,'BD - A - Mvto Cx'!$CV$15:$CY$500,4,0),0)</f>
        <v>0</v>
      </c>
    </row>
    <row r="68" spans="1:996">
      <c r="A68" s="37"/>
      <c r="B68" t="str">
        <f t="shared" si="0"/>
        <v>E331849</v>
      </c>
      <c r="C68" s="7" t="s">
        <v>119</v>
      </c>
      <c r="D68" s="26" t="s">
        <v>73</v>
      </c>
      <c r="E68" s="7">
        <v>331849</v>
      </c>
      <c r="F68" s="48" t="s">
        <v>124</v>
      </c>
      <c r="G68" s="423">
        <f>IFERROR(VLOOKUP(E68,'BD - A - Mvto Cx'!$A$15:$D$501,4,0),0)</f>
        <v>0.95</v>
      </c>
      <c r="H68" s="50">
        <f>IFERROR(VLOOKUP(E68,'BD - A - Mvto Cx'!$J$15:$M$500,4,0),0)</f>
        <v>0.68</v>
      </c>
      <c r="I68" s="50">
        <f>IFERROR(VLOOKUP(E68,'BD - A - Mvto Cx'!$S$15:$V$500,4,0),0)</f>
        <v>0.8</v>
      </c>
      <c r="J68" s="50">
        <f>IFERROR(VLOOKUP(E68,'BD - A - Mvto Cx'!$AB$15:$AE$500,4,0),0)</f>
        <v>1.01</v>
      </c>
      <c r="K68" s="50">
        <f>IFERROR(VLOOKUP(E68,'BD - A - Mvto Cx'!$AK$15:$AN$500,4,0),0)</f>
        <v>0</v>
      </c>
      <c r="L68" s="50">
        <f>IFERROR(VLOOKUP(E68,'BD - A - Mvto Cx'!$AT$15:$AW$500,4,0),0)</f>
        <v>0</v>
      </c>
      <c r="M68" s="50">
        <f>IFERROR(VLOOKUP(E68,'BD - A - Mvto Cx'!$BC$15:$BF$500,4,0),0)</f>
        <v>0</v>
      </c>
      <c r="N68" s="50">
        <f>IFERROR(VLOOKUP(E68,'BD - A - Mvto Cx'!$BL$15:$BO$500,4,0),0)</f>
        <v>0</v>
      </c>
      <c r="O68" s="50">
        <f>IFERROR(VLOOKUP(E68,'BD - A - Mvto Cx'!$BU$15:$BX$500,4,0),0)</f>
        <v>0</v>
      </c>
      <c r="P68" s="50">
        <f>IFERROR(VLOOKUP(E68,'BD - A - Mvto Cx'!$CD$15:$CG$500,4,0),0)</f>
        <v>0</v>
      </c>
      <c r="Q68" s="50">
        <f>IFERROR(VLOOKUP(E68,'BD - A - Mvto Cx'!$CM$15:$CP$500,4,0),0)</f>
        <v>0</v>
      </c>
      <c r="R68" s="50">
        <f>IFERROR(VLOOKUP(E68,'BD - A - Mvto Cx'!$CV$15:$CY$500,4,0),0)</f>
        <v>0</v>
      </c>
    </row>
    <row r="69" spans="1:996">
      <c r="A69" s="37"/>
      <c r="B69" t="str">
        <f t="shared" si="0"/>
        <v>E333105</v>
      </c>
      <c r="C69" s="7" t="s">
        <v>119</v>
      </c>
      <c r="D69" s="26" t="s">
        <v>73</v>
      </c>
      <c r="E69" s="7">
        <v>333105</v>
      </c>
      <c r="F69" s="48" t="s">
        <v>125</v>
      </c>
      <c r="G69" s="49">
        <f>IFERROR(VLOOKUP(E69,'BD - A - Mvto Cx'!$A$15:$D$501,4,0),0)</f>
        <v>0</v>
      </c>
      <c r="H69" s="50">
        <f>IFERROR(VLOOKUP(E69,'BD - A - Mvto Cx'!$J$15:$M$500,4,0),0)</f>
        <v>0</v>
      </c>
      <c r="I69" s="50">
        <f>IFERROR(VLOOKUP(E69,'BD - A - Mvto Cx'!$S$15:$V$500,4,0),0)</f>
        <v>0</v>
      </c>
      <c r="J69" s="50">
        <f>IFERROR(VLOOKUP(E69,'BD - A - Mvto Cx'!$AB$15:$AE$500,4,0),0)</f>
        <v>0.01</v>
      </c>
      <c r="K69" s="50">
        <f>IFERROR(VLOOKUP(E69,'BD - A - Mvto Cx'!$AK$15:$AN$500,4,0),0)</f>
        <v>0</v>
      </c>
      <c r="L69" s="50">
        <f>IFERROR(VLOOKUP(E69,'BD - A - Mvto Cx'!$AT$15:$AW$500,4,0),0)</f>
        <v>0</v>
      </c>
      <c r="M69" s="50">
        <f>IFERROR(VLOOKUP(E69,'BD - A - Mvto Cx'!$BC$15:$BF$500,4,0),0)</f>
        <v>0</v>
      </c>
      <c r="N69" s="50">
        <f>IFERROR(VLOOKUP(E69,'BD - A - Mvto Cx'!$BL$15:$BO$500,4,0),0)</f>
        <v>0</v>
      </c>
      <c r="O69" s="50">
        <f>IFERROR(VLOOKUP(E69,'BD - A - Mvto Cx'!$BU$15:$BX$500,4,0),0)</f>
        <v>0</v>
      </c>
      <c r="P69" s="50">
        <f>IFERROR(VLOOKUP(E69,'BD - A - Mvto Cx'!$CD$15:$CG$500,4,0),0)</f>
        <v>0</v>
      </c>
      <c r="Q69" s="50">
        <f>IFERROR(VLOOKUP(E69,'BD - A - Mvto Cx'!$CM$15:$CP$500,4,0),0)</f>
        <v>0</v>
      </c>
      <c r="R69" s="50">
        <f>IFERROR(VLOOKUP(E69,'BD - A - Mvto Cx'!$CV$15:$CY$500,4,0),0)</f>
        <v>0</v>
      </c>
    </row>
    <row r="70" spans="1:996">
      <c r="A70" s="37"/>
      <c r="B70" t="str">
        <f t="shared" si="0"/>
        <v>E333111</v>
      </c>
      <c r="C70" s="7" t="s">
        <v>119</v>
      </c>
      <c r="D70" s="26" t="s">
        <v>73</v>
      </c>
      <c r="E70" s="7">
        <v>333111</v>
      </c>
      <c r="F70" s="48" t="s">
        <v>126</v>
      </c>
      <c r="G70" s="49">
        <f>IFERROR(VLOOKUP(E70,'BD - A - Mvto Cx'!$A$15:$D$501,4,0),0)</f>
        <v>0</v>
      </c>
      <c r="H70" s="50">
        <f>IFERROR(VLOOKUP(E70,'BD - A - Mvto Cx'!$J$15:$M$500,4,0),0)</f>
        <v>0</v>
      </c>
      <c r="I70" s="50">
        <f>IFERROR(VLOOKUP(E70,'BD - A - Mvto Cx'!$S$15:$V$500,4,0),0)</f>
        <v>0</v>
      </c>
      <c r="J70" s="50">
        <f>IFERROR(VLOOKUP(E70,'BD - A - Mvto Cx'!$AB$15:$AE$500,4,0),0)</f>
        <v>0</v>
      </c>
      <c r="K70" s="50">
        <f>IFERROR(VLOOKUP(E70,'BD - A - Mvto Cx'!$AK$15:$AN$500,4,0),0)</f>
        <v>0</v>
      </c>
      <c r="L70" s="50">
        <f>IFERROR(VLOOKUP(E70,'BD - A - Mvto Cx'!$AT$15:$AW$500,4,0),0)</f>
        <v>0</v>
      </c>
      <c r="M70" s="50">
        <f>IFERROR(VLOOKUP(E70,'BD - A - Mvto Cx'!$BC$15:$BF$500,4,0),0)</f>
        <v>0</v>
      </c>
      <c r="N70" s="50">
        <f>IFERROR(VLOOKUP(E70,'BD - A - Mvto Cx'!$BL$15:$BO$500,4,0),0)</f>
        <v>0</v>
      </c>
      <c r="O70" s="50">
        <f>IFERROR(VLOOKUP(E70,'BD - A - Mvto Cx'!$BU$15:$BX$500,4,0),0)</f>
        <v>0</v>
      </c>
      <c r="P70" s="50">
        <f>IFERROR(VLOOKUP(E70,'BD - A - Mvto Cx'!$CD$15:$CG$500,4,0),0)</f>
        <v>0</v>
      </c>
      <c r="Q70" s="50">
        <f>IFERROR(VLOOKUP(E70,'BD - A - Mvto Cx'!$CM$15:$CP$500,4,0),0)</f>
        <v>0</v>
      </c>
      <c r="R70" s="50">
        <f>IFERROR(VLOOKUP(E70,'BD - A - Mvto Cx'!$CV$15:$CY$500,4,0),0)</f>
        <v>0</v>
      </c>
    </row>
    <row r="71" spans="1:996">
      <c r="A71" s="37"/>
      <c r="B71" t="str">
        <f t="shared" si="0"/>
        <v>S113118</v>
      </c>
      <c r="C71" s="29" t="s">
        <v>338</v>
      </c>
      <c r="D71" s="27" t="s">
        <v>128</v>
      </c>
      <c r="E71" s="7">
        <v>113118</v>
      </c>
      <c r="F71" s="48" t="s">
        <v>129</v>
      </c>
      <c r="G71" s="423">
        <f>IFERROR(VLOOKUP(E71,'BD - A - Mvto Cx'!$E$15:$G$501,3,0),0)</f>
        <v>0.02</v>
      </c>
      <c r="H71" s="51">
        <f>IFERROR(VLOOKUP(E71,'BD - A - Mvto Cx'!$N$15:$P$500,3,0),0)</f>
        <v>0</v>
      </c>
      <c r="I71" s="50">
        <f>IFERROR(VLOOKUP(E71,'BD - A - Mvto Cx'!$W$15:$Y$500,3,0),0)</f>
        <v>0</v>
      </c>
      <c r="J71" s="50">
        <f>IFERROR(VLOOKUP(E71,'BD - A - Mvto Cx'!$AF$15:$AH$500,3,0),0)</f>
        <v>0</v>
      </c>
      <c r="K71" s="50">
        <f>IFERROR(VLOOKUP(E71,'BD - A - Mvto Cx'!$AO$15:$AQ$500,3,0),0)</f>
        <v>0</v>
      </c>
      <c r="L71" s="50">
        <f>IFERROR(VLOOKUP(E71,'BD - A - Mvto Cx'!$AX$15:$AZ$500,3,0),0)</f>
        <v>0</v>
      </c>
      <c r="M71" s="50">
        <f>IFERROR(VLOOKUP(E71,'BD - A - Mvto Cx'!$BG$15:$BI$500,3,0),0)</f>
        <v>0</v>
      </c>
      <c r="N71" s="50">
        <f>IFERROR(VLOOKUP(E71,'BD - A - Mvto Cx'!$BP$15:$BR$500,3,0),0)</f>
        <v>0</v>
      </c>
      <c r="O71" s="50">
        <f>IFERROR(VLOOKUP(E71,'BD - A - Mvto Cx'!$BY$15:$CA$500,3,0),0)</f>
        <v>0</v>
      </c>
      <c r="P71" s="50">
        <f>IFERROR(VLOOKUP(E71,'BD - A - Mvto Cx'!$CH$15:$CJ$500,3,0),0)</f>
        <v>0</v>
      </c>
      <c r="Q71" s="50">
        <f>IFERROR(VLOOKUP(E71,'BD - A - Mvto Cx'!$CQ$15:$CS$500,3,0),0)</f>
        <v>0</v>
      </c>
      <c r="R71" s="50">
        <f>IFERROR(VLOOKUP(E71,'BD - A - Mvto Cx'!$CZ$15:$DB$500,3,0),0)</f>
        <v>0</v>
      </c>
    </row>
    <row r="72" spans="1:996">
      <c r="A72" s="37"/>
      <c r="B72" t="str">
        <f t="shared" si="0"/>
        <v>S119103</v>
      </c>
      <c r="C72" s="29" t="s">
        <v>8</v>
      </c>
      <c r="D72" s="27" t="s">
        <v>128</v>
      </c>
      <c r="E72" s="7">
        <v>119103</v>
      </c>
      <c r="F72" s="48" t="s">
        <v>130</v>
      </c>
      <c r="G72" s="423">
        <f>IFERROR(VLOOKUP(E72,'BD - A - Mvto Cx'!$E$15:$G$501,3,0),0)</f>
        <v>51491.75</v>
      </c>
      <c r="H72" s="51">
        <f>IFERROR(VLOOKUP(E72,'BD - A - Mvto Cx'!$N$15:$P$500,3,0),0)</f>
        <v>68015.199999999997</v>
      </c>
      <c r="I72" s="50">
        <f>IFERROR(VLOOKUP(E72,'BD - A - Mvto Cx'!$W$15:$Y$500,3,0),0)</f>
        <v>74543.98</v>
      </c>
      <c r="J72" s="50">
        <f>IFERROR(VLOOKUP(E72,'BD - A - Mvto Cx'!$AF$15:$AH$500,3,0),0)</f>
        <v>93925.18</v>
      </c>
      <c r="K72" s="50">
        <f>IFERROR(VLOOKUP(E72,'BD - A - Mvto Cx'!$AO$15:$AQ$500,3,0),0)</f>
        <v>0</v>
      </c>
      <c r="L72" s="50">
        <f>IFERROR(VLOOKUP(E72,'BD - A - Mvto Cx'!$AX$15:$AZ$500,3,0),0)</f>
        <v>0</v>
      </c>
      <c r="M72" s="50">
        <f>IFERROR(VLOOKUP(E72,'BD - A - Mvto Cx'!$BG$15:$BI$500,3,0),0)</f>
        <v>0</v>
      </c>
      <c r="N72" s="50">
        <f>IFERROR(VLOOKUP(E72,'BD - A - Mvto Cx'!$BP$15:$BR$500,3,0),0)</f>
        <v>0</v>
      </c>
      <c r="O72" s="50">
        <f>IFERROR(VLOOKUP(E72,'BD - A - Mvto Cx'!$BY$15:$CA$500,3,0),0)</f>
        <v>0</v>
      </c>
      <c r="P72" s="50">
        <f>IFERROR(VLOOKUP(E72,'BD - A - Mvto Cx'!$CH$15:$CJ$500,3,0),0)</f>
        <v>0</v>
      </c>
      <c r="Q72" s="50">
        <f>IFERROR(VLOOKUP(E72,'BD - A - Mvto Cx'!$CQ$15:$CS$500,3,0),0)</f>
        <v>0</v>
      </c>
      <c r="R72" s="50">
        <f>IFERROR(VLOOKUP(E72,'BD - A - Mvto Cx'!$CZ$15:$DB$500,3,0),0)</f>
        <v>0</v>
      </c>
    </row>
    <row r="73" spans="1:996">
      <c r="A73" s="37"/>
      <c r="B73" t="str">
        <f t="shared" si="0"/>
        <v>S112301</v>
      </c>
      <c r="C73" s="36" t="s">
        <v>607</v>
      </c>
      <c r="D73" s="27" t="s">
        <v>128</v>
      </c>
      <c r="E73" s="7">
        <v>112301</v>
      </c>
      <c r="F73" s="48" t="s">
        <v>83</v>
      </c>
      <c r="G73" s="423">
        <f>IFERROR(VLOOKUP(E73,'BD - A - Mvto Cx'!$E$15:$G$501,3,0),0)</f>
        <v>0</v>
      </c>
      <c r="H73" s="51">
        <f>IFERROR(VLOOKUP(E73,'BD - A - Mvto Cx'!$N$15:$P$500,3,0),0)</f>
        <v>0</v>
      </c>
      <c r="I73" s="50">
        <f>IFERROR(VLOOKUP(E73,'BD - A - Mvto Cx'!$W$15:$Y$500,3,0),0)</f>
        <v>0</v>
      </c>
      <c r="J73" s="50">
        <f>IFERROR(VLOOKUP(E73,'BD - A - Mvto Cx'!$AF$15:$AH$500,3,0),0)</f>
        <v>0</v>
      </c>
      <c r="K73" s="50">
        <f>IFERROR(VLOOKUP(E73,'BD - A - Mvto Cx'!$AO$15:$AQ$500,3,0),0)</f>
        <v>0</v>
      </c>
      <c r="L73" s="50">
        <f>IFERROR(VLOOKUP(E73,'BD - A - Mvto Cx'!$AX$15:$AZ$500,3,0),0)</f>
        <v>0</v>
      </c>
      <c r="M73" s="50">
        <f>IFERROR(VLOOKUP(E73,'BD - A - Mvto Cx'!$BG$15:$BI$500,3,0),0)</f>
        <v>0</v>
      </c>
      <c r="N73" s="50">
        <f>IFERROR(VLOOKUP(E73,'BD - A - Mvto Cx'!$BP$15:$BR$500,3,0),0)</f>
        <v>0</v>
      </c>
      <c r="O73" s="50">
        <f>IFERROR(VLOOKUP(E73,'BD - A - Mvto Cx'!$BY$15:$CA$500,3,0),0)</f>
        <v>0</v>
      </c>
      <c r="P73" s="50">
        <f>IFERROR(VLOOKUP(E73,'BD - A - Mvto Cx'!$CH$15:$CJ$500,3,0),0)</f>
        <v>0</v>
      </c>
      <c r="Q73" s="50">
        <f>IFERROR(VLOOKUP(E73,'BD - A - Mvto Cx'!$CQ$15:$CS$500,3,0),0)</f>
        <v>0</v>
      </c>
      <c r="R73" s="50">
        <f>IFERROR(VLOOKUP(E73,'BD - A - Mvto Cx'!$CZ$15:$DB$500,3,0),0)</f>
        <v>0</v>
      </c>
    </row>
    <row r="74" spans="1:996">
      <c r="A74" s="37"/>
      <c r="B74" t="str">
        <f t="shared" si="0"/>
        <v>S112402</v>
      </c>
      <c r="C74" s="36" t="s">
        <v>606</v>
      </c>
      <c r="D74" s="27" t="s">
        <v>128</v>
      </c>
      <c r="E74" s="7">
        <v>112402</v>
      </c>
      <c r="F74" s="48" t="s">
        <v>90</v>
      </c>
      <c r="G74" s="423">
        <f>IFERROR(VLOOKUP(E74,'BD - A - Mvto Cx'!$E$15:$G$501,3,0),0)</f>
        <v>0</v>
      </c>
      <c r="H74" s="51">
        <f>IFERROR(VLOOKUP(E74,'BD - A - Mvto Cx'!$N$15:$P$500,3,0),0)</f>
        <v>0</v>
      </c>
      <c r="I74" s="50">
        <f>IFERROR(VLOOKUP(E74,'BD - A - Mvto Cx'!$W$15:$Y$500,3,0),0)</f>
        <v>0</v>
      </c>
      <c r="J74" s="50">
        <f>IFERROR(VLOOKUP(E74,'BD - A - Mvto Cx'!$AF$15:$AH$500,3,0),0)</f>
        <v>0</v>
      </c>
      <c r="K74" s="50">
        <f>IFERROR(VLOOKUP(E74,'BD - A - Mvto Cx'!$AO$15:$AQ$500,3,0),0)</f>
        <v>0</v>
      </c>
      <c r="L74" s="50">
        <f>IFERROR(VLOOKUP(E74,'BD - A - Mvto Cx'!$AX$15:$AZ$500,3,0),0)</f>
        <v>0</v>
      </c>
      <c r="M74" s="50">
        <f>IFERROR(VLOOKUP(E74,'BD - A - Mvto Cx'!$BG$15:$BI$500,3,0),0)</f>
        <v>0</v>
      </c>
      <c r="N74" s="50">
        <f>IFERROR(VLOOKUP(E74,'BD - A - Mvto Cx'!$BP$15:$BR$500,3,0),0)</f>
        <v>0</v>
      </c>
      <c r="O74" s="50">
        <f>IFERROR(VLOOKUP(E74,'BD - A - Mvto Cx'!$BY$15:$CA$500,3,0),0)</f>
        <v>0</v>
      </c>
      <c r="P74" s="50">
        <f>IFERROR(VLOOKUP(E74,'BD - A - Mvto Cx'!$CH$15:$CJ$500,3,0),0)</f>
        <v>0</v>
      </c>
      <c r="Q74" s="50">
        <f>IFERROR(VLOOKUP(E74,'BD - A - Mvto Cx'!$CQ$15:$CS$500,3,0),0)</f>
        <v>0</v>
      </c>
      <c r="R74" s="50">
        <f>IFERROR(VLOOKUP(E74,'BD - A - Mvto Cx'!$CZ$15:$DB$500,3,0),0)</f>
        <v>0</v>
      </c>
    </row>
    <row r="75" spans="1:996">
      <c r="A75" s="37"/>
      <c r="B75" t="str">
        <f t="shared" si="0"/>
        <v>S127301</v>
      </c>
      <c r="C75" s="7" t="s">
        <v>29</v>
      </c>
      <c r="D75" s="27" t="s">
        <v>128</v>
      </c>
      <c r="E75" s="7">
        <v>127301</v>
      </c>
      <c r="F75" s="48" t="s">
        <v>131</v>
      </c>
      <c r="G75" s="49">
        <f>IFERROR(VLOOKUP(E75,'BD - A - Mvto Cx'!$E$15:$G$501,3,0),0)</f>
        <v>0</v>
      </c>
      <c r="H75" s="51">
        <f>IFERROR(VLOOKUP(E75,'BD - A - Mvto Cx'!$N$15:$P$500,3,0),0)</f>
        <v>0</v>
      </c>
      <c r="I75" s="50">
        <f>IFERROR(VLOOKUP(E75,'BD - A - Mvto Cx'!$W$15:$Y$500,3,0),0)</f>
        <v>0</v>
      </c>
      <c r="J75" s="50">
        <f>IFERROR(VLOOKUP(E75,'BD - A - Mvto Cx'!$AF$15:$AH$500,3,0),0)</f>
        <v>0</v>
      </c>
      <c r="K75" s="50">
        <f>IFERROR(VLOOKUP(E75,'BD - A - Mvto Cx'!$AO$15:$AQ$500,3,0),0)</f>
        <v>0</v>
      </c>
      <c r="L75" s="50">
        <f>IFERROR(VLOOKUP(E75,'BD - A - Mvto Cx'!$AX$15:$AZ$500,3,0),0)</f>
        <v>0</v>
      </c>
      <c r="M75" s="50">
        <f>IFERROR(VLOOKUP(E75,'BD - A - Mvto Cx'!$BG$15:$BI$500,3,0),0)</f>
        <v>0</v>
      </c>
      <c r="N75" s="50">
        <f>IFERROR(VLOOKUP(E75,'BD - A - Mvto Cx'!$BP$15:$BR$500,3,0),0)</f>
        <v>0</v>
      </c>
      <c r="O75" s="50">
        <f>IFERROR(VLOOKUP(E75,'BD - A - Mvto Cx'!$BY$15:$CA$500,3,0),0)</f>
        <v>0</v>
      </c>
      <c r="P75" s="50">
        <f>IFERROR(VLOOKUP(E75,'BD - A - Mvto Cx'!$CH$15:$CJ$500,3,0),0)</f>
        <v>0</v>
      </c>
      <c r="Q75" s="50">
        <f>IFERROR(VLOOKUP(E75,'BD - A - Mvto Cx'!$CQ$15:$CS$500,3,0),0)</f>
        <v>0</v>
      </c>
      <c r="R75" s="50">
        <f>IFERROR(VLOOKUP(E75,'BD - A - Mvto Cx'!$CZ$15:$DB$500,3,0),0)</f>
        <v>0</v>
      </c>
    </row>
    <row r="76" spans="1:996">
      <c r="A76" s="37"/>
      <c r="B76" t="str">
        <f t="shared" si="0"/>
        <v>S211101</v>
      </c>
      <c r="C76" s="29" t="s">
        <v>352</v>
      </c>
      <c r="D76" s="27" t="s">
        <v>128</v>
      </c>
      <c r="E76" s="7">
        <v>211101</v>
      </c>
      <c r="F76" s="48" t="s">
        <v>132</v>
      </c>
      <c r="G76" s="423">
        <f>IFERROR(VLOOKUP(E76,'BD - A - Mvto Cx'!$E$15:$G$501,3,0),0)</f>
        <v>2783.37</v>
      </c>
      <c r="H76" s="51">
        <f>IFERROR(VLOOKUP(E76,'BD - A - Mvto Cx'!$N$15:$P$500,3,0),0)</f>
        <v>0</v>
      </c>
      <c r="I76" s="50">
        <f>IFERROR(VLOOKUP(E76,'BD - A - Mvto Cx'!$W$15:$Y$500,3,0),0)</f>
        <v>460</v>
      </c>
      <c r="J76" s="50">
        <f>IFERROR(VLOOKUP(E76,'BD - A - Mvto Cx'!$AF$15:$AH$500,3,0),0)</f>
        <v>0</v>
      </c>
      <c r="K76" s="50">
        <f>IFERROR(VLOOKUP(E76,'BD - A - Mvto Cx'!$AO$15:$AQ$500,3,0),0)</f>
        <v>0</v>
      </c>
      <c r="L76" s="50">
        <f>IFERROR(VLOOKUP(E76,'BD - A - Mvto Cx'!$AX$15:$AZ$500,3,0),0)</f>
        <v>0</v>
      </c>
      <c r="M76" s="50">
        <f>IFERROR(VLOOKUP(E76,'BD - A - Mvto Cx'!$BG$15:$BI$500,3,0),0)</f>
        <v>0</v>
      </c>
      <c r="N76" s="50">
        <f>IFERROR(VLOOKUP(E76,'BD - A - Mvto Cx'!$BP$15:$BR$500,3,0),0)</f>
        <v>0</v>
      </c>
      <c r="O76" s="50">
        <f>IFERROR(VLOOKUP(E76,'BD - A - Mvto Cx'!$BY$15:$CA$500,3,0),0)</f>
        <v>0</v>
      </c>
      <c r="P76" s="50">
        <f>IFERROR(VLOOKUP(E76,'BD - A - Mvto Cx'!$CH$15:$CJ$500,3,0),0)</f>
        <v>0</v>
      </c>
      <c r="Q76" s="50">
        <f>IFERROR(VLOOKUP(E76,'BD - A - Mvto Cx'!$CQ$15:$CS$500,3,0),0)</f>
        <v>0</v>
      </c>
      <c r="R76" s="50">
        <f>IFERROR(VLOOKUP(E76,'BD - A - Mvto Cx'!$CZ$15:$DB$500,3,0),0)</f>
        <v>0</v>
      </c>
    </row>
    <row r="77" spans="1:996">
      <c r="A77" s="37"/>
      <c r="B77" t="str">
        <f t="shared" si="0"/>
        <v>S211102</v>
      </c>
      <c r="C77" s="29" t="s">
        <v>352</v>
      </c>
      <c r="D77" s="27" t="s">
        <v>128</v>
      </c>
      <c r="E77" s="7">
        <v>211102</v>
      </c>
      <c r="F77" s="48" t="s">
        <v>133</v>
      </c>
      <c r="G77" s="423">
        <f>IFERROR(VLOOKUP(E77,'BD - A - Mvto Cx'!$E$15:$G$501,3,0),0)</f>
        <v>175994.31</v>
      </c>
      <c r="H77" s="51">
        <f>IFERROR(VLOOKUP(E77,'BD - A - Mvto Cx'!$N$15:$P$500,3,0),0)</f>
        <v>118737.07</v>
      </c>
      <c r="I77" s="50">
        <f>IFERROR(VLOOKUP(E77,'BD - A - Mvto Cx'!$W$15:$Y$500,3,0),0)</f>
        <v>138599.09</v>
      </c>
      <c r="J77" s="50">
        <f>IFERROR(VLOOKUP(E77,'BD - A - Mvto Cx'!$AF$15:$AH$500,3,0),0)</f>
        <v>104620.99</v>
      </c>
      <c r="K77" s="50">
        <f>IFERROR(VLOOKUP(E77,'BD - A - Mvto Cx'!$AO$15:$AQ$500,3,0),0)</f>
        <v>0</v>
      </c>
      <c r="L77" s="50">
        <f>IFERROR(VLOOKUP(E77,'BD - A - Mvto Cx'!$AX$15:$AZ$500,3,0),0)</f>
        <v>0</v>
      </c>
      <c r="M77" s="50">
        <f>IFERROR(VLOOKUP(E77,'BD - A - Mvto Cx'!$BG$15:$BI$500,3,0),0)</f>
        <v>0</v>
      </c>
      <c r="N77" s="50">
        <f>IFERROR(VLOOKUP(E77,'BD - A - Mvto Cx'!$BP$15:$BR$500,3,0),0)</f>
        <v>0</v>
      </c>
      <c r="O77" s="50">
        <f>IFERROR(VLOOKUP(E77,'BD - A - Mvto Cx'!$BY$15:$CA$500,3,0),0)</f>
        <v>0</v>
      </c>
      <c r="P77" s="50">
        <f>IFERROR(VLOOKUP(E77,'BD - A - Mvto Cx'!$CH$15:$CJ$500,3,0),0)</f>
        <v>0</v>
      </c>
      <c r="Q77" s="50">
        <f>IFERROR(VLOOKUP(E77,'BD - A - Mvto Cx'!$CQ$15:$CS$500,3,0),0)</f>
        <v>0</v>
      </c>
      <c r="R77" s="50">
        <f>IFERROR(VLOOKUP(E77,'BD - A - Mvto Cx'!$CZ$15:$DB$500,3,0),0)</f>
        <v>0</v>
      </c>
    </row>
    <row r="78" spans="1:996" s="75" customFormat="1">
      <c r="A78" s="104"/>
      <c r="B78" s="75" t="str">
        <f t="shared" si="0"/>
        <v>S211103</v>
      </c>
      <c r="C78" s="75" t="s">
        <v>347</v>
      </c>
      <c r="D78" s="27" t="s">
        <v>128</v>
      </c>
      <c r="E78" s="75">
        <v>211103</v>
      </c>
      <c r="F78" s="105" t="s">
        <v>134</v>
      </c>
      <c r="G78" s="74">
        <f>IFERROR(VLOOKUP(E78,'BD - A - Mvto Cx'!$E$15:$G$501,3,0),0)</f>
        <v>8111.28</v>
      </c>
      <c r="H78" s="72">
        <f>IFERROR(VLOOKUP(E78,'BD - A - Mvto Cx'!$N$15:$P$500,3,0),0)</f>
        <v>7084.5</v>
      </c>
      <c r="I78" s="73">
        <f>IFERROR(VLOOKUP(E78,'BD - A - Mvto Cx'!$W$15:$Y$500,3,0),0)</f>
        <v>6878.6</v>
      </c>
      <c r="J78" s="73">
        <f>IFERROR(VLOOKUP(E78,'BD - A - Mvto Cx'!$AF$15:$AH$500,3,0),0)</f>
        <v>7434.3</v>
      </c>
      <c r="K78" s="73">
        <f>IFERROR(VLOOKUP(E78,'BD - A - Mvto Cx'!$AO$15:$AQ$500,3,0),0)</f>
        <v>0</v>
      </c>
      <c r="L78" s="73">
        <f>IFERROR(VLOOKUP(E78,'BD - A - Mvto Cx'!$AX$15:$AZ$500,3,0),0)</f>
        <v>0</v>
      </c>
      <c r="M78" s="73">
        <f>IFERROR(VLOOKUP(E78,'BD - A - Mvto Cx'!$BG$15:$BI$500,3,0),0)</f>
        <v>0</v>
      </c>
      <c r="N78" s="73">
        <f>IFERROR(VLOOKUP(E78,'BD - A - Mvto Cx'!$BP$15:$BR$500,3,0),0)</f>
        <v>0</v>
      </c>
      <c r="O78" s="73">
        <f>IFERROR(VLOOKUP(E78,'BD - A - Mvto Cx'!$BY$15:$CA$500,3,0),0)</f>
        <v>0</v>
      </c>
      <c r="P78" s="73">
        <f>IFERROR(VLOOKUP(E78,'BD - A - Mvto Cx'!$CH$15:$CJ$500,3,0),0)</f>
        <v>0</v>
      </c>
      <c r="Q78" s="73">
        <f>IFERROR(VLOOKUP(E78,'BD - A - Mvto Cx'!$CQ$15:$CS$500,3,0),0)</f>
        <v>0</v>
      </c>
      <c r="R78" s="73">
        <f>IFERROR(VLOOKUP(E78,'BD - A - Mvto Cx'!$CZ$15:$DB$500,3,0),0)</f>
        <v>0</v>
      </c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  <c r="CU78" s="106"/>
      <c r="CV78" s="106"/>
      <c r="CW78" s="106"/>
      <c r="CX78" s="106"/>
      <c r="CY78" s="106"/>
      <c r="CZ78" s="106"/>
      <c r="DA78" s="106"/>
      <c r="DB78" s="106"/>
      <c r="DC78" s="106"/>
      <c r="DD78" s="106"/>
      <c r="DE78" s="106"/>
      <c r="DF78" s="106"/>
      <c r="DG78" s="106"/>
      <c r="DH78" s="106"/>
      <c r="DI78" s="106"/>
      <c r="DJ78" s="106"/>
      <c r="DK78" s="106"/>
      <c r="DL78" s="106"/>
      <c r="DM78" s="106"/>
      <c r="DN78" s="106"/>
      <c r="DO78" s="106"/>
      <c r="DP78" s="106"/>
      <c r="DQ78" s="106"/>
      <c r="DR78" s="106"/>
      <c r="DS78" s="106"/>
      <c r="DT78" s="106"/>
      <c r="DU78" s="106"/>
      <c r="DV78" s="106"/>
      <c r="DW78" s="106"/>
      <c r="DX78" s="106"/>
      <c r="DY78" s="106"/>
      <c r="DZ78" s="106"/>
      <c r="EA78" s="106"/>
      <c r="EB78" s="106"/>
      <c r="EC78" s="106"/>
      <c r="ED78" s="106"/>
      <c r="EE78" s="106"/>
      <c r="EF78" s="106"/>
      <c r="EG78" s="106"/>
      <c r="EH78" s="106"/>
      <c r="EI78" s="106"/>
      <c r="EJ78" s="106"/>
      <c r="EK78" s="106"/>
      <c r="EL78" s="106"/>
      <c r="EM78" s="106"/>
      <c r="EN78" s="106"/>
      <c r="EO78" s="106"/>
      <c r="EP78" s="106"/>
      <c r="EQ78" s="106"/>
      <c r="ER78" s="106"/>
      <c r="ES78" s="106"/>
      <c r="ET78" s="106"/>
      <c r="EU78" s="106"/>
      <c r="EV78" s="106"/>
      <c r="EW78" s="106"/>
      <c r="EX78" s="106"/>
      <c r="EY78" s="106"/>
      <c r="EZ78" s="106"/>
      <c r="FA78" s="106"/>
      <c r="FB78" s="106"/>
      <c r="FC78" s="106"/>
      <c r="FD78" s="106"/>
      <c r="FE78" s="106"/>
      <c r="FF78" s="106"/>
      <c r="FG78" s="106"/>
      <c r="FH78" s="106"/>
      <c r="FI78" s="106"/>
      <c r="FJ78" s="106"/>
      <c r="FK78" s="106"/>
      <c r="FL78" s="106"/>
      <c r="FM78" s="106"/>
      <c r="FN78" s="106"/>
      <c r="FO78" s="106"/>
      <c r="FP78" s="106"/>
      <c r="FQ78" s="106"/>
      <c r="FR78" s="106"/>
      <c r="FS78" s="106"/>
      <c r="FT78" s="106"/>
      <c r="FU78" s="106"/>
      <c r="FV78" s="106"/>
      <c r="FW78" s="106"/>
      <c r="FX78" s="106"/>
      <c r="FY78" s="106"/>
      <c r="FZ78" s="106"/>
      <c r="GA78" s="106"/>
      <c r="GB78" s="106"/>
      <c r="GC78" s="106"/>
      <c r="GD78" s="106"/>
      <c r="GE78" s="106"/>
      <c r="GF78" s="106"/>
      <c r="GG78" s="106"/>
      <c r="GH78" s="106"/>
      <c r="GI78" s="106"/>
      <c r="GJ78" s="106"/>
      <c r="GK78" s="106"/>
      <c r="GL78" s="106"/>
      <c r="GM78" s="106"/>
      <c r="GN78" s="106"/>
      <c r="GO78" s="106"/>
      <c r="GP78" s="106"/>
      <c r="GQ78" s="106"/>
      <c r="GR78" s="106"/>
      <c r="GS78" s="106"/>
      <c r="GT78" s="106"/>
      <c r="GU78" s="106"/>
      <c r="GV78" s="106"/>
      <c r="GW78" s="106"/>
      <c r="GX78" s="106"/>
      <c r="GY78" s="106"/>
      <c r="GZ78" s="106"/>
      <c r="HA78" s="106"/>
      <c r="HB78" s="106"/>
      <c r="HC78" s="106"/>
      <c r="HD78" s="106"/>
      <c r="HE78" s="106"/>
      <c r="HF78" s="106"/>
      <c r="HG78" s="106"/>
      <c r="HH78" s="106"/>
      <c r="HI78" s="106"/>
      <c r="HJ78" s="106"/>
      <c r="HK78" s="106"/>
      <c r="HL78" s="106"/>
      <c r="HM78" s="106"/>
      <c r="HN78" s="106"/>
      <c r="HO78" s="106"/>
      <c r="HP78" s="106"/>
      <c r="HQ78" s="106"/>
      <c r="HR78" s="106"/>
      <c r="HS78" s="106"/>
      <c r="HT78" s="106"/>
      <c r="HU78" s="106"/>
      <c r="HV78" s="106"/>
      <c r="HW78" s="106"/>
      <c r="HX78" s="106"/>
      <c r="HY78" s="106"/>
      <c r="HZ78" s="106"/>
      <c r="IA78" s="106"/>
      <c r="IB78" s="106"/>
      <c r="IC78" s="106"/>
      <c r="ID78" s="106"/>
      <c r="IE78" s="106"/>
      <c r="IF78" s="106"/>
      <c r="IG78" s="106"/>
      <c r="IH78" s="106"/>
      <c r="II78" s="106"/>
      <c r="IJ78" s="106"/>
      <c r="IK78" s="106"/>
      <c r="IL78" s="106"/>
      <c r="IM78" s="106"/>
      <c r="IN78" s="106"/>
      <c r="IO78" s="106"/>
      <c r="IP78" s="106"/>
      <c r="IQ78" s="106"/>
      <c r="IR78" s="106"/>
      <c r="IS78" s="106"/>
      <c r="IT78" s="106"/>
      <c r="IU78" s="106"/>
      <c r="IV78" s="106"/>
      <c r="IW78" s="106"/>
      <c r="IX78" s="106"/>
      <c r="IY78" s="106"/>
      <c r="IZ78" s="106"/>
      <c r="JA78" s="106"/>
      <c r="JB78" s="106"/>
      <c r="JC78" s="106"/>
      <c r="JD78" s="106"/>
      <c r="JE78" s="106"/>
      <c r="JF78" s="106"/>
      <c r="JG78" s="106"/>
      <c r="JH78" s="106"/>
      <c r="JI78" s="106"/>
      <c r="JJ78" s="106"/>
      <c r="JK78" s="106"/>
      <c r="JL78" s="106"/>
      <c r="JM78" s="106"/>
      <c r="JN78" s="106"/>
      <c r="JO78" s="106"/>
      <c r="JP78" s="106"/>
      <c r="JQ78" s="106"/>
      <c r="JR78" s="106"/>
      <c r="JS78" s="106"/>
      <c r="JT78" s="106"/>
      <c r="JU78" s="106"/>
      <c r="JV78" s="106"/>
      <c r="JW78" s="106"/>
      <c r="JX78" s="106"/>
      <c r="JY78" s="106"/>
      <c r="JZ78" s="106"/>
      <c r="KA78" s="106"/>
      <c r="KB78" s="106"/>
      <c r="KC78" s="106"/>
      <c r="KD78" s="106"/>
      <c r="KE78" s="106"/>
      <c r="KF78" s="106"/>
      <c r="KG78" s="106"/>
      <c r="KH78" s="106"/>
      <c r="KI78" s="106"/>
      <c r="KJ78" s="106"/>
      <c r="KK78" s="106"/>
      <c r="KL78" s="106"/>
      <c r="KM78" s="106"/>
      <c r="KN78" s="106"/>
      <c r="KO78" s="106"/>
      <c r="KP78" s="106"/>
      <c r="KQ78" s="106"/>
      <c r="KR78" s="106"/>
      <c r="KS78" s="106"/>
      <c r="KT78" s="106"/>
      <c r="KU78" s="106"/>
      <c r="KV78" s="106"/>
      <c r="KW78" s="106"/>
      <c r="KX78" s="106"/>
      <c r="KY78" s="106"/>
      <c r="KZ78" s="106"/>
      <c r="LA78" s="106"/>
      <c r="LB78" s="106"/>
      <c r="LC78" s="106"/>
      <c r="LD78" s="106"/>
      <c r="LE78" s="106"/>
      <c r="LF78" s="106"/>
      <c r="LG78" s="106"/>
      <c r="LH78" s="106"/>
      <c r="LI78" s="106"/>
      <c r="LJ78" s="106"/>
      <c r="LK78" s="106"/>
      <c r="LL78" s="106"/>
      <c r="LM78" s="106"/>
      <c r="LN78" s="106"/>
      <c r="LO78" s="106"/>
      <c r="LP78" s="106"/>
      <c r="LQ78" s="106"/>
      <c r="LR78" s="106"/>
      <c r="LS78" s="106"/>
      <c r="LT78" s="106"/>
      <c r="LU78" s="106"/>
      <c r="LV78" s="106"/>
      <c r="LW78" s="106"/>
      <c r="LX78" s="106"/>
      <c r="LY78" s="106"/>
      <c r="LZ78" s="106"/>
      <c r="MA78" s="106"/>
      <c r="MB78" s="106"/>
      <c r="MC78" s="106"/>
      <c r="MD78" s="106"/>
      <c r="ME78" s="106"/>
      <c r="MF78" s="106"/>
      <c r="MG78" s="106"/>
      <c r="MH78" s="106"/>
      <c r="MI78" s="106"/>
      <c r="MJ78" s="106"/>
      <c r="MK78" s="106"/>
      <c r="ML78" s="106"/>
      <c r="MM78" s="106"/>
      <c r="MN78" s="106"/>
      <c r="MO78" s="106"/>
      <c r="MP78" s="106"/>
      <c r="MQ78" s="106"/>
      <c r="MR78" s="106"/>
      <c r="MS78" s="106"/>
      <c r="MT78" s="106"/>
      <c r="MU78" s="106"/>
      <c r="MV78" s="106"/>
      <c r="MW78" s="106"/>
      <c r="MX78" s="106"/>
      <c r="MY78" s="106"/>
      <c r="MZ78" s="106"/>
      <c r="NA78" s="106"/>
      <c r="NB78" s="106"/>
      <c r="NC78" s="106"/>
      <c r="ND78" s="106"/>
      <c r="NE78" s="106"/>
      <c r="NF78" s="106"/>
      <c r="NG78" s="106"/>
      <c r="NH78" s="106"/>
      <c r="NI78" s="106"/>
      <c r="NJ78" s="106"/>
      <c r="NK78" s="106"/>
      <c r="NL78" s="106"/>
      <c r="NM78" s="106"/>
      <c r="NN78" s="106"/>
      <c r="NO78" s="106"/>
      <c r="NP78" s="106"/>
      <c r="NQ78" s="106"/>
      <c r="NR78" s="106"/>
      <c r="NS78" s="106"/>
      <c r="NT78" s="106"/>
      <c r="NU78" s="106"/>
      <c r="NV78" s="106"/>
      <c r="NW78" s="106"/>
      <c r="NX78" s="106"/>
      <c r="NY78" s="106"/>
      <c r="NZ78" s="106"/>
      <c r="OA78" s="106"/>
      <c r="OB78" s="106"/>
      <c r="OC78" s="106"/>
      <c r="OD78" s="106"/>
      <c r="OE78" s="106"/>
      <c r="OF78" s="106"/>
      <c r="OG78" s="106"/>
      <c r="OH78" s="106"/>
      <c r="OI78" s="106"/>
      <c r="OJ78" s="106"/>
      <c r="OK78" s="106"/>
      <c r="OL78" s="106"/>
      <c r="OM78" s="106"/>
      <c r="ON78" s="106"/>
      <c r="OO78" s="106"/>
      <c r="OP78" s="106"/>
      <c r="OQ78" s="106"/>
      <c r="OR78" s="106"/>
      <c r="OS78" s="106"/>
      <c r="OT78" s="106"/>
      <c r="OU78" s="106"/>
      <c r="OV78" s="106"/>
      <c r="OW78" s="106"/>
      <c r="OX78" s="106"/>
      <c r="OY78" s="106"/>
      <c r="OZ78" s="106"/>
      <c r="PA78" s="106"/>
      <c r="PB78" s="106"/>
      <c r="PC78" s="106"/>
      <c r="PD78" s="106"/>
      <c r="PE78" s="106"/>
      <c r="PF78" s="106"/>
      <c r="PG78" s="106"/>
      <c r="PH78" s="106"/>
      <c r="PI78" s="106"/>
      <c r="PJ78" s="106"/>
      <c r="PK78" s="106"/>
      <c r="PL78" s="106"/>
      <c r="PM78" s="106"/>
      <c r="PN78" s="106"/>
      <c r="PO78" s="106"/>
      <c r="PP78" s="106"/>
      <c r="PQ78" s="106"/>
      <c r="PR78" s="106"/>
      <c r="PS78" s="106"/>
      <c r="PT78" s="106"/>
      <c r="PU78" s="106"/>
      <c r="PV78" s="106"/>
      <c r="PW78" s="106"/>
      <c r="PX78" s="106"/>
      <c r="PY78" s="106"/>
      <c r="PZ78" s="106"/>
      <c r="QA78" s="106"/>
      <c r="QB78" s="106"/>
      <c r="QC78" s="106"/>
      <c r="QD78" s="106"/>
      <c r="QE78" s="106"/>
      <c r="QF78" s="106"/>
      <c r="QG78" s="106"/>
      <c r="QH78" s="106"/>
      <c r="QI78" s="106"/>
      <c r="QJ78" s="106"/>
      <c r="QK78" s="106"/>
      <c r="QL78" s="106"/>
      <c r="QM78" s="106"/>
      <c r="QN78" s="106"/>
      <c r="QO78" s="106"/>
      <c r="QP78" s="106"/>
      <c r="QQ78" s="106"/>
      <c r="QR78" s="106"/>
      <c r="QS78" s="106"/>
      <c r="QT78" s="106"/>
      <c r="QU78" s="106"/>
      <c r="QV78" s="106"/>
      <c r="QW78" s="106"/>
      <c r="QX78" s="106"/>
      <c r="QY78" s="106"/>
      <c r="QZ78" s="106"/>
      <c r="RA78" s="106"/>
      <c r="RB78" s="106"/>
      <c r="RC78" s="106"/>
      <c r="RD78" s="106"/>
      <c r="RE78" s="106"/>
      <c r="RF78" s="106"/>
      <c r="RG78" s="106"/>
      <c r="RH78" s="106"/>
      <c r="RI78" s="106"/>
      <c r="RJ78" s="106"/>
      <c r="RK78" s="106"/>
      <c r="RL78" s="106"/>
      <c r="RM78" s="106"/>
      <c r="RN78" s="106"/>
      <c r="RO78" s="106"/>
      <c r="RP78" s="106"/>
      <c r="RQ78" s="106"/>
      <c r="RR78" s="106"/>
      <c r="RS78" s="106"/>
      <c r="RT78" s="106"/>
      <c r="RU78" s="106"/>
      <c r="RV78" s="106"/>
      <c r="RW78" s="106"/>
      <c r="RX78" s="106"/>
      <c r="RY78" s="106"/>
      <c r="RZ78" s="106"/>
      <c r="SA78" s="106"/>
      <c r="SB78" s="106"/>
      <c r="SC78" s="106"/>
      <c r="SD78" s="106"/>
      <c r="SE78" s="106"/>
      <c r="SF78" s="106"/>
      <c r="SG78" s="106"/>
      <c r="SH78" s="106"/>
      <c r="SI78" s="106"/>
      <c r="SJ78" s="106"/>
      <c r="SK78" s="106"/>
      <c r="SL78" s="106"/>
      <c r="SM78" s="106"/>
      <c r="SN78" s="106"/>
      <c r="SO78" s="106"/>
      <c r="SP78" s="106"/>
      <c r="SQ78" s="106"/>
      <c r="SR78" s="106"/>
      <c r="SS78" s="106"/>
      <c r="ST78" s="106"/>
      <c r="SU78" s="106"/>
      <c r="SV78" s="106"/>
      <c r="SW78" s="106"/>
      <c r="SX78" s="106"/>
      <c r="SY78" s="106"/>
      <c r="SZ78" s="106"/>
      <c r="TA78" s="106"/>
      <c r="TB78" s="106"/>
      <c r="TC78" s="106"/>
      <c r="TD78" s="106"/>
      <c r="TE78" s="106"/>
      <c r="TF78" s="106"/>
      <c r="TG78" s="106"/>
      <c r="TH78" s="106"/>
      <c r="TI78" s="106"/>
      <c r="TJ78" s="106"/>
      <c r="TK78" s="106"/>
      <c r="TL78" s="106"/>
      <c r="TM78" s="106"/>
      <c r="TN78" s="106"/>
      <c r="TO78" s="106"/>
      <c r="TP78" s="106"/>
      <c r="TQ78" s="106"/>
      <c r="TR78" s="106"/>
      <c r="TS78" s="106"/>
      <c r="TT78" s="106"/>
      <c r="TU78" s="106"/>
      <c r="TV78" s="106"/>
      <c r="TW78" s="106"/>
      <c r="TX78" s="106"/>
      <c r="TY78" s="106"/>
      <c r="TZ78" s="106"/>
      <c r="UA78" s="106"/>
      <c r="UB78" s="106"/>
      <c r="UC78" s="106"/>
      <c r="UD78" s="106"/>
      <c r="UE78" s="106"/>
      <c r="UF78" s="106"/>
      <c r="UG78" s="106"/>
      <c r="UH78" s="106"/>
      <c r="UI78" s="106"/>
      <c r="UJ78" s="106"/>
      <c r="UK78" s="106"/>
      <c r="UL78" s="106"/>
      <c r="UM78" s="106"/>
      <c r="UN78" s="106"/>
      <c r="UO78" s="106"/>
      <c r="UP78" s="106"/>
      <c r="UQ78" s="106"/>
      <c r="UR78" s="106"/>
      <c r="US78" s="106"/>
      <c r="UT78" s="106"/>
      <c r="UU78" s="106"/>
      <c r="UV78" s="106"/>
      <c r="UW78" s="106"/>
      <c r="UX78" s="106"/>
      <c r="UY78" s="106"/>
      <c r="UZ78" s="106"/>
      <c r="VA78" s="106"/>
      <c r="VB78" s="106"/>
      <c r="VC78" s="106"/>
      <c r="VD78" s="106"/>
      <c r="VE78" s="106"/>
      <c r="VF78" s="106"/>
      <c r="VG78" s="106"/>
      <c r="VH78" s="106"/>
      <c r="VI78" s="106"/>
      <c r="VJ78" s="106"/>
      <c r="VK78" s="106"/>
      <c r="VL78" s="106"/>
      <c r="VM78" s="106"/>
      <c r="VN78" s="106"/>
      <c r="VO78" s="106"/>
      <c r="VP78" s="106"/>
      <c r="VQ78" s="106"/>
      <c r="VR78" s="106"/>
      <c r="VS78" s="106"/>
      <c r="VT78" s="106"/>
      <c r="VU78" s="106"/>
      <c r="VV78" s="106"/>
      <c r="VW78" s="106"/>
      <c r="VX78" s="106"/>
      <c r="VY78" s="106"/>
      <c r="VZ78" s="106"/>
      <c r="WA78" s="106"/>
      <c r="WB78" s="106"/>
      <c r="WC78" s="106"/>
      <c r="WD78" s="106"/>
      <c r="WE78" s="106"/>
      <c r="WF78" s="106"/>
      <c r="WG78" s="106"/>
      <c r="WH78" s="106"/>
      <c r="WI78" s="106"/>
      <c r="WJ78" s="106"/>
      <c r="WK78" s="106"/>
      <c r="WL78" s="106"/>
      <c r="WM78" s="106"/>
      <c r="WN78" s="106"/>
      <c r="WO78" s="106"/>
      <c r="WP78" s="106"/>
      <c r="WQ78" s="106"/>
      <c r="WR78" s="106"/>
      <c r="WS78" s="106"/>
      <c r="WT78" s="106"/>
      <c r="WU78" s="106"/>
      <c r="WV78" s="106"/>
      <c r="WW78" s="106"/>
      <c r="WX78" s="106"/>
      <c r="WY78" s="106"/>
      <c r="WZ78" s="106"/>
      <c r="XA78" s="106"/>
      <c r="XB78" s="106"/>
      <c r="XC78" s="106"/>
      <c r="XD78" s="106"/>
      <c r="XE78" s="106"/>
      <c r="XF78" s="106"/>
      <c r="XG78" s="106"/>
      <c r="XH78" s="106"/>
      <c r="XI78" s="106"/>
      <c r="XJ78" s="106"/>
      <c r="XK78" s="106"/>
      <c r="XL78" s="106"/>
      <c r="XM78" s="106"/>
      <c r="XN78" s="106"/>
      <c r="XO78" s="106"/>
      <c r="XP78" s="106"/>
      <c r="XQ78" s="106"/>
      <c r="XR78" s="106"/>
      <c r="XS78" s="106"/>
      <c r="XT78" s="106"/>
      <c r="XU78" s="106"/>
      <c r="XV78" s="106"/>
      <c r="XW78" s="106"/>
      <c r="XX78" s="106"/>
      <c r="XY78" s="106"/>
      <c r="XZ78" s="106"/>
      <c r="YA78" s="106"/>
      <c r="YB78" s="106"/>
      <c r="YC78" s="106"/>
      <c r="YD78" s="106"/>
      <c r="YE78" s="106"/>
      <c r="YF78" s="106"/>
      <c r="YG78" s="106"/>
      <c r="YH78" s="106"/>
      <c r="YI78" s="106"/>
      <c r="YJ78" s="106"/>
      <c r="YK78" s="106"/>
      <c r="YL78" s="106"/>
      <c r="YM78" s="106"/>
      <c r="YN78" s="106"/>
      <c r="YO78" s="106"/>
      <c r="YP78" s="106"/>
      <c r="YQ78" s="106"/>
      <c r="YR78" s="106"/>
      <c r="YS78" s="106"/>
      <c r="YT78" s="106"/>
      <c r="YU78" s="106"/>
      <c r="YV78" s="106"/>
      <c r="YW78" s="106"/>
      <c r="YX78" s="106"/>
      <c r="YY78" s="106"/>
      <c r="YZ78" s="106"/>
      <c r="ZA78" s="106"/>
      <c r="ZB78" s="106"/>
      <c r="ZC78" s="106"/>
      <c r="ZD78" s="106"/>
      <c r="ZE78" s="106"/>
      <c r="ZF78" s="106"/>
      <c r="ZG78" s="106"/>
      <c r="ZH78" s="106"/>
      <c r="ZI78" s="106"/>
      <c r="ZJ78" s="106"/>
      <c r="ZK78" s="106"/>
      <c r="ZL78" s="106"/>
      <c r="ZM78" s="106"/>
      <c r="ZN78" s="106"/>
      <c r="ZO78" s="106"/>
      <c r="ZP78" s="106"/>
      <c r="ZQ78" s="106"/>
      <c r="ZR78" s="106"/>
      <c r="ZS78" s="106"/>
      <c r="ZT78" s="106"/>
      <c r="ZU78" s="106"/>
      <c r="ZV78" s="106"/>
      <c r="ZW78" s="106"/>
      <c r="ZX78" s="106"/>
      <c r="ZY78" s="106"/>
      <c r="ZZ78" s="106"/>
      <c r="AAA78" s="106"/>
      <c r="AAB78" s="106"/>
      <c r="AAC78" s="106"/>
      <c r="AAD78" s="106"/>
      <c r="AAE78" s="106"/>
      <c r="AAF78" s="106"/>
      <c r="AAG78" s="106"/>
      <c r="AAH78" s="106"/>
      <c r="AAI78" s="106"/>
      <c r="AAJ78" s="106"/>
      <c r="AAK78" s="106"/>
      <c r="AAL78" s="106"/>
      <c r="AAM78" s="106"/>
      <c r="AAN78" s="106"/>
      <c r="AAO78" s="106"/>
      <c r="AAP78" s="106"/>
      <c r="AAQ78" s="106"/>
      <c r="AAR78" s="106"/>
      <c r="AAS78" s="106"/>
      <c r="AAT78" s="106"/>
      <c r="AAU78" s="106"/>
      <c r="AAV78" s="106"/>
      <c r="AAW78" s="106"/>
      <c r="AAX78" s="106"/>
      <c r="AAY78" s="106"/>
      <c r="AAZ78" s="106"/>
      <c r="ABA78" s="106"/>
      <c r="ABB78" s="106"/>
      <c r="ABC78" s="106"/>
      <c r="ABD78" s="106"/>
      <c r="ABE78" s="106"/>
      <c r="ABF78" s="106"/>
      <c r="ABG78" s="106"/>
      <c r="ABH78" s="106"/>
      <c r="ABI78" s="106"/>
      <c r="ABJ78" s="106"/>
      <c r="ABK78" s="106"/>
      <c r="ABL78" s="106"/>
      <c r="ABM78" s="106"/>
      <c r="ABN78" s="106"/>
      <c r="ABO78" s="106"/>
      <c r="ABP78" s="106"/>
      <c r="ABQ78" s="106"/>
      <c r="ABR78" s="106"/>
      <c r="ABS78" s="106"/>
      <c r="ABT78" s="106"/>
      <c r="ABU78" s="106"/>
      <c r="ABV78" s="106"/>
      <c r="ABW78" s="106"/>
      <c r="ABX78" s="106"/>
      <c r="ABY78" s="106"/>
      <c r="ABZ78" s="106"/>
      <c r="ACA78" s="106"/>
      <c r="ACB78" s="106"/>
      <c r="ACC78" s="106"/>
      <c r="ACD78" s="106"/>
      <c r="ACE78" s="106"/>
      <c r="ACF78" s="106"/>
      <c r="ACG78" s="106"/>
      <c r="ACH78" s="106"/>
      <c r="ACI78" s="106"/>
      <c r="ACJ78" s="106"/>
      <c r="ACK78" s="106"/>
      <c r="ACL78" s="106"/>
      <c r="ACM78" s="106"/>
      <c r="ACN78" s="106"/>
      <c r="ACO78" s="106"/>
      <c r="ACP78" s="106"/>
      <c r="ACQ78" s="106"/>
      <c r="ACR78" s="106"/>
      <c r="ACS78" s="106"/>
      <c r="ACT78" s="106"/>
      <c r="ACU78" s="106"/>
      <c r="ACV78" s="106"/>
      <c r="ACW78" s="106"/>
      <c r="ACX78" s="106"/>
      <c r="ACY78" s="106"/>
      <c r="ACZ78" s="106"/>
      <c r="ADA78" s="106"/>
      <c r="ADB78" s="106"/>
      <c r="ADC78" s="106"/>
      <c r="ADD78" s="106"/>
      <c r="ADE78" s="106"/>
      <c r="ADF78" s="106"/>
      <c r="ADG78" s="106"/>
      <c r="ADH78" s="106"/>
      <c r="ADI78" s="106"/>
      <c r="ADJ78" s="106"/>
      <c r="ADK78" s="106"/>
      <c r="ADL78" s="106"/>
      <c r="ADM78" s="106"/>
      <c r="ADN78" s="106"/>
      <c r="ADO78" s="106"/>
      <c r="ADP78" s="106"/>
      <c r="ADQ78" s="106"/>
      <c r="ADR78" s="106"/>
      <c r="ADS78" s="106"/>
      <c r="ADT78" s="106"/>
      <c r="ADU78" s="106"/>
      <c r="ADV78" s="106"/>
      <c r="ADW78" s="106"/>
      <c r="ADX78" s="106"/>
      <c r="ADY78" s="106"/>
      <c r="ADZ78" s="106"/>
      <c r="AEA78" s="106"/>
      <c r="AEB78" s="106"/>
      <c r="AEC78" s="106"/>
      <c r="AED78" s="106"/>
      <c r="AEE78" s="106"/>
      <c r="AEF78" s="106"/>
      <c r="AEG78" s="106"/>
      <c r="AEH78" s="106"/>
      <c r="AEI78" s="106"/>
      <c r="AEJ78" s="106"/>
      <c r="AEK78" s="106"/>
      <c r="AEL78" s="106"/>
      <c r="AEM78" s="106"/>
      <c r="AEN78" s="106"/>
      <c r="AEO78" s="106"/>
      <c r="AEP78" s="106"/>
      <c r="AEQ78" s="106"/>
      <c r="AER78" s="106"/>
      <c r="AES78" s="106"/>
      <c r="AET78" s="106"/>
      <c r="AEU78" s="106"/>
      <c r="AEV78" s="106"/>
      <c r="AEW78" s="106"/>
      <c r="AEX78" s="106"/>
      <c r="AEY78" s="106"/>
      <c r="AEZ78" s="106"/>
      <c r="AFA78" s="106"/>
      <c r="AFB78" s="106"/>
      <c r="AFC78" s="106"/>
      <c r="AFD78" s="106"/>
      <c r="AFE78" s="106"/>
      <c r="AFF78" s="106"/>
      <c r="AFG78" s="106"/>
      <c r="AFH78" s="106"/>
      <c r="AFI78" s="106"/>
      <c r="AFJ78" s="106"/>
      <c r="AFK78" s="106"/>
      <c r="AFL78" s="106"/>
      <c r="AFM78" s="106"/>
      <c r="AFN78" s="106"/>
      <c r="AFO78" s="106"/>
      <c r="AFP78" s="106"/>
      <c r="AFQ78" s="106"/>
      <c r="AFR78" s="106"/>
      <c r="AFS78" s="106"/>
      <c r="AFT78" s="106"/>
      <c r="AFU78" s="106"/>
      <c r="AFV78" s="106"/>
      <c r="AFW78" s="106"/>
      <c r="AFX78" s="106"/>
      <c r="AFY78" s="106"/>
      <c r="AFZ78" s="106"/>
      <c r="AGA78" s="106"/>
      <c r="AGB78" s="106"/>
      <c r="AGC78" s="106"/>
      <c r="AGD78" s="106"/>
      <c r="AGE78" s="106"/>
      <c r="AGF78" s="106"/>
      <c r="AGG78" s="106"/>
      <c r="AGH78" s="106"/>
      <c r="AGI78" s="106"/>
      <c r="AGJ78" s="106"/>
      <c r="AGK78" s="106"/>
      <c r="AGL78" s="106"/>
      <c r="AGM78" s="106"/>
      <c r="AGN78" s="106"/>
      <c r="AGO78" s="106"/>
      <c r="AGP78" s="106"/>
      <c r="AGQ78" s="106"/>
      <c r="AGR78" s="106"/>
      <c r="AGS78" s="106"/>
      <c r="AGT78" s="106"/>
      <c r="AGU78" s="106"/>
      <c r="AGV78" s="106"/>
      <c r="AGW78" s="106"/>
      <c r="AGX78" s="106"/>
      <c r="AGY78" s="106"/>
      <c r="AGZ78" s="106"/>
      <c r="AHA78" s="106"/>
      <c r="AHB78" s="106"/>
      <c r="AHC78" s="106"/>
      <c r="AHD78" s="106"/>
      <c r="AHE78" s="106"/>
      <c r="AHF78" s="106"/>
      <c r="AHG78" s="106"/>
      <c r="AHH78" s="106"/>
      <c r="AHI78" s="106"/>
      <c r="AHJ78" s="106"/>
      <c r="AHK78" s="106"/>
      <c r="AHL78" s="106"/>
      <c r="AHM78" s="106"/>
      <c r="AHN78" s="106"/>
      <c r="AHO78" s="106"/>
      <c r="AHP78" s="106"/>
      <c r="AHQ78" s="106"/>
      <c r="AHR78" s="106"/>
      <c r="AHS78" s="106"/>
      <c r="AHT78" s="106"/>
      <c r="AHU78" s="106"/>
      <c r="AHV78" s="106"/>
      <c r="AHW78" s="106"/>
      <c r="AHX78" s="106"/>
      <c r="AHY78" s="106"/>
      <c r="AHZ78" s="106"/>
      <c r="AIA78" s="106"/>
      <c r="AIB78" s="106"/>
      <c r="AIC78" s="106"/>
      <c r="AID78" s="106"/>
      <c r="AIE78" s="106"/>
      <c r="AIF78" s="106"/>
      <c r="AIG78" s="106"/>
      <c r="AIH78" s="106"/>
      <c r="AII78" s="106"/>
      <c r="AIJ78" s="106"/>
      <c r="AIK78" s="106"/>
      <c r="AIL78" s="106"/>
      <c r="AIM78" s="106"/>
      <c r="AIN78" s="106"/>
      <c r="AIO78" s="106"/>
      <c r="AIP78" s="106"/>
      <c r="AIQ78" s="106"/>
      <c r="AIR78" s="106"/>
      <c r="AIS78" s="106"/>
      <c r="AIT78" s="106"/>
      <c r="AIU78" s="106"/>
      <c r="AIV78" s="106"/>
      <c r="AIW78" s="106"/>
      <c r="AIX78" s="106"/>
      <c r="AIY78" s="106"/>
      <c r="AIZ78" s="106"/>
      <c r="AJA78" s="106"/>
      <c r="AJB78" s="106"/>
      <c r="AJC78" s="106"/>
      <c r="AJD78" s="106"/>
      <c r="AJE78" s="106"/>
      <c r="AJF78" s="106"/>
      <c r="AJG78" s="106"/>
      <c r="AJH78" s="106"/>
      <c r="AJI78" s="106"/>
      <c r="AJJ78" s="106"/>
      <c r="AJK78" s="106"/>
      <c r="AJL78" s="106"/>
      <c r="AJM78" s="106"/>
      <c r="AJN78" s="106"/>
      <c r="AJO78" s="106"/>
      <c r="AJP78" s="106"/>
      <c r="AJQ78" s="106"/>
      <c r="AJR78" s="106"/>
      <c r="AJS78" s="106"/>
      <c r="AJT78" s="106"/>
      <c r="AJU78" s="106"/>
      <c r="AJV78" s="106"/>
      <c r="AJW78" s="106"/>
      <c r="AJX78" s="106"/>
      <c r="AJY78" s="106"/>
      <c r="AJZ78" s="106"/>
      <c r="AKA78" s="106"/>
      <c r="AKB78" s="106"/>
      <c r="AKC78" s="106"/>
      <c r="AKD78" s="106"/>
      <c r="AKE78" s="106"/>
      <c r="AKF78" s="106"/>
      <c r="AKG78" s="106"/>
      <c r="AKH78" s="106"/>
      <c r="AKI78" s="106"/>
      <c r="AKJ78" s="106"/>
      <c r="AKK78" s="106"/>
      <c r="AKL78" s="106"/>
      <c r="AKM78" s="106"/>
      <c r="AKN78" s="106"/>
      <c r="AKO78" s="106"/>
      <c r="AKP78" s="106"/>
      <c r="AKQ78" s="106"/>
      <c r="AKR78" s="106"/>
      <c r="AKS78" s="106"/>
      <c r="AKT78" s="106"/>
      <c r="AKU78" s="106"/>
      <c r="AKV78" s="106"/>
      <c r="AKW78" s="106"/>
      <c r="AKX78" s="106"/>
      <c r="AKY78" s="106"/>
      <c r="AKZ78" s="106"/>
      <c r="ALA78" s="106"/>
      <c r="ALB78" s="106"/>
      <c r="ALC78" s="106"/>
      <c r="ALD78" s="106"/>
      <c r="ALE78" s="106"/>
      <c r="ALF78" s="106"/>
      <c r="ALG78" s="106"/>
      <c r="ALH78" s="106"/>
    </row>
    <row r="79" spans="1:996" s="75" customFormat="1">
      <c r="A79" s="104"/>
      <c r="B79" s="75" t="str">
        <f t="shared" si="0"/>
        <v>S211104</v>
      </c>
      <c r="C79" s="75" t="s">
        <v>347</v>
      </c>
      <c r="D79" s="27" t="s">
        <v>128</v>
      </c>
      <c r="E79" s="75">
        <v>211104</v>
      </c>
      <c r="F79" s="105" t="s">
        <v>135</v>
      </c>
      <c r="G79" s="74">
        <f>IFERROR(VLOOKUP(E79,'BD - A - Mvto Cx'!$E$15:$G$501,3,0),0)</f>
        <v>55011.49</v>
      </c>
      <c r="H79" s="72">
        <f>IFERROR(VLOOKUP(E79,'BD - A - Mvto Cx'!$N$15:$P$500,3,0),0)</f>
        <v>66840.94</v>
      </c>
      <c r="I79" s="73">
        <f>IFERROR(VLOOKUP(E79,'BD - A - Mvto Cx'!$W$15:$Y$500,3,0),0)</f>
        <v>71834.259999999995</v>
      </c>
      <c r="J79" s="73">
        <f>IFERROR(VLOOKUP(E79,'BD - A - Mvto Cx'!$AF$15:$AH$500,3,0),0)</f>
        <v>66789.97</v>
      </c>
      <c r="K79" s="73">
        <f>IFERROR(VLOOKUP(E79,'BD - A - Mvto Cx'!$AO$15:$AQ$500,3,0),0)</f>
        <v>0</v>
      </c>
      <c r="L79" s="73">
        <f>IFERROR(VLOOKUP(E79,'BD - A - Mvto Cx'!$AX$15:$AZ$500,3,0),0)</f>
        <v>0</v>
      </c>
      <c r="M79" s="73">
        <f>IFERROR(VLOOKUP(E79,'BD - A - Mvto Cx'!$BG$15:$BI$500,3,0),0)</f>
        <v>0</v>
      </c>
      <c r="N79" s="73">
        <f>IFERROR(VLOOKUP(E79,'BD - A - Mvto Cx'!$BP$15:$BR$500,3,0),0)</f>
        <v>0</v>
      </c>
      <c r="O79" s="73">
        <f>IFERROR(VLOOKUP(E79,'BD - A - Mvto Cx'!$BY$15:$CA$500,3,0),0)</f>
        <v>0</v>
      </c>
      <c r="P79" s="73">
        <f>IFERROR(VLOOKUP(E79,'BD - A - Mvto Cx'!$CH$15:$CJ$500,3,0),0)</f>
        <v>0</v>
      </c>
      <c r="Q79" s="73">
        <f>IFERROR(VLOOKUP(E79,'BD - A - Mvto Cx'!$CQ$15:$CS$500,3,0),0)</f>
        <v>0</v>
      </c>
      <c r="R79" s="73">
        <f>IFERROR(VLOOKUP(E79,'BD - A - Mvto Cx'!$CZ$15:$DB$500,3,0),0)</f>
        <v>0</v>
      </c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  <c r="CU79" s="106"/>
      <c r="CV79" s="106"/>
      <c r="CW79" s="106"/>
      <c r="CX79" s="106"/>
      <c r="CY79" s="106"/>
      <c r="CZ79" s="106"/>
      <c r="DA79" s="106"/>
      <c r="DB79" s="106"/>
      <c r="DC79" s="106"/>
      <c r="DD79" s="106"/>
      <c r="DE79" s="106"/>
      <c r="DF79" s="106"/>
      <c r="DG79" s="106"/>
      <c r="DH79" s="106"/>
      <c r="DI79" s="106"/>
      <c r="DJ79" s="106"/>
      <c r="DK79" s="106"/>
      <c r="DL79" s="106"/>
      <c r="DM79" s="106"/>
      <c r="DN79" s="106"/>
      <c r="DO79" s="106"/>
      <c r="DP79" s="106"/>
      <c r="DQ79" s="106"/>
      <c r="DR79" s="106"/>
      <c r="DS79" s="106"/>
      <c r="DT79" s="106"/>
      <c r="DU79" s="106"/>
      <c r="DV79" s="106"/>
      <c r="DW79" s="106"/>
      <c r="DX79" s="106"/>
      <c r="DY79" s="106"/>
      <c r="DZ79" s="106"/>
      <c r="EA79" s="106"/>
      <c r="EB79" s="106"/>
      <c r="EC79" s="106"/>
      <c r="ED79" s="106"/>
      <c r="EE79" s="106"/>
      <c r="EF79" s="106"/>
      <c r="EG79" s="106"/>
      <c r="EH79" s="106"/>
      <c r="EI79" s="106"/>
      <c r="EJ79" s="106"/>
      <c r="EK79" s="106"/>
      <c r="EL79" s="106"/>
      <c r="EM79" s="106"/>
      <c r="EN79" s="106"/>
      <c r="EO79" s="106"/>
      <c r="EP79" s="106"/>
      <c r="EQ79" s="106"/>
      <c r="ER79" s="106"/>
      <c r="ES79" s="106"/>
      <c r="ET79" s="106"/>
      <c r="EU79" s="106"/>
      <c r="EV79" s="106"/>
      <c r="EW79" s="106"/>
      <c r="EX79" s="106"/>
      <c r="EY79" s="106"/>
      <c r="EZ79" s="106"/>
      <c r="FA79" s="106"/>
      <c r="FB79" s="106"/>
      <c r="FC79" s="106"/>
      <c r="FD79" s="106"/>
      <c r="FE79" s="106"/>
      <c r="FF79" s="106"/>
      <c r="FG79" s="106"/>
      <c r="FH79" s="106"/>
      <c r="FI79" s="106"/>
      <c r="FJ79" s="106"/>
      <c r="FK79" s="106"/>
      <c r="FL79" s="106"/>
      <c r="FM79" s="106"/>
      <c r="FN79" s="106"/>
      <c r="FO79" s="106"/>
      <c r="FP79" s="106"/>
      <c r="FQ79" s="106"/>
      <c r="FR79" s="106"/>
      <c r="FS79" s="106"/>
      <c r="FT79" s="106"/>
      <c r="FU79" s="106"/>
      <c r="FV79" s="106"/>
      <c r="FW79" s="106"/>
      <c r="FX79" s="106"/>
      <c r="FY79" s="106"/>
      <c r="FZ79" s="106"/>
      <c r="GA79" s="106"/>
      <c r="GB79" s="106"/>
      <c r="GC79" s="106"/>
      <c r="GD79" s="106"/>
      <c r="GE79" s="106"/>
      <c r="GF79" s="106"/>
      <c r="GG79" s="106"/>
      <c r="GH79" s="106"/>
      <c r="GI79" s="106"/>
      <c r="GJ79" s="106"/>
      <c r="GK79" s="106"/>
      <c r="GL79" s="106"/>
      <c r="GM79" s="106"/>
      <c r="GN79" s="106"/>
      <c r="GO79" s="106"/>
      <c r="GP79" s="106"/>
      <c r="GQ79" s="106"/>
      <c r="GR79" s="106"/>
      <c r="GS79" s="106"/>
      <c r="GT79" s="106"/>
      <c r="GU79" s="106"/>
      <c r="GV79" s="106"/>
      <c r="GW79" s="106"/>
      <c r="GX79" s="106"/>
      <c r="GY79" s="106"/>
      <c r="GZ79" s="106"/>
      <c r="HA79" s="106"/>
      <c r="HB79" s="106"/>
      <c r="HC79" s="106"/>
      <c r="HD79" s="106"/>
      <c r="HE79" s="106"/>
      <c r="HF79" s="106"/>
      <c r="HG79" s="106"/>
      <c r="HH79" s="106"/>
      <c r="HI79" s="106"/>
      <c r="HJ79" s="106"/>
      <c r="HK79" s="106"/>
      <c r="HL79" s="106"/>
      <c r="HM79" s="106"/>
      <c r="HN79" s="106"/>
      <c r="HO79" s="106"/>
      <c r="HP79" s="106"/>
      <c r="HQ79" s="106"/>
      <c r="HR79" s="106"/>
      <c r="HS79" s="106"/>
      <c r="HT79" s="106"/>
      <c r="HU79" s="106"/>
      <c r="HV79" s="106"/>
      <c r="HW79" s="106"/>
      <c r="HX79" s="106"/>
      <c r="HY79" s="106"/>
      <c r="HZ79" s="106"/>
      <c r="IA79" s="106"/>
      <c r="IB79" s="106"/>
      <c r="IC79" s="106"/>
      <c r="ID79" s="106"/>
      <c r="IE79" s="106"/>
      <c r="IF79" s="106"/>
      <c r="IG79" s="106"/>
      <c r="IH79" s="106"/>
      <c r="II79" s="106"/>
      <c r="IJ79" s="106"/>
      <c r="IK79" s="106"/>
      <c r="IL79" s="106"/>
      <c r="IM79" s="106"/>
      <c r="IN79" s="106"/>
      <c r="IO79" s="106"/>
      <c r="IP79" s="106"/>
      <c r="IQ79" s="106"/>
      <c r="IR79" s="106"/>
      <c r="IS79" s="106"/>
      <c r="IT79" s="106"/>
      <c r="IU79" s="106"/>
      <c r="IV79" s="106"/>
      <c r="IW79" s="106"/>
      <c r="IX79" s="106"/>
      <c r="IY79" s="106"/>
      <c r="IZ79" s="106"/>
      <c r="JA79" s="106"/>
      <c r="JB79" s="106"/>
      <c r="JC79" s="106"/>
      <c r="JD79" s="106"/>
      <c r="JE79" s="106"/>
      <c r="JF79" s="106"/>
      <c r="JG79" s="106"/>
      <c r="JH79" s="106"/>
      <c r="JI79" s="106"/>
      <c r="JJ79" s="106"/>
      <c r="JK79" s="106"/>
      <c r="JL79" s="106"/>
      <c r="JM79" s="106"/>
      <c r="JN79" s="106"/>
      <c r="JO79" s="106"/>
      <c r="JP79" s="106"/>
      <c r="JQ79" s="106"/>
      <c r="JR79" s="106"/>
      <c r="JS79" s="106"/>
      <c r="JT79" s="106"/>
      <c r="JU79" s="106"/>
      <c r="JV79" s="106"/>
      <c r="JW79" s="106"/>
      <c r="JX79" s="106"/>
      <c r="JY79" s="106"/>
      <c r="JZ79" s="106"/>
      <c r="KA79" s="106"/>
      <c r="KB79" s="106"/>
      <c r="KC79" s="106"/>
      <c r="KD79" s="106"/>
      <c r="KE79" s="106"/>
      <c r="KF79" s="106"/>
      <c r="KG79" s="106"/>
      <c r="KH79" s="106"/>
      <c r="KI79" s="106"/>
      <c r="KJ79" s="106"/>
      <c r="KK79" s="106"/>
      <c r="KL79" s="106"/>
      <c r="KM79" s="106"/>
      <c r="KN79" s="106"/>
      <c r="KO79" s="106"/>
      <c r="KP79" s="106"/>
      <c r="KQ79" s="106"/>
      <c r="KR79" s="106"/>
      <c r="KS79" s="106"/>
      <c r="KT79" s="106"/>
      <c r="KU79" s="106"/>
      <c r="KV79" s="106"/>
      <c r="KW79" s="106"/>
      <c r="KX79" s="106"/>
      <c r="KY79" s="106"/>
      <c r="KZ79" s="106"/>
      <c r="LA79" s="106"/>
      <c r="LB79" s="106"/>
      <c r="LC79" s="106"/>
      <c r="LD79" s="106"/>
      <c r="LE79" s="106"/>
      <c r="LF79" s="106"/>
      <c r="LG79" s="106"/>
      <c r="LH79" s="106"/>
      <c r="LI79" s="106"/>
      <c r="LJ79" s="106"/>
      <c r="LK79" s="106"/>
      <c r="LL79" s="106"/>
      <c r="LM79" s="106"/>
      <c r="LN79" s="106"/>
      <c r="LO79" s="106"/>
      <c r="LP79" s="106"/>
      <c r="LQ79" s="106"/>
      <c r="LR79" s="106"/>
      <c r="LS79" s="106"/>
      <c r="LT79" s="106"/>
      <c r="LU79" s="106"/>
      <c r="LV79" s="106"/>
      <c r="LW79" s="106"/>
      <c r="LX79" s="106"/>
      <c r="LY79" s="106"/>
      <c r="LZ79" s="106"/>
      <c r="MA79" s="106"/>
      <c r="MB79" s="106"/>
      <c r="MC79" s="106"/>
      <c r="MD79" s="106"/>
      <c r="ME79" s="106"/>
      <c r="MF79" s="106"/>
      <c r="MG79" s="106"/>
      <c r="MH79" s="106"/>
      <c r="MI79" s="106"/>
      <c r="MJ79" s="106"/>
      <c r="MK79" s="106"/>
      <c r="ML79" s="106"/>
      <c r="MM79" s="106"/>
      <c r="MN79" s="106"/>
      <c r="MO79" s="106"/>
      <c r="MP79" s="106"/>
      <c r="MQ79" s="106"/>
      <c r="MR79" s="106"/>
      <c r="MS79" s="106"/>
      <c r="MT79" s="106"/>
      <c r="MU79" s="106"/>
      <c r="MV79" s="106"/>
      <c r="MW79" s="106"/>
      <c r="MX79" s="106"/>
      <c r="MY79" s="106"/>
      <c r="MZ79" s="106"/>
      <c r="NA79" s="106"/>
      <c r="NB79" s="106"/>
      <c r="NC79" s="106"/>
      <c r="ND79" s="106"/>
      <c r="NE79" s="106"/>
      <c r="NF79" s="106"/>
      <c r="NG79" s="106"/>
      <c r="NH79" s="106"/>
      <c r="NI79" s="106"/>
      <c r="NJ79" s="106"/>
      <c r="NK79" s="106"/>
      <c r="NL79" s="106"/>
      <c r="NM79" s="106"/>
      <c r="NN79" s="106"/>
      <c r="NO79" s="106"/>
      <c r="NP79" s="106"/>
      <c r="NQ79" s="106"/>
      <c r="NR79" s="106"/>
      <c r="NS79" s="106"/>
      <c r="NT79" s="106"/>
      <c r="NU79" s="106"/>
      <c r="NV79" s="106"/>
      <c r="NW79" s="106"/>
      <c r="NX79" s="106"/>
      <c r="NY79" s="106"/>
      <c r="NZ79" s="106"/>
      <c r="OA79" s="106"/>
      <c r="OB79" s="106"/>
      <c r="OC79" s="106"/>
      <c r="OD79" s="106"/>
      <c r="OE79" s="106"/>
      <c r="OF79" s="106"/>
      <c r="OG79" s="106"/>
      <c r="OH79" s="106"/>
      <c r="OI79" s="106"/>
      <c r="OJ79" s="106"/>
      <c r="OK79" s="106"/>
      <c r="OL79" s="106"/>
      <c r="OM79" s="106"/>
      <c r="ON79" s="106"/>
      <c r="OO79" s="106"/>
      <c r="OP79" s="106"/>
      <c r="OQ79" s="106"/>
      <c r="OR79" s="106"/>
      <c r="OS79" s="106"/>
      <c r="OT79" s="106"/>
      <c r="OU79" s="106"/>
      <c r="OV79" s="106"/>
      <c r="OW79" s="106"/>
      <c r="OX79" s="106"/>
      <c r="OY79" s="106"/>
      <c r="OZ79" s="106"/>
      <c r="PA79" s="106"/>
      <c r="PB79" s="106"/>
      <c r="PC79" s="106"/>
      <c r="PD79" s="106"/>
      <c r="PE79" s="106"/>
      <c r="PF79" s="106"/>
      <c r="PG79" s="106"/>
      <c r="PH79" s="106"/>
      <c r="PI79" s="106"/>
      <c r="PJ79" s="106"/>
      <c r="PK79" s="106"/>
      <c r="PL79" s="106"/>
      <c r="PM79" s="106"/>
      <c r="PN79" s="106"/>
      <c r="PO79" s="106"/>
      <c r="PP79" s="106"/>
      <c r="PQ79" s="106"/>
      <c r="PR79" s="106"/>
      <c r="PS79" s="106"/>
      <c r="PT79" s="106"/>
      <c r="PU79" s="106"/>
      <c r="PV79" s="106"/>
      <c r="PW79" s="106"/>
      <c r="PX79" s="106"/>
      <c r="PY79" s="106"/>
      <c r="PZ79" s="106"/>
      <c r="QA79" s="106"/>
      <c r="QB79" s="106"/>
      <c r="QC79" s="106"/>
      <c r="QD79" s="106"/>
      <c r="QE79" s="106"/>
      <c r="QF79" s="106"/>
      <c r="QG79" s="106"/>
      <c r="QH79" s="106"/>
      <c r="QI79" s="106"/>
      <c r="QJ79" s="106"/>
      <c r="QK79" s="106"/>
      <c r="QL79" s="106"/>
      <c r="QM79" s="106"/>
      <c r="QN79" s="106"/>
      <c r="QO79" s="106"/>
      <c r="QP79" s="106"/>
      <c r="QQ79" s="106"/>
      <c r="QR79" s="106"/>
      <c r="QS79" s="106"/>
      <c r="QT79" s="106"/>
      <c r="QU79" s="106"/>
      <c r="QV79" s="106"/>
      <c r="QW79" s="106"/>
      <c r="QX79" s="106"/>
      <c r="QY79" s="106"/>
      <c r="QZ79" s="106"/>
      <c r="RA79" s="106"/>
      <c r="RB79" s="106"/>
      <c r="RC79" s="106"/>
      <c r="RD79" s="106"/>
      <c r="RE79" s="106"/>
      <c r="RF79" s="106"/>
      <c r="RG79" s="106"/>
      <c r="RH79" s="106"/>
      <c r="RI79" s="106"/>
      <c r="RJ79" s="106"/>
      <c r="RK79" s="106"/>
      <c r="RL79" s="106"/>
      <c r="RM79" s="106"/>
      <c r="RN79" s="106"/>
      <c r="RO79" s="106"/>
      <c r="RP79" s="106"/>
      <c r="RQ79" s="106"/>
      <c r="RR79" s="106"/>
      <c r="RS79" s="106"/>
      <c r="RT79" s="106"/>
      <c r="RU79" s="106"/>
      <c r="RV79" s="106"/>
      <c r="RW79" s="106"/>
      <c r="RX79" s="106"/>
      <c r="RY79" s="106"/>
      <c r="RZ79" s="106"/>
      <c r="SA79" s="106"/>
      <c r="SB79" s="106"/>
      <c r="SC79" s="106"/>
      <c r="SD79" s="106"/>
      <c r="SE79" s="106"/>
      <c r="SF79" s="106"/>
      <c r="SG79" s="106"/>
      <c r="SH79" s="106"/>
      <c r="SI79" s="106"/>
      <c r="SJ79" s="106"/>
      <c r="SK79" s="106"/>
      <c r="SL79" s="106"/>
      <c r="SM79" s="106"/>
      <c r="SN79" s="106"/>
      <c r="SO79" s="106"/>
      <c r="SP79" s="106"/>
      <c r="SQ79" s="106"/>
      <c r="SR79" s="106"/>
      <c r="SS79" s="106"/>
      <c r="ST79" s="106"/>
      <c r="SU79" s="106"/>
      <c r="SV79" s="106"/>
      <c r="SW79" s="106"/>
      <c r="SX79" s="106"/>
      <c r="SY79" s="106"/>
      <c r="SZ79" s="106"/>
      <c r="TA79" s="106"/>
      <c r="TB79" s="106"/>
      <c r="TC79" s="106"/>
      <c r="TD79" s="106"/>
      <c r="TE79" s="106"/>
      <c r="TF79" s="106"/>
      <c r="TG79" s="106"/>
      <c r="TH79" s="106"/>
      <c r="TI79" s="106"/>
      <c r="TJ79" s="106"/>
      <c r="TK79" s="106"/>
      <c r="TL79" s="106"/>
      <c r="TM79" s="106"/>
      <c r="TN79" s="106"/>
      <c r="TO79" s="106"/>
      <c r="TP79" s="106"/>
      <c r="TQ79" s="106"/>
      <c r="TR79" s="106"/>
      <c r="TS79" s="106"/>
      <c r="TT79" s="106"/>
      <c r="TU79" s="106"/>
      <c r="TV79" s="106"/>
      <c r="TW79" s="106"/>
      <c r="TX79" s="106"/>
      <c r="TY79" s="106"/>
      <c r="TZ79" s="106"/>
      <c r="UA79" s="106"/>
      <c r="UB79" s="106"/>
      <c r="UC79" s="106"/>
      <c r="UD79" s="106"/>
      <c r="UE79" s="106"/>
      <c r="UF79" s="106"/>
      <c r="UG79" s="106"/>
      <c r="UH79" s="106"/>
      <c r="UI79" s="106"/>
      <c r="UJ79" s="106"/>
      <c r="UK79" s="106"/>
      <c r="UL79" s="106"/>
      <c r="UM79" s="106"/>
      <c r="UN79" s="106"/>
      <c r="UO79" s="106"/>
      <c r="UP79" s="106"/>
      <c r="UQ79" s="106"/>
      <c r="UR79" s="106"/>
      <c r="US79" s="106"/>
      <c r="UT79" s="106"/>
      <c r="UU79" s="106"/>
      <c r="UV79" s="106"/>
      <c r="UW79" s="106"/>
      <c r="UX79" s="106"/>
      <c r="UY79" s="106"/>
      <c r="UZ79" s="106"/>
      <c r="VA79" s="106"/>
      <c r="VB79" s="106"/>
      <c r="VC79" s="106"/>
      <c r="VD79" s="106"/>
      <c r="VE79" s="106"/>
      <c r="VF79" s="106"/>
      <c r="VG79" s="106"/>
      <c r="VH79" s="106"/>
      <c r="VI79" s="106"/>
      <c r="VJ79" s="106"/>
      <c r="VK79" s="106"/>
      <c r="VL79" s="106"/>
      <c r="VM79" s="106"/>
      <c r="VN79" s="106"/>
      <c r="VO79" s="106"/>
      <c r="VP79" s="106"/>
      <c r="VQ79" s="106"/>
      <c r="VR79" s="106"/>
      <c r="VS79" s="106"/>
      <c r="VT79" s="106"/>
      <c r="VU79" s="106"/>
      <c r="VV79" s="106"/>
      <c r="VW79" s="106"/>
      <c r="VX79" s="106"/>
      <c r="VY79" s="106"/>
      <c r="VZ79" s="106"/>
      <c r="WA79" s="106"/>
      <c r="WB79" s="106"/>
      <c r="WC79" s="106"/>
      <c r="WD79" s="106"/>
      <c r="WE79" s="106"/>
      <c r="WF79" s="106"/>
      <c r="WG79" s="106"/>
      <c r="WH79" s="106"/>
      <c r="WI79" s="106"/>
      <c r="WJ79" s="106"/>
      <c r="WK79" s="106"/>
      <c r="WL79" s="106"/>
      <c r="WM79" s="106"/>
      <c r="WN79" s="106"/>
      <c r="WO79" s="106"/>
      <c r="WP79" s="106"/>
      <c r="WQ79" s="106"/>
      <c r="WR79" s="106"/>
      <c r="WS79" s="106"/>
      <c r="WT79" s="106"/>
      <c r="WU79" s="106"/>
      <c r="WV79" s="106"/>
      <c r="WW79" s="106"/>
      <c r="WX79" s="106"/>
      <c r="WY79" s="106"/>
      <c r="WZ79" s="106"/>
      <c r="XA79" s="106"/>
      <c r="XB79" s="106"/>
      <c r="XC79" s="106"/>
      <c r="XD79" s="106"/>
      <c r="XE79" s="106"/>
      <c r="XF79" s="106"/>
      <c r="XG79" s="106"/>
      <c r="XH79" s="106"/>
      <c r="XI79" s="106"/>
      <c r="XJ79" s="106"/>
      <c r="XK79" s="106"/>
      <c r="XL79" s="106"/>
      <c r="XM79" s="106"/>
      <c r="XN79" s="106"/>
      <c r="XO79" s="106"/>
      <c r="XP79" s="106"/>
      <c r="XQ79" s="106"/>
      <c r="XR79" s="106"/>
      <c r="XS79" s="106"/>
      <c r="XT79" s="106"/>
      <c r="XU79" s="106"/>
      <c r="XV79" s="106"/>
      <c r="XW79" s="106"/>
      <c r="XX79" s="106"/>
      <c r="XY79" s="106"/>
      <c r="XZ79" s="106"/>
      <c r="YA79" s="106"/>
      <c r="YB79" s="106"/>
      <c r="YC79" s="106"/>
      <c r="YD79" s="106"/>
      <c r="YE79" s="106"/>
      <c r="YF79" s="106"/>
      <c r="YG79" s="106"/>
      <c r="YH79" s="106"/>
      <c r="YI79" s="106"/>
      <c r="YJ79" s="106"/>
      <c r="YK79" s="106"/>
      <c r="YL79" s="106"/>
      <c r="YM79" s="106"/>
      <c r="YN79" s="106"/>
      <c r="YO79" s="106"/>
      <c r="YP79" s="106"/>
      <c r="YQ79" s="106"/>
      <c r="YR79" s="106"/>
      <c r="YS79" s="106"/>
      <c r="YT79" s="106"/>
      <c r="YU79" s="106"/>
      <c r="YV79" s="106"/>
      <c r="YW79" s="106"/>
      <c r="YX79" s="106"/>
      <c r="YY79" s="106"/>
      <c r="YZ79" s="106"/>
      <c r="ZA79" s="106"/>
      <c r="ZB79" s="106"/>
      <c r="ZC79" s="106"/>
      <c r="ZD79" s="106"/>
      <c r="ZE79" s="106"/>
      <c r="ZF79" s="106"/>
      <c r="ZG79" s="106"/>
      <c r="ZH79" s="106"/>
      <c r="ZI79" s="106"/>
      <c r="ZJ79" s="106"/>
      <c r="ZK79" s="106"/>
      <c r="ZL79" s="106"/>
      <c r="ZM79" s="106"/>
      <c r="ZN79" s="106"/>
      <c r="ZO79" s="106"/>
      <c r="ZP79" s="106"/>
      <c r="ZQ79" s="106"/>
      <c r="ZR79" s="106"/>
      <c r="ZS79" s="106"/>
      <c r="ZT79" s="106"/>
      <c r="ZU79" s="106"/>
      <c r="ZV79" s="106"/>
      <c r="ZW79" s="106"/>
      <c r="ZX79" s="106"/>
      <c r="ZY79" s="106"/>
      <c r="ZZ79" s="106"/>
      <c r="AAA79" s="106"/>
      <c r="AAB79" s="106"/>
      <c r="AAC79" s="106"/>
      <c r="AAD79" s="106"/>
      <c r="AAE79" s="106"/>
      <c r="AAF79" s="106"/>
      <c r="AAG79" s="106"/>
      <c r="AAH79" s="106"/>
      <c r="AAI79" s="106"/>
      <c r="AAJ79" s="106"/>
      <c r="AAK79" s="106"/>
      <c r="AAL79" s="106"/>
      <c r="AAM79" s="106"/>
      <c r="AAN79" s="106"/>
      <c r="AAO79" s="106"/>
      <c r="AAP79" s="106"/>
      <c r="AAQ79" s="106"/>
      <c r="AAR79" s="106"/>
      <c r="AAS79" s="106"/>
      <c r="AAT79" s="106"/>
      <c r="AAU79" s="106"/>
      <c r="AAV79" s="106"/>
      <c r="AAW79" s="106"/>
      <c r="AAX79" s="106"/>
      <c r="AAY79" s="106"/>
      <c r="AAZ79" s="106"/>
      <c r="ABA79" s="106"/>
      <c r="ABB79" s="106"/>
      <c r="ABC79" s="106"/>
      <c r="ABD79" s="106"/>
      <c r="ABE79" s="106"/>
      <c r="ABF79" s="106"/>
      <c r="ABG79" s="106"/>
      <c r="ABH79" s="106"/>
      <c r="ABI79" s="106"/>
      <c r="ABJ79" s="106"/>
      <c r="ABK79" s="106"/>
      <c r="ABL79" s="106"/>
      <c r="ABM79" s="106"/>
      <c r="ABN79" s="106"/>
      <c r="ABO79" s="106"/>
      <c r="ABP79" s="106"/>
      <c r="ABQ79" s="106"/>
      <c r="ABR79" s="106"/>
      <c r="ABS79" s="106"/>
      <c r="ABT79" s="106"/>
      <c r="ABU79" s="106"/>
      <c r="ABV79" s="106"/>
      <c r="ABW79" s="106"/>
      <c r="ABX79" s="106"/>
      <c r="ABY79" s="106"/>
      <c r="ABZ79" s="106"/>
      <c r="ACA79" s="106"/>
      <c r="ACB79" s="106"/>
      <c r="ACC79" s="106"/>
      <c r="ACD79" s="106"/>
      <c r="ACE79" s="106"/>
      <c r="ACF79" s="106"/>
      <c r="ACG79" s="106"/>
      <c r="ACH79" s="106"/>
      <c r="ACI79" s="106"/>
      <c r="ACJ79" s="106"/>
      <c r="ACK79" s="106"/>
      <c r="ACL79" s="106"/>
      <c r="ACM79" s="106"/>
      <c r="ACN79" s="106"/>
      <c r="ACO79" s="106"/>
      <c r="ACP79" s="106"/>
      <c r="ACQ79" s="106"/>
      <c r="ACR79" s="106"/>
      <c r="ACS79" s="106"/>
      <c r="ACT79" s="106"/>
      <c r="ACU79" s="106"/>
      <c r="ACV79" s="106"/>
      <c r="ACW79" s="106"/>
      <c r="ACX79" s="106"/>
      <c r="ACY79" s="106"/>
      <c r="ACZ79" s="106"/>
      <c r="ADA79" s="106"/>
      <c r="ADB79" s="106"/>
      <c r="ADC79" s="106"/>
      <c r="ADD79" s="106"/>
      <c r="ADE79" s="106"/>
      <c r="ADF79" s="106"/>
      <c r="ADG79" s="106"/>
      <c r="ADH79" s="106"/>
      <c r="ADI79" s="106"/>
      <c r="ADJ79" s="106"/>
      <c r="ADK79" s="106"/>
      <c r="ADL79" s="106"/>
      <c r="ADM79" s="106"/>
      <c r="ADN79" s="106"/>
      <c r="ADO79" s="106"/>
      <c r="ADP79" s="106"/>
      <c r="ADQ79" s="106"/>
      <c r="ADR79" s="106"/>
      <c r="ADS79" s="106"/>
      <c r="ADT79" s="106"/>
      <c r="ADU79" s="106"/>
      <c r="ADV79" s="106"/>
      <c r="ADW79" s="106"/>
      <c r="ADX79" s="106"/>
      <c r="ADY79" s="106"/>
      <c r="ADZ79" s="106"/>
      <c r="AEA79" s="106"/>
      <c r="AEB79" s="106"/>
      <c r="AEC79" s="106"/>
      <c r="AED79" s="106"/>
      <c r="AEE79" s="106"/>
      <c r="AEF79" s="106"/>
      <c r="AEG79" s="106"/>
      <c r="AEH79" s="106"/>
      <c r="AEI79" s="106"/>
      <c r="AEJ79" s="106"/>
      <c r="AEK79" s="106"/>
      <c r="AEL79" s="106"/>
      <c r="AEM79" s="106"/>
      <c r="AEN79" s="106"/>
      <c r="AEO79" s="106"/>
      <c r="AEP79" s="106"/>
      <c r="AEQ79" s="106"/>
      <c r="AER79" s="106"/>
      <c r="AES79" s="106"/>
      <c r="AET79" s="106"/>
      <c r="AEU79" s="106"/>
      <c r="AEV79" s="106"/>
      <c r="AEW79" s="106"/>
      <c r="AEX79" s="106"/>
      <c r="AEY79" s="106"/>
      <c r="AEZ79" s="106"/>
      <c r="AFA79" s="106"/>
      <c r="AFB79" s="106"/>
      <c r="AFC79" s="106"/>
      <c r="AFD79" s="106"/>
      <c r="AFE79" s="106"/>
      <c r="AFF79" s="106"/>
      <c r="AFG79" s="106"/>
      <c r="AFH79" s="106"/>
      <c r="AFI79" s="106"/>
      <c r="AFJ79" s="106"/>
      <c r="AFK79" s="106"/>
      <c r="AFL79" s="106"/>
      <c r="AFM79" s="106"/>
      <c r="AFN79" s="106"/>
      <c r="AFO79" s="106"/>
      <c r="AFP79" s="106"/>
      <c r="AFQ79" s="106"/>
      <c r="AFR79" s="106"/>
      <c r="AFS79" s="106"/>
      <c r="AFT79" s="106"/>
      <c r="AFU79" s="106"/>
      <c r="AFV79" s="106"/>
      <c r="AFW79" s="106"/>
      <c r="AFX79" s="106"/>
      <c r="AFY79" s="106"/>
      <c r="AFZ79" s="106"/>
      <c r="AGA79" s="106"/>
      <c r="AGB79" s="106"/>
      <c r="AGC79" s="106"/>
      <c r="AGD79" s="106"/>
      <c r="AGE79" s="106"/>
      <c r="AGF79" s="106"/>
      <c r="AGG79" s="106"/>
      <c r="AGH79" s="106"/>
      <c r="AGI79" s="106"/>
      <c r="AGJ79" s="106"/>
      <c r="AGK79" s="106"/>
      <c r="AGL79" s="106"/>
      <c r="AGM79" s="106"/>
      <c r="AGN79" s="106"/>
      <c r="AGO79" s="106"/>
      <c r="AGP79" s="106"/>
      <c r="AGQ79" s="106"/>
      <c r="AGR79" s="106"/>
      <c r="AGS79" s="106"/>
      <c r="AGT79" s="106"/>
      <c r="AGU79" s="106"/>
      <c r="AGV79" s="106"/>
      <c r="AGW79" s="106"/>
      <c r="AGX79" s="106"/>
      <c r="AGY79" s="106"/>
      <c r="AGZ79" s="106"/>
      <c r="AHA79" s="106"/>
      <c r="AHB79" s="106"/>
      <c r="AHC79" s="106"/>
      <c r="AHD79" s="106"/>
      <c r="AHE79" s="106"/>
      <c r="AHF79" s="106"/>
      <c r="AHG79" s="106"/>
      <c r="AHH79" s="106"/>
      <c r="AHI79" s="106"/>
      <c r="AHJ79" s="106"/>
      <c r="AHK79" s="106"/>
      <c r="AHL79" s="106"/>
      <c r="AHM79" s="106"/>
      <c r="AHN79" s="106"/>
      <c r="AHO79" s="106"/>
      <c r="AHP79" s="106"/>
      <c r="AHQ79" s="106"/>
      <c r="AHR79" s="106"/>
      <c r="AHS79" s="106"/>
      <c r="AHT79" s="106"/>
      <c r="AHU79" s="106"/>
      <c r="AHV79" s="106"/>
      <c r="AHW79" s="106"/>
      <c r="AHX79" s="106"/>
      <c r="AHY79" s="106"/>
      <c r="AHZ79" s="106"/>
      <c r="AIA79" s="106"/>
      <c r="AIB79" s="106"/>
      <c r="AIC79" s="106"/>
      <c r="AID79" s="106"/>
      <c r="AIE79" s="106"/>
      <c r="AIF79" s="106"/>
      <c r="AIG79" s="106"/>
      <c r="AIH79" s="106"/>
      <c r="AII79" s="106"/>
      <c r="AIJ79" s="106"/>
      <c r="AIK79" s="106"/>
      <c r="AIL79" s="106"/>
      <c r="AIM79" s="106"/>
      <c r="AIN79" s="106"/>
      <c r="AIO79" s="106"/>
      <c r="AIP79" s="106"/>
      <c r="AIQ79" s="106"/>
      <c r="AIR79" s="106"/>
      <c r="AIS79" s="106"/>
      <c r="AIT79" s="106"/>
      <c r="AIU79" s="106"/>
      <c r="AIV79" s="106"/>
      <c r="AIW79" s="106"/>
      <c r="AIX79" s="106"/>
      <c r="AIY79" s="106"/>
      <c r="AIZ79" s="106"/>
      <c r="AJA79" s="106"/>
      <c r="AJB79" s="106"/>
      <c r="AJC79" s="106"/>
      <c r="AJD79" s="106"/>
      <c r="AJE79" s="106"/>
      <c r="AJF79" s="106"/>
      <c r="AJG79" s="106"/>
      <c r="AJH79" s="106"/>
      <c r="AJI79" s="106"/>
      <c r="AJJ79" s="106"/>
      <c r="AJK79" s="106"/>
      <c r="AJL79" s="106"/>
      <c r="AJM79" s="106"/>
      <c r="AJN79" s="106"/>
      <c r="AJO79" s="106"/>
      <c r="AJP79" s="106"/>
      <c r="AJQ79" s="106"/>
      <c r="AJR79" s="106"/>
      <c r="AJS79" s="106"/>
      <c r="AJT79" s="106"/>
      <c r="AJU79" s="106"/>
      <c r="AJV79" s="106"/>
      <c r="AJW79" s="106"/>
      <c r="AJX79" s="106"/>
      <c r="AJY79" s="106"/>
      <c r="AJZ79" s="106"/>
      <c r="AKA79" s="106"/>
      <c r="AKB79" s="106"/>
      <c r="AKC79" s="106"/>
      <c r="AKD79" s="106"/>
      <c r="AKE79" s="106"/>
      <c r="AKF79" s="106"/>
      <c r="AKG79" s="106"/>
      <c r="AKH79" s="106"/>
      <c r="AKI79" s="106"/>
      <c r="AKJ79" s="106"/>
      <c r="AKK79" s="106"/>
      <c r="AKL79" s="106"/>
      <c r="AKM79" s="106"/>
      <c r="AKN79" s="106"/>
      <c r="AKO79" s="106"/>
      <c r="AKP79" s="106"/>
      <c r="AKQ79" s="106"/>
      <c r="AKR79" s="106"/>
      <c r="AKS79" s="106"/>
      <c r="AKT79" s="106"/>
      <c r="AKU79" s="106"/>
      <c r="AKV79" s="106"/>
      <c r="AKW79" s="106"/>
      <c r="AKX79" s="106"/>
      <c r="AKY79" s="106"/>
      <c r="AKZ79" s="106"/>
      <c r="ALA79" s="106"/>
      <c r="ALB79" s="106"/>
      <c r="ALC79" s="106"/>
      <c r="ALD79" s="106"/>
      <c r="ALE79" s="106"/>
      <c r="ALF79" s="106"/>
      <c r="ALG79" s="106"/>
      <c r="ALH79" s="106"/>
    </row>
    <row r="80" spans="1:996" s="41" customFormat="1">
      <c r="A80" s="37"/>
      <c r="B80" t="str">
        <f t="shared" si="0"/>
        <v>S211201</v>
      </c>
      <c r="C80" s="29" t="s">
        <v>352</v>
      </c>
      <c r="D80" s="27" t="s">
        <v>128</v>
      </c>
      <c r="E80" s="7">
        <v>211201</v>
      </c>
      <c r="F80" s="48" t="s">
        <v>136</v>
      </c>
      <c r="G80" s="423">
        <f>IFERROR(VLOOKUP(E80,'BD - A - Mvto Cx'!$E$15:$G$501,3,0),0)</f>
        <v>0</v>
      </c>
      <c r="H80" s="51">
        <f>IFERROR(VLOOKUP(E80,'BD - A - Mvto Cx'!$N$15:$P$500,3,0),0)</f>
        <v>0</v>
      </c>
      <c r="I80" s="50">
        <f>IFERROR(VLOOKUP(E80,'BD - A - Mvto Cx'!$W$15:$Y$500,3,0),0)</f>
        <v>0</v>
      </c>
      <c r="J80" s="50">
        <f>IFERROR(VLOOKUP(E80,'BD - A - Mvto Cx'!$AF$15:$AH$500,3,0),0)</f>
        <v>7836.26</v>
      </c>
      <c r="K80" s="50">
        <f>IFERROR(VLOOKUP(E80,'BD - A - Mvto Cx'!$AO$15:$AQ$500,3,0),0)</f>
        <v>0</v>
      </c>
      <c r="L80" s="50">
        <f>IFERROR(VLOOKUP(E80,'BD - A - Mvto Cx'!$AX$15:$AZ$500,3,0),0)</f>
        <v>0</v>
      </c>
      <c r="M80" s="50">
        <f>IFERROR(VLOOKUP(E80,'BD - A - Mvto Cx'!$BG$15:$BI$500,3,0),0)</f>
        <v>0</v>
      </c>
      <c r="N80" s="50">
        <f>IFERROR(VLOOKUP(E80,'BD - A - Mvto Cx'!$BP$15:$BR$500,3,0),0)</f>
        <v>0</v>
      </c>
      <c r="O80" s="50">
        <f>IFERROR(VLOOKUP(E80,'BD - A - Mvto Cx'!$BY$15:$CA$500,3,0),0)</f>
        <v>0</v>
      </c>
      <c r="P80" s="50">
        <f>IFERROR(VLOOKUP(E80,'BD - A - Mvto Cx'!$CH$15:$CJ$500,3,0),0)</f>
        <v>0</v>
      </c>
      <c r="Q80" s="50">
        <f>IFERROR(VLOOKUP(E80,'BD - A - Mvto Cx'!$CQ$15:$CS$500,3,0),0)</f>
        <v>0</v>
      </c>
      <c r="R80" s="50">
        <f>IFERROR(VLOOKUP(E80,'BD - A - Mvto Cx'!$CZ$15:$DB$500,3,0),0)</f>
        <v>0</v>
      </c>
    </row>
    <row r="81" spans="1:18" s="41" customFormat="1">
      <c r="A81" s="37"/>
      <c r="B81" t="str">
        <f t="shared" si="0"/>
        <v>S211301</v>
      </c>
      <c r="C81" s="7" t="s">
        <v>360</v>
      </c>
      <c r="D81" s="27" t="s">
        <v>128</v>
      </c>
      <c r="E81" s="7">
        <v>211301</v>
      </c>
      <c r="F81" s="48" t="s">
        <v>137</v>
      </c>
      <c r="G81" s="49">
        <f>IFERROR(VLOOKUP(E81,'BD - A - Mvto Cx'!$E$15:$G$501,3,0),0)</f>
        <v>0</v>
      </c>
      <c r="H81" s="51">
        <f>IFERROR(VLOOKUP(E81,'BD - A - Mvto Cx'!$N$15:$P$500,3,0),0)</f>
        <v>0</v>
      </c>
      <c r="I81" s="50">
        <f>IFERROR(VLOOKUP(E81,'BD - A - Mvto Cx'!$W$15:$Y$500,3,0),0)</f>
        <v>0</v>
      </c>
      <c r="J81" s="50">
        <f>IFERROR(VLOOKUP(E81,'BD - A - Mvto Cx'!$AF$15:$AH$500,3,0),0)</f>
        <v>0</v>
      </c>
      <c r="K81" s="50">
        <f>IFERROR(VLOOKUP(E81,'BD - A - Mvto Cx'!$AO$15:$AQ$500,3,0),0)</f>
        <v>0</v>
      </c>
      <c r="L81" s="50">
        <f>IFERROR(VLOOKUP(E81,'BD - A - Mvto Cx'!$AX$15:$AZ$500,3,0),0)</f>
        <v>0</v>
      </c>
      <c r="M81" s="50">
        <f>IFERROR(VLOOKUP(E81,'BD - A - Mvto Cx'!$BG$15:$BI$500,3,0),0)</f>
        <v>0</v>
      </c>
      <c r="N81" s="50">
        <f>IFERROR(VLOOKUP(E81,'BD - A - Mvto Cx'!$BP$15:$BR$500,3,0),0)</f>
        <v>0</v>
      </c>
      <c r="O81" s="50">
        <f>IFERROR(VLOOKUP(E81,'BD - A - Mvto Cx'!$BY$15:$CA$500,3,0),0)</f>
        <v>0</v>
      </c>
      <c r="P81" s="50">
        <f>IFERROR(VLOOKUP(E81,'BD - A - Mvto Cx'!$CH$15:$CJ$500,3,0),0)</f>
        <v>0</v>
      </c>
      <c r="Q81" s="50">
        <f>IFERROR(VLOOKUP(E81,'BD - A - Mvto Cx'!$CQ$15:$CS$500,3,0),0)</f>
        <v>0</v>
      </c>
      <c r="R81" s="50">
        <f>IFERROR(VLOOKUP(E81,'BD - A - Mvto Cx'!$CZ$15:$DB$500,3,0),0)</f>
        <v>0</v>
      </c>
    </row>
    <row r="82" spans="1:18" s="41" customFormat="1">
      <c r="A82" s="37"/>
      <c r="B82" t="str">
        <f t="shared" si="0"/>
        <v>S212102</v>
      </c>
      <c r="C82" s="29" t="s">
        <v>340</v>
      </c>
      <c r="D82" s="27" t="s">
        <v>128</v>
      </c>
      <c r="E82" s="7">
        <v>212102</v>
      </c>
      <c r="F82" s="48" t="s">
        <v>138</v>
      </c>
      <c r="G82" s="423">
        <f>IFERROR(VLOOKUP(E82,'BD - A - Mvto Cx'!$E$15:$G$501,3,0),0)</f>
        <v>39432.879999999997</v>
      </c>
      <c r="H82" s="51">
        <f>IFERROR(VLOOKUP(E82,'BD - A - Mvto Cx'!$N$15:$P$500,3,0),0)</f>
        <v>39105.65</v>
      </c>
      <c r="I82" s="50">
        <f>IFERROR(VLOOKUP(E82,'BD - A - Mvto Cx'!$W$15:$Y$500,3,0),0)</f>
        <v>2588.85</v>
      </c>
      <c r="J82" s="50">
        <f>IFERROR(VLOOKUP(E82,'BD - A - Mvto Cx'!$AF$15:$AH$500,3,0),0)</f>
        <v>55734.559999999998</v>
      </c>
      <c r="K82" s="50">
        <f>IFERROR(VLOOKUP(E82,'BD - A - Mvto Cx'!$AO$15:$AQ$500,3,0),0)</f>
        <v>0</v>
      </c>
      <c r="L82" s="50">
        <f>IFERROR(VLOOKUP(E82,'BD - A - Mvto Cx'!$AX$15:$AZ$500,3,0),0)</f>
        <v>0</v>
      </c>
      <c r="M82" s="50">
        <f>IFERROR(VLOOKUP(E82,'BD - A - Mvto Cx'!$BG$15:$BI$500,3,0),0)</f>
        <v>0</v>
      </c>
      <c r="N82" s="50">
        <f>IFERROR(VLOOKUP(E82,'BD - A - Mvto Cx'!$BP$15:$BR$500,3,0),0)</f>
        <v>0</v>
      </c>
      <c r="O82" s="50">
        <f>IFERROR(VLOOKUP(E82,'BD - A - Mvto Cx'!$BY$15:$CA$500,3,0),0)</f>
        <v>0</v>
      </c>
      <c r="P82" s="50">
        <f>IFERROR(VLOOKUP(E82,'BD - A - Mvto Cx'!$CH$15:$CJ$500,3,0),0)</f>
        <v>0</v>
      </c>
      <c r="Q82" s="50">
        <f>IFERROR(VLOOKUP(E82,'BD - A - Mvto Cx'!$CQ$15:$CS$500,3,0),0)</f>
        <v>0</v>
      </c>
      <c r="R82" s="50">
        <f>IFERROR(VLOOKUP(E82,'BD - A - Mvto Cx'!$CZ$15:$DB$500,3,0),0)</f>
        <v>0</v>
      </c>
    </row>
    <row r="83" spans="1:18" s="41" customFormat="1">
      <c r="A83" s="37"/>
      <c r="B83" t="str">
        <f t="shared" si="0"/>
        <v>S212106</v>
      </c>
      <c r="C83" s="29" t="s">
        <v>340</v>
      </c>
      <c r="D83" s="27" t="s">
        <v>128</v>
      </c>
      <c r="E83" s="7">
        <v>212106</v>
      </c>
      <c r="F83" s="48" t="s">
        <v>139</v>
      </c>
      <c r="G83" s="423">
        <f>IFERROR(VLOOKUP(E83,'BD - A - Mvto Cx'!$E$15:$G$501,3,0),0)</f>
        <v>15417.9</v>
      </c>
      <c r="H83" s="51">
        <f>IFERROR(VLOOKUP(E83,'BD - A - Mvto Cx'!$N$15:$P$500,3,0),0)</f>
        <v>7158.06</v>
      </c>
      <c r="I83" s="50">
        <f>IFERROR(VLOOKUP(E83,'BD - A - Mvto Cx'!$W$15:$Y$500,3,0),0)</f>
        <v>2243.09</v>
      </c>
      <c r="J83" s="50">
        <f>IFERROR(VLOOKUP(E83,'BD - A - Mvto Cx'!$AF$15:$AH$500,3,0),0)</f>
        <v>9094.82</v>
      </c>
      <c r="K83" s="50">
        <f>IFERROR(VLOOKUP(E83,'BD - A - Mvto Cx'!$AO$15:$AQ$500,3,0),0)</f>
        <v>0</v>
      </c>
      <c r="L83" s="50">
        <f>IFERROR(VLOOKUP(E83,'BD - A - Mvto Cx'!$AX$15:$AZ$500,3,0),0)</f>
        <v>0</v>
      </c>
      <c r="M83" s="50">
        <f>IFERROR(VLOOKUP(E83,'BD - A - Mvto Cx'!$BG$15:$BI$500,3,0),0)</f>
        <v>0</v>
      </c>
      <c r="N83" s="50">
        <f>IFERROR(VLOOKUP(E83,'BD - A - Mvto Cx'!$BP$15:$BR$500,3,0),0)</f>
        <v>0</v>
      </c>
      <c r="O83" s="50">
        <f>IFERROR(VLOOKUP(E83,'BD - A - Mvto Cx'!$BY$15:$CA$500,3,0),0)</f>
        <v>0</v>
      </c>
      <c r="P83" s="50">
        <f>IFERROR(VLOOKUP(E83,'BD - A - Mvto Cx'!$CH$15:$CJ$500,3,0),0)</f>
        <v>0</v>
      </c>
      <c r="Q83" s="50">
        <f>IFERROR(VLOOKUP(E83,'BD - A - Mvto Cx'!$CQ$15:$CS$500,3,0),0)</f>
        <v>0</v>
      </c>
      <c r="R83" s="50">
        <f>IFERROR(VLOOKUP(E83,'BD - A - Mvto Cx'!$CZ$15:$DB$500,3,0),0)</f>
        <v>0</v>
      </c>
    </row>
    <row r="84" spans="1:18" s="41" customFormat="1">
      <c r="A84" s="37"/>
      <c r="B84" t="str">
        <f t="shared" si="0"/>
        <v>S212108</v>
      </c>
      <c r="C84" s="36" t="s">
        <v>340</v>
      </c>
      <c r="D84" s="27" t="s">
        <v>128</v>
      </c>
      <c r="E84" s="7">
        <v>212108</v>
      </c>
      <c r="F84" s="48" t="s">
        <v>475</v>
      </c>
      <c r="G84" s="423">
        <f>IFERROR(VLOOKUP(E84,'BD - A - Mvto Cx'!$E$15:$G$501,3,0),0)</f>
        <v>36156.04</v>
      </c>
      <c r="H84" s="51">
        <f>IFERROR(VLOOKUP(E84,'BD - A - Mvto Cx'!$N$15:$P$500,3,0),0)</f>
        <v>35861.39</v>
      </c>
      <c r="I84" s="50">
        <f>IFERROR(VLOOKUP(E84,'BD - A - Mvto Cx'!$W$15:$Y$500,3,0),0)</f>
        <v>36607.379999999997</v>
      </c>
      <c r="J84" s="50">
        <f>IFERROR(VLOOKUP(E84,'BD - A - Mvto Cx'!$AF$15:$AH$500,3,0),0)</f>
        <v>40481.949999999997</v>
      </c>
      <c r="K84" s="50">
        <f>IFERROR(VLOOKUP(E84,'BD - A - Mvto Cx'!$AO$15:$AQ$500,3,0),0)</f>
        <v>0</v>
      </c>
      <c r="L84" s="50">
        <f>IFERROR(VLOOKUP(E84,'BD - A - Mvto Cx'!$AX$15:$AZ$500,3,0),0)</f>
        <v>0</v>
      </c>
      <c r="M84" s="50">
        <f>IFERROR(VLOOKUP(E84,'BD - A - Mvto Cx'!$BG$15:$BI$500,3,0),0)</f>
        <v>0</v>
      </c>
      <c r="N84" s="50">
        <f>IFERROR(VLOOKUP(E84,'BD - A - Mvto Cx'!$BP$15:$BR$500,3,0),0)</f>
        <v>0</v>
      </c>
      <c r="O84" s="50">
        <f>IFERROR(VLOOKUP(E84,'BD - A - Mvto Cx'!$BY$15:$CA$500,3,0),0)</f>
        <v>0</v>
      </c>
      <c r="P84" s="50">
        <f>IFERROR(VLOOKUP(E84,'BD - A - Mvto Cx'!$CH$15:$CJ$500,3,0),0)</f>
        <v>0</v>
      </c>
      <c r="Q84" s="50">
        <f>IFERROR(VLOOKUP(E84,'BD - A - Mvto Cx'!$CQ$15:$CS$500,3,0),0)</f>
        <v>0</v>
      </c>
      <c r="R84" s="50">
        <f>IFERROR(VLOOKUP(E84,'BD - A - Mvto Cx'!$CZ$15:$DB$500,3,0),0)</f>
        <v>0</v>
      </c>
    </row>
    <row r="85" spans="1:18" s="41" customFormat="1">
      <c r="A85" s="37"/>
      <c r="B85" t="str">
        <f t="shared" si="0"/>
        <v>S212199</v>
      </c>
      <c r="C85" s="29" t="s">
        <v>340</v>
      </c>
      <c r="D85" s="27" t="s">
        <v>128</v>
      </c>
      <c r="E85" s="7">
        <v>212199</v>
      </c>
      <c r="F85" s="48" t="s">
        <v>140</v>
      </c>
      <c r="G85" s="423">
        <f>IFERROR(VLOOKUP(E85,'BD - A - Mvto Cx'!$E$15:$G$501,3,0),0)</f>
        <v>506639.84</v>
      </c>
      <c r="H85" s="51">
        <f>IFERROR(VLOOKUP(E85,'BD - A - Mvto Cx'!$N$15:$P$500,3,0),0)</f>
        <v>530768.31999999995</v>
      </c>
      <c r="I85" s="50">
        <f>IFERROR(VLOOKUP(E85,'BD - A - Mvto Cx'!$W$15:$Y$500,3,0),0)</f>
        <v>507968.56</v>
      </c>
      <c r="J85" s="50">
        <f>IFERROR(VLOOKUP(E85,'BD - A - Mvto Cx'!$AF$15:$AH$500,3,0),0)</f>
        <v>430142.1</v>
      </c>
      <c r="K85" s="50">
        <f>IFERROR(VLOOKUP(E85,'BD - A - Mvto Cx'!$AO$15:$AQ$500,3,0),0)</f>
        <v>0</v>
      </c>
      <c r="L85" s="50">
        <f>IFERROR(VLOOKUP(E85,'BD - A - Mvto Cx'!$AX$15:$AZ$500,3,0),0)</f>
        <v>0</v>
      </c>
      <c r="M85" s="50">
        <f>IFERROR(VLOOKUP(E85,'BD - A - Mvto Cx'!$BG$15:$BI$500,3,0),0)</f>
        <v>0</v>
      </c>
      <c r="N85" s="50">
        <f>IFERROR(VLOOKUP(E85,'BD - A - Mvto Cx'!$BP$15:$BR$500,3,0),0)</f>
        <v>0</v>
      </c>
      <c r="O85" s="50">
        <f>IFERROR(VLOOKUP(E85,'BD - A - Mvto Cx'!$BY$15:$CA$500,3,0),0)</f>
        <v>0</v>
      </c>
      <c r="P85" s="50">
        <f>IFERROR(VLOOKUP(E85,'BD - A - Mvto Cx'!$CH$15:$CJ$500,3,0),0)</f>
        <v>0</v>
      </c>
      <c r="Q85" s="50">
        <f>IFERROR(VLOOKUP(E85,'BD - A - Mvto Cx'!$CQ$15:$CS$500,3,0),0)</f>
        <v>0</v>
      </c>
      <c r="R85" s="50">
        <f>IFERROR(VLOOKUP(E85,'BD - A - Mvto Cx'!$CZ$15:$DB$500,3,0),0)</f>
        <v>0</v>
      </c>
    </row>
    <row r="86" spans="1:18" s="41" customFormat="1">
      <c r="A86" s="37"/>
      <c r="B86" t="str">
        <f t="shared" ref="B86:B173" si="5">D86&amp;E86</f>
        <v>S212204</v>
      </c>
      <c r="C86" s="29" t="s">
        <v>338</v>
      </c>
      <c r="D86" s="27" t="s">
        <v>128</v>
      </c>
      <c r="E86" s="7">
        <v>212204</v>
      </c>
      <c r="F86" s="48" t="s">
        <v>141</v>
      </c>
      <c r="G86" s="423">
        <f>IFERROR(VLOOKUP(E86,'BD - A - Mvto Cx'!$E$15:$G$501,3,0),0)</f>
        <v>0</v>
      </c>
      <c r="H86" s="51">
        <f>IFERROR(VLOOKUP(E86,'BD - A - Mvto Cx'!$N$15:$P$500,3,0),0)</f>
        <v>0</v>
      </c>
      <c r="I86" s="50">
        <f>IFERROR(VLOOKUP(E86,'BD - A - Mvto Cx'!$W$15:$Y$500,3,0),0)</f>
        <v>0</v>
      </c>
      <c r="J86" s="50">
        <f>IFERROR(VLOOKUP(E86,'BD - A - Mvto Cx'!$AF$15:$AH$500,3,0),0)</f>
        <v>0</v>
      </c>
      <c r="K86" s="50">
        <f>IFERROR(VLOOKUP(E86,'BD - A - Mvto Cx'!$AO$15:$AQ$500,3,0),0)</f>
        <v>0</v>
      </c>
      <c r="L86" s="50">
        <f>IFERROR(VLOOKUP(E86,'BD - A - Mvto Cx'!$AX$15:$AZ$500,3,0),0)</f>
        <v>0</v>
      </c>
      <c r="M86" s="50">
        <f>IFERROR(VLOOKUP(E86,'BD - A - Mvto Cx'!$BG$15:$BI$500,3,0),0)</f>
        <v>0</v>
      </c>
      <c r="N86" s="50">
        <f>IFERROR(VLOOKUP(E86,'BD - A - Mvto Cx'!$BP$15:$BR$500,3,0),0)</f>
        <v>0</v>
      </c>
      <c r="O86" s="50">
        <f>IFERROR(VLOOKUP(E86,'BD - A - Mvto Cx'!$BY$15:$CA$500,3,0),0)</f>
        <v>0</v>
      </c>
      <c r="P86" s="50">
        <f>IFERROR(VLOOKUP(E86,'BD - A - Mvto Cx'!$CH$15:$CJ$500,3,0),0)</f>
        <v>0</v>
      </c>
      <c r="Q86" s="50">
        <f>IFERROR(VLOOKUP(E86,'BD - A - Mvto Cx'!$CQ$15:$CS$500,3,0),0)</f>
        <v>0</v>
      </c>
      <c r="R86" s="50">
        <f>IFERROR(VLOOKUP(E86,'BD - A - Mvto Cx'!$CZ$15:$DB$500,3,0),0)</f>
        <v>0</v>
      </c>
    </row>
    <row r="87" spans="1:18" s="41" customFormat="1">
      <c r="A87" s="37"/>
      <c r="B87" t="str">
        <f t="shared" si="5"/>
        <v>S212299</v>
      </c>
      <c r="C87" s="29" t="s">
        <v>340</v>
      </c>
      <c r="D87" s="27" t="s">
        <v>128</v>
      </c>
      <c r="E87" s="7">
        <v>212299</v>
      </c>
      <c r="F87" s="48" t="s">
        <v>142</v>
      </c>
      <c r="G87" s="423">
        <f>IFERROR(VLOOKUP(E87,'BD - A - Mvto Cx'!$E$15:$G$501,3,0),0)</f>
        <v>246494.48</v>
      </c>
      <c r="H87" s="51">
        <f>IFERROR(VLOOKUP(E87,'BD - A - Mvto Cx'!$N$15:$P$500,3,0),0)</f>
        <v>210755.06</v>
      </c>
      <c r="I87" s="50">
        <f>IFERROR(VLOOKUP(E87,'BD - A - Mvto Cx'!$W$15:$Y$500,3,0),0)</f>
        <v>211464.01</v>
      </c>
      <c r="J87" s="50">
        <f>IFERROR(VLOOKUP(E87,'BD - A - Mvto Cx'!$AF$15:$AH$500,3,0),0)</f>
        <v>39106.19</v>
      </c>
      <c r="K87" s="50">
        <f>IFERROR(VLOOKUP(E87,'BD - A - Mvto Cx'!$AO$15:$AQ$500,3,0),0)</f>
        <v>0</v>
      </c>
      <c r="L87" s="50">
        <f>IFERROR(VLOOKUP(E87,'BD - A - Mvto Cx'!$AX$15:$AZ$500,3,0),0)</f>
        <v>0</v>
      </c>
      <c r="M87" s="50">
        <f>IFERROR(VLOOKUP(E87,'BD - A - Mvto Cx'!$BG$15:$BI$500,3,0),0)</f>
        <v>0</v>
      </c>
      <c r="N87" s="50">
        <f>IFERROR(VLOOKUP(E87,'BD - A - Mvto Cx'!$BP$15:$BR$500,3,0),0)</f>
        <v>0</v>
      </c>
      <c r="O87" s="50">
        <f>IFERROR(VLOOKUP(E87,'BD - A - Mvto Cx'!$BY$15:$CA$500,3,0),0)</f>
        <v>0</v>
      </c>
      <c r="P87" s="50">
        <f>IFERROR(VLOOKUP(E87,'BD - A - Mvto Cx'!$CH$15:$CJ$500,3,0),0)</f>
        <v>0</v>
      </c>
      <c r="Q87" s="50">
        <f>IFERROR(VLOOKUP(E87,'BD - A - Mvto Cx'!$CQ$15:$CS$500,3,0),0)</f>
        <v>0</v>
      </c>
      <c r="R87" s="50">
        <f>IFERROR(VLOOKUP(E87,'BD - A - Mvto Cx'!$CZ$15:$DB$500,3,0),0)</f>
        <v>0</v>
      </c>
    </row>
    <row r="88" spans="1:18" s="41" customFormat="1">
      <c r="A88" s="37"/>
      <c r="B88" t="str">
        <f t="shared" si="5"/>
        <v>S213102</v>
      </c>
      <c r="C88" s="7" t="s">
        <v>361</v>
      </c>
      <c r="D88" s="27" t="s">
        <v>128</v>
      </c>
      <c r="E88" s="7">
        <v>213102</v>
      </c>
      <c r="F88" s="48" t="s">
        <v>143</v>
      </c>
      <c r="G88" s="423">
        <f>IFERROR(VLOOKUP(E88,'BD - A - Mvto Cx'!$E$15:$G$501,3,0),0)</f>
        <v>0</v>
      </c>
      <c r="H88" s="51">
        <f>IFERROR(VLOOKUP(E88,'BD - A - Mvto Cx'!$N$15:$P$500,3,0),0)</f>
        <v>0</v>
      </c>
      <c r="I88" s="50">
        <f>IFERROR(VLOOKUP(E88,'BD - A - Mvto Cx'!$W$15:$Y$500,3,0),0)</f>
        <v>0</v>
      </c>
      <c r="J88" s="50">
        <f>IFERROR(VLOOKUP(E88,'BD - A - Mvto Cx'!$AF$15:$AH$500,3,0),0)</f>
        <v>0</v>
      </c>
      <c r="K88" s="50">
        <f>IFERROR(VLOOKUP(E88,'BD - A - Mvto Cx'!$AO$15:$AQ$500,3,0),0)</f>
        <v>0</v>
      </c>
      <c r="L88" s="50">
        <f>IFERROR(VLOOKUP(E88,'BD - A - Mvto Cx'!$AX$15:$AZ$500,3,0),0)</f>
        <v>0</v>
      </c>
      <c r="M88" s="50">
        <f>IFERROR(VLOOKUP(E88,'BD - A - Mvto Cx'!$BG$15:$BI$500,3,0),0)</f>
        <v>0</v>
      </c>
      <c r="N88" s="50">
        <f>IFERROR(VLOOKUP(E88,'BD - A - Mvto Cx'!$BP$15:$BR$500,3,0),0)</f>
        <v>0</v>
      </c>
      <c r="O88" s="50">
        <f>IFERROR(VLOOKUP(E88,'BD - A - Mvto Cx'!$BY$15:$CA$500,3,0),0)</f>
        <v>0</v>
      </c>
      <c r="P88" s="50">
        <f>IFERROR(VLOOKUP(E88,'BD - A - Mvto Cx'!$CH$15:$CJ$500,3,0),0)</f>
        <v>0</v>
      </c>
      <c r="Q88" s="50">
        <f>IFERROR(VLOOKUP(E88,'BD - A - Mvto Cx'!$CQ$15:$CS$500,3,0),0)</f>
        <v>0</v>
      </c>
      <c r="R88" s="50">
        <f>IFERROR(VLOOKUP(E88,'BD - A - Mvto Cx'!$CZ$15:$DB$500,3,0),0)</f>
        <v>0</v>
      </c>
    </row>
    <row r="89" spans="1:18" s="41" customFormat="1">
      <c r="A89" s="37"/>
      <c r="B89" t="str">
        <f t="shared" ref="B89" si="6">D89&amp;E89</f>
        <v>S213104</v>
      </c>
      <c r="C89" s="7" t="s">
        <v>361</v>
      </c>
      <c r="D89" s="27" t="s">
        <v>128</v>
      </c>
      <c r="E89" s="7">
        <v>213104</v>
      </c>
      <c r="F89" s="48" t="s">
        <v>454</v>
      </c>
      <c r="G89" s="423">
        <f>IFERROR(VLOOKUP(E89,'BD - A - Mvto Cx'!$E$15:$G$501,3,0),0)</f>
        <v>0</v>
      </c>
      <c r="H89" s="51">
        <f>IFERROR(VLOOKUP(E89,'BD - A - Mvto Cx'!$N$15:$P$500,3,0),0)</f>
        <v>0</v>
      </c>
      <c r="I89" s="50">
        <f>IFERROR(VLOOKUP(E89,'BD - A - Mvto Cx'!$W$15:$Y$500,3,0),0)</f>
        <v>0</v>
      </c>
      <c r="J89" s="50">
        <f>IFERROR(VLOOKUP(E89,'BD - A - Mvto Cx'!$AF$15:$AH$500,3,0),0)</f>
        <v>0</v>
      </c>
      <c r="K89" s="50">
        <f>IFERROR(VLOOKUP(E89,'BD - A - Mvto Cx'!$AO$15:$AQ$500,3,0),0)</f>
        <v>0</v>
      </c>
      <c r="L89" s="50">
        <f>IFERROR(VLOOKUP(E89,'BD - A - Mvto Cx'!$AX$15:$AZ$500,3,0),0)</f>
        <v>0</v>
      </c>
      <c r="M89" s="50">
        <f>IFERROR(VLOOKUP(E89,'BD - A - Mvto Cx'!$BG$15:$BI$500,3,0),0)</f>
        <v>0</v>
      </c>
      <c r="N89" s="50">
        <f>IFERROR(VLOOKUP(E89,'BD - A - Mvto Cx'!$BP$15:$BR$500,3,0),0)</f>
        <v>0</v>
      </c>
      <c r="O89" s="50">
        <f>IFERROR(VLOOKUP(E89,'BD - A - Mvto Cx'!$BY$15:$CA$500,3,0),0)</f>
        <v>0</v>
      </c>
      <c r="P89" s="50">
        <f>IFERROR(VLOOKUP(E89,'BD - A - Mvto Cx'!$CH$15:$CJ$500,3,0),0)</f>
        <v>0</v>
      </c>
      <c r="Q89" s="50">
        <f>IFERROR(VLOOKUP(E89,'BD - A - Mvto Cx'!$CQ$15:$CS$500,3,0),0)</f>
        <v>0</v>
      </c>
      <c r="R89" s="50">
        <f>IFERROR(VLOOKUP(E89,'BD - A - Mvto Cx'!$CZ$15:$DB$500,3,0),0)</f>
        <v>0</v>
      </c>
    </row>
    <row r="90" spans="1:18" s="41" customFormat="1">
      <c r="A90" s="37"/>
      <c r="B90" t="str">
        <f t="shared" si="5"/>
        <v>S213105</v>
      </c>
      <c r="C90" s="7" t="s">
        <v>361</v>
      </c>
      <c r="D90" s="27" t="s">
        <v>128</v>
      </c>
      <c r="E90" s="7">
        <v>213105</v>
      </c>
      <c r="F90" s="48" t="s">
        <v>144</v>
      </c>
      <c r="G90" s="423">
        <f>IFERROR(VLOOKUP(E90,'BD - A - Mvto Cx'!$E$15:$G$501,3,0),0)</f>
        <v>0</v>
      </c>
      <c r="H90" s="51">
        <f>IFERROR(VLOOKUP(E90,'BD - A - Mvto Cx'!$N$15:$P$500,3,0),0)</f>
        <v>0</v>
      </c>
      <c r="I90" s="50">
        <f>IFERROR(VLOOKUP(E90,'BD - A - Mvto Cx'!$W$15:$Y$500,3,0),0)</f>
        <v>0</v>
      </c>
      <c r="J90" s="50">
        <f>IFERROR(VLOOKUP(E90,'BD - A - Mvto Cx'!$AF$15:$AH$500,3,0),0)</f>
        <v>0</v>
      </c>
      <c r="K90" s="50">
        <f>IFERROR(VLOOKUP(E90,'BD - A - Mvto Cx'!$AO$15:$AQ$500,3,0),0)</f>
        <v>0</v>
      </c>
      <c r="L90" s="50">
        <f>IFERROR(VLOOKUP(E90,'BD - A - Mvto Cx'!$AX$15:$AZ$500,3,0),0)</f>
        <v>0</v>
      </c>
      <c r="M90" s="50">
        <f>IFERROR(VLOOKUP(E90,'BD - A - Mvto Cx'!$BG$15:$BI$500,3,0),0)</f>
        <v>0</v>
      </c>
      <c r="N90" s="50">
        <f>IFERROR(VLOOKUP(E90,'BD - A - Mvto Cx'!$BP$15:$BR$500,3,0),0)</f>
        <v>0</v>
      </c>
      <c r="O90" s="50">
        <f>IFERROR(VLOOKUP(E90,'BD - A - Mvto Cx'!$BY$15:$CA$500,3,0),0)</f>
        <v>0</v>
      </c>
      <c r="P90" s="50">
        <f>IFERROR(VLOOKUP(E90,'BD - A - Mvto Cx'!$CH$15:$CJ$500,3,0),0)</f>
        <v>0</v>
      </c>
      <c r="Q90" s="50">
        <f>IFERROR(VLOOKUP(E90,'BD - A - Mvto Cx'!$CQ$15:$CS$500,3,0),0)</f>
        <v>0</v>
      </c>
      <c r="R90" s="50">
        <f>IFERROR(VLOOKUP(E90,'BD - A - Mvto Cx'!$CZ$15:$DB$500,3,0),0)</f>
        <v>0</v>
      </c>
    </row>
    <row r="91" spans="1:18" s="41" customFormat="1">
      <c r="A91" s="37"/>
      <c r="B91" t="str">
        <f t="shared" si="5"/>
        <v>S213106</v>
      </c>
      <c r="C91" s="7" t="s">
        <v>361</v>
      </c>
      <c r="D91" s="27" t="s">
        <v>128</v>
      </c>
      <c r="E91" s="7">
        <v>213106</v>
      </c>
      <c r="F91" s="48" t="s">
        <v>145</v>
      </c>
      <c r="G91" s="423">
        <f>IFERROR(VLOOKUP(E91,'BD - A - Mvto Cx'!$E$15:$G$501,3,0),0)</f>
        <v>87936.960000000006</v>
      </c>
      <c r="H91" s="51">
        <f>IFERROR(VLOOKUP(E91,'BD - A - Mvto Cx'!$N$15:$P$500,3,0),0)</f>
        <v>87376.87</v>
      </c>
      <c r="I91" s="50">
        <f>IFERROR(VLOOKUP(E91,'BD - A - Mvto Cx'!$W$15:$Y$500,3,0),0)</f>
        <v>85458</v>
      </c>
      <c r="J91" s="50">
        <f>IFERROR(VLOOKUP(E91,'BD - A - Mvto Cx'!$AF$15:$AH$500,3,0),0)</f>
        <v>85697.59</v>
      </c>
      <c r="K91" s="50">
        <f>IFERROR(VLOOKUP(E91,'BD - A - Mvto Cx'!$AO$15:$AQ$500,3,0),0)</f>
        <v>0</v>
      </c>
      <c r="L91" s="50">
        <f>IFERROR(VLOOKUP(E91,'BD - A - Mvto Cx'!$AX$15:$AZ$500,3,0),0)</f>
        <v>0</v>
      </c>
      <c r="M91" s="50">
        <f>IFERROR(VLOOKUP(E91,'BD - A - Mvto Cx'!$BG$15:$BI$500,3,0),0)</f>
        <v>0</v>
      </c>
      <c r="N91" s="50">
        <f>IFERROR(VLOOKUP(E91,'BD - A - Mvto Cx'!$BP$15:$BR$500,3,0),0)</f>
        <v>0</v>
      </c>
      <c r="O91" s="50">
        <f>IFERROR(VLOOKUP(E91,'BD - A - Mvto Cx'!$BY$15:$CA$500,3,0),0)</f>
        <v>0</v>
      </c>
      <c r="P91" s="50">
        <f>IFERROR(VLOOKUP(E91,'BD - A - Mvto Cx'!$CH$15:$CJ$500,3,0),0)</f>
        <v>0</v>
      </c>
      <c r="Q91" s="50">
        <f>IFERROR(VLOOKUP(E91,'BD - A - Mvto Cx'!$CQ$15:$CS$500,3,0),0)</f>
        <v>0</v>
      </c>
      <c r="R91" s="50">
        <f>IFERROR(VLOOKUP(E91,'BD - A - Mvto Cx'!$CZ$15:$DB$500,3,0),0)</f>
        <v>0</v>
      </c>
    </row>
    <row r="92" spans="1:18" s="41" customFormat="1">
      <c r="A92" s="37"/>
      <c r="B92" t="str">
        <f t="shared" si="5"/>
        <v>S213111</v>
      </c>
      <c r="C92" s="7" t="s">
        <v>361</v>
      </c>
      <c r="D92" s="27" t="s">
        <v>128</v>
      </c>
      <c r="E92" s="7">
        <v>213111</v>
      </c>
      <c r="F92" s="48" t="s">
        <v>146</v>
      </c>
      <c r="G92" s="423">
        <f>IFERROR(VLOOKUP(E92,'BD - A - Mvto Cx'!$E$15:$G$501,3,0),0)</f>
        <v>0</v>
      </c>
      <c r="H92" s="51">
        <f>IFERROR(VLOOKUP(E92,'BD - A - Mvto Cx'!$N$15:$P$500,3,0),0)</f>
        <v>0</v>
      </c>
      <c r="I92" s="50">
        <f>IFERROR(VLOOKUP(E92,'BD - A - Mvto Cx'!$W$15:$Y$500,3,0),0)</f>
        <v>0</v>
      </c>
      <c r="J92" s="50">
        <f>IFERROR(VLOOKUP(E92,'BD - A - Mvto Cx'!$AF$15:$AH$500,3,0),0)</f>
        <v>0</v>
      </c>
      <c r="K92" s="50">
        <f>IFERROR(VLOOKUP(E92,'BD - A - Mvto Cx'!$AO$15:$AQ$500,3,0),0)</f>
        <v>0</v>
      </c>
      <c r="L92" s="50">
        <f>IFERROR(VLOOKUP(E92,'BD - A - Mvto Cx'!$AX$15:$AZ$500,3,0),0)</f>
        <v>0</v>
      </c>
      <c r="M92" s="50">
        <f>IFERROR(VLOOKUP(E92,'BD - A - Mvto Cx'!$BG$15:$BI$500,3,0),0)</f>
        <v>0</v>
      </c>
      <c r="N92" s="50">
        <f>IFERROR(VLOOKUP(E92,'BD - A - Mvto Cx'!$BP$15:$BR$500,3,0),0)</f>
        <v>0</v>
      </c>
      <c r="O92" s="50">
        <f>IFERROR(VLOOKUP(E92,'BD - A - Mvto Cx'!$BY$15:$CA$500,3,0),0)</f>
        <v>0</v>
      </c>
      <c r="P92" s="50">
        <f>IFERROR(VLOOKUP(E92,'BD - A - Mvto Cx'!$CH$15:$CJ$500,3,0),0)</f>
        <v>0</v>
      </c>
      <c r="Q92" s="50">
        <f>IFERROR(VLOOKUP(E92,'BD - A - Mvto Cx'!$CQ$15:$CS$500,3,0),0)</f>
        <v>0</v>
      </c>
      <c r="R92" s="50">
        <f>IFERROR(VLOOKUP(E92,'BD - A - Mvto Cx'!$CZ$15:$DB$500,3,0),0)</f>
        <v>0</v>
      </c>
    </row>
    <row r="93" spans="1:18" s="41" customFormat="1">
      <c r="A93" s="37"/>
      <c r="B93" t="str">
        <f t="shared" si="5"/>
        <v>S213112</v>
      </c>
      <c r="C93" s="7" t="s">
        <v>361</v>
      </c>
      <c r="D93" s="27" t="s">
        <v>128</v>
      </c>
      <c r="E93" s="7">
        <v>213112</v>
      </c>
      <c r="F93" s="48" t="s">
        <v>147</v>
      </c>
      <c r="G93" s="423">
        <f>IFERROR(VLOOKUP(E93,'BD - A - Mvto Cx'!$E$15:$G$501,3,0),0)</f>
        <v>0</v>
      </c>
      <c r="H93" s="51">
        <f>IFERROR(VLOOKUP(E93,'BD - A - Mvto Cx'!$N$15:$P$500,3,0),0)</f>
        <v>0</v>
      </c>
      <c r="I93" s="50">
        <f>IFERROR(VLOOKUP(E93,'BD - A - Mvto Cx'!$W$15:$Y$500,3,0),0)</f>
        <v>0</v>
      </c>
      <c r="J93" s="50">
        <f>IFERROR(VLOOKUP(E93,'BD - A - Mvto Cx'!$AF$15:$AH$500,3,0),0)</f>
        <v>0</v>
      </c>
      <c r="K93" s="50">
        <f>IFERROR(VLOOKUP(E93,'BD - A - Mvto Cx'!$AO$15:$AQ$500,3,0),0)</f>
        <v>0</v>
      </c>
      <c r="L93" s="50">
        <f>IFERROR(VLOOKUP(E93,'BD - A - Mvto Cx'!$AX$15:$AZ$500,3,0),0)</f>
        <v>0</v>
      </c>
      <c r="M93" s="50">
        <f>IFERROR(VLOOKUP(E93,'BD - A - Mvto Cx'!$BG$15:$BI$500,3,0),0)</f>
        <v>0</v>
      </c>
      <c r="N93" s="50">
        <f>IFERROR(VLOOKUP(E93,'BD - A - Mvto Cx'!$BP$15:$BR$500,3,0),0)</f>
        <v>0</v>
      </c>
      <c r="O93" s="50">
        <f>IFERROR(VLOOKUP(E93,'BD - A - Mvto Cx'!$BY$15:$CA$500,3,0),0)</f>
        <v>0</v>
      </c>
      <c r="P93" s="50">
        <f>IFERROR(VLOOKUP(E93,'BD - A - Mvto Cx'!$CH$15:$CJ$500,3,0),0)</f>
        <v>0</v>
      </c>
      <c r="Q93" s="50">
        <f>IFERROR(VLOOKUP(E93,'BD - A - Mvto Cx'!$CQ$15:$CS$500,3,0),0)</f>
        <v>0</v>
      </c>
      <c r="R93" s="50">
        <f>IFERROR(VLOOKUP(E93,'BD - A - Mvto Cx'!$CZ$15:$DB$500,3,0),0)</f>
        <v>0</v>
      </c>
    </row>
    <row r="94" spans="1:18" s="41" customFormat="1">
      <c r="A94" s="37"/>
      <c r="B94" t="str">
        <f t="shared" si="5"/>
        <v>S213113</v>
      </c>
      <c r="C94" s="7" t="s">
        <v>361</v>
      </c>
      <c r="D94" s="27" t="s">
        <v>128</v>
      </c>
      <c r="E94" s="7">
        <v>213113</v>
      </c>
      <c r="F94" s="48" t="s">
        <v>148</v>
      </c>
      <c r="G94" s="423">
        <f>IFERROR(VLOOKUP(E94,'BD - A - Mvto Cx'!$E$15:$G$501,3,0),0)</f>
        <v>0</v>
      </c>
      <c r="H94" s="51">
        <f>IFERROR(VLOOKUP(E94,'BD - A - Mvto Cx'!$N$15:$P$500,3,0),0)</f>
        <v>0</v>
      </c>
      <c r="I94" s="50">
        <f>IFERROR(VLOOKUP(E94,'BD - A - Mvto Cx'!$W$15:$Y$500,3,0),0)</f>
        <v>0</v>
      </c>
      <c r="J94" s="50">
        <f>IFERROR(VLOOKUP(E94,'BD - A - Mvto Cx'!$AF$15:$AH$500,3,0),0)</f>
        <v>0</v>
      </c>
      <c r="K94" s="50">
        <f>IFERROR(VLOOKUP(E94,'BD - A - Mvto Cx'!$AO$15:$AQ$500,3,0),0)</f>
        <v>0</v>
      </c>
      <c r="L94" s="50">
        <f>IFERROR(VLOOKUP(E94,'BD - A - Mvto Cx'!$AX$15:$AZ$500,3,0),0)</f>
        <v>0</v>
      </c>
      <c r="M94" s="50">
        <f>IFERROR(VLOOKUP(E94,'BD - A - Mvto Cx'!$BG$15:$BI$500,3,0),0)</f>
        <v>0</v>
      </c>
      <c r="N94" s="50">
        <f>IFERROR(VLOOKUP(E94,'BD - A - Mvto Cx'!$BP$15:$BR$500,3,0),0)</f>
        <v>0</v>
      </c>
      <c r="O94" s="50">
        <f>IFERROR(VLOOKUP(E94,'BD - A - Mvto Cx'!$BY$15:$CA$500,3,0),0)</f>
        <v>0</v>
      </c>
      <c r="P94" s="50">
        <f>IFERROR(VLOOKUP(E94,'BD - A - Mvto Cx'!$CH$15:$CJ$500,3,0),0)</f>
        <v>0</v>
      </c>
      <c r="Q94" s="50">
        <f>IFERROR(VLOOKUP(E94,'BD - A - Mvto Cx'!$CQ$15:$CS$500,3,0),0)</f>
        <v>0</v>
      </c>
      <c r="R94" s="50">
        <f>IFERROR(VLOOKUP(E94,'BD - A - Mvto Cx'!$CZ$15:$DB$500,3,0),0)</f>
        <v>0</v>
      </c>
    </row>
    <row r="95" spans="1:18" s="41" customFormat="1">
      <c r="A95" s="37"/>
      <c r="B95" t="str">
        <f t="shared" si="5"/>
        <v>S213303</v>
      </c>
      <c r="C95" s="7" t="s">
        <v>361</v>
      </c>
      <c r="D95" s="27" t="s">
        <v>128</v>
      </c>
      <c r="E95" s="7">
        <v>213303</v>
      </c>
      <c r="F95" s="48" t="s">
        <v>149</v>
      </c>
      <c r="G95" s="423">
        <f>IFERROR(VLOOKUP(E95,'BD - A - Mvto Cx'!$E$15:$G$501,3,0),0)</f>
        <v>0</v>
      </c>
      <c r="H95" s="51">
        <f>IFERROR(VLOOKUP(E95,'BD - A - Mvto Cx'!$N$15:$P$500,3,0),0)</f>
        <v>0</v>
      </c>
      <c r="I95" s="50">
        <f>IFERROR(VLOOKUP(E95,'BD - A - Mvto Cx'!$W$15:$Y$500,3,0),0)</f>
        <v>0</v>
      </c>
      <c r="J95" s="50">
        <f>IFERROR(VLOOKUP(E95,'BD - A - Mvto Cx'!$AF$15:$AH$500,3,0),0)</f>
        <v>0</v>
      </c>
      <c r="K95" s="50">
        <f>IFERROR(VLOOKUP(E95,'BD - A - Mvto Cx'!$AO$15:$AQ$500,3,0),0)</f>
        <v>0</v>
      </c>
      <c r="L95" s="50">
        <f>IFERROR(VLOOKUP(E95,'BD - A - Mvto Cx'!$AX$15:$AZ$500,3,0),0)</f>
        <v>0</v>
      </c>
      <c r="M95" s="50">
        <f>IFERROR(VLOOKUP(E95,'BD - A - Mvto Cx'!$BG$15:$BI$500,3,0),0)</f>
        <v>0</v>
      </c>
      <c r="N95" s="50">
        <f>IFERROR(VLOOKUP(E95,'BD - A - Mvto Cx'!$BP$15:$BR$500,3,0),0)</f>
        <v>0</v>
      </c>
      <c r="O95" s="50">
        <f>IFERROR(VLOOKUP(E95,'BD - A - Mvto Cx'!$BY$15:$CA$500,3,0),0)</f>
        <v>0</v>
      </c>
      <c r="P95" s="50">
        <f>IFERROR(VLOOKUP(E95,'BD - A - Mvto Cx'!$CH$15:$CJ$500,3,0),0)</f>
        <v>0</v>
      </c>
      <c r="Q95" s="50">
        <f>IFERROR(VLOOKUP(E95,'BD - A - Mvto Cx'!$CQ$15:$CS$500,3,0),0)</f>
        <v>0</v>
      </c>
      <c r="R95" s="50">
        <f>IFERROR(VLOOKUP(E95,'BD - A - Mvto Cx'!$CZ$15:$DB$500,3,0),0)</f>
        <v>0</v>
      </c>
    </row>
    <row r="96" spans="1:18" s="41" customFormat="1">
      <c r="A96" s="37"/>
      <c r="B96" t="str">
        <f t="shared" si="5"/>
        <v>S213306</v>
      </c>
      <c r="C96" s="7" t="s">
        <v>361</v>
      </c>
      <c r="D96" s="27" t="s">
        <v>128</v>
      </c>
      <c r="E96" s="7">
        <v>213306</v>
      </c>
      <c r="F96" s="48" t="s">
        <v>150</v>
      </c>
      <c r="G96" s="49">
        <f>IFERROR(VLOOKUP(E96,'BD - A - Mvto Cx'!$E$15:$G$501,3,0),0)</f>
        <v>0</v>
      </c>
      <c r="H96" s="51">
        <f>IFERROR(VLOOKUP(E96,'BD - A - Mvto Cx'!$N$15:$P$500,3,0),0)</f>
        <v>0</v>
      </c>
      <c r="I96" s="50">
        <f>IFERROR(VLOOKUP(E96,'BD - A - Mvto Cx'!$W$15:$Y$500,3,0),0)</f>
        <v>0</v>
      </c>
      <c r="J96" s="50">
        <f>IFERROR(VLOOKUP(E96,'BD - A - Mvto Cx'!$AF$15:$AH$500,3,0),0)</f>
        <v>0</v>
      </c>
      <c r="K96" s="50">
        <f>IFERROR(VLOOKUP(E96,'BD - A - Mvto Cx'!$AO$15:$AQ$500,3,0),0)</f>
        <v>0</v>
      </c>
      <c r="L96" s="50">
        <f>IFERROR(VLOOKUP(E96,'BD - A - Mvto Cx'!$AX$15:$AZ$500,3,0),0)</f>
        <v>0</v>
      </c>
      <c r="M96" s="50">
        <f>IFERROR(VLOOKUP(E96,'BD - A - Mvto Cx'!$BG$15:$BI$500,3,0),0)</f>
        <v>0</v>
      </c>
      <c r="N96" s="50">
        <f>IFERROR(VLOOKUP(E96,'BD - A - Mvto Cx'!$BP$15:$BR$500,3,0),0)</f>
        <v>0</v>
      </c>
      <c r="O96" s="50">
        <f>IFERROR(VLOOKUP(E96,'BD - A - Mvto Cx'!$BY$15:$CA$500,3,0),0)</f>
        <v>0</v>
      </c>
      <c r="P96" s="50">
        <f>IFERROR(VLOOKUP(E96,'BD - A - Mvto Cx'!$CH$15:$CJ$500,3,0),0)</f>
        <v>0</v>
      </c>
      <c r="Q96" s="50">
        <f>IFERROR(VLOOKUP(E96,'BD - A - Mvto Cx'!$CQ$15:$CS$500,3,0),0)</f>
        <v>0</v>
      </c>
      <c r="R96" s="50">
        <f>IFERROR(VLOOKUP(E96,'BD - A - Mvto Cx'!$CZ$15:$DB$500,3,0),0)</f>
        <v>0</v>
      </c>
    </row>
    <row r="97" spans="1:996" s="41" customFormat="1">
      <c r="A97" s="37"/>
      <c r="B97" t="str">
        <f t="shared" si="5"/>
        <v>S213324</v>
      </c>
      <c r="C97" s="7" t="s">
        <v>361</v>
      </c>
      <c r="D97" s="27" t="s">
        <v>128</v>
      </c>
      <c r="E97" s="7">
        <v>213324</v>
      </c>
      <c r="F97" s="48" t="s">
        <v>151</v>
      </c>
      <c r="G97" s="49">
        <f>IFERROR(VLOOKUP(E97,'BD - A - Mvto Cx'!$E$15:$G$501,3,0),0)</f>
        <v>0</v>
      </c>
      <c r="H97" s="51">
        <f>IFERROR(VLOOKUP(E97,'BD - A - Mvto Cx'!$N$15:$P$500,3,0),0)</f>
        <v>0</v>
      </c>
      <c r="I97" s="50">
        <f>IFERROR(VLOOKUP(E97,'BD - A - Mvto Cx'!$W$15:$Y$500,3,0),0)</f>
        <v>0</v>
      </c>
      <c r="J97" s="50">
        <f>IFERROR(VLOOKUP(E97,'BD - A - Mvto Cx'!$AF$15:$AH$500,3,0),0)</f>
        <v>0</v>
      </c>
      <c r="K97" s="50">
        <f>IFERROR(VLOOKUP(E97,'BD - A - Mvto Cx'!$AO$15:$AQ$500,3,0),0)</f>
        <v>0</v>
      </c>
      <c r="L97" s="50">
        <f>IFERROR(VLOOKUP(E97,'BD - A - Mvto Cx'!$AX$15:$AZ$500,3,0),0)</f>
        <v>0</v>
      </c>
      <c r="M97" s="50">
        <f>IFERROR(VLOOKUP(E97,'BD - A - Mvto Cx'!$BG$15:$BI$500,3,0),0)</f>
        <v>0</v>
      </c>
      <c r="N97" s="50">
        <f>IFERROR(VLOOKUP(E97,'BD - A - Mvto Cx'!$BP$15:$BR$500,3,0),0)</f>
        <v>0</v>
      </c>
      <c r="O97" s="50">
        <f>IFERROR(VLOOKUP(E97,'BD - A - Mvto Cx'!$BY$15:$CA$500,3,0),0)</f>
        <v>0</v>
      </c>
      <c r="P97" s="50">
        <f>IFERROR(VLOOKUP(E97,'BD - A - Mvto Cx'!$CH$15:$CJ$500,3,0),0)</f>
        <v>0</v>
      </c>
      <c r="Q97" s="50">
        <f>IFERROR(VLOOKUP(E97,'BD - A - Mvto Cx'!$CQ$15:$CS$500,3,0),0)</f>
        <v>0</v>
      </c>
      <c r="R97" s="50">
        <f>IFERROR(VLOOKUP(E97,'BD - A - Mvto Cx'!$CZ$15:$DB$500,3,0),0)</f>
        <v>0</v>
      </c>
    </row>
    <row r="98" spans="1:996">
      <c r="A98" s="37"/>
      <c r="B98" t="str">
        <f t="shared" si="5"/>
        <v>S213326</v>
      </c>
      <c r="C98" s="7" t="s">
        <v>361</v>
      </c>
      <c r="D98" s="27" t="s">
        <v>128</v>
      </c>
      <c r="E98" s="7">
        <v>213326</v>
      </c>
      <c r="F98" s="48" t="s">
        <v>152</v>
      </c>
      <c r="G98" s="49">
        <f>IFERROR(VLOOKUP(E98,'BD - A - Mvto Cx'!$E$15:$G$501,3,0),0)</f>
        <v>0</v>
      </c>
      <c r="H98" s="51">
        <f>IFERROR(VLOOKUP(E98,'BD - A - Mvto Cx'!$N$15:$P$500,3,0),0)</f>
        <v>0</v>
      </c>
      <c r="I98" s="50">
        <f>IFERROR(VLOOKUP(E98,'BD - A - Mvto Cx'!$W$15:$Y$500,3,0),0)</f>
        <v>0</v>
      </c>
      <c r="J98" s="50">
        <f>IFERROR(VLOOKUP(E98,'BD - A - Mvto Cx'!$AF$15:$AH$500,3,0),0)</f>
        <v>0</v>
      </c>
      <c r="K98" s="50">
        <f>IFERROR(VLOOKUP(E98,'BD - A - Mvto Cx'!$AO$15:$AQ$500,3,0),0)</f>
        <v>0</v>
      </c>
      <c r="L98" s="50">
        <f>IFERROR(VLOOKUP(E98,'BD - A - Mvto Cx'!$AX$15:$AZ$500,3,0),0)</f>
        <v>0</v>
      </c>
      <c r="M98" s="50">
        <f>IFERROR(VLOOKUP(E98,'BD - A - Mvto Cx'!$BG$15:$BI$500,3,0),0)</f>
        <v>0</v>
      </c>
      <c r="N98" s="50">
        <f>IFERROR(VLOOKUP(E98,'BD - A - Mvto Cx'!$BP$15:$BR$500,3,0),0)</f>
        <v>0</v>
      </c>
      <c r="O98" s="50">
        <f>IFERROR(VLOOKUP(E98,'BD - A - Mvto Cx'!$BY$15:$CA$500,3,0),0)</f>
        <v>0</v>
      </c>
      <c r="P98" s="50">
        <f>IFERROR(VLOOKUP(E98,'BD - A - Mvto Cx'!$CH$15:$CJ$500,3,0),0)</f>
        <v>0</v>
      </c>
      <c r="Q98" s="50">
        <f>IFERROR(VLOOKUP(E98,'BD - A - Mvto Cx'!$CQ$15:$CS$500,3,0),0)</f>
        <v>0</v>
      </c>
      <c r="R98" s="50">
        <f>IFERROR(VLOOKUP(E98,'BD - A - Mvto Cx'!$CZ$15:$DB$500,3,0),0)</f>
        <v>0</v>
      </c>
    </row>
    <row r="99" spans="1:996">
      <c r="A99" s="37"/>
      <c r="B99" t="str">
        <f t="shared" si="5"/>
        <v>S213901</v>
      </c>
      <c r="C99" s="7" t="s">
        <v>361</v>
      </c>
      <c r="D99" s="27" t="s">
        <v>128</v>
      </c>
      <c r="E99" s="7">
        <v>213901</v>
      </c>
      <c r="F99" s="48" t="s">
        <v>117</v>
      </c>
      <c r="G99" s="49">
        <f>IFERROR(VLOOKUP(E99,'BD - A - Mvto Cx'!$E$15:$G$501,3,0),0)</f>
        <v>0</v>
      </c>
      <c r="H99" s="51">
        <f>IFERROR(VLOOKUP(E99,'BD - A - Mvto Cx'!$N$15:$P$500,3,0),0)</f>
        <v>0</v>
      </c>
      <c r="I99" s="50">
        <f>IFERROR(VLOOKUP(E99,'BD - A - Mvto Cx'!$W$15:$Y$500,3,0),0)</f>
        <v>0</v>
      </c>
      <c r="J99" s="50">
        <f>IFERROR(VLOOKUP(E99,'BD - A - Mvto Cx'!$AF$15:$AH$500,3,0),0)</f>
        <v>0</v>
      </c>
      <c r="K99" s="50">
        <f>IFERROR(VLOOKUP(E99,'BD - A - Mvto Cx'!$AO$15:$AQ$500,3,0),0)</f>
        <v>0</v>
      </c>
      <c r="L99" s="50">
        <f>IFERROR(VLOOKUP(E99,'BD - A - Mvto Cx'!$AX$15:$AZ$500,3,0),0)</f>
        <v>0</v>
      </c>
      <c r="M99" s="50">
        <f>IFERROR(VLOOKUP(E99,'BD - A - Mvto Cx'!$BG$15:$BI$500,3,0),0)</f>
        <v>0</v>
      </c>
      <c r="N99" s="50">
        <f>IFERROR(VLOOKUP(E99,'BD - A - Mvto Cx'!$BP$15:$BR$500,3,0),0)</f>
        <v>0</v>
      </c>
      <c r="O99" s="50">
        <f>IFERROR(VLOOKUP(E99,'BD - A - Mvto Cx'!$BY$15:$CA$500,3,0),0)</f>
        <v>0</v>
      </c>
      <c r="P99" s="50">
        <f>IFERROR(VLOOKUP(E99,'BD - A - Mvto Cx'!$CH$15:$CJ$500,3,0),0)</f>
        <v>0</v>
      </c>
      <c r="Q99" s="50">
        <f>IFERROR(VLOOKUP(E99,'BD - A - Mvto Cx'!$CQ$15:$CS$500,3,0),0)</f>
        <v>0</v>
      </c>
      <c r="R99" s="50">
        <f>IFERROR(VLOOKUP(E99,'BD - A - Mvto Cx'!$CZ$15:$DB$500,3,0),0)</f>
        <v>0</v>
      </c>
    </row>
    <row r="100" spans="1:996">
      <c r="A100" s="37"/>
      <c r="B100" t="str">
        <f t="shared" si="5"/>
        <v>S214102</v>
      </c>
      <c r="C100" s="29" t="s">
        <v>235</v>
      </c>
      <c r="D100" s="27" t="s">
        <v>128</v>
      </c>
      <c r="E100" s="7">
        <v>214102</v>
      </c>
      <c r="F100" s="48" t="s">
        <v>153</v>
      </c>
      <c r="G100" s="423">
        <f>IFERROR(VLOOKUP(E100,'BD - A - Mvto Cx'!$E$15:$G$501,3,0),0)</f>
        <v>1291.1199999999999</v>
      </c>
      <c r="H100" s="51">
        <f>IFERROR(VLOOKUP(E100,'BD - A - Mvto Cx'!$N$15:$P$500,3,0),0)</f>
        <v>1484.75</v>
      </c>
      <c r="I100" s="50">
        <f>IFERROR(VLOOKUP(E100,'BD - A - Mvto Cx'!$W$15:$Y$500,3,0),0)</f>
        <v>803.85</v>
      </c>
      <c r="J100" s="50">
        <f>IFERROR(VLOOKUP(E100,'BD - A - Mvto Cx'!$AF$15:$AH$500,3,0),0)</f>
        <v>1381.15</v>
      </c>
      <c r="K100" s="50">
        <f>IFERROR(VLOOKUP(E100,'BD - A - Mvto Cx'!$AO$15:$AQ$500,3,0),0)</f>
        <v>0</v>
      </c>
      <c r="L100" s="50">
        <f>IFERROR(VLOOKUP(E100,'BD - A - Mvto Cx'!$AX$15:$AZ$500,3,0),0)</f>
        <v>0</v>
      </c>
      <c r="M100" s="50">
        <f>IFERROR(VLOOKUP(E100,'BD - A - Mvto Cx'!$BG$15:$BI$500,3,0),0)</f>
        <v>0</v>
      </c>
      <c r="N100" s="50">
        <f>IFERROR(VLOOKUP(E100,'BD - A - Mvto Cx'!$BP$15:$BR$500,3,0),0)</f>
        <v>0</v>
      </c>
      <c r="O100" s="50">
        <f>IFERROR(VLOOKUP(E100,'BD - A - Mvto Cx'!$BY$15:$CA$500,3,0),0)</f>
        <v>0</v>
      </c>
      <c r="P100" s="50">
        <f>IFERROR(VLOOKUP(E100,'BD - A - Mvto Cx'!$CH$15:$CJ$500,3,0),0)</f>
        <v>0</v>
      </c>
      <c r="Q100" s="50">
        <f>IFERROR(VLOOKUP(E100,'BD - A - Mvto Cx'!$CQ$15:$CS$500,3,0),0)</f>
        <v>0</v>
      </c>
      <c r="R100" s="50">
        <f>IFERROR(VLOOKUP(E100,'BD - A - Mvto Cx'!$CZ$15:$DB$500,3,0),0)</f>
        <v>0</v>
      </c>
    </row>
    <row r="101" spans="1:996">
      <c r="A101" s="37"/>
      <c r="B101" t="str">
        <f t="shared" si="5"/>
        <v>S214110</v>
      </c>
      <c r="C101" s="29" t="s">
        <v>338</v>
      </c>
      <c r="D101" s="27" t="s">
        <v>128</v>
      </c>
      <c r="E101" s="7">
        <v>214110</v>
      </c>
      <c r="F101" s="48" t="s">
        <v>154</v>
      </c>
      <c r="G101" s="423">
        <f>IFERROR(VLOOKUP(E101,'BD - A - Mvto Cx'!$E$15:$G$501,3,0),0)</f>
        <v>0</v>
      </c>
      <c r="H101" s="51">
        <f>IFERROR(VLOOKUP(E101,'BD - A - Mvto Cx'!$N$15:$P$500,3,0),0)</f>
        <v>0</v>
      </c>
      <c r="I101" s="50">
        <f>IFERROR(VLOOKUP(E101,'BD - A - Mvto Cx'!$W$15:$Y$500,3,0),0)</f>
        <v>0</v>
      </c>
      <c r="J101" s="50">
        <f>IFERROR(VLOOKUP(E101,'BD - A - Mvto Cx'!$AF$15:$AH$500,3,0),0)</f>
        <v>0</v>
      </c>
      <c r="K101" s="50">
        <f>IFERROR(VLOOKUP(E101,'BD - A - Mvto Cx'!$AO$15:$AQ$500,3,0),0)</f>
        <v>0</v>
      </c>
      <c r="L101" s="50">
        <f>IFERROR(VLOOKUP(E101,'BD - A - Mvto Cx'!$AX$15:$AZ$500,3,0),0)</f>
        <v>0</v>
      </c>
      <c r="M101" s="50">
        <f>IFERROR(VLOOKUP(E101,'BD - A - Mvto Cx'!$BG$15:$BI$500,3,0),0)</f>
        <v>0</v>
      </c>
      <c r="N101" s="50">
        <f>IFERROR(VLOOKUP(E101,'BD - A - Mvto Cx'!$BP$15:$BR$500,3,0),0)</f>
        <v>0</v>
      </c>
      <c r="O101" s="50">
        <f>IFERROR(VLOOKUP(E101,'BD - A - Mvto Cx'!$BY$15:$CA$500,3,0),0)</f>
        <v>0</v>
      </c>
      <c r="P101" s="50">
        <f>IFERROR(VLOOKUP(E101,'BD - A - Mvto Cx'!$CH$15:$CJ$500,3,0),0)</f>
        <v>0</v>
      </c>
      <c r="Q101" s="50">
        <f>IFERROR(VLOOKUP(E101,'BD - A - Mvto Cx'!$CQ$15:$CS$500,3,0),0)</f>
        <v>0</v>
      </c>
      <c r="R101" s="50">
        <f>IFERROR(VLOOKUP(E101,'BD - A - Mvto Cx'!$CZ$15:$DB$500,3,0),0)</f>
        <v>0</v>
      </c>
    </row>
    <row r="102" spans="1:996">
      <c r="A102" s="37"/>
      <c r="B102" t="str">
        <f t="shared" si="5"/>
        <v>S214111</v>
      </c>
      <c r="C102" s="29" t="s">
        <v>258</v>
      </c>
      <c r="D102" s="27" t="s">
        <v>128</v>
      </c>
      <c r="E102" s="7">
        <v>214111</v>
      </c>
      <c r="F102" s="48" t="s">
        <v>155</v>
      </c>
      <c r="G102" s="49">
        <f>IFERROR(VLOOKUP(E102,'BD - A - Mvto Cx'!$E$15:$G$501,3,0),0)</f>
        <v>0</v>
      </c>
      <c r="H102" s="51">
        <f>IFERROR(VLOOKUP(E102,'BD - A - Mvto Cx'!$N$15:$P$500,3,0),0)</f>
        <v>0</v>
      </c>
      <c r="I102" s="50">
        <f>IFERROR(VLOOKUP(E102,'BD - A - Mvto Cx'!$W$15:$Y$500,3,0),0)</f>
        <v>0</v>
      </c>
      <c r="J102" s="50">
        <f>IFERROR(VLOOKUP(E102,'BD - A - Mvto Cx'!$AF$15:$AH$500,3,0),0)</f>
        <v>0</v>
      </c>
      <c r="K102" s="50">
        <f>IFERROR(VLOOKUP(E102,'BD - A - Mvto Cx'!$AO$15:$AQ$500,3,0),0)</f>
        <v>0</v>
      </c>
      <c r="L102" s="50">
        <f>IFERROR(VLOOKUP(E102,'BD - A - Mvto Cx'!$AX$15:$AZ$500,3,0),0)</f>
        <v>0</v>
      </c>
      <c r="M102" s="50">
        <f>IFERROR(VLOOKUP(E102,'BD - A - Mvto Cx'!$BG$15:$BI$500,3,0),0)</f>
        <v>0</v>
      </c>
      <c r="N102" s="50">
        <f>IFERROR(VLOOKUP(E102,'BD - A - Mvto Cx'!$BP$15:$BR$500,3,0),0)</f>
        <v>0</v>
      </c>
      <c r="O102" s="50">
        <f>IFERROR(VLOOKUP(E102,'BD - A - Mvto Cx'!$BY$15:$CA$500,3,0),0)</f>
        <v>0</v>
      </c>
      <c r="P102" s="50">
        <f>IFERROR(VLOOKUP(E102,'BD - A - Mvto Cx'!$CH$15:$CJ$500,3,0),0)</f>
        <v>0</v>
      </c>
      <c r="Q102" s="50">
        <f>IFERROR(VLOOKUP(E102,'BD - A - Mvto Cx'!$CQ$15:$CS$500,3,0),0)</f>
        <v>0</v>
      </c>
      <c r="R102" s="50">
        <f>IFERROR(VLOOKUP(E102,'BD - A - Mvto Cx'!$CZ$15:$DB$500,3,0),0)</f>
        <v>0</v>
      </c>
    </row>
    <row r="103" spans="1:996">
      <c r="A103" s="37"/>
      <c r="B103" t="str">
        <f t="shared" si="5"/>
        <v>S214112</v>
      </c>
      <c r="C103" s="29" t="s">
        <v>338</v>
      </c>
      <c r="D103" s="27" t="s">
        <v>128</v>
      </c>
      <c r="E103" s="7">
        <v>214112</v>
      </c>
      <c r="F103" s="48" t="s">
        <v>400</v>
      </c>
      <c r="G103" s="423">
        <f>IFERROR(VLOOKUP(E103,'BD - A - Mvto Cx'!$E$15:$G$501,3,0),0)</f>
        <v>0</v>
      </c>
      <c r="H103" s="51">
        <f>IFERROR(VLOOKUP(E103,'BD - A - Mvto Cx'!$N$15:$P$500,3,0),0)</f>
        <v>0</v>
      </c>
      <c r="I103" s="50">
        <f>IFERROR(VLOOKUP(E103,'BD - A - Mvto Cx'!$W$15:$Y$500,3,0),0)</f>
        <v>0</v>
      </c>
      <c r="J103" s="50">
        <f>IFERROR(VLOOKUP(E103,'BD - A - Mvto Cx'!$AF$15:$AH$500,3,0),0)</f>
        <v>0</v>
      </c>
      <c r="K103" s="50">
        <f>IFERROR(VLOOKUP(E103,'BD - A - Mvto Cx'!$AO$15:$AQ$500,3,0),0)</f>
        <v>0</v>
      </c>
      <c r="L103" s="50">
        <f>IFERROR(VLOOKUP(E103,'BD - A - Mvto Cx'!$AX$15:$AZ$500,3,0),0)</f>
        <v>0</v>
      </c>
      <c r="M103" s="50">
        <f>IFERROR(VLOOKUP(E103,'BD - A - Mvto Cx'!$BG$15:$BI$500,3,0),0)</f>
        <v>0</v>
      </c>
      <c r="N103" s="50">
        <f>IFERROR(VLOOKUP(E103,'BD - A - Mvto Cx'!$BP$15:$BR$500,3,0),0)</f>
        <v>0</v>
      </c>
      <c r="O103" s="50">
        <f>IFERROR(VLOOKUP(E103,'BD - A - Mvto Cx'!$BY$15:$CA$500,3,0),0)</f>
        <v>0</v>
      </c>
      <c r="P103" s="50">
        <f>IFERROR(VLOOKUP(E103,'BD - A - Mvto Cx'!$CH$15:$CJ$500,3,0),0)</f>
        <v>0</v>
      </c>
      <c r="Q103" s="50">
        <f>IFERROR(VLOOKUP(E103,'BD - A - Mvto Cx'!$CQ$15:$CS$500,3,0),0)</f>
        <v>0</v>
      </c>
      <c r="R103" s="50">
        <f>IFERROR(VLOOKUP(E103,'BD - A - Mvto Cx'!$CZ$15:$DB$500,3,0),0)</f>
        <v>0</v>
      </c>
    </row>
    <row r="104" spans="1:996">
      <c r="A104" s="37"/>
      <c r="B104" t="str">
        <f t="shared" si="5"/>
        <v>S214113</v>
      </c>
      <c r="C104" s="29" t="s">
        <v>338</v>
      </c>
      <c r="D104" s="27" t="s">
        <v>128</v>
      </c>
      <c r="E104" s="7">
        <v>214113</v>
      </c>
      <c r="F104" s="48" t="s">
        <v>156</v>
      </c>
      <c r="G104" s="423">
        <f>IFERROR(VLOOKUP(E104,'BD - A - Mvto Cx'!$E$15:$G$501,3,0),0)</f>
        <v>0</v>
      </c>
      <c r="H104" s="51">
        <f>IFERROR(VLOOKUP(E104,'BD - A - Mvto Cx'!$N$15:$P$500,3,0),0)</f>
        <v>27.38</v>
      </c>
      <c r="I104" s="50">
        <f>IFERROR(VLOOKUP(E104,'BD - A - Mvto Cx'!$W$15:$Y$500,3,0),0)</f>
        <v>0</v>
      </c>
      <c r="J104" s="50">
        <f>IFERROR(VLOOKUP(E104,'BD - A - Mvto Cx'!$AF$15:$AH$500,3,0),0)</f>
        <v>0</v>
      </c>
      <c r="K104" s="50">
        <f>IFERROR(VLOOKUP(E104,'BD - A - Mvto Cx'!$AO$15:$AQ$500,3,0),0)</f>
        <v>0</v>
      </c>
      <c r="L104" s="50">
        <f>IFERROR(VLOOKUP(E104,'BD - A - Mvto Cx'!$AX$15:$AZ$500,3,0),0)</f>
        <v>0</v>
      </c>
      <c r="M104" s="50">
        <f>IFERROR(VLOOKUP(E104,'BD - A - Mvto Cx'!$BG$15:$BI$500,3,0),0)</f>
        <v>0</v>
      </c>
      <c r="N104" s="50">
        <f>IFERROR(VLOOKUP(E104,'BD - A - Mvto Cx'!$BP$15:$BR$500,3,0),0)</f>
        <v>0</v>
      </c>
      <c r="O104" s="50">
        <f>IFERROR(VLOOKUP(E104,'BD - A - Mvto Cx'!$BY$15:$CA$500,3,0),0)</f>
        <v>0</v>
      </c>
      <c r="P104" s="50">
        <f>IFERROR(VLOOKUP(E104,'BD - A - Mvto Cx'!$CH$15:$CJ$500,3,0),0)</f>
        <v>0</v>
      </c>
      <c r="Q104" s="50">
        <f>IFERROR(VLOOKUP(E104,'BD - A - Mvto Cx'!$CQ$15:$CS$500,3,0),0)</f>
        <v>0</v>
      </c>
      <c r="R104" s="50">
        <f>IFERROR(VLOOKUP(E104,'BD - A - Mvto Cx'!$CZ$15:$DB$500,3,0),0)</f>
        <v>0</v>
      </c>
    </row>
    <row r="105" spans="1:996">
      <c r="A105" s="37"/>
      <c r="B105" t="str">
        <f t="shared" si="5"/>
        <v>S214114</v>
      </c>
      <c r="C105" s="29" t="s">
        <v>338</v>
      </c>
      <c r="D105" s="27" t="s">
        <v>128</v>
      </c>
      <c r="E105" s="7">
        <v>214114</v>
      </c>
      <c r="F105" s="48" t="s">
        <v>157</v>
      </c>
      <c r="G105" s="423">
        <f>IFERROR(VLOOKUP(E105,'BD - A - Mvto Cx'!$E$15:$G$501,3,0),0)</f>
        <v>0</v>
      </c>
      <c r="H105" s="51">
        <f>IFERROR(VLOOKUP(E105,'BD - A - Mvto Cx'!$N$15:$P$500,3,0),0)</f>
        <v>0</v>
      </c>
      <c r="I105" s="50">
        <f>IFERROR(VLOOKUP(E105,'BD - A - Mvto Cx'!$W$15:$Y$500,3,0),0)</f>
        <v>0</v>
      </c>
      <c r="J105" s="50">
        <f>IFERROR(VLOOKUP(E105,'BD - A - Mvto Cx'!$AF$15:$AH$500,3,0),0)</f>
        <v>0</v>
      </c>
      <c r="K105" s="50">
        <f>IFERROR(VLOOKUP(E105,'BD - A - Mvto Cx'!$AO$15:$AQ$500,3,0),0)</f>
        <v>0</v>
      </c>
      <c r="L105" s="50">
        <f>IFERROR(VLOOKUP(E105,'BD - A - Mvto Cx'!$AX$15:$AZ$500,3,0),0)</f>
        <v>0</v>
      </c>
      <c r="M105" s="50">
        <f>IFERROR(VLOOKUP(E105,'BD - A - Mvto Cx'!$BG$15:$BI$500,3,0),0)</f>
        <v>0</v>
      </c>
      <c r="N105" s="50">
        <f>IFERROR(VLOOKUP(E105,'BD - A - Mvto Cx'!$BP$15:$BR$500,3,0),0)</f>
        <v>0</v>
      </c>
      <c r="O105" s="50">
        <f>IFERROR(VLOOKUP(E105,'BD - A - Mvto Cx'!$BY$15:$CA$500,3,0),0)</f>
        <v>0</v>
      </c>
      <c r="P105" s="50">
        <f>IFERROR(VLOOKUP(E105,'BD - A - Mvto Cx'!$CH$15:$CJ$500,3,0),0)</f>
        <v>0</v>
      </c>
      <c r="Q105" s="50">
        <f>IFERROR(VLOOKUP(E105,'BD - A - Mvto Cx'!$CQ$15:$CS$500,3,0),0)</f>
        <v>0</v>
      </c>
      <c r="R105" s="50">
        <f>IFERROR(VLOOKUP(E105,'BD - A - Mvto Cx'!$CZ$15:$DB$500,3,0),0)</f>
        <v>0</v>
      </c>
    </row>
    <row r="106" spans="1:996">
      <c r="A106" s="37"/>
      <c r="B106" t="str">
        <f t="shared" si="5"/>
        <v>S214115</v>
      </c>
      <c r="C106" s="29" t="s">
        <v>338</v>
      </c>
      <c r="D106" s="27" t="s">
        <v>128</v>
      </c>
      <c r="E106" s="7">
        <v>214115</v>
      </c>
      <c r="F106" s="48" t="s">
        <v>516</v>
      </c>
      <c r="G106" s="423">
        <f>IFERROR(VLOOKUP(E106,'BD - A - Mvto Cx'!$E$15:$G$501,3,0),0)</f>
        <v>82674.87</v>
      </c>
      <c r="H106" s="51">
        <f>IFERROR(VLOOKUP(E106,'BD - A - Mvto Cx'!$N$15:$P$500,3,0),0)</f>
        <v>84222.48</v>
      </c>
      <c r="I106" s="50">
        <f>IFERROR(VLOOKUP(E106,'BD - A - Mvto Cx'!$W$15:$Y$500,3,0),0)</f>
        <v>66748.17</v>
      </c>
      <c r="J106" s="50">
        <f>IFERROR(VLOOKUP(E106,'BD - A - Mvto Cx'!$AF$15:$AH$500,3,0),0)</f>
        <v>75695.199999999997</v>
      </c>
      <c r="K106" s="50">
        <f>IFERROR(VLOOKUP(E106,'BD - A - Mvto Cx'!$AO$15:$AQ$500,3,0),0)</f>
        <v>0</v>
      </c>
      <c r="L106" s="50">
        <f>IFERROR(VLOOKUP(E106,'BD - A - Mvto Cx'!$AX$15:$AZ$500,3,0),0)</f>
        <v>0</v>
      </c>
      <c r="M106" s="50">
        <f>IFERROR(VLOOKUP(E106,'BD - A - Mvto Cx'!$BG$15:$BI$500,3,0),0)</f>
        <v>0</v>
      </c>
      <c r="N106" s="50">
        <f>IFERROR(VLOOKUP(E106,'BD - A - Mvto Cx'!$BP$15:$BR$500,3,0),0)</f>
        <v>0</v>
      </c>
      <c r="O106" s="50">
        <f>IFERROR(VLOOKUP(E106,'BD - A - Mvto Cx'!$BY$15:$CA$500,3,0),0)</f>
        <v>0</v>
      </c>
      <c r="P106" s="50">
        <f>IFERROR(VLOOKUP(E106,'BD - A - Mvto Cx'!$CH$15:$CJ$500,3,0),0)</f>
        <v>0</v>
      </c>
      <c r="Q106" s="50">
        <f>IFERROR(VLOOKUP(E106,'BD - A - Mvto Cx'!$CQ$15:$CS$500,3,0),0)</f>
        <v>0</v>
      </c>
      <c r="R106" s="50">
        <f>IFERROR(VLOOKUP(E106,'BD - A - Mvto Cx'!$CZ$15:$DB$500,3,0),0)</f>
        <v>0</v>
      </c>
    </row>
    <row r="107" spans="1:996">
      <c r="A107" s="37"/>
      <c r="B107" t="str">
        <f t="shared" si="5"/>
        <v>S214116</v>
      </c>
      <c r="C107" s="29" t="s">
        <v>338</v>
      </c>
      <c r="D107" s="27" t="s">
        <v>128</v>
      </c>
      <c r="E107" s="7">
        <v>214116</v>
      </c>
      <c r="F107" s="48" t="s">
        <v>517</v>
      </c>
      <c r="G107" s="423">
        <f>IFERROR(VLOOKUP(E107,'BD - A - Mvto Cx'!$E$15:$G$501,3,0),0)</f>
        <v>45604.33</v>
      </c>
      <c r="H107" s="51">
        <f>IFERROR(VLOOKUP(E107,'BD - A - Mvto Cx'!$N$15:$P$500,3,0),0)</f>
        <v>43549.34</v>
      </c>
      <c r="I107" s="50">
        <f>IFERROR(VLOOKUP(E107,'BD - A - Mvto Cx'!$W$15:$Y$500,3,0),0)</f>
        <v>34884.36</v>
      </c>
      <c r="J107" s="50">
        <f>IFERROR(VLOOKUP(E107,'BD - A - Mvto Cx'!$AF$15:$AH$500,3,0),0)</f>
        <v>39309.870000000003</v>
      </c>
      <c r="K107" s="50">
        <f>IFERROR(VLOOKUP(E107,'BD - A - Mvto Cx'!$AO$15:$AQ$500,3,0),0)</f>
        <v>0</v>
      </c>
      <c r="L107" s="50">
        <f>IFERROR(VLOOKUP(E107,'BD - A - Mvto Cx'!$AX$15:$AZ$500,3,0),0)</f>
        <v>0</v>
      </c>
      <c r="M107" s="50">
        <f>IFERROR(VLOOKUP(E107,'BD - A - Mvto Cx'!$BG$15:$BI$500,3,0),0)</f>
        <v>0</v>
      </c>
      <c r="N107" s="50">
        <f>IFERROR(VLOOKUP(E107,'BD - A - Mvto Cx'!$BP$15:$BR$500,3,0),0)</f>
        <v>0</v>
      </c>
      <c r="O107" s="50">
        <f>IFERROR(VLOOKUP(E107,'BD - A - Mvto Cx'!$BY$15:$CA$500,3,0),0)</f>
        <v>0</v>
      </c>
      <c r="P107" s="50">
        <f>IFERROR(VLOOKUP(E107,'BD - A - Mvto Cx'!$CH$15:$CJ$500,3,0),0)</f>
        <v>0</v>
      </c>
      <c r="Q107" s="50">
        <f>IFERROR(VLOOKUP(E107,'BD - A - Mvto Cx'!$CQ$15:$CS$500,3,0),0)</f>
        <v>0</v>
      </c>
      <c r="R107" s="50">
        <f>IFERROR(VLOOKUP(E107,'BD - A - Mvto Cx'!$CZ$15:$DB$500,3,0),0)</f>
        <v>0</v>
      </c>
    </row>
    <row r="108" spans="1:996">
      <c r="A108" s="37"/>
      <c r="B108" t="str">
        <f t="shared" si="5"/>
        <v>S214119</v>
      </c>
      <c r="C108" s="29" t="s">
        <v>235</v>
      </c>
      <c r="D108" s="27" t="s">
        <v>128</v>
      </c>
      <c r="E108" s="7">
        <v>214119</v>
      </c>
      <c r="F108" s="48" t="s">
        <v>158</v>
      </c>
      <c r="G108" s="423">
        <f>IFERROR(VLOOKUP(E108,'BD - A - Mvto Cx'!$E$15:$G$501,3,0),0)</f>
        <v>456.63</v>
      </c>
      <c r="H108" s="51">
        <f>IFERROR(VLOOKUP(E108,'BD - A - Mvto Cx'!$N$15:$P$500,3,0),0)</f>
        <v>26.13</v>
      </c>
      <c r="I108" s="50">
        <f>IFERROR(VLOOKUP(E108,'BD - A - Mvto Cx'!$W$15:$Y$500,3,0),0)</f>
        <v>539.24</v>
      </c>
      <c r="J108" s="50">
        <f>IFERROR(VLOOKUP(E108,'BD - A - Mvto Cx'!$AF$15:$AH$500,3,0),0)</f>
        <v>111.29</v>
      </c>
      <c r="K108" s="50">
        <f>IFERROR(VLOOKUP(E108,'BD - A - Mvto Cx'!$AO$15:$AQ$500,3,0),0)</f>
        <v>0</v>
      </c>
      <c r="L108" s="50">
        <f>IFERROR(VLOOKUP(E108,'BD - A - Mvto Cx'!$AX$15:$AZ$500,3,0),0)</f>
        <v>0</v>
      </c>
      <c r="M108" s="50">
        <f>IFERROR(VLOOKUP(E108,'BD - A - Mvto Cx'!$BG$15:$BI$500,3,0),0)</f>
        <v>0</v>
      </c>
      <c r="N108" s="50">
        <f>IFERROR(VLOOKUP(E108,'BD - A - Mvto Cx'!$BP$15:$BR$500,3,0),0)</f>
        <v>0</v>
      </c>
      <c r="O108" s="50">
        <f>IFERROR(VLOOKUP(E108,'BD - A - Mvto Cx'!$BY$15:$CA$500,3,0),0)</f>
        <v>0</v>
      </c>
      <c r="P108" s="50">
        <f>IFERROR(VLOOKUP(E108,'BD - A - Mvto Cx'!$CH$15:$CJ$500,3,0),0)</f>
        <v>0</v>
      </c>
      <c r="Q108" s="50">
        <f>IFERROR(VLOOKUP(E108,'BD - A - Mvto Cx'!$CQ$15:$CS$500,3,0),0)</f>
        <v>0</v>
      </c>
      <c r="R108" s="50">
        <f>IFERROR(VLOOKUP(E108,'BD - A - Mvto Cx'!$CZ$15:$DB$500,3,0),0)</f>
        <v>0</v>
      </c>
    </row>
    <row r="109" spans="1:996">
      <c r="A109" s="37"/>
      <c r="B109" t="str">
        <f t="shared" si="5"/>
        <v>S214120</v>
      </c>
      <c r="C109" s="29" t="s">
        <v>235</v>
      </c>
      <c r="D109" s="27" t="s">
        <v>128</v>
      </c>
      <c r="E109" s="7">
        <v>214120</v>
      </c>
      <c r="F109" s="48" t="s">
        <v>159</v>
      </c>
      <c r="G109" s="423">
        <f>IFERROR(VLOOKUP(E109,'BD - A - Mvto Cx'!$E$15:$G$501,3,0),0)</f>
        <v>7.23</v>
      </c>
      <c r="H109" s="51">
        <f>IFERROR(VLOOKUP(E109,'BD - A - Mvto Cx'!$N$15:$P$500,3,0),0)</f>
        <v>22.05</v>
      </c>
      <c r="I109" s="50">
        <f>IFERROR(VLOOKUP(E109,'BD - A - Mvto Cx'!$W$15:$Y$500,3,0),0)</f>
        <v>5.85</v>
      </c>
      <c r="J109" s="50">
        <f>IFERROR(VLOOKUP(E109,'BD - A - Mvto Cx'!$AF$15:$AH$500,3,0),0)</f>
        <v>12.78</v>
      </c>
      <c r="K109" s="50">
        <f>IFERROR(VLOOKUP(E109,'BD - A - Mvto Cx'!$AO$15:$AQ$500,3,0),0)</f>
        <v>0</v>
      </c>
      <c r="L109" s="50">
        <f>IFERROR(VLOOKUP(E109,'BD - A - Mvto Cx'!$AX$15:$AZ$500,3,0),0)</f>
        <v>0</v>
      </c>
      <c r="M109" s="50">
        <f>IFERROR(VLOOKUP(E109,'BD - A - Mvto Cx'!$BG$15:$BI$500,3,0),0)</f>
        <v>0</v>
      </c>
      <c r="N109" s="50">
        <f>IFERROR(VLOOKUP(E109,'BD - A - Mvto Cx'!$BP$15:$BR$500,3,0),0)</f>
        <v>0</v>
      </c>
      <c r="O109" s="50">
        <f>IFERROR(VLOOKUP(E109,'BD - A - Mvto Cx'!$BY$15:$CA$500,3,0),0)</f>
        <v>0</v>
      </c>
      <c r="P109" s="50">
        <f>IFERROR(VLOOKUP(E109,'BD - A - Mvto Cx'!$CH$15:$CJ$500,3,0),0)</f>
        <v>0</v>
      </c>
      <c r="Q109" s="50">
        <f>IFERROR(VLOOKUP(E109,'BD - A - Mvto Cx'!$CQ$15:$CS$500,3,0),0)</f>
        <v>0</v>
      </c>
      <c r="R109" s="50">
        <f>IFERROR(VLOOKUP(E109,'BD - A - Mvto Cx'!$CZ$15:$DB$500,3,0),0)</f>
        <v>0</v>
      </c>
    </row>
    <row r="110" spans="1:996" s="35" customFormat="1">
      <c r="A110" s="68"/>
      <c r="B110" s="28" t="str">
        <f t="shared" si="5"/>
        <v>S214197</v>
      </c>
      <c r="C110" s="35" t="s">
        <v>236</v>
      </c>
      <c r="D110" s="69" t="s">
        <v>128</v>
      </c>
      <c r="E110" s="35">
        <v>214197</v>
      </c>
      <c r="F110" s="52" t="s">
        <v>160</v>
      </c>
      <c r="G110" s="53">
        <f>IFERROR(VLOOKUP(E110,'BD - A - Mvto Cx'!$E$15:$G$501,3,0),0)</f>
        <v>139173</v>
      </c>
      <c r="H110" s="54">
        <f>IFERROR(VLOOKUP(E110,'BD - A - Mvto Cx'!$N$15:$P$500,3,0),0)</f>
        <v>133145.82</v>
      </c>
      <c r="I110" s="70">
        <f>IFERROR(VLOOKUP(E110,'BD - A - Mvto Cx'!$W$15:$Y$500,3,0),0)</f>
        <v>107190.57</v>
      </c>
      <c r="J110" s="50">
        <f>IFERROR(VLOOKUP(E110,'BD - A - Mvto Cx'!$AF$15:$AH$500,3,0),0)</f>
        <v>119232.27</v>
      </c>
      <c r="K110" s="50">
        <f>IFERROR(VLOOKUP(E110,'BD - A - Mvto Cx'!$AO$15:$AQ$500,3,0),0)</f>
        <v>0</v>
      </c>
      <c r="L110" s="50">
        <f>IFERROR(VLOOKUP(E110,'BD - A - Mvto Cx'!$AX$15:$AZ$500,3,0),0)</f>
        <v>0</v>
      </c>
      <c r="M110" s="50">
        <f>IFERROR(VLOOKUP(E110,'BD - A - Mvto Cx'!$BG$15:$BI$500,3,0),0)</f>
        <v>0</v>
      </c>
      <c r="N110" s="50">
        <f>IFERROR(VLOOKUP(E110,'BD - A - Mvto Cx'!$BP$15:$BR$500,3,0),0)</f>
        <v>0</v>
      </c>
      <c r="O110" s="50">
        <f>IFERROR(VLOOKUP(E110,'BD - A - Mvto Cx'!$BY$15:$CA$500,3,0),0)</f>
        <v>0</v>
      </c>
      <c r="P110" s="50">
        <f>IFERROR(VLOOKUP(E110,'BD - A - Mvto Cx'!$CH$15:$CJ$500,3,0),0)</f>
        <v>0</v>
      </c>
      <c r="Q110" s="50">
        <f>IFERROR(VLOOKUP(E110,'BD - A - Mvto Cx'!$CQ$15:$CS$500,3,0),0)</f>
        <v>0</v>
      </c>
      <c r="R110" s="50">
        <f>IFERROR(VLOOKUP(E110,'BD - A - Mvto Cx'!$CZ$15:$DB$500,3,0),0)</f>
        <v>0</v>
      </c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/>
      <c r="CL110" s="71"/>
      <c r="CM110" s="71"/>
      <c r="CN110" s="71"/>
      <c r="CO110" s="71"/>
      <c r="CP110" s="71"/>
      <c r="CQ110" s="71"/>
      <c r="CR110" s="71"/>
      <c r="CS110" s="71"/>
      <c r="CT110" s="71"/>
      <c r="CU110" s="71"/>
      <c r="CV110" s="71"/>
      <c r="CW110" s="71"/>
      <c r="CX110" s="71"/>
      <c r="CY110" s="71"/>
      <c r="CZ110" s="71"/>
      <c r="DA110" s="71"/>
      <c r="DB110" s="71"/>
      <c r="DC110" s="71"/>
      <c r="DD110" s="71"/>
      <c r="DE110" s="71"/>
      <c r="DF110" s="71"/>
      <c r="DG110" s="71"/>
      <c r="DH110" s="71"/>
      <c r="DI110" s="71"/>
      <c r="DJ110" s="71"/>
      <c r="DK110" s="71"/>
      <c r="DL110" s="71"/>
      <c r="DM110" s="71"/>
      <c r="DN110" s="71"/>
      <c r="DO110" s="71"/>
      <c r="DP110" s="71"/>
      <c r="DQ110" s="71"/>
      <c r="DR110" s="71"/>
      <c r="DS110" s="71"/>
      <c r="DT110" s="71"/>
      <c r="DU110" s="71"/>
      <c r="DV110" s="71"/>
      <c r="DW110" s="71"/>
      <c r="DX110" s="71"/>
      <c r="DY110" s="71"/>
      <c r="DZ110" s="71"/>
      <c r="EA110" s="71"/>
      <c r="EB110" s="71"/>
      <c r="EC110" s="71"/>
      <c r="ED110" s="71"/>
      <c r="EE110" s="71"/>
      <c r="EF110" s="71"/>
      <c r="EG110" s="71"/>
      <c r="EH110" s="71"/>
      <c r="EI110" s="71"/>
      <c r="EJ110" s="71"/>
      <c r="EK110" s="71"/>
      <c r="EL110" s="71"/>
      <c r="EM110" s="71"/>
      <c r="EN110" s="71"/>
      <c r="EO110" s="71"/>
      <c r="EP110" s="71"/>
      <c r="EQ110" s="71"/>
      <c r="ER110" s="71"/>
      <c r="ES110" s="71"/>
      <c r="ET110" s="71"/>
      <c r="EU110" s="71"/>
      <c r="EV110" s="71"/>
      <c r="EW110" s="71"/>
      <c r="EX110" s="71"/>
      <c r="EY110" s="71"/>
      <c r="EZ110" s="71"/>
      <c r="FA110" s="71"/>
      <c r="FB110" s="71"/>
      <c r="FC110" s="71"/>
      <c r="FD110" s="71"/>
      <c r="FE110" s="71"/>
      <c r="FF110" s="71"/>
      <c r="FG110" s="71"/>
      <c r="FH110" s="71"/>
      <c r="FI110" s="71"/>
      <c r="FJ110" s="71"/>
      <c r="FK110" s="71"/>
      <c r="FL110" s="71"/>
      <c r="FM110" s="71"/>
      <c r="FN110" s="71"/>
      <c r="FO110" s="71"/>
      <c r="FP110" s="71"/>
      <c r="FQ110" s="71"/>
      <c r="FR110" s="71"/>
      <c r="FS110" s="71"/>
      <c r="FT110" s="71"/>
      <c r="FU110" s="71"/>
      <c r="FV110" s="71"/>
      <c r="FW110" s="71"/>
      <c r="FX110" s="71"/>
      <c r="FY110" s="71"/>
      <c r="FZ110" s="71"/>
      <c r="GA110" s="71"/>
      <c r="GB110" s="71"/>
      <c r="GC110" s="71"/>
      <c r="GD110" s="71"/>
      <c r="GE110" s="71"/>
      <c r="GF110" s="71"/>
      <c r="GG110" s="71"/>
      <c r="GH110" s="71"/>
      <c r="GI110" s="71"/>
      <c r="GJ110" s="71"/>
      <c r="GK110" s="71"/>
      <c r="GL110" s="71"/>
      <c r="GM110" s="71"/>
      <c r="GN110" s="71"/>
      <c r="GO110" s="71"/>
      <c r="GP110" s="71"/>
      <c r="GQ110" s="71"/>
      <c r="GR110" s="71"/>
      <c r="GS110" s="71"/>
      <c r="GT110" s="71"/>
      <c r="GU110" s="71"/>
      <c r="GV110" s="71"/>
      <c r="GW110" s="71"/>
      <c r="GX110" s="71"/>
      <c r="GY110" s="71"/>
      <c r="GZ110" s="71"/>
      <c r="HA110" s="71"/>
      <c r="HB110" s="71"/>
      <c r="HC110" s="71"/>
      <c r="HD110" s="71"/>
      <c r="HE110" s="71"/>
      <c r="HF110" s="71"/>
      <c r="HG110" s="71"/>
      <c r="HH110" s="71"/>
      <c r="HI110" s="71"/>
      <c r="HJ110" s="71"/>
      <c r="HK110" s="71"/>
      <c r="HL110" s="71"/>
      <c r="HM110" s="71"/>
      <c r="HN110" s="71"/>
      <c r="HO110" s="71"/>
      <c r="HP110" s="71"/>
      <c r="HQ110" s="71"/>
      <c r="HR110" s="71"/>
      <c r="HS110" s="71"/>
      <c r="HT110" s="71"/>
      <c r="HU110" s="71"/>
      <c r="HV110" s="71"/>
      <c r="HW110" s="71"/>
      <c r="HX110" s="71"/>
      <c r="HY110" s="71"/>
      <c r="HZ110" s="71"/>
      <c r="IA110" s="71"/>
      <c r="IB110" s="71"/>
      <c r="IC110" s="71"/>
      <c r="ID110" s="71"/>
      <c r="IE110" s="71"/>
      <c r="IF110" s="71"/>
      <c r="IG110" s="71"/>
      <c r="IH110" s="71"/>
      <c r="II110" s="71"/>
      <c r="IJ110" s="71"/>
      <c r="IK110" s="71"/>
      <c r="IL110" s="71"/>
      <c r="IM110" s="71"/>
      <c r="IN110" s="71"/>
      <c r="IO110" s="71"/>
      <c r="IP110" s="71"/>
      <c r="IQ110" s="71"/>
      <c r="IR110" s="71"/>
      <c r="IS110" s="71"/>
      <c r="IT110" s="71"/>
      <c r="IU110" s="71"/>
      <c r="IV110" s="71"/>
      <c r="IW110" s="71"/>
      <c r="IX110" s="71"/>
      <c r="IY110" s="71"/>
      <c r="IZ110" s="71"/>
      <c r="JA110" s="71"/>
      <c r="JB110" s="71"/>
      <c r="JC110" s="71"/>
      <c r="JD110" s="71"/>
      <c r="JE110" s="71"/>
      <c r="JF110" s="71"/>
      <c r="JG110" s="71"/>
      <c r="JH110" s="71"/>
      <c r="JI110" s="71"/>
      <c r="JJ110" s="71"/>
      <c r="JK110" s="71"/>
      <c r="JL110" s="71"/>
      <c r="JM110" s="71"/>
      <c r="JN110" s="71"/>
      <c r="JO110" s="71"/>
      <c r="JP110" s="71"/>
      <c r="JQ110" s="71"/>
      <c r="JR110" s="71"/>
      <c r="JS110" s="71"/>
      <c r="JT110" s="71"/>
      <c r="JU110" s="71"/>
      <c r="JV110" s="71"/>
      <c r="JW110" s="71"/>
      <c r="JX110" s="71"/>
      <c r="JY110" s="71"/>
      <c r="JZ110" s="71"/>
      <c r="KA110" s="71"/>
      <c r="KB110" s="71"/>
      <c r="KC110" s="71"/>
      <c r="KD110" s="71"/>
      <c r="KE110" s="71"/>
      <c r="KF110" s="71"/>
      <c r="KG110" s="71"/>
      <c r="KH110" s="71"/>
      <c r="KI110" s="71"/>
      <c r="KJ110" s="71"/>
      <c r="KK110" s="71"/>
      <c r="KL110" s="71"/>
      <c r="KM110" s="71"/>
      <c r="KN110" s="71"/>
      <c r="KO110" s="71"/>
      <c r="KP110" s="71"/>
      <c r="KQ110" s="71"/>
      <c r="KR110" s="71"/>
      <c r="KS110" s="71"/>
      <c r="KT110" s="71"/>
      <c r="KU110" s="71"/>
      <c r="KV110" s="71"/>
      <c r="KW110" s="71"/>
      <c r="KX110" s="71"/>
      <c r="KY110" s="71"/>
      <c r="KZ110" s="71"/>
      <c r="LA110" s="71"/>
      <c r="LB110" s="71"/>
      <c r="LC110" s="71"/>
      <c r="LD110" s="71"/>
      <c r="LE110" s="71"/>
      <c r="LF110" s="71"/>
      <c r="LG110" s="71"/>
      <c r="LH110" s="71"/>
      <c r="LI110" s="71"/>
      <c r="LJ110" s="71"/>
      <c r="LK110" s="71"/>
      <c r="LL110" s="71"/>
      <c r="LM110" s="71"/>
      <c r="LN110" s="71"/>
      <c r="LO110" s="71"/>
      <c r="LP110" s="71"/>
      <c r="LQ110" s="71"/>
      <c r="LR110" s="71"/>
      <c r="LS110" s="71"/>
      <c r="LT110" s="71"/>
      <c r="LU110" s="71"/>
      <c r="LV110" s="71"/>
      <c r="LW110" s="71"/>
      <c r="LX110" s="71"/>
      <c r="LY110" s="71"/>
      <c r="LZ110" s="71"/>
      <c r="MA110" s="71"/>
      <c r="MB110" s="71"/>
      <c r="MC110" s="71"/>
      <c r="MD110" s="71"/>
      <c r="ME110" s="71"/>
      <c r="MF110" s="71"/>
      <c r="MG110" s="71"/>
      <c r="MH110" s="71"/>
      <c r="MI110" s="71"/>
      <c r="MJ110" s="71"/>
      <c r="MK110" s="71"/>
      <c r="ML110" s="71"/>
      <c r="MM110" s="71"/>
      <c r="MN110" s="71"/>
      <c r="MO110" s="71"/>
      <c r="MP110" s="71"/>
      <c r="MQ110" s="71"/>
      <c r="MR110" s="71"/>
      <c r="MS110" s="71"/>
      <c r="MT110" s="71"/>
      <c r="MU110" s="71"/>
      <c r="MV110" s="71"/>
      <c r="MW110" s="71"/>
      <c r="MX110" s="71"/>
      <c r="MY110" s="71"/>
      <c r="MZ110" s="71"/>
      <c r="NA110" s="71"/>
      <c r="NB110" s="71"/>
      <c r="NC110" s="71"/>
      <c r="ND110" s="71"/>
      <c r="NE110" s="71"/>
      <c r="NF110" s="71"/>
      <c r="NG110" s="71"/>
      <c r="NH110" s="71"/>
      <c r="NI110" s="71"/>
      <c r="NJ110" s="71"/>
      <c r="NK110" s="71"/>
      <c r="NL110" s="71"/>
      <c r="NM110" s="71"/>
      <c r="NN110" s="71"/>
      <c r="NO110" s="71"/>
      <c r="NP110" s="71"/>
      <c r="NQ110" s="71"/>
      <c r="NR110" s="71"/>
      <c r="NS110" s="71"/>
      <c r="NT110" s="71"/>
      <c r="NU110" s="71"/>
      <c r="NV110" s="71"/>
      <c r="NW110" s="71"/>
      <c r="NX110" s="71"/>
      <c r="NY110" s="71"/>
      <c r="NZ110" s="71"/>
      <c r="OA110" s="71"/>
      <c r="OB110" s="71"/>
      <c r="OC110" s="71"/>
      <c r="OD110" s="71"/>
      <c r="OE110" s="71"/>
      <c r="OF110" s="71"/>
      <c r="OG110" s="71"/>
      <c r="OH110" s="71"/>
      <c r="OI110" s="71"/>
      <c r="OJ110" s="71"/>
      <c r="OK110" s="71"/>
      <c r="OL110" s="71"/>
      <c r="OM110" s="71"/>
      <c r="ON110" s="71"/>
      <c r="OO110" s="71"/>
      <c r="OP110" s="71"/>
      <c r="OQ110" s="71"/>
      <c r="OR110" s="71"/>
      <c r="OS110" s="71"/>
      <c r="OT110" s="71"/>
      <c r="OU110" s="71"/>
      <c r="OV110" s="71"/>
      <c r="OW110" s="71"/>
      <c r="OX110" s="71"/>
      <c r="OY110" s="71"/>
      <c r="OZ110" s="71"/>
      <c r="PA110" s="71"/>
      <c r="PB110" s="71"/>
      <c r="PC110" s="71"/>
      <c r="PD110" s="71"/>
      <c r="PE110" s="71"/>
      <c r="PF110" s="71"/>
      <c r="PG110" s="71"/>
      <c r="PH110" s="71"/>
      <c r="PI110" s="71"/>
      <c r="PJ110" s="71"/>
      <c r="PK110" s="71"/>
      <c r="PL110" s="71"/>
      <c r="PM110" s="71"/>
      <c r="PN110" s="71"/>
      <c r="PO110" s="71"/>
      <c r="PP110" s="71"/>
      <c r="PQ110" s="71"/>
      <c r="PR110" s="71"/>
      <c r="PS110" s="71"/>
      <c r="PT110" s="71"/>
      <c r="PU110" s="71"/>
      <c r="PV110" s="71"/>
      <c r="PW110" s="71"/>
      <c r="PX110" s="71"/>
      <c r="PY110" s="71"/>
      <c r="PZ110" s="71"/>
      <c r="QA110" s="71"/>
      <c r="QB110" s="71"/>
      <c r="QC110" s="71"/>
      <c r="QD110" s="71"/>
      <c r="QE110" s="71"/>
      <c r="QF110" s="71"/>
      <c r="QG110" s="71"/>
      <c r="QH110" s="71"/>
      <c r="QI110" s="71"/>
      <c r="QJ110" s="71"/>
      <c r="QK110" s="71"/>
      <c r="QL110" s="71"/>
      <c r="QM110" s="71"/>
      <c r="QN110" s="71"/>
      <c r="QO110" s="71"/>
      <c r="QP110" s="71"/>
      <c r="QQ110" s="71"/>
      <c r="QR110" s="71"/>
      <c r="QS110" s="71"/>
      <c r="QT110" s="71"/>
      <c r="QU110" s="71"/>
      <c r="QV110" s="71"/>
      <c r="QW110" s="71"/>
      <c r="QX110" s="71"/>
      <c r="QY110" s="71"/>
      <c r="QZ110" s="71"/>
      <c r="RA110" s="71"/>
      <c r="RB110" s="71"/>
      <c r="RC110" s="71"/>
      <c r="RD110" s="71"/>
      <c r="RE110" s="71"/>
      <c r="RF110" s="71"/>
      <c r="RG110" s="71"/>
      <c r="RH110" s="71"/>
      <c r="RI110" s="71"/>
      <c r="RJ110" s="71"/>
      <c r="RK110" s="71"/>
      <c r="RL110" s="71"/>
      <c r="RM110" s="71"/>
      <c r="RN110" s="71"/>
      <c r="RO110" s="71"/>
      <c r="RP110" s="71"/>
      <c r="RQ110" s="71"/>
      <c r="RR110" s="71"/>
      <c r="RS110" s="71"/>
      <c r="RT110" s="71"/>
      <c r="RU110" s="71"/>
      <c r="RV110" s="71"/>
      <c r="RW110" s="71"/>
      <c r="RX110" s="71"/>
      <c r="RY110" s="71"/>
      <c r="RZ110" s="71"/>
      <c r="SA110" s="71"/>
      <c r="SB110" s="71"/>
      <c r="SC110" s="71"/>
      <c r="SD110" s="71"/>
      <c r="SE110" s="71"/>
      <c r="SF110" s="71"/>
      <c r="SG110" s="71"/>
      <c r="SH110" s="71"/>
      <c r="SI110" s="71"/>
      <c r="SJ110" s="71"/>
      <c r="SK110" s="71"/>
      <c r="SL110" s="71"/>
      <c r="SM110" s="71"/>
      <c r="SN110" s="71"/>
      <c r="SO110" s="71"/>
      <c r="SP110" s="71"/>
      <c r="SQ110" s="71"/>
      <c r="SR110" s="71"/>
      <c r="SS110" s="71"/>
      <c r="ST110" s="71"/>
      <c r="SU110" s="71"/>
      <c r="SV110" s="71"/>
      <c r="SW110" s="71"/>
      <c r="SX110" s="71"/>
      <c r="SY110" s="71"/>
      <c r="SZ110" s="71"/>
      <c r="TA110" s="71"/>
      <c r="TB110" s="71"/>
      <c r="TC110" s="71"/>
      <c r="TD110" s="71"/>
      <c r="TE110" s="71"/>
      <c r="TF110" s="71"/>
      <c r="TG110" s="71"/>
      <c r="TH110" s="71"/>
      <c r="TI110" s="71"/>
      <c r="TJ110" s="71"/>
      <c r="TK110" s="71"/>
      <c r="TL110" s="71"/>
      <c r="TM110" s="71"/>
      <c r="TN110" s="71"/>
      <c r="TO110" s="71"/>
      <c r="TP110" s="71"/>
      <c r="TQ110" s="71"/>
      <c r="TR110" s="71"/>
      <c r="TS110" s="71"/>
      <c r="TT110" s="71"/>
      <c r="TU110" s="71"/>
      <c r="TV110" s="71"/>
      <c r="TW110" s="71"/>
      <c r="TX110" s="71"/>
      <c r="TY110" s="71"/>
      <c r="TZ110" s="71"/>
      <c r="UA110" s="71"/>
      <c r="UB110" s="71"/>
      <c r="UC110" s="71"/>
      <c r="UD110" s="71"/>
      <c r="UE110" s="71"/>
      <c r="UF110" s="71"/>
      <c r="UG110" s="71"/>
      <c r="UH110" s="71"/>
      <c r="UI110" s="71"/>
      <c r="UJ110" s="71"/>
      <c r="UK110" s="71"/>
      <c r="UL110" s="71"/>
      <c r="UM110" s="71"/>
      <c r="UN110" s="71"/>
      <c r="UO110" s="71"/>
      <c r="UP110" s="71"/>
      <c r="UQ110" s="71"/>
      <c r="UR110" s="71"/>
      <c r="US110" s="71"/>
      <c r="UT110" s="71"/>
      <c r="UU110" s="71"/>
      <c r="UV110" s="71"/>
      <c r="UW110" s="71"/>
      <c r="UX110" s="71"/>
      <c r="UY110" s="71"/>
      <c r="UZ110" s="71"/>
      <c r="VA110" s="71"/>
      <c r="VB110" s="71"/>
      <c r="VC110" s="71"/>
      <c r="VD110" s="71"/>
      <c r="VE110" s="71"/>
      <c r="VF110" s="71"/>
      <c r="VG110" s="71"/>
      <c r="VH110" s="71"/>
      <c r="VI110" s="71"/>
      <c r="VJ110" s="71"/>
      <c r="VK110" s="71"/>
      <c r="VL110" s="71"/>
      <c r="VM110" s="71"/>
      <c r="VN110" s="71"/>
      <c r="VO110" s="71"/>
      <c r="VP110" s="71"/>
      <c r="VQ110" s="71"/>
      <c r="VR110" s="71"/>
      <c r="VS110" s="71"/>
      <c r="VT110" s="71"/>
      <c r="VU110" s="71"/>
      <c r="VV110" s="71"/>
      <c r="VW110" s="71"/>
      <c r="VX110" s="71"/>
      <c r="VY110" s="71"/>
      <c r="VZ110" s="71"/>
      <c r="WA110" s="71"/>
      <c r="WB110" s="71"/>
      <c r="WC110" s="71"/>
      <c r="WD110" s="71"/>
      <c r="WE110" s="71"/>
      <c r="WF110" s="71"/>
      <c r="WG110" s="71"/>
      <c r="WH110" s="71"/>
      <c r="WI110" s="71"/>
      <c r="WJ110" s="71"/>
      <c r="WK110" s="71"/>
      <c r="WL110" s="71"/>
      <c r="WM110" s="71"/>
      <c r="WN110" s="71"/>
      <c r="WO110" s="71"/>
      <c r="WP110" s="71"/>
      <c r="WQ110" s="71"/>
      <c r="WR110" s="71"/>
      <c r="WS110" s="71"/>
      <c r="WT110" s="71"/>
      <c r="WU110" s="71"/>
      <c r="WV110" s="71"/>
      <c r="WW110" s="71"/>
      <c r="WX110" s="71"/>
      <c r="WY110" s="71"/>
      <c r="WZ110" s="71"/>
      <c r="XA110" s="71"/>
      <c r="XB110" s="71"/>
      <c r="XC110" s="71"/>
      <c r="XD110" s="71"/>
      <c r="XE110" s="71"/>
      <c r="XF110" s="71"/>
      <c r="XG110" s="71"/>
      <c r="XH110" s="71"/>
      <c r="XI110" s="71"/>
      <c r="XJ110" s="71"/>
      <c r="XK110" s="71"/>
      <c r="XL110" s="71"/>
      <c r="XM110" s="71"/>
      <c r="XN110" s="71"/>
      <c r="XO110" s="71"/>
      <c r="XP110" s="71"/>
      <c r="XQ110" s="71"/>
      <c r="XR110" s="71"/>
      <c r="XS110" s="71"/>
      <c r="XT110" s="71"/>
      <c r="XU110" s="71"/>
      <c r="XV110" s="71"/>
      <c r="XW110" s="71"/>
      <c r="XX110" s="71"/>
      <c r="XY110" s="71"/>
      <c r="XZ110" s="71"/>
      <c r="YA110" s="71"/>
      <c r="YB110" s="71"/>
      <c r="YC110" s="71"/>
      <c r="YD110" s="71"/>
      <c r="YE110" s="71"/>
      <c r="YF110" s="71"/>
      <c r="YG110" s="71"/>
      <c r="YH110" s="71"/>
      <c r="YI110" s="71"/>
      <c r="YJ110" s="71"/>
      <c r="YK110" s="71"/>
      <c r="YL110" s="71"/>
      <c r="YM110" s="71"/>
      <c r="YN110" s="71"/>
      <c r="YO110" s="71"/>
      <c r="YP110" s="71"/>
      <c r="YQ110" s="71"/>
      <c r="YR110" s="71"/>
      <c r="YS110" s="71"/>
      <c r="YT110" s="71"/>
      <c r="YU110" s="71"/>
      <c r="YV110" s="71"/>
      <c r="YW110" s="71"/>
      <c r="YX110" s="71"/>
      <c r="YY110" s="71"/>
      <c r="YZ110" s="71"/>
      <c r="ZA110" s="71"/>
      <c r="ZB110" s="71"/>
      <c r="ZC110" s="71"/>
      <c r="ZD110" s="71"/>
      <c r="ZE110" s="71"/>
      <c r="ZF110" s="71"/>
      <c r="ZG110" s="71"/>
      <c r="ZH110" s="71"/>
      <c r="ZI110" s="71"/>
      <c r="ZJ110" s="71"/>
      <c r="ZK110" s="71"/>
      <c r="ZL110" s="71"/>
      <c r="ZM110" s="71"/>
      <c r="ZN110" s="71"/>
      <c r="ZO110" s="71"/>
      <c r="ZP110" s="71"/>
      <c r="ZQ110" s="71"/>
      <c r="ZR110" s="71"/>
      <c r="ZS110" s="71"/>
      <c r="ZT110" s="71"/>
      <c r="ZU110" s="71"/>
      <c r="ZV110" s="71"/>
      <c r="ZW110" s="71"/>
      <c r="ZX110" s="71"/>
      <c r="ZY110" s="71"/>
      <c r="ZZ110" s="71"/>
      <c r="AAA110" s="71"/>
      <c r="AAB110" s="71"/>
      <c r="AAC110" s="71"/>
      <c r="AAD110" s="71"/>
      <c r="AAE110" s="71"/>
      <c r="AAF110" s="71"/>
      <c r="AAG110" s="71"/>
      <c r="AAH110" s="71"/>
      <c r="AAI110" s="71"/>
      <c r="AAJ110" s="71"/>
      <c r="AAK110" s="71"/>
      <c r="AAL110" s="71"/>
      <c r="AAM110" s="71"/>
      <c r="AAN110" s="71"/>
      <c r="AAO110" s="71"/>
      <c r="AAP110" s="71"/>
      <c r="AAQ110" s="71"/>
      <c r="AAR110" s="71"/>
      <c r="AAS110" s="71"/>
      <c r="AAT110" s="71"/>
      <c r="AAU110" s="71"/>
      <c r="AAV110" s="71"/>
      <c r="AAW110" s="71"/>
      <c r="AAX110" s="71"/>
      <c r="AAY110" s="71"/>
      <c r="AAZ110" s="71"/>
      <c r="ABA110" s="71"/>
      <c r="ABB110" s="71"/>
      <c r="ABC110" s="71"/>
      <c r="ABD110" s="71"/>
      <c r="ABE110" s="71"/>
      <c r="ABF110" s="71"/>
      <c r="ABG110" s="71"/>
      <c r="ABH110" s="71"/>
      <c r="ABI110" s="71"/>
      <c r="ABJ110" s="71"/>
      <c r="ABK110" s="71"/>
      <c r="ABL110" s="71"/>
      <c r="ABM110" s="71"/>
      <c r="ABN110" s="71"/>
      <c r="ABO110" s="71"/>
      <c r="ABP110" s="71"/>
      <c r="ABQ110" s="71"/>
      <c r="ABR110" s="71"/>
      <c r="ABS110" s="71"/>
      <c r="ABT110" s="71"/>
      <c r="ABU110" s="71"/>
      <c r="ABV110" s="71"/>
      <c r="ABW110" s="71"/>
      <c r="ABX110" s="71"/>
      <c r="ABY110" s="71"/>
      <c r="ABZ110" s="71"/>
      <c r="ACA110" s="71"/>
      <c r="ACB110" s="71"/>
      <c r="ACC110" s="71"/>
      <c r="ACD110" s="71"/>
      <c r="ACE110" s="71"/>
      <c r="ACF110" s="71"/>
      <c r="ACG110" s="71"/>
      <c r="ACH110" s="71"/>
      <c r="ACI110" s="71"/>
      <c r="ACJ110" s="71"/>
      <c r="ACK110" s="71"/>
      <c r="ACL110" s="71"/>
      <c r="ACM110" s="71"/>
      <c r="ACN110" s="71"/>
      <c r="ACO110" s="71"/>
      <c r="ACP110" s="71"/>
      <c r="ACQ110" s="71"/>
      <c r="ACR110" s="71"/>
      <c r="ACS110" s="71"/>
      <c r="ACT110" s="71"/>
      <c r="ACU110" s="71"/>
      <c r="ACV110" s="71"/>
      <c r="ACW110" s="71"/>
      <c r="ACX110" s="71"/>
      <c r="ACY110" s="71"/>
      <c r="ACZ110" s="71"/>
      <c r="ADA110" s="71"/>
      <c r="ADB110" s="71"/>
      <c r="ADC110" s="71"/>
      <c r="ADD110" s="71"/>
      <c r="ADE110" s="71"/>
      <c r="ADF110" s="71"/>
      <c r="ADG110" s="71"/>
      <c r="ADH110" s="71"/>
      <c r="ADI110" s="71"/>
      <c r="ADJ110" s="71"/>
      <c r="ADK110" s="71"/>
      <c r="ADL110" s="71"/>
      <c r="ADM110" s="71"/>
      <c r="ADN110" s="71"/>
      <c r="ADO110" s="71"/>
      <c r="ADP110" s="71"/>
      <c r="ADQ110" s="71"/>
      <c r="ADR110" s="71"/>
      <c r="ADS110" s="71"/>
      <c r="ADT110" s="71"/>
      <c r="ADU110" s="71"/>
      <c r="ADV110" s="71"/>
      <c r="ADW110" s="71"/>
      <c r="ADX110" s="71"/>
      <c r="ADY110" s="71"/>
      <c r="ADZ110" s="71"/>
      <c r="AEA110" s="71"/>
      <c r="AEB110" s="71"/>
      <c r="AEC110" s="71"/>
      <c r="AED110" s="71"/>
      <c r="AEE110" s="71"/>
      <c r="AEF110" s="71"/>
      <c r="AEG110" s="71"/>
      <c r="AEH110" s="71"/>
      <c r="AEI110" s="71"/>
      <c r="AEJ110" s="71"/>
      <c r="AEK110" s="71"/>
      <c r="AEL110" s="71"/>
      <c r="AEM110" s="71"/>
      <c r="AEN110" s="71"/>
      <c r="AEO110" s="71"/>
      <c r="AEP110" s="71"/>
      <c r="AEQ110" s="71"/>
      <c r="AER110" s="71"/>
      <c r="AES110" s="71"/>
      <c r="AET110" s="71"/>
      <c r="AEU110" s="71"/>
      <c r="AEV110" s="71"/>
      <c r="AEW110" s="71"/>
      <c r="AEX110" s="71"/>
      <c r="AEY110" s="71"/>
      <c r="AEZ110" s="71"/>
      <c r="AFA110" s="71"/>
      <c r="AFB110" s="71"/>
      <c r="AFC110" s="71"/>
      <c r="AFD110" s="71"/>
      <c r="AFE110" s="71"/>
      <c r="AFF110" s="71"/>
      <c r="AFG110" s="71"/>
      <c r="AFH110" s="71"/>
      <c r="AFI110" s="71"/>
      <c r="AFJ110" s="71"/>
      <c r="AFK110" s="71"/>
      <c r="AFL110" s="71"/>
      <c r="AFM110" s="71"/>
      <c r="AFN110" s="71"/>
      <c r="AFO110" s="71"/>
      <c r="AFP110" s="71"/>
      <c r="AFQ110" s="71"/>
      <c r="AFR110" s="71"/>
      <c r="AFS110" s="71"/>
      <c r="AFT110" s="71"/>
      <c r="AFU110" s="71"/>
      <c r="AFV110" s="71"/>
      <c r="AFW110" s="71"/>
      <c r="AFX110" s="71"/>
      <c r="AFY110" s="71"/>
      <c r="AFZ110" s="71"/>
      <c r="AGA110" s="71"/>
      <c r="AGB110" s="71"/>
      <c r="AGC110" s="71"/>
      <c r="AGD110" s="71"/>
      <c r="AGE110" s="71"/>
      <c r="AGF110" s="71"/>
      <c r="AGG110" s="71"/>
      <c r="AGH110" s="71"/>
      <c r="AGI110" s="71"/>
      <c r="AGJ110" s="71"/>
      <c r="AGK110" s="71"/>
      <c r="AGL110" s="71"/>
      <c r="AGM110" s="71"/>
      <c r="AGN110" s="71"/>
      <c r="AGO110" s="71"/>
      <c r="AGP110" s="71"/>
      <c r="AGQ110" s="71"/>
      <c r="AGR110" s="71"/>
      <c r="AGS110" s="71"/>
      <c r="AGT110" s="71"/>
      <c r="AGU110" s="71"/>
      <c r="AGV110" s="71"/>
      <c r="AGW110" s="71"/>
      <c r="AGX110" s="71"/>
      <c r="AGY110" s="71"/>
      <c r="AGZ110" s="71"/>
      <c r="AHA110" s="71"/>
      <c r="AHB110" s="71"/>
      <c r="AHC110" s="71"/>
      <c r="AHD110" s="71"/>
      <c r="AHE110" s="71"/>
      <c r="AHF110" s="71"/>
      <c r="AHG110" s="71"/>
      <c r="AHH110" s="71"/>
      <c r="AHI110" s="71"/>
      <c r="AHJ110" s="71"/>
      <c r="AHK110" s="71"/>
      <c r="AHL110" s="71"/>
      <c r="AHM110" s="71"/>
      <c r="AHN110" s="71"/>
      <c r="AHO110" s="71"/>
      <c r="AHP110" s="71"/>
      <c r="AHQ110" s="71"/>
      <c r="AHR110" s="71"/>
      <c r="AHS110" s="71"/>
      <c r="AHT110" s="71"/>
      <c r="AHU110" s="71"/>
      <c r="AHV110" s="71"/>
      <c r="AHW110" s="71"/>
      <c r="AHX110" s="71"/>
      <c r="AHY110" s="71"/>
      <c r="AHZ110" s="71"/>
      <c r="AIA110" s="71"/>
      <c r="AIB110" s="71"/>
      <c r="AIC110" s="71"/>
      <c r="AID110" s="71"/>
      <c r="AIE110" s="71"/>
      <c r="AIF110" s="71"/>
      <c r="AIG110" s="71"/>
      <c r="AIH110" s="71"/>
      <c r="AII110" s="71"/>
      <c r="AIJ110" s="71"/>
      <c r="AIK110" s="71"/>
      <c r="AIL110" s="71"/>
      <c r="AIM110" s="71"/>
      <c r="AIN110" s="71"/>
      <c r="AIO110" s="71"/>
      <c r="AIP110" s="71"/>
      <c r="AIQ110" s="71"/>
      <c r="AIR110" s="71"/>
      <c r="AIS110" s="71"/>
      <c r="AIT110" s="71"/>
      <c r="AIU110" s="71"/>
      <c r="AIV110" s="71"/>
      <c r="AIW110" s="71"/>
      <c r="AIX110" s="71"/>
      <c r="AIY110" s="71"/>
      <c r="AIZ110" s="71"/>
      <c r="AJA110" s="71"/>
      <c r="AJB110" s="71"/>
      <c r="AJC110" s="71"/>
      <c r="AJD110" s="71"/>
      <c r="AJE110" s="71"/>
      <c r="AJF110" s="71"/>
      <c r="AJG110" s="71"/>
      <c r="AJH110" s="71"/>
      <c r="AJI110" s="71"/>
      <c r="AJJ110" s="71"/>
      <c r="AJK110" s="71"/>
      <c r="AJL110" s="71"/>
      <c r="AJM110" s="71"/>
      <c r="AJN110" s="71"/>
      <c r="AJO110" s="71"/>
      <c r="AJP110" s="71"/>
      <c r="AJQ110" s="71"/>
      <c r="AJR110" s="71"/>
      <c r="AJS110" s="71"/>
      <c r="AJT110" s="71"/>
      <c r="AJU110" s="71"/>
      <c r="AJV110" s="71"/>
      <c r="AJW110" s="71"/>
      <c r="AJX110" s="71"/>
      <c r="AJY110" s="71"/>
      <c r="AJZ110" s="71"/>
      <c r="AKA110" s="71"/>
      <c r="AKB110" s="71"/>
      <c r="AKC110" s="71"/>
      <c r="AKD110" s="71"/>
      <c r="AKE110" s="71"/>
      <c r="AKF110" s="71"/>
      <c r="AKG110" s="71"/>
      <c r="AKH110" s="71"/>
      <c r="AKI110" s="71"/>
      <c r="AKJ110" s="71"/>
      <c r="AKK110" s="71"/>
      <c r="AKL110" s="71"/>
      <c r="AKM110" s="71"/>
      <c r="AKN110" s="71"/>
      <c r="AKO110" s="71"/>
      <c r="AKP110" s="71"/>
      <c r="AKQ110" s="71"/>
      <c r="AKR110" s="71"/>
      <c r="AKS110" s="71"/>
      <c r="AKT110" s="71"/>
      <c r="AKU110" s="71"/>
      <c r="AKV110" s="71"/>
      <c r="AKW110" s="71"/>
      <c r="AKX110" s="71"/>
      <c r="AKY110" s="71"/>
      <c r="AKZ110" s="71"/>
      <c r="ALA110" s="71"/>
      <c r="ALB110" s="71"/>
      <c r="ALC110" s="71"/>
      <c r="ALD110" s="71"/>
      <c r="ALE110" s="71"/>
      <c r="ALF110" s="71"/>
      <c r="ALG110" s="71"/>
      <c r="ALH110" s="71"/>
    </row>
    <row r="111" spans="1:996">
      <c r="A111" s="37"/>
      <c r="B111" t="str">
        <f t="shared" si="5"/>
        <v>214197/0702</v>
      </c>
      <c r="C111" s="29" t="s">
        <v>235</v>
      </c>
      <c r="D111" s="27"/>
      <c r="E111" s="55" t="s">
        <v>254</v>
      </c>
      <c r="F111" s="48" t="s">
        <v>232</v>
      </c>
      <c r="G111" s="309">
        <v>114388.77</v>
      </c>
      <c r="H111" s="309">
        <v>109434.92</v>
      </c>
      <c r="I111" s="309">
        <v>88101.84</v>
      </c>
      <c r="J111" s="311">
        <v>97211.94</v>
      </c>
      <c r="K111" s="311"/>
      <c r="L111" s="311"/>
      <c r="M111" s="311"/>
      <c r="N111" s="311"/>
      <c r="O111" s="311"/>
      <c r="P111" s="311"/>
      <c r="Q111" s="311"/>
      <c r="R111" s="311"/>
    </row>
    <row r="112" spans="1:996">
      <c r="A112" s="37"/>
      <c r="B112" t="str">
        <f t="shared" si="5"/>
        <v>214197/0703</v>
      </c>
      <c r="C112" s="29" t="s">
        <v>235</v>
      </c>
      <c r="D112" s="27"/>
      <c r="E112" s="55" t="s">
        <v>255</v>
      </c>
      <c r="F112" s="48" t="s">
        <v>233</v>
      </c>
      <c r="G112" s="309">
        <v>24784.23</v>
      </c>
      <c r="H112" s="309">
        <v>23710.9</v>
      </c>
      <c r="I112" s="309">
        <v>19088.73</v>
      </c>
      <c r="J112" s="311">
        <v>21062.59</v>
      </c>
      <c r="K112" s="311"/>
      <c r="L112" s="311"/>
      <c r="M112" s="311"/>
      <c r="N112" s="311"/>
      <c r="O112" s="311"/>
      <c r="P112" s="311"/>
      <c r="Q112" s="311"/>
      <c r="R112" s="311"/>
    </row>
    <row r="113" spans="1:996">
      <c r="A113" s="37"/>
      <c r="B113" t="str">
        <f t="shared" si="5"/>
        <v>214197/0710</v>
      </c>
      <c r="C113" s="29" t="s">
        <v>338</v>
      </c>
      <c r="D113" s="27"/>
      <c r="E113" s="55" t="s">
        <v>256</v>
      </c>
      <c r="F113" s="48" t="s">
        <v>234</v>
      </c>
      <c r="G113" s="309"/>
      <c r="H113" s="310"/>
      <c r="I113" s="311"/>
      <c r="J113" s="311">
        <v>957.74</v>
      </c>
      <c r="K113" s="311"/>
      <c r="L113" s="311"/>
      <c r="M113" s="311"/>
      <c r="N113" s="311"/>
      <c r="O113" s="311"/>
      <c r="P113" s="311"/>
      <c r="Q113" s="311"/>
      <c r="R113" s="311"/>
    </row>
    <row r="114" spans="1:996" s="35" customFormat="1">
      <c r="A114" s="68"/>
      <c r="B114" s="28" t="str">
        <f t="shared" si="5"/>
        <v>S214198</v>
      </c>
      <c r="C114" s="35" t="s">
        <v>236</v>
      </c>
      <c r="D114" s="69" t="s">
        <v>128</v>
      </c>
      <c r="E114" s="35">
        <v>214198</v>
      </c>
      <c r="F114" s="52" t="s">
        <v>161</v>
      </c>
      <c r="G114" s="53">
        <f>IFERROR(VLOOKUP(E114,'BD - A - Mvto Cx'!$E$15:$G$501,3,0),0)</f>
        <v>154831.74</v>
      </c>
      <c r="H114" s="54">
        <f>IFERROR(VLOOKUP(E114,'BD - A - Mvto Cx'!$N$15:$P$500,3,0),0)</f>
        <v>147868.13</v>
      </c>
      <c r="I114" s="70">
        <f>IFERROR(VLOOKUP(E114,'BD - A - Mvto Cx'!$W$15:$Y$500,3,0),0)</f>
        <v>36293.699999999997</v>
      </c>
      <c r="J114" s="50">
        <f>IFERROR(VLOOKUP(E114,'BD - A - Mvto Cx'!$AF$15:$AH$500,3,0),0)</f>
        <v>129090.2</v>
      </c>
      <c r="K114" s="50">
        <f>IFERROR(VLOOKUP(E114,'BD - A - Mvto Cx'!$AO$15:$AQ$500,3,0),0)</f>
        <v>0</v>
      </c>
      <c r="L114" s="50">
        <f>IFERROR(VLOOKUP(E114,'BD - A - Mvto Cx'!$AX$15:$AZ$500,3,0),0)</f>
        <v>0</v>
      </c>
      <c r="M114" s="50">
        <f>IFERROR(VLOOKUP(E114,'BD - A - Mvto Cx'!$BG$15:$BI$500,3,0),0)</f>
        <v>0</v>
      </c>
      <c r="N114" s="50">
        <f>IFERROR(VLOOKUP(E114,'BD - A - Mvto Cx'!$BP$15:$BR$500,3,0),0)</f>
        <v>0</v>
      </c>
      <c r="O114" s="50">
        <f>IFERROR(VLOOKUP(E114,'BD - A - Mvto Cx'!$BY$15:$CA$500,3,0),0)</f>
        <v>0</v>
      </c>
      <c r="P114" s="50">
        <f>IFERROR(VLOOKUP(E114,'BD - A - Mvto Cx'!$CH$15:$CJ$500,3,0),0)</f>
        <v>0</v>
      </c>
      <c r="Q114" s="50">
        <f>IFERROR(VLOOKUP(E114,'BD - A - Mvto Cx'!$CQ$15:$CS$500,3,0),0)</f>
        <v>0</v>
      </c>
      <c r="R114" s="420">
        <f>IFERROR(VLOOKUP(E114,'BD - A - Mvto Cx'!$CZ$15:$DB$500,3,0),0)</f>
        <v>0</v>
      </c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1"/>
      <c r="CY114" s="71"/>
      <c r="CZ114" s="71"/>
      <c r="DA114" s="71"/>
      <c r="DB114" s="71"/>
      <c r="DC114" s="71"/>
      <c r="DD114" s="71"/>
      <c r="DE114" s="71"/>
      <c r="DF114" s="71"/>
      <c r="DG114" s="71"/>
      <c r="DH114" s="71"/>
      <c r="DI114" s="71"/>
      <c r="DJ114" s="71"/>
      <c r="DK114" s="71"/>
      <c r="DL114" s="71"/>
      <c r="DM114" s="71"/>
      <c r="DN114" s="71"/>
      <c r="DO114" s="71"/>
      <c r="DP114" s="71"/>
      <c r="DQ114" s="71"/>
      <c r="DR114" s="71"/>
      <c r="DS114" s="71"/>
      <c r="DT114" s="71"/>
      <c r="DU114" s="71"/>
      <c r="DV114" s="71"/>
      <c r="DW114" s="71"/>
      <c r="DX114" s="71"/>
      <c r="DY114" s="71"/>
      <c r="DZ114" s="71"/>
      <c r="EA114" s="71"/>
      <c r="EB114" s="71"/>
      <c r="EC114" s="71"/>
      <c r="ED114" s="71"/>
      <c r="EE114" s="71"/>
      <c r="EF114" s="71"/>
      <c r="EG114" s="71"/>
      <c r="EH114" s="71"/>
      <c r="EI114" s="71"/>
      <c r="EJ114" s="71"/>
      <c r="EK114" s="71"/>
      <c r="EL114" s="71"/>
      <c r="EM114" s="71"/>
      <c r="EN114" s="71"/>
      <c r="EO114" s="71"/>
      <c r="EP114" s="71"/>
      <c r="EQ114" s="71"/>
      <c r="ER114" s="71"/>
      <c r="ES114" s="71"/>
      <c r="ET114" s="71"/>
      <c r="EU114" s="71"/>
      <c r="EV114" s="71"/>
      <c r="EW114" s="71"/>
      <c r="EX114" s="71"/>
      <c r="EY114" s="71"/>
      <c r="EZ114" s="71"/>
      <c r="FA114" s="71"/>
      <c r="FB114" s="71"/>
      <c r="FC114" s="71"/>
      <c r="FD114" s="71"/>
      <c r="FE114" s="71"/>
      <c r="FF114" s="71"/>
      <c r="FG114" s="71"/>
      <c r="FH114" s="71"/>
      <c r="FI114" s="71"/>
      <c r="FJ114" s="71"/>
      <c r="FK114" s="71"/>
      <c r="FL114" s="71"/>
      <c r="FM114" s="71"/>
      <c r="FN114" s="71"/>
      <c r="FO114" s="71"/>
      <c r="FP114" s="71"/>
      <c r="FQ114" s="71"/>
      <c r="FR114" s="71"/>
      <c r="FS114" s="71"/>
      <c r="FT114" s="71"/>
      <c r="FU114" s="71"/>
      <c r="FV114" s="71"/>
      <c r="FW114" s="71"/>
      <c r="FX114" s="71"/>
      <c r="FY114" s="71"/>
      <c r="FZ114" s="71"/>
      <c r="GA114" s="71"/>
      <c r="GB114" s="71"/>
      <c r="GC114" s="71"/>
      <c r="GD114" s="71"/>
      <c r="GE114" s="71"/>
      <c r="GF114" s="71"/>
      <c r="GG114" s="71"/>
      <c r="GH114" s="71"/>
      <c r="GI114" s="71"/>
      <c r="GJ114" s="71"/>
      <c r="GK114" s="71"/>
      <c r="GL114" s="71"/>
      <c r="GM114" s="71"/>
      <c r="GN114" s="71"/>
      <c r="GO114" s="71"/>
      <c r="GP114" s="71"/>
      <c r="GQ114" s="71"/>
      <c r="GR114" s="71"/>
      <c r="GS114" s="71"/>
      <c r="GT114" s="71"/>
      <c r="GU114" s="71"/>
      <c r="GV114" s="71"/>
      <c r="GW114" s="71"/>
      <c r="GX114" s="71"/>
      <c r="GY114" s="71"/>
      <c r="GZ114" s="71"/>
      <c r="HA114" s="71"/>
      <c r="HB114" s="71"/>
      <c r="HC114" s="71"/>
      <c r="HD114" s="71"/>
      <c r="HE114" s="71"/>
      <c r="HF114" s="71"/>
      <c r="HG114" s="71"/>
      <c r="HH114" s="71"/>
      <c r="HI114" s="71"/>
      <c r="HJ114" s="71"/>
      <c r="HK114" s="71"/>
      <c r="HL114" s="71"/>
      <c r="HM114" s="71"/>
      <c r="HN114" s="71"/>
      <c r="HO114" s="71"/>
      <c r="HP114" s="71"/>
      <c r="HQ114" s="71"/>
      <c r="HR114" s="71"/>
      <c r="HS114" s="71"/>
      <c r="HT114" s="71"/>
      <c r="HU114" s="71"/>
      <c r="HV114" s="71"/>
      <c r="HW114" s="71"/>
      <c r="HX114" s="71"/>
      <c r="HY114" s="71"/>
      <c r="HZ114" s="71"/>
      <c r="IA114" s="71"/>
      <c r="IB114" s="71"/>
      <c r="IC114" s="71"/>
      <c r="ID114" s="71"/>
      <c r="IE114" s="71"/>
      <c r="IF114" s="71"/>
      <c r="IG114" s="71"/>
      <c r="IH114" s="71"/>
      <c r="II114" s="71"/>
      <c r="IJ114" s="71"/>
      <c r="IK114" s="71"/>
      <c r="IL114" s="71"/>
      <c r="IM114" s="71"/>
      <c r="IN114" s="71"/>
      <c r="IO114" s="71"/>
      <c r="IP114" s="71"/>
      <c r="IQ114" s="71"/>
      <c r="IR114" s="71"/>
      <c r="IS114" s="71"/>
      <c r="IT114" s="71"/>
      <c r="IU114" s="71"/>
      <c r="IV114" s="71"/>
      <c r="IW114" s="71"/>
      <c r="IX114" s="71"/>
      <c r="IY114" s="71"/>
      <c r="IZ114" s="71"/>
      <c r="JA114" s="71"/>
      <c r="JB114" s="71"/>
      <c r="JC114" s="71"/>
      <c r="JD114" s="71"/>
      <c r="JE114" s="71"/>
      <c r="JF114" s="71"/>
      <c r="JG114" s="71"/>
      <c r="JH114" s="71"/>
      <c r="JI114" s="71"/>
      <c r="JJ114" s="71"/>
      <c r="JK114" s="71"/>
      <c r="JL114" s="71"/>
      <c r="JM114" s="71"/>
      <c r="JN114" s="71"/>
      <c r="JO114" s="71"/>
      <c r="JP114" s="71"/>
      <c r="JQ114" s="71"/>
      <c r="JR114" s="71"/>
      <c r="JS114" s="71"/>
      <c r="JT114" s="71"/>
      <c r="JU114" s="71"/>
      <c r="JV114" s="71"/>
      <c r="JW114" s="71"/>
      <c r="JX114" s="71"/>
      <c r="JY114" s="71"/>
      <c r="JZ114" s="71"/>
      <c r="KA114" s="71"/>
      <c r="KB114" s="71"/>
      <c r="KC114" s="71"/>
      <c r="KD114" s="71"/>
      <c r="KE114" s="71"/>
      <c r="KF114" s="71"/>
      <c r="KG114" s="71"/>
      <c r="KH114" s="71"/>
      <c r="KI114" s="71"/>
      <c r="KJ114" s="71"/>
      <c r="KK114" s="71"/>
      <c r="KL114" s="71"/>
      <c r="KM114" s="71"/>
      <c r="KN114" s="71"/>
      <c r="KO114" s="71"/>
      <c r="KP114" s="71"/>
      <c r="KQ114" s="71"/>
      <c r="KR114" s="71"/>
      <c r="KS114" s="71"/>
      <c r="KT114" s="71"/>
      <c r="KU114" s="71"/>
      <c r="KV114" s="71"/>
      <c r="KW114" s="71"/>
      <c r="KX114" s="71"/>
      <c r="KY114" s="71"/>
      <c r="KZ114" s="71"/>
      <c r="LA114" s="71"/>
      <c r="LB114" s="71"/>
      <c r="LC114" s="71"/>
      <c r="LD114" s="71"/>
      <c r="LE114" s="71"/>
      <c r="LF114" s="71"/>
      <c r="LG114" s="71"/>
      <c r="LH114" s="71"/>
      <c r="LI114" s="71"/>
      <c r="LJ114" s="71"/>
      <c r="LK114" s="71"/>
      <c r="LL114" s="71"/>
      <c r="LM114" s="71"/>
      <c r="LN114" s="71"/>
      <c r="LO114" s="71"/>
      <c r="LP114" s="71"/>
      <c r="LQ114" s="71"/>
      <c r="LR114" s="71"/>
      <c r="LS114" s="71"/>
      <c r="LT114" s="71"/>
      <c r="LU114" s="71"/>
      <c r="LV114" s="71"/>
      <c r="LW114" s="71"/>
      <c r="LX114" s="71"/>
      <c r="LY114" s="71"/>
      <c r="LZ114" s="71"/>
      <c r="MA114" s="71"/>
      <c r="MB114" s="71"/>
      <c r="MC114" s="71"/>
      <c r="MD114" s="71"/>
      <c r="ME114" s="71"/>
      <c r="MF114" s="71"/>
      <c r="MG114" s="71"/>
      <c r="MH114" s="71"/>
      <c r="MI114" s="71"/>
      <c r="MJ114" s="71"/>
      <c r="MK114" s="71"/>
      <c r="ML114" s="71"/>
      <c r="MM114" s="71"/>
      <c r="MN114" s="71"/>
      <c r="MO114" s="71"/>
      <c r="MP114" s="71"/>
      <c r="MQ114" s="71"/>
      <c r="MR114" s="71"/>
      <c r="MS114" s="71"/>
      <c r="MT114" s="71"/>
      <c r="MU114" s="71"/>
      <c r="MV114" s="71"/>
      <c r="MW114" s="71"/>
      <c r="MX114" s="71"/>
      <c r="MY114" s="71"/>
      <c r="MZ114" s="71"/>
      <c r="NA114" s="71"/>
      <c r="NB114" s="71"/>
      <c r="NC114" s="71"/>
      <c r="ND114" s="71"/>
      <c r="NE114" s="71"/>
      <c r="NF114" s="71"/>
      <c r="NG114" s="71"/>
      <c r="NH114" s="71"/>
      <c r="NI114" s="71"/>
      <c r="NJ114" s="71"/>
      <c r="NK114" s="71"/>
      <c r="NL114" s="71"/>
      <c r="NM114" s="71"/>
      <c r="NN114" s="71"/>
      <c r="NO114" s="71"/>
      <c r="NP114" s="71"/>
      <c r="NQ114" s="71"/>
      <c r="NR114" s="71"/>
      <c r="NS114" s="71"/>
      <c r="NT114" s="71"/>
      <c r="NU114" s="71"/>
      <c r="NV114" s="71"/>
      <c r="NW114" s="71"/>
      <c r="NX114" s="71"/>
      <c r="NY114" s="71"/>
      <c r="NZ114" s="71"/>
      <c r="OA114" s="71"/>
      <c r="OB114" s="71"/>
      <c r="OC114" s="71"/>
      <c r="OD114" s="71"/>
      <c r="OE114" s="71"/>
      <c r="OF114" s="71"/>
      <c r="OG114" s="71"/>
      <c r="OH114" s="71"/>
      <c r="OI114" s="71"/>
      <c r="OJ114" s="71"/>
      <c r="OK114" s="71"/>
      <c r="OL114" s="71"/>
      <c r="OM114" s="71"/>
      <c r="ON114" s="71"/>
      <c r="OO114" s="71"/>
      <c r="OP114" s="71"/>
      <c r="OQ114" s="71"/>
      <c r="OR114" s="71"/>
      <c r="OS114" s="71"/>
      <c r="OT114" s="71"/>
      <c r="OU114" s="71"/>
      <c r="OV114" s="71"/>
      <c r="OW114" s="71"/>
      <c r="OX114" s="71"/>
      <c r="OY114" s="71"/>
      <c r="OZ114" s="71"/>
      <c r="PA114" s="71"/>
      <c r="PB114" s="71"/>
      <c r="PC114" s="71"/>
      <c r="PD114" s="71"/>
      <c r="PE114" s="71"/>
      <c r="PF114" s="71"/>
      <c r="PG114" s="71"/>
      <c r="PH114" s="71"/>
      <c r="PI114" s="71"/>
      <c r="PJ114" s="71"/>
      <c r="PK114" s="71"/>
      <c r="PL114" s="71"/>
      <c r="PM114" s="71"/>
      <c r="PN114" s="71"/>
      <c r="PO114" s="71"/>
      <c r="PP114" s="71"/>
      <c r="PQ114" s="71"/>
      <c r="PR114" s="71"/>
      <c r="PS114" s="71"/>
      <c r="PT114" s="71"/>
      <c r="PU114" s="71"/>
      <c r="PV114" s="71"/>
      <c r="PW114" s="71"/>
      <c r="PX114" s="71"/>
      <c r="PY114" s="71"/>
      <c r="PZ114" s="71"/>
      <c r="QA114" s="71"/>
      <c r="QB114" s="71"/>
      <c r="QC114" s="71"/>
      <c r="QD114" s="71"/>
      <c r="QE114" s="71"/>
      <c r="QF114" s="71"/>
      <c r="QG114" s="71"/>
      <c r="QH114" s="71"/>
      <c r="QI114" s="71"/>
      <c r="QJ114" s="71"/>
      <c r="QK114" s="71"/>
      <c r="QL114" s="71"/>
      <c r="QM114" s="71"/>
      <c r="QN114" s="71"/>
      <c r="QO114" s="71"/>
      <c r="QP114" s="71"/>
      <c r="QQ114" s="71"/>
      <c r="QR114" s="71"/>
      <c r="QS114" s="71"/>
      <c r="QT114" s="71"/>
      <c r="QU114" s="71"/>
      <c r="QV114" s="71"/>
      <c r="QW114" s="71"/>
      <c r="QX114" s="71"/>
      <c r="QY114" s="71"/>
      <c r="QZ114" s="71"/>
      <c r="RA114" s="71"/>
      <c r="RB114" s="71"/>
      <c r="RC114" s="71"/>
      <c r="RD114" s="71"/>
      <c r="RE114" s="71"/>
      <c r="RF114" s="71"/>
      <c r="RG114" s="71"/>
      <c r="RH114" s="71"/>
      <c r="RI114" s="71"/>
      <c r="RJ114" s="71"/>
      <c r="RK114" s="71"/>
      <c r="RL114" s="71"/>
      <c r="RM114" s="71"/>
      <c r="RN114" s="71"/>
      <c r="RO114" s="71"/>
      <c r="RP114" s="71"/>
      <c r="RQ114" s="71"/>
      <c r="RR114" s="71"/>
      <c r="RS114" s="71"/>
      <c r="RT114" s="71"/>
      <c r="RU114" s="71"/>
      <c r="RV114" s="71"/>
      <c r="RW114" s="71"/>
      <c r="RX114" s="71"/>
      <c r="RY114" s="71"/>
      <c r="RZ114" s="71"/>
      <c r="SA114" s="71"/>
      <c r="SB114" s="71"/>
      <c r="SC114" s="71"/>
      <c r="SD114" s="71"/>
      <c r="SE114" s="71"/>
      <c r="SF114" s="71"/>
      <c r="SG114" s="71"/>
      <c r="SH114" s="71"/>
      <c r="SI114" s="71"/>
      <c r="SJ114" s="71"/>
      <c r="SK114" s="71"/>
      <c r="SL114" s="71"/>
      <c r="SM114" s="71"/>
      <c r="SN114" s="71"/>
      <c r="SO114" s="71"/>
      <c r="SP114" s="71"/>
      <c r="SQ114" s="71"/>
      <c r="SR114" s="71"/>
      <c r="SS114" s="71"/>
      <c r="ST114" s="71"/>
      <c r="SU114" s="71"/>
      <c r="SV114" s="71"/>
      <c r="SW114" s="71"/>
      <c r="SX114" s="71"/>
      <c r="SY114" s="71"/>
      <c r="SZ114" s="71"/>
      <c r="TA114" s="71"/>
      <c r="TB114" s="71"/>
      <c r="TC114" s="71"/>
      <c r="TD114" s="71"/>
      <c r="TE114" s="71"/>
      <c r="TF114" s="71"/>
      <c r="TG114" s="71"/>
      <c r="TH114" s="71"/>
      <c r="TI114" s="71"/>
      <c r="TJ114" s="71"/>
      <c r="TK114" s="71"/>
      <c r="TL114" s="71"/>
      <c r="TM114" s="71"/>
      <c r="TN114" s="71"/>
      <c r="TO114" s="71"/>
      <c r="TP114" s="71"/>
      <c r="TQ114" s="71"/>
      <c r="TR114" s="71"/>
      <c r="TS114" s="71"/>
      <c r="TT114" s="71"/>
      <c r="TU114" s="71"/>
      <c r="TV114" s="71"/>
      <c r="TW114" s="71"/>
      <c r="TX114" s="71"/>
      <c r="TY114" s="71"/>
      <c r="TZ114" s="71"/>
      <c r="UA114" s="71"/>
      <c r="UB114" s="71"/>
      <c r="UC114" s="71"/>
      <c r="UD114" s="71"/>
      <c r="UE114" s="71"/>
      <c r="UF114" s="71"/>
      <c r="UG114" s="71"/>
      <c r="UH114" s="71"/>
      <c r="UI114" s="71"/>
      <c r="UJ114" s="71"/>
      <c r="UK114" s="71"/>
      <c r="UL114" s="71"/>
      <c r="UM114" s="71"/>
      <c r="UN114" s="71"/>
      <c r="UO114" s="71"/>
      <c r="UP114" s="71"/>
      <c r="UQ114" s="71"/>
      <c r="UR114" s="71"/>
      <c r="US114" s="71"/>
      <c r="UT114" s="71"/>
      <c r="UU114" s="71"/>
      <c r="UV114" s="71"/>
      <c r="UW114" s="71"/>
      <c r="UX114" s="71"/>
      <c r="UY114" s="71"/>
      <c r="UZ114" s="71"/>
      <c r="VA114" s="71"/>
      <c r="VB114" s="71"/>
      <c r="VC114" s="71"/>
      <c r="VD114" s="71"/>
      <c r="VE114" s="71"/>
      <c r="VF114" s="71"/>
      <c r="VG114" s="71"/>
      <c r="VH114" s="71"/>
      <c r="VI114" s="71"/>
      <c r="VJ114" s="71"/>
      <c r="VK114" s="71"/>
      <c r="VL114" s="71"/>
      <c r="VM114" s="71"/>
      <c r="VN114" s="71"/>
      <c r="VO114" s="71"/>
      <c r="VP114" s="71"/>
      <c r="VQ114" s="71"/>
      <c r="VR114" s="71"/>
      <c r="VS114" s="71"/>
      <c r="VT114" s="71"/>
      <c r="VU114" s="71"/>
      <c r="VV114" s="71"/>
      <c r="VW114" s="71"/>
      <c r="VX114" s="71"/>
      <c r="VY114" s="71"/>
      <c r="VZ114" s="71"/>
      <c r="WA114" s="71"/>
      <c r="WB114" s="71"/>
      <c r="WC114" s="71"/>
      <c r="WD114" s="71"/>
      <c r="WE114" s="71"/>
      <c r="WF114" s="71"/>
      <c r="WG114" s="71"/>
      <c r="WH114" s="71"/>
      <c r="WI114" s="71"/>
      <c r="WJ114" s="71"/>
      <c r="WK114" s="71"/>
      <c r="WL114" s="71"/>
      <c r="WM114" s="71"/>
      <c r="WN114" s="71"/>
      <c r="WO114" s="71"/>
      <c r="WP114" s="71"/>
      <c r="WQ114" s="71"/>
      <c r="WR114" s="71"/>
      <c r="WS114" s="71"/>
      <c r="WT114" s="71"/>
      <c r="WU114" s="71"/>
      <c r="WV114" s="71"/>
      <c r="WW114" s="71"/>
      <c r="WX114" s="71"/>
      <c r="WY114" s="71"/>
      <c r="WZ114" s="71"/>
      <c r="XA114" s="71"/>
      <c r="XB114" s="71"/>
      <c r="XC114" s="71"/>
      <c r="XD114" s="71"/>
      <c r="XE114" s="71"/>
      <c r="XF114" s="71"/>
      <c r="XG114" s="71"/>
      <c r="XH114" s="71"/>
      <c r="XI114" s="71"/>
      <c r="XJ114" s="71"/>
      <c r="XK114" s="71"/>
      <c r="XL114" s="71"/>
      <c r="XM114" s="71"/>
      <c r="XN114" s="71"/>
      <c r="XO114" s="71"/>
      <c r="XP114" s="71"/>
      <c r="XQ114" s="71"/>
      <c r="XR114" s="71"/>
      <c r="XS114" s="71"/>
      <c r="XT114" s="71"/>
      <c r="XU114" s="71"/>
      <c r="XV114" s="71"/>
      <c r="XW114" s="71"/>
      <c r="XX114" s="71"/>
      <c r="XY114" s="71"/>
      <c r="XZ114" s="71"/>
      <c r="YA114" s="71"/>
      <c r="YB114" s="71"/>
      <c r="YC114" s="71"/>
      <c r="YD114" s="71"/>
      <c r="YE114" s="71"/>
      <c r="YF114" s="71"/>
      <c r="YG114" s="71"/>
      <c r="YH114" s="71"/>
      <c r="YI114" s="71"/>
      <c r="YJ114" s="71"/>
      <c r="YK114" s="71"/>
      <c r="YL114" s="71"/>
      <c r="YM114" s="71"/>
      <c r="YN114" s="71"/>
      <c r="YO114" s="71"/>
      <c r="YP114" s="71"/>
      <c r="YQ114" s="71"/>
      <c r="YR114" s="71"/>
      <c r="YS114" s="71"/>
      <c r="YT114" s="71"/>
      <c r="YU114" s="71"/>
      <c r="YV114" s="71"/>
      <c r="YW114" s="71"/>
      <c r="YX114" s="71"/>
      <c r="YY114" s="71"/>
      <c r="YZ114" s="71"/>
      <c r="ZA114" s="71"/>
      <c r="ZB114" s="71"/>
      <c r="ZC114" s="71"/>
      <c r="ZD114" s="71"/>
      <c r="ZE114" s="71"/>
      <c r="ZF114" s="71"/>
      <c r="ZG114" s="71"/>
      <c r="ZH114" s="71"/>
      <c r="ZI114" s="71"/>
      <c r="ZJ114" s="71"/>
      <c r="ZK114" s="71"/>
      <c r="ZL114" s="71"/>
      <c r="ZM114" s="71"/>
      <c r="ZN114" s="71"/>
      <c r="ZO114" s="71"/>
      <c r="ZP114" s="71"/>
      <c r="ZQ114" s="71"/>
      <c r="ZR114" s="71"/>
      <c r="ZS114" s="71"/>
      <c r="ZT114" s="71"/>
      <c r="ZU114" s="71"/>
      <c r="ZV114" s="71"/>
      <c r="ZW114" s="71"/>
      <c r="ZX114" s="71"/>
      <c r="ZY114" s="71"/>
      <c r="ZZ114" s="71"/>
      <c r="AAA114" s="71"/>
      <c r="AAB114" s="71"/>
      <c r="AAC114" s="71"/>
      <c r="AAD114" s="71"/>
      <c r="AAE114" s="71"/>
      <c r="AAF114" s="71"/>
      <c r="AAG114" s="71"/>
      <c r="AAH114" s="71"/>
      <c r="AAI114" s="71"/>
      <c r="AAJ114" s="71"/>
      <c r="AAK114" s="71"/>
      <c r="AAL114" s="71"/>
      <c r="AAM114" s="71"/>
      <c r="AAN114" s="71"/>
      <c r="AAO114" s="71"/>
      <c r="AAP114" s="71"/>
      <c r="AAQ114" s="71"/>
      <c r="AAR114" s="71"/>
      <c r="AAS114" s="71"/>
      <c r="AAT114" s="71"/>
      <c r="AAU114" s="71"/>
      <c r="AAV114" s="71"/>
      <c r="AAW114" s="71"/>
      <c r="AAX114" s="71"/>
      <c r="AAY114" s="71"/>
      <c r="AAZ114" s="71"/>
      <c r="ABA114" s="71"/>
      <c r="ABB114" s="71"/>
      <c r="ABC114" s="71"/>
      <c r="ABD114" s="71"/>
      <c r="ABE114" s="71"/>
      <c r="ABF114" s="71"/>
      <c r="ABG114" s="71"/>
      <c r="ABH114" s="71"/>
      <c r="ABI114" s="71"/>
      <c r="ABJ114" s="71"/>
      <c r="ABK114" s="71"/>
      <c r="ABL114" s="71"/>
      <c r="ABM114" s="71"/>
      <c r="ABN114" s="71"/>
      <c r="ABO114" s="71"/>
      <c r="ABP114" s="71"/>
      <c r="ABQ114" s="71"/>
      <c r="ABR114" s="71"/>
      <c r="ABS114" s="71"/>
      <c r="ABT114" s="71"/>
      <c r="ABU114" s="71"/>
      <c r="ABV114" s="71"/>
      <c r="ABW114" s="71"/>
      <c r="ABX114" s="71"/>
      <c r="ABY114" s="71"/>
      <c r="ABZ114" s="71"/>
      <c r="ACA114" s="71"/>
      <c r="ACB114" s="71"/>
      <c r="ACC114" s="71"/>
      <c r="ACD114" s="71"/>
      <c r="ACE114" s="71"/>
      <c r="ACF114" s="71"/>
      <c r="ACG114" s="71"/>
      <c r="ACH114" s="71"/>
      <c r="ACI114" s="71"/>
      <c r="ACJ114" s="71"/>
      <c r="ACK114" s="71"/>
      <c r="ACL114" s="71"/>
      <c r="ACM114" s="71"/>
      <c r="ACN114" s="71"/>
      <c r="ACO114" s="71"/>
      <c r="ACP114" s="71"/>
      <c r="ACQ114" s="71"/>
      <c r="ACR114" s="71"/>
      <c r="ACS114" s="71"/>
      <c r="ACT114" s="71"/>
      <c r="ACU114" s="71"/>
      <c r="ACV114" s="71"/>
      <c r="ACW114" s="71"/>
      <c r="ACX114" s="71"/>
      <c r="ACY114" s="71"/>
      <c r="ACZ114" s="71"/>
      <c r="ADA114" s="71"/>
      <c r="ADB114" s="71"/>
      <c r="ADC114" s="71"/>
      <c r="ADD114" s="71"/>
      <c r="ADE114" s="71"/>
      <c r="ADF114" s="71"/>
      <c r="ADG114" s="71"/>
      <c r="ADH114" s="71"/>
      <c r="ADI114" s="71"/>
      <c r="ADJ114" s="71"/>
      <c r="ADK114" s="71"/>
      <c r="ADL114" s="71"/>
      <c r="ADM114" s="71"/>
      <c r="ADN114" s="71"/>
      <c r="ADO114" s="71"/>
      <c r="ADP114" s="71"/>
      <c r="ADQ114" s="71"/>
      <c r="ADR114" s="71"/>
      <c r="ADS114" s="71"/>
      <c r="ADT114" s="71"/>
      <c r="ADU114" s="71"/>
      <c r="ADV114" s="71"/>
      <c r="ADW114" s="71"/>
      <c r="ADX114" s="71"/>
      <c r="ADY114" s="71"/>
      <c r="ADZ114" s="71"/>
      <c r="AEA114" s="71"/>
      <c r="AEB114" s="71"/>
      <c r="AEC114" s="71"/>
      <c r="AED114" s="71"/>
      <c r="AEE114" s="71"/>
      <c r="AEF114" s="71"/>
      <c r="AEG114" s="71"/>
      <c r="AEH114" s="71"/>
      <c r="AEI114" s="71"/>
      <c r="AEJ114" s="71"/>
      <c r="AEK114" s="71"/>
      <c r="AEL114" s="71"/>
      <c r="AEM114" s="71"/>
      <c r="AEN114" s="71"/>
      <c r="AEO114" s="71"/>
      <c r="AEP114" s="71"/>
      <c r="AEQ114" s="71"/>
      <c r="AER114" s="71"/>
      <c r="AES114" s="71"/>
      <c r="AET114" s="71"/>
      <c r="AEU114" s="71"/>
      <c r="AEV114" s="71"/>
      <c r="AEW114" s="71"/>
      <c r="AEX114" s="71"/>
      <c r="AEY114" s="71"/>
      <c r="AEZ114" s="71"/>
      <c r="AFA114" s="71"/>
      <c r="AFB114" s="71"/>
      <c r="AFC114" s="71"/>
      <c r="AFD114" s="71"/>
      <c r="AFE114" s="71"/>
      <c r="AFF114" s="71"/>
      <c r="AFG114" s="71"/>
      <c r="AFH114" s="71"/>
      <c r="AFI114" s="71"/>
      <c r="AFJ114" s="71"/>
      <c r="AFK114" s="71"/>
      <c r="AFL114" s="71"/>
      <c r="AFM114" s="71"/>
      <c r="AFN114" s="71"/>
      <c r="AFO114" s="71"/>
      <c r="AFP114" s="71"/>
      <c r="AFQ114" s="71"/>
      <c r="AFR114" s="71"/>
      <c r="AFS114" s="71"/>
      <c r="AFT114" s="71"/>
      <c r="AFU114" s="71"/>
      <c r="AFV114" s="71"/>
      <c r="AFW114" s="71"/>
      <c r="AFX114" s="71"/>
      <c r="AFY114" s="71"/>
      <c r="AFZ114" s="71"/>
      <c r="AGA114" s="71"/>
      <c r="AGB114" s="71"/>
      <c r="AGC114" s="71"/>
      <c r="AGD114" s="71"/>
      <c r="AGE114" s="71"/>
      <c r="AGF114" s="71"/>
      <c r="AGG114" s="71"/>
      <c r="AGH114" s="71"/>
      <c r="AGI114" s="71"/>
      <c r="AGJ114" s="71"/>
      <c r="AGK114" s="71"/>
      <c r="AGL114" s="71"/>
      <c r="AGM114" s="71"/>
      <c r="AGN114" s="71"/>
      <c r="AGO114" s="71"/>
      <c r="AGP114" s="71"/>
      <c r="AGQ114" s="71"/>
      <c r="AGR114" s="71"/>
      <c r="AGS114" s="71"/>
      <c r="AGT114" s="71"/>
      <c r="AGU114" s="71"/>
      <c r="AGV114" s="71"/>
      <c r="AGW114" s="71"/>
      <c r="AGX114" s="71"/>
      <c r="AGY114" s="71"/>
      <c r="AGZ114" s="71"/>
      <c r="AHA114" s="71"/>
      <c r="AHB114" s="71"/>
      <c r="AHC114" s="71"/>
      <c r="AHD114" s="71"/>
      <c r="AHE114" s="71"/>
      <c r="AHF114" s="71"/>
      <c r="AHG114" s="71"/>
      <c r="AHH114" s="71"/>
      <c r="AHI114" s="71"/>
      <c r="AHJ114" s="71"/>
      <c r="AHK114" s="71"/>
      <c r="AHL114" s="71"/>
      <c r="AHM114" s="71"/>
      <c r="AHN114" s="71"/>
      <c r="AHO114" s="71"/>
      <c r="AHP114" s="71"/>
      <c r="AHQ114" s="71"/>
      <c r="AHR114" s="71"/>
      <c r="AHS114" s="71"/>
      <c r="AHT114" s="71"/>
      <c r="AHU114" s="71"/>
      <c r="AHV114" s="71"/>
      <c r="AHW114" s="71"/>
      <c r="AHX114" s="71"/>
      <c r="AHY114" s="71"/>
      <c r="AHZ114" s="71"/>
      <c r="AIA114" s="71"/>
      <c r="AIB114" s="71"/>
      <c r="AIC114" s="71"/>
      <c r="AID114" s="71"/>
      <c r="AIE114" s="71"/>
      <c r="AIF114" s="71"/>
      <c r="AIG114" s="71"/>
      <c r="AIH114" s="71"/>
      <c r="AII114" s="71"/>
      <c r="AIJ114" s="71"/>
      <c r="AIK114" s="71"/>
      <c r="AIL114" s="71"/>
      <c r="AIM114" s="71"/>
      <c r="AIN114" s="71"/>
      <c r="AIO114" s="71"/>
      <c r="AIP114" s="71"/>
      <c r="AIQ114" s="71"/>
      <c r="AIR114" s="71"/>
      <c r="AIS114" s="71"/>
      <c r="AIT114" s="71"/>
      <c r="AIU114" s="71"/>
      <c r="AIV114" s="71"/>
      <c r="AIW114" s="71"/>
      <c r="AIX114" s="71"/>
      <c r="AIY114" s="71"/>
      <c r="AIZ114" s="71"/>
      <c r="AJA114" s="71"/>
      <c r="AJB114" s="71"/>
      <c r="AJC114" s="71"/>
      <c r="AJD114" s="71"/>
      <c r="AJE114" s="71"/>
      <c r="AJF114" s="71"/>
      <c r="AJG114" s="71"/>
      <c r="AJH114" s="71"/>
      <c r="AJI114" s="71"/>
      <c r="AJJ114" s="71"/>
      <c r="AJK114" s="71"/>
      <c r="AJL114" s="71"/>
      <c r="AJM114" s="71"/>
      <c r="AJN114" s="71"/>
      <c r="AJO114" s="71"/>
      <c r="AJP114" s="71"/>
      <c r="AJQ114" s="71"/>
      <c r="AJR114" s="71"/>
      <c r="AJS114" s="71"/>
      <c r="AJT114" s="71"/>
      <c r="AJU114" s="71"/>
      <c r="AJV114" s="71"/>
      <c r="AJW114" s="71"/>
      <c r="AJX114" s="71"/>
      <c r="AJY114" s="71"/>
      <c r="AJZ114" s="71"/>
      <c r="AKA114" s="71"/>
      <c r="AKB114" s="71"/>
      <c r="AKC114" s="71"/>
      <c r="AKD114" s="71"/>
      <c r="AKE114" s="71"/>
      <c r="AKF114" s="71"/>
      <c r="AKG114" s="71"/>
      <c r="AKH114" s="71"/>
      <c r="AKI114" s="71"/>
      <c r="AKJ114" s="71"/>
      <c r="AKK114" s="71"/>
      <c r="AKL114" s="71"/>
      <c r="AKM114" s="71"/>
      <c r="AKN114" s="71"/>
      <c r="AKO114" s="71"/>
      <c r="AKP114" s="71"/>
      <c r="AKQ114" s="71"/>
      <c r="AKR114" s="71"/>
      <c r="AKS114" s="71"/>
      <c r="AKT114" s="71"/>
      <c r="AKU114" s="71"/>
      <c r="AKV114" s="71"/>
      <c r="AKW114" s="71"/>
      <c r="AKX114" s="71"/>
      <c r="AKY114" s="71"/>
      <c r="AKZ114" s="71"/>
      <c r="ALA114" s="71"/>
      <c r="ALB114" s="71"/>
      <c r="ALC114" s="71"/>
      <c r="ALD114" s="71"/>
      <c r="ALE114" s="71"/>
      <c r="ALF114" s="71"/>
      <c r="ALG114" s="71"/>
      <c r="ALH114" s="71"/>
    </row>
    <row r="115" spans="1:996">
      <c r="A115" s="37"/>
      <c r="B115" t="str">
        <f t="shared" si="5"/>
        <v>214198/0721</v>
      </c>
      <c r="C115" s="29" t="s">
        <v>235</v>
      </c>
      <c r="D115" s="27"/>
      <c r="E115" s="55" t="s">
        <v>246</v>
      </c>
      <c r="F115" s="48" t="s">
        <v>238</v>
      </c>
      <c r="G115" s="309">
        <v>148175.31</v>
      </c>
      <c r="H115" s="310">
        <v>147267.5</v>
      </c>
      <c r="I115" s="311">
        <v>28504.09</v>
      </c>
      <c r="J115" s="311">
        <v>127543.51</v>
      </c>
      <c r="K115" s="311"/>
      <c r="L115" s="311"/>
      <c r="M115" s="311"/>
      <c r="N115" s="311"/>
      <c r="O115" s="311"/>
      <c r="P115" s="311"/>
      <c r="Q115" s="311"/>
      <c r="R115" s="311"/>
    </row>
    <row r="116" spans="1:996">
      <c r="A116" s="37"/>
      <c r="B116" t="str">
        <f t="shared" si="5"/>
        <v>214198/0722</v>
      </c>
      <c r="C116" s="29" t="s">
        <v>338</v>
      </c>
      <c r="D116" s="27"/>
      <c r="E116" s="55" t="s">
        <v>247</v>
      </c>
      <c r="F116" s="48" t="s">
        <v>239</v>
      </c>
      <c r="G116" s="309"/>
      <c r="H116" s="310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</row>
    <row r="117" spans="1:996">
      <c r="A117" s="37"/>
      <c r="B117" t="str">
        <f t="shared" si="5"/>
        <v>214198/0723</v>
      </c>
      <c r="C117" s="29" t="s">
        <v>235</v>
      </c>
      <c r="D117" s="27"/>
      <c r="E117" s="55" t="s">
        <v>248</v>
      </c>
      <c r="F117" s="48" t="s">
        <v>240</v>
      </c>
      <c r="G117" s="309"/>
      <c r="H117" s="310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</row>
    <row r="118" spans="1:996">
      <c r="A118" s="37"/>
      <c r="B118" t="str">
        <f t="shared" si="5"/>
        <v>214198/0724</v>
      </c>
      <c r="C118" s="29" t="s">
        <v>235</v>
      </c>
      <c r="D118" s="27"/>
      <c r="E118" s="55" t="s">
        <v>249</v>
      </c>
      <c r="F118" s="48" t="s">
        <v>241</v>
      </c>
      <c r="G118" s="309">
        <v>6656.43</v>
      </c>
      <c r="H118" s="310">
        <v>374.91</v>
      </c>
      <c r="I118" s="311">
        <v>7789.61</v>
      </c>
      <c r="J118" s="311">
        <v>1546.69</v>
      </c>
      <c r="K118" s="311"/>
      <c r="L118" s="311"/>
      <c r="M118" s="311"/>
      <c r="N118" s="311"/>
      <c r="O118" s="311"/>
      <c r="P118" s="311"/>
      <c r="Q118" s="311"/>
      <c r="R118" s="311"/>
    </row>
    <row r="119" spans="1:996">
      <c r="A119" s="37"/>
      <c r="B119" t="str">
        <f t="shared" si="5"/>
        <v>214198/0725</v>
      </c>
      <c r="C119" s="29" t="s">
        <v>235</v>
      </c>
      <c r="D119" s="27"/>
      <c r="E119" s="55" t="s">
        <v>250</v>
      </c>
      <c r="F119" s="48" t="s">
        <v>242</v>
      </c>
      <c r="G119" s="309"/>
      <c r="H119" s="310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</row>
    <row r="120" spans="1:996">
      <c r="A120" s="37"/>
      <c r="B120" t="str">
        <f t="shared" si="5"/>
        <v>214198/0727</v>
      </c>
      <c r="C120" s="29" t="s">
        <v>235</v>
      </c>
      <c r="D120" s="27"/>
      <c r="E120" s="55" t="s">
        <v>251</v>
      </c>
      <c r="F120" s="48" t="s">
        <v>243</v>
      </c>
      <c r="G120" s="309"/>
      <c r="H120" s="310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</row>
    <row r="121" spans="1:996">
      <c r="A121" s="37"/>
      <c r="B121" t="str">
        <f t="shared" si="5"/>
        <v>214198/0728</v>
      </c>
      <c r="C121" s="29" t="s">
        <v>235</v>
      </c>
      <c r="D121" s="27"/>
      <c r="E121" s="55" t="s">
        <v>252</v>
      </c>
      <c r="F121" s="48" t="s">
        <v>244</v>
      </c>
      <c r="G121" s="309"/>
      <c r="H121" s="310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</row>
    <row r="122" spans="1:996">
      <c r="A122" s="37"/>
      <c r="B122" t="str">
        <f t="shared" si="5"/>
        <v>214198/0730</v>
      </c>
      <c r="C122" s="29" t="s">
        <v>338</v>
      </c>
      <c r="D122" s="27"/>
      <c r="E122" s="55" t="s">
        <v>253</v>
      </c>
      <c r="F122" s="48" t="s">
        <v>245</v>
      </c>
      <c r="G122" s="309"/>
      <c r="H122" s="310">
        <v>225.72</v>
      </c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</row>
    <row r="123" spans="1:996" s="35" customFormat="1">
      <c r="A123" s="68"/>
      <c r="B123" s="28" t="str">
        <f t="shared" si="5"/>
        <v>S214199</v>
      </c>
      <c r="C123" s="35" t="s">
        <v>236</v>
      </c>
      <c r="D123" s="69" t="s">
        <v>128</v>
      </c>
      <c r="E123" s="35">
        <v>214199</v>
      </c>
      <c r="F123" s="52" t="s">
        <v>162</v>
      </c>
      <c r="G123" s="53">
        <f>IFERROR(VLOOKUP(E123,'BD - A - Mvto Cx'!$E$15:$G$501,3,0),0)</f>
        <v>0</v>
      </c>
      <c r="H123" s="54">
        <f>IFERROR(VLOOKUP(E123,'BD - A - Mvto Cx'!$N$15:$P$500,3,0),0)</f>
        <v>1071.08</v>
      </c>
      <c r="I123" s="70">
        <f>IFERROR(VLOOKUP(E123,'BD - A - Mvto Cx'!$W$15:$Y$500,3,0),0)</f>
        <v>11345.31</v>
      </c>
      <c r="J123" s="50">
        <f>IFERROR(VLOOKUP(E123,'BD - A - Mvto Cx'!$AF$15:$AH$500,3,0),0)</f>
        <v>0</v>
      </c>
      <c r="K123" s="50">
        <f>IFERROR(VLOOKUP(E123,'BD - A - Mvto Cx'!$AO$15:$AQ$500,3,0),0)</f>
        <v>0</v>
      </c>
      <c r="L123" s="50">
        <f>IFERROR(VLOOKUP(E123,'BD - A - Mvto Cx'!$AX$15:$AZ$500,3,0),0)</f>
        <v>0</v>
      </c>
      <c r="M123" s="50">
        <f>IFERROR(VLOOKUP(E123,'BD - A - Mvto Cx'!$BG$15:$BI$500,3,0),0)</f>
        <v>0</v>
      </c>
      <c r="N123" s="50">
        <f>IFERROR(VLOOKUP(E123,'BD - A - Mvto Cx'!$BP$15:$BR$500,3,0),0)</f>
        <v>0</v>
      </c>
      <c r="O123" s="50">
        <f>IFERROR(VLOOKUP(E123,'BD - A - Mvto Cx'!$BY$15:$CA$500,3,0),0)</f>
        <v>0</v>
      </c>
      <c r="P123" s="50">
        <f>IFERROR(VLOOKUP(E123,'BD - A - Mvto Cx'!$CH$15:$CJ$500,3,0),0)</f>
        <v>0</v>
      </c>
      <c r="Q123" s="50">
        <f>IFERROR(VLOOKUP(E123,'BD - A - Mvto Cx'!$CQ$15:$CS$500,3,0),0)</f>
        <v>0</v>
      </c>
      <c r="R123" s="50">
        <f>IFERROR(VLOOKUP(E123,'BD - A - Mvto Cx'!$CZ$15:$DB$500,3,0),0)</f>
        <v>0</v>
      </c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71"/>
      <c r="DD123" s="71"/>
      <c r="DE123" s="71"/>
      <c r="DF123" s="71"/>
      <c r="DG123" s="71"/>
      <c r="DH123" s="71"/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1"/>
      <c r="EJ123" s="71"/>
      <c r="EK123" s="71"/>
      <c r="EL123" s="71"/>
      <c r="EM123" s="71"/>
      <c r="EN123" s="71"/>
      <c r="EO123" s="71"/>
      <c r="EP123" s="71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/>
      <c r="HL123" s="71"/>
      <c r="HM123" s="71"/>
      <c r="HN123" s="71"/>
      <c r="HO123" s="71"/>
      <c r="HP123" s="71"/>
      <c r="HQ123" s="71"/>
      <c r="HR123" s="71"/>
      <c r="HS123" s="71"/>
      <c r="HT123" s="71"/>
      <c r="HU123" s="71"/>
      <c r="HV123" s="71"/>
      <c r="HW123" s="71"/>
      <c r="HX123" s="71"/>
      <c r="HY123" s="71"/>
      <c r="HZ123" s="71"/>
      <c r="IA123" s="71"/>
      <c r="IB123" s="71"/>
      <c r="IC123" s="71"/>
      <c r="ID123" s="71"/>
      <c r="IE123" s="71"/>
      <c r="IF123" s="71"/>
      <c r="IG123" s="71"/>
      <c r="IH123" s="71"/>
      <c r="II123" s="71"/>
      <c r="IJ123" s="71"/>
      <c r="IK123" s="71"/>
      <c r="IL123" s="71"/>
      <c r="IM123" s="71"/>
      <c r="IN123" s="71"/>
      <c r="IO123" s="71"/>
      <c r="IP123" s="71"/>
      <c r="IQ123" s="71"/>
      <c r="IR123" s="71"/>
      <c r="IS123" s="71"/>
      <c r="IT123" s="71"/>
      <c r="IU123" s="71"/>
      <c r="IV123" s="71"/>
      <c r="IW123" s="71"/>
      <c r="IX123" s="71"/>
      <c r="IY123" s="71"/>
      <c r="IZ123" s="71"/>
      <c r="JA123" s="71"/>
      <c r="JB123" s="71"/>
      <c r="JC123" s="71"/>
      <c r="JD123" s="71"/>
      <c r="JE123" s="71"/>
      <c r="JF123" s="71"/>
      <c r="JG123" s="71"/>
      <c r="JH123" s="71"/>
      <c r="JI123" s="71"/>
      <c r="JJ123" s="71"/>
      <c r="JK123" s="71"/>
      <c r="JL123" s="71"/>
      <c r="JM123" s="71"/>
      <c r="JN123" s="71"/>
      <c r="JO123" s="71"/>
      <c r="JP123" s="71"/>
      <c r="JQ123" s="71"/>
      <c r="JR123" s="71"/>
      <c r="JS123" s="71"/>
      <c r="JT123" s="71"/>
      <c r="JU123" s="71"/>
      <c r="JV123" s="71"/>
      <c r="JW123" s="71"/>
      <c r="JX123" s="71"/>
      <c r="JY123" s="71"/>
      <c r="JZ123" s="71"/>
      <c r="KA123" s="71"/>
      <c r="KB123" s="71"/>
      <c r="KC123" s="71"/>
      <c r="KD123" s="71"/>
      <c r="KE123" s="71"/>
      <c r="KF123" s="71"/>
      <c r="KG123" s="71"/>
      <c r="KH123" s="71"/>
      <c r="KI123" s="71"/>
      <c r="KJ123" s="71"/>
      <c r="KK123" s="71"/>
      <c r="KL123" s="71"/>
      <c r="KM123" s="71"/>
      <c r="KN123" s="71"/>
      <c r="KO123" s="71"/>
      <c r="KP123" s="71"/>
      <c r="KQ123" s="71"/>
      <c r="KR123" s="71"/>
      <c r="KS123" s="71"/>
      <c r="KT123" s="71"/>
      <c r="KU123" s="71"/>
      <c r="KV123" s="71"/>
      <c r="KW123" s="71"/>
      <c r="KX123" s="71"/>
      <c r="KY123" s="71"/>
      <c r="KZ123" s="71"/>
      <c r="LA123" s="71"/>
      <c r="LB123" s="71"/>
      <c r="LC123" s="71"/>
      <c r="LD123" s="71"/>
      <c r="LE123" s="71"/>
      <c r="LF123" s="71"/>
      <c r="LG123" s="71"/>
      <c r="LH123" s="71"/>
      <c r="LI123" s="71"/>
      <c r="LJ123" s="71"/>
      <c r="LK123" s="71"/>
      <c r="LL123" s="71"/>
      <c r="LM123" s="71"/>
      <c r="LN123" s="71"/>
      <c r="LO123" s="71"/>
      <c r="LP123" s="71"/>
      <c r="LQ123" s="71"/>
      <c r="LR123" s="71"/>
      <c r="LS123" s="71"/>
      <c r="LT123" s="71"/>
      <c r="LU123" s="71"/>
      <c r="LV123" s="71"/>
      <c r="LW123" s="71"/>
      <c r="LX123" s="71"/>
      <c r="LY123" s="71"/>
      <c r="LZ123" s="71"/>
      <c r="MA123" s="71"/>
      <c r="MB123" s="71"/>
      <c r="MC123" s="71"/>
      <c r="MD123" s="71"/>
      <c r="ME123" s="71"/>
      <c r="MF123" s="71"/>
      <c r="MG123" s="71"/>
      <c r="MH123" s="71"/>
      <c r="MI123" s="71"/>
      <c r="MJ123" s="71"/>
      <c r="MK123" s="71"/>
      <c r="ML123" s="71"/>
      <c r="MM123" s="71"/>
      <c r="MN123" s="71"/>
      <c r="MO123" s="71"/>
      <c r="MP123" s="71"/>
      <c r="MQ123" s="71"/>
      <c r="MR123" s="71"/>
      <c r="MS123" s="71"/>
      <c r="MT123" s="71"/>
      <c r="MU123" s="71"/>
      <c r="MV123" s="71"/>
      <c r="MW123" s="71"/>
      <c r="MX123" s="71"/>
      <c r="MY123" s="71"/>
      <c r="MZ123" s="71"/>
      <c r="NA123" s="71"/>
      <c r="NB123" s="71"/>
      <c r="NC123" s="71"/>
      <c r="ND123" s="71"/>
      <c r="NE123" s="71"/>
      <c r="NF123" s="71"/>
      <c r="NG123" s="71"/>
      <c r="NH123" s="71"/>
      <c r="NI123" s="71"/>
      <c r="NJ123" s="71"/>
      <c r="NK123" s="71"/>
      <c r="NL123" s="71"/>
      <c r="NM123" s="71"/>
      <c r="NN123" s="71"/>
      <c r="NO123" s="71"/>
      <c r="NP123" s="71"/>
      <c r="NQ123" s="71"/>
      <c r="NR123" s="71"/>
      <c r="NS123" s="71"/>
      <c r="NT123" s="71"/>
      <c r="NU123" s="71"/>
      <c r="NV123" s="71"/>
      <c r="NW123" s="71"/>
      <c r="NX123" s="71"/>
      <c r="NY123" s="71"/>
      <c r="NZ123" s="71"/>
      <c r="OA123" s="71"/>
      <c r="OB123" s="71"/>
      <c r="OC123" s="71"/>
      <c r="OD123" s="71"/>
      <c r="OE123" s="71"/>
      <c r="OF123" s="71"/>
      <c r="OG123" s="71"/>
      <c r="OH123" s="71"/>
      <c r="OI123" s="71"/>
      <c r="OJ123" s="71"/>
      <c r="OK123" s="71"/>
      <c r="OL123" s="71"/>
      <c r="OM123" s="71"/>
      <c r="ON123" s="71"/>
      <c r="OO123" s="71"/>
      <c r="OP123" s="71"/>
      <c r="OQ123" s="71"/>
      <c r="OR123" s="71"/>
      <c r="OS123" s="71"/>
      <c r="OT123" s="71"/>
      <c r="OU123" s="71"/>
      <c r="OV123" s="71"/>
      <c r="OW123" s="71"/>
      <c r="OX123" s="71"/>
      <c r="OY123" s="71"/>
      <c r="OZ123" s="71"/>
      <c r="PA123" s="71"/>
      <c r="PB123" s="71"/>
      <c r="PC123" s="71"/>
      <c r="PD123" s="71"/>
      <c r="PE123" s="71"/>
      <c r="PF123" s="71"/>
      <c r="PG123" s="71"/>
      <c r="PH123" s="71"/>
      <c r="PI123" s="71"/>
      <c r="PJ123" s="71"/>
      <c r="PK123" s="71"/>
      <c r="PL123" s="71"/>
      <c r="PM123" s="71"/>
      <c r="PN123" s="71"/>
      <c r="PO123" s="71"/>
      <c r="PP123" s="71"/>
      <c r="PQ123" s="71"/>
      <c r="PR123" s="71"/>
      <c r="PS123" s="71"/>
      <c r="PT123" s="71"/>
      <c r="PU123" s="71"/>
      <c r="PV123" s="71"/>
      <c r="PW123" s="71"/>
      <c r="PX123" s="71"/>
      <c r="PY123" s="71"/>
      <c r="PZ123" s="71"/>
      <c r="QA123" s="71"/>
      <c r="QB123" s="71"/>
      <c r="QC123" s="71"/>
      <c r="QD123" s="71"/>
      <c r="QE123" s="71"/>
      <c r="QF123" s="71"/>
      <c r="QG123" s="71"/>
      <c r="QH123" s="71"/>
      <c r="QI123" s="71"/>
      <c r="QJ123" s="71"/>
      <c r="QK123" s="71"/>
      <c r="QL123" s="71"/>
      <c r="QM123" s="71"/>
      <c r="QN123" s="71"/>
      <c r="QO123" s="71"/>
      <c r="QP123" s="71"/>
      <c r="QQ123" s="71"/>
      <c r="QR123" s="71"/>
      <c r="QS123" s="71"/>
      <c r="QT123" s="71"/>
      <c r="QU123" s="71"/>
      <c r="QV123" s="71"/>
      <c r="QW123" s="71"/>
      <c r="QX123" s="71"/>
      <c r="QY123" s="71"/>
      <c r="QZ123" s="71"/>
      <c r="RA123" s="71"/>
      <c r="RB123" s="71"/>
      <c r="RC123" s="71"/>
      <c r="RD123" s="71"/>
      <c r="RE123" s="71"/>
      <c r="RF123" s="71"/>
      <c r="RG123" s="71"/>
      <c r="RH123" s="71"/>
      <c r="RI123" s="71"/>
      <c r="RJ123" s="71"/>
      <c r="RK123" s="71"/>
      <c r="RL123" s="71"/>
      <c r="RM123" s="71"/>
      <c r="RN123" s="71"/>
      <c r="RO123" s="71"/>
      <c r="RP123" s="71"/>
      <c r="RQ123" s="71"/>
      <c r="RR123" s="71"/>
      <c r="RS123" s="71"/>
      <c r="RT123" s="71"/>
      <c r="RU123" s="71"/>
      <c r="RV123" s="71"/>
      <c r="RW123" s="71"/>
      <c r="RX123" s="71"/>
      <c r="RY123" s="71"/>
      <c r="RZ123" s="71"/>
      <c r="SA123" s="71"/>
      <c r="SB123" s="71"/>
      <c r="SC123" s="71"/>
      <c r="SD123" s="71"/>
      <c r="SE123" s="71"/>
      <c r="SF123" s="71"/>
      <c r="SG123" s="71"/>
      <c r="SH123" s="71"/>
      <c r="SI123" s="71"/>
      <c r="SJ123" s="71"/>
      <c r="SK123" s="71"/>
      <c r="SL123" s="71"/>
      <c r="SM123" s="71"/>
      <c r="SN123" s="71"/>
      <c r="SO123" s="71"/>
      <c r="SP123" s="71"/>
      <c r="SQ123" s="71"/>
      <c r="SR123" s="71"/>
      <c r="SS123" s="71"/>
      <c r="ST123" s="71"/>
      <c r="SU123" s="71"/>
      <c r="SV123" s="71"/>
      <c r="SW123" s="71"/>
      <c r="SX123" s="71"/>
      <c r="SY123" s="71"/>
      <c r="SZ123" s="71"/>
      <c r="TA123" s="71"/>
      <c r="TB123" s="71"/>
      <c r="TC123" s="71"/>
      <c r="TD123" s="71"/>
      <c r="TE123" s="71"/>
      <c r="TF123" s="71"/>
      <c r="TG123" s="71"/>
      <c r="TH123" s="71"/>
      <c r="TI123" s="71"/>
      <c r="TJ123" s="71"/>
      <c r="TK123" s="71"/>
      <c r="TL123" s="71"/>
      <c r="TM123" s="71"/>
      <c r="TN123" s="71"/>
      <c r="TO123" s="71"/>
      <c r="TP123" s="71"/>
      <c r="TQ123" s="71"/>
      <c r="TR123" s="71"/>
      <c r="TS123" s="71"/>
      <c r="TT123" s="71"/>
      <c r="TU123" s="71"/>
      <c r="TV123" s="71"/>
      <c r="TW123" s="71"/>
      <c r="TX123" s="71"/>
      <c r="TY123" s="71"/>
      <c r="TZ123" s="71"/>
      <c r="UA123" s="71"/>
      <c r="UB123" s="71"/>
      <c r="UC123" s="71"/>
      <c r="UD123" s="71"/>
      <c r="UE123" s="71"/>
      <c r="UF123" s="71"/>
      <c r="UG123" s="71"/>
      <c r="UH123" s="71"/>
      <c r="UI123" s="71"/>
      <c r="UJ123" s="71"/>
      <c r="UK123" s="71"/>
      <c r="UL123" s="71"/>
      <c r="UM123" s="71"/>
      <c r="UN123" s="71"/>
      <c r="UO123" s="71"/>
      <c r="UP123" s="71"/>
      <c r="UQ123" s="71"/>
      <c r="UR123" s="71"/>
      <c r="US123" s="71"/>
      <c r="UT123" s="71"/>
      <c r="UU123" s="71"/>
      <c r="UV123" s="71"/>
      <c r="UW123" s="71"/>
      <c r="UX123" s="71"/>
      <c r="UY123" s="71"/>
      <c r="UZ123" s="71"/>
      <c r="VA123" s="71"/>
      <c r="VB123" s="71"/>
      <c r="VC123" s="71"/>
      <c r="VD123" s="71"/>
      <c r="VE123" s="71"/>
      <c r="VF123" s="71"/>
      <c r="VG123" s="71"/>
      <c r="VH123" s="71"/>
      <c r="VI123" s="71"/>
      <c r="VJ123" s="71"/>
      <c r="VK123" s="71"/>
      <c r="VL123" s="71"/>
      <c r="VM123" s="71"/>
      <c r="VN123" s="71"/>
      <c r="VO123" s="71"/>
      <c r="VP123" s="71"/>
      <c r="VQ123" s="71"/>
      <c r="VR123" s="71"/>
      <c r="VS123" s="71"/>
      <c r="VT123" s="71"/>
      <c r="VU123" s="71"/>
      <c r="VV123" s="71"/>
      <c r="VW123" s="71"/>
      <c r="VX123" s="71"/>
      <c r="VY123" s="71"/>
      <c r="VZ123" s="71"/>
      <c r="WA123" s="71"/>
      <c r="WB123" s="71"/>
      <c r="WC123" s="71"/>
      <c r="WD123" s="71"/>
      <c r="WE123" s="71"/>
      <c r="WF123" s="71"/>
      <c r="WG123" s="71"/>
      <c r="WH123" s="71"/>
      <c r="WI123" s="71"/>
      <c r="WJ123" s="71"/>
      <c r="WK123" s="71"/>
      <c r="WL123" s="71"/>
      <c r="WM123" s="71"/>
      <c r="WN123" s="71"/>
      <c r="WO123" s="71"/>
      <c r="WP123" s="71"/>
      <c r="WQ123" s="71"/>
      <c r="WR123" s="71"/>
      <c r="WS123" s="71"/>
      <c r="WT123" s="71"/>
      <c r="WU123" s="71"/>
      <c r="WV123" s="71"/>
      <c r="WW123" s="71"/>
      <c r="WX123" s="71"/>
      <c r="WY123" s="71"/>
      <c r="WZ123" s="71"/>
      <c r="XA123" s="71"/>
      <c r="XB123" s="71"/>
      <c r="XC123" s="71"/>
      <c r="XD123" s="71"/>
      <c r="XE123" s="71"/>
      <c r="XF123" s="71"/>
      <c r="XG123" s="71"/>
      <c r="XH123" s="71"/>
      <c r="XI123" s="71"/>
      <c r="XJ123" s="71"/>
      <c r="XK123" s="71"/>
      <c r="XL123" s="71"/>
      <c r="XM123" s="71"/>
      <c r="XN123" s="71"/>
      <c r="XO123" s="71"/>
      <c r="XP123" s="71"/>
      <c r="XQ123" s="71"/>
      <c r="XR123" s="71"/>
      <c r="XS123" s="71"/>
      <c r="XT123" s="71"/>
      <c r="XU123" s="71"/>
      <c r="XV123" s="71"/>
      <c r="XW123" s="71"/>
      <c r="XX123" s="71"/>
      <c r="XY123" s="71"/>
      <c r="XZ123" s="71"/>
      <c r="YA123" s="71"/>
      <c r="YB123" s="71"/>
      <c r="YC123" s="71"/>
      <c r="YD123" s="71"/>
      <c r="YE123" s="71"/>
      <c r="YF123" s="71"/>
      <c r="YG123" s="71"/>
      <c r="YH123" s="71"/>
      <c r="YI123" s="71"/>
      <c r="YJ123" s="71"/>
      <c r="YK123" s="71"/>
      <c r="YL123" s="71"/>
      <c r="YM123" s="71"/>
      <c r="YN123" s="71"/>
      <c r="YO123" s="71"/>
      <c r="YP123" s="71"/>
      <c r="YQ123" s="71"/>
      <c r="YR123" s="71"/>
      <c r="YS123" s="71"/>
      <c r="YT123" s="71"/>
      <c r="YU123" s="71"/>
      <c r="YV123" s="71"/>
      <c r="YW123" s="71"/>
      <c r="YX123" s="71"/>
      <c r="YY123" s="71"/>
      <c r="YZ123" s="71"/>
      <c r="ZA123" s="71"/>
      <c r="ZB123" s="71"/>
      <c r="ZC123" s="71"/>
      <c r="ZD123" s="71"/>
      <c r="ZE123" s="71"/>
      <c r="ZF123" s="71"/>
      <c r="ZG123" s="71"/>
      <c r="ZH123" s="71"/>
      <c r="ZI123" s="71"/>
      <c r="ZJ123" s="71"/>
      <c r="ZK123" s="71"/>
      <c r="ZL123" s="71"/>
      <c r="ZM123" s="71"/>
      <c r="ZN123" s="71"/>
      <c r="ZO123" s="71"/>
      <c r="ZP123" s="71"/>
      <c r="ZQ123" s="71"/>
      <c r="ZR123" s="71"/>
      <c r="ZS123" s="71"/>
      <c r="ZT123" s="71"/>
      <c r="ZU123" s="71"/>
      <c r="ZV123" s="71"/>
      <c r="ZW123" s="71"/>
      <c r="ZX123" s="71"/>
      <c r="ZY123" s="71"/>
      <c r="ZZ123" s="71"/>
      <c r="AAA123" s="71"/>
      <c r="AAB123" s="71"/>
      <c r="AAC123" s="71"/>
      <c r="AAD123" s="71"/>
      <c r="AAE123" s="71"/>
      <c r="AAF123" s="71"/>
      <c r="AAG123" s="71"/>
      <c r="AAH123" s="71"/>
      <c r="AAI123" s="71"/>
      <c r="AAJ123" s="71"/>
      <c r="AAK123" s="71"/>
      <c r="AAL123" s="71"/>
      <c r="AAM123" s="71"/>
      <c r="AAN123" s="71"/>
      <c r="AAO123" s="71"/>
      <c r="AAP123" s="71"/>
      <c r="AAQ123" s="71"/>
      <c r="AAR123" s="71"/>
      <c r="AAS123" s="71"/>
      <c r="AAT123" s="71"/>
      <c r="AAU123" s="71"/>
      <c r="AAV123" s="71"/>
      <c r="AAW123" s="71"/>
      <c r="AAX123" s="71"/>
      <c r="AAY123" s="71"/>
      <c r="AAZ123" s="71"/>
      <c r="ABA123" s="71"/>
      <c r="ABB123" s="71"/>
      <c r="ABC123" s="71"/>
      <c r="ABD123" s="71"/>
      <c r="ABE123" s="71"/>
      <c r="ABF123" s="71"/>
      <c r="ABG123" s="71"/>
      <c r="ABH123" s="71"/>
      <c r="ABI123" s="71"/>
      <c r="ABJ123" s="71"/>
      <c r="ABK123" s="71"/>
      <c r="ABL123" s="71"/>
      <c r="ABM123" s="71"/>
      <c r="ABN123" s="71"/>
      <c r="ABO123" s="71"/>
      <c r="ABP123" s="71"/>
      <c r="ABQ123" s="71"/>
      <c r="ABR123" s="71"/>
      <c r="ABS123" s="71"/>
      <c r="ABT123" s="71"/>
      <c r="ABU123" s="71"/>
      <c r="ABV123" s="71"/>
      <c r="ABW123" s="71"/>
      <c r="ABX123" s="71"/>
      <c r="ABY123" s="71"/>
      <c r="ABZ123" s="71"/>
      <c r="ACA123" s="71"/>
      <c r="ACB123" s="71"/>
      <c r="ACC123" s="71"/>
      <c r="ACD123" s="71"/>
      <c r="ACE123" s="71"/>
      <c r="ACF123" s="71"/>
      <c r="ACG123" s="71"/>
      <c r="ACH123" s="71"/>
      <c r="ACI123" s="71"/>
      <c r="ACJ123" s="71"/>
      <c r="ACK123" s="71"/>
      <c r="ACL123" s="71"/>
      <c r="ACM123" s="71"/>
      <c r="ACN123" s="71"/>
      <c r="ACO123" s="71"/>
      <c r="ACP123" s="71"/>
      <c r="ACQ123" s="71"/>
      <c r="ACR123" s="71"/>
      <c r="ACS123" s="71"/>
      <c r="ACT123" s="71"/>
      <c r="ACU123" s="71"/>
      <c r="ACV123" s="71"/>
      <c r="ACW123" s="71"/>
      <c r="ACX123" s="71"/>
      <c r="ACY123" s="71"/>
      <c r="ACZ123" s="71"/>
      <c r="ADA123" s="71"/>
      <c r="ADB123" s="71"/>
      <c r="ADC123" s="71"/>
      <c r="ADD123" s="71"/>
      <c r="ADE123" s="71"/>
      <c r="ADF123" s="71"/>
      <c r="ADG123" s="71"/>
      <c r="ADH123" s="71"/>
      <c r="ADI123" s="71"/>
      <c r="ADJ123" s="71"/>
      <c r="ADK123" s="71"/>
      <c r="ADL123" s="71"/>
      <c r="ADM123" s="71"/>
      <c r="ADN123" s="71"/>
      <c r="ADO123" s="71"/>
      <c r="ADP123" s="71"/>
      <c r="ADQ123" s="71"/>
      <c r="ADR123" s="71"/>
      <c r="ADS123" s="71"/>
      <c r="ADT123" s="71"/>
      <c r="ADU123" s="71"/>
      <c r="ADV123" s="71"/>
      <c r="ADW123" s="71"/>
      <c r="ADX123" s="71"/>
      <c r="ADY123" s="71"/>
      <c r="ADZ123" s="71"/>
      <c r="AEA123" s="71"/>
      <c r="AEB123" s="71"/>
      <c r="AEC123" s="71"/>
      <c r="AED123" s="71"/>
      <c r="AEE123" s="71"/>
      <c r="AEF123" s="71"/>
      <c r="AEG123" s="71"/>
      <c r="AEH123" s="71"/>
      <c r="AEI123" s="71"/>
      <c r="AEJ123" s="71"/>
      <c r="AEK123" s="71"/>
      <c r="AEL123" s="71"/>
      <c r="AEM123" s="71"/>
      <c r="AEN123" s="71"/>
      <c r="AEO123" s="71"/>
      <c r="AEP123" s="71"/>
      <c r="AEQ123" s="71"/>
      <c r="AER123" s="71"/>
      <c r="AES123" s="71"/>
      <c r="AET123" s="71"/>
      <c r="AEU123" s="71"/>
      <c r="AEV123" s="71"/>
      <c r="AEW123" s="71"/>
      <c r="AEX123" s="71"/>
      <c r="AEY123" s="71"/>
      <c r="AEZ123" s="71"/>
      <c r="AFA123" s="71"/>
      <c r="AFB123" s="71"/>
      <c r="AFC123" s="71"/>
      <c r="AFD123" s="71"/>
      <c r="AFE123" s="71"/>
      <c r="AFF123" s="71"/>
      <c r="AFG123" s="71"/>
      <c r="AFH123" s="71"/>
      <c r="AFI123" s="71"/>
      <c r="AFJ123" s="71"/>
      <c r="AFK123" s="71"/>
      <c r="AFL123" s="71"/>
      <c r="AFM123" s="71"/>
      <c r="AFN123" s="71"/>
      <c r="AFO123" s="71"/>
      <c r="AFP123" s="71"/>
      <c r="AFQ123" s="71"/>
      <c r="AFR123" s="71"/>
      <c r="AFS123" s="71"/>
      <c r="AFT123" s="71"/>
      <c r="AFU123" s="71"/>
      <c r="AFV123" s="71"/>
      <c r="AFW123" s="71"/>
      <c r="AFX123" s="71"/>
      <c r="AFY123" s="71"/>
      <c r="AFZ123" s="71"/>
      <c r="AGA123" s="71"/>
      <c r="AGB123" s="71"/>
      <c r="AGC123" s="71"/>
      <c r="AGD123" s="71"/>
      <c r="AGE123" s="71"/>
      <c r="AGF123" s="71"/>
      <c r="AGG123" s="71"/>
      <c r="AGH123" s="71"/>
      <c r="AGI123" s="71"/>
      <c r="AGJ123" s="71"/>
      <c r="AGK123" s="71"/>
      <c r="AGL123" s="71"/>
      <c r="AGM123" s="71"/>
      <c r="AGN123" s="71"/>
      <c r="AGO123" s="71"/>
      <c r="AGP123" s="71"/>
      <c r="AGQ123" s="71"/>
      <c r="AGR123" s="71"/>
      <c r="AGS123" s="71"/>
      <c r="AGT123" s="71"/>
      <c r="AGU123" s="71"/>
      <c r="AGV123" s="71"/>
      <c r="AGW123" s="71"/>
      <c r="AGX123" s="71"/>
      <c r="AGY123" s="71"/>
      <c r="AGZ123" s="71"/>
      <c r="AHA123" s="71"/>
      <c r="AHB123" s="71"/>
      <c r="AHC123" s="71"/>
      <c r="AHD123" s="71"/>
      <c r="AHE123" s="71"/>
      <c r="AHF123" s="71"/>
      <c r="AHG123" s="71"/>
      <c r="AHH123" s="71"/>
      <c r="AHI123" s="71"/>
      <c r="AHJ123" s="71"/>
      <c r="AHK123" s="71"/>
      <c r="AHL123" s="71"/>
      <c r="AHM123" s="71"/>
      <c r="AHN123" s="71"/>
      <c r="AHO123" s="71"/>
      <c r="AHP123" s="71"/>
      <c r="AHQ123" s="71"/>
      <c r="AHR123" s="71"/>
      <c r="AHS123" s="71"/>
      <c r="AHT123" s="71"/>
      <c r="AHU123" s="71"/>
      <c r="AHV123" s="71"/>
      <c r="AHW123" s="71"/>
      <c r="AHX123" s="71"/>
      <c r="AHY123" s="71"/>
      <c r="AHZ123" s="71"/>
      <c r="AIA123" s="71"/>
      <c r="AIB123" s="71"/>
      <c r="AIC123" s="71"/>
      <c r="AID123" s="71"/>
      <c r="AIE123" s="71"/>
      <c r="AIF123" s="71"/>
      <c r="AIG123" s="71"/>
      <c r="AIH123" s="71"/>
      <c r="AII123" s="71"/>
      <c r="AIJ123" s="71"/>
      <c r="AIK123" s="71"/>
      <c r="AIL123" s="71"/>
      <c r="AIM123" s="71"/>
      <c r="AIN123" s="71"/>
      <c r="AIO123" s="71"/>
      <c r="AIP123" s="71"/>
      <c r="AIQ123" s="71"/>
      <c r="AIR123" s="71"/>
      <c r="AIS123" s="71"/>
      <c r="AIT123" s="71"/>
      <c r="AIU123" s="71"/>
      <c r="AIV123" s="71"/>
      <c r="AIW123" s="71"/>
      <c r="AIX123" s="71"/>
      <c r="AIY123" s="71"/>
      <c r="AIZ123" s="71"/>
      <c r="AJA123" s="71"/>
      <c r="AJB123" s="71"/>
      <c r="AJC123" s="71"/>
      <c r="AJD123" s="71"/>
      <c r="AJE123" s="71"/>
      <c r="AJF123" s="71"/>
      <c r="AJG123" s="71"/>
      <c r="AJH123" s="71"/>
      <c r="AJI123" s="71"/>
      <c r="AJJ123" s="71"/>
      <c r="AJK123" s="71"/>
      <c r="AJL123" s="71"/>
      <c r="AJM123" s="71"/>
      <c r="AJN123" s="71"/>
      <c r="AJO123" s="71"/>
      <c r="AJP123" s="71"/>
      <c r="AJQ123" s="71"/>
      <c r="AJR123" s="71"/>
      <c r="AJS123" s="71"/>
      <c r="AJT123" s="71"/>
      <c r="AJU123" s="71"/>
      <c r="AJV123" s="71"/>
      <c r="AJW123" s="71"/>
      <c r="AJX123" s="71"/>
      <c r="AJY123" s="71"/>
      <c r="AJZ123" s="71"/>
      <c r="AKA123" s="71"/>
      <c r="AKB123" s="71"/>
      <c r="AKC123" s="71"/>
      <c r="AKD123" s="71"/>
      <c r="AKE123" s="71"/>
      <c r="AKF123" s="71"/>
      <c r="AKG123" s="71"/>
      <c r="AKH123" s="71"/>
      <c r="AKI123" s="71"/>
      <c r="AKJ123" s="71"/>
      <c r="AKK123" s="71"/>
      <c r="AKL123" s="71"/>
      <c r="AKM123" s="71"/>
      <c r="AKN123" s="71"/>
      <c r="AKO123" s="71"/>
      <c r="AKP123" s="71"/>
      <c r="AKQ123" s="71"/>
      <c r="AKR123" s="71"/>
      <c r="AKS123" s="71"/>
      <c r="AKT123" s="71"/>
      <c r="AKU123" s="71"/>
      <c r="AKV123" s="71"/>
      <c r="AKW123" s="71"/>
      <c r="AKX123" s="71"/>
      <c r="AKY123" s="71"/>
      <c r="AKZ123" s="71"/>
      <c r="ALA123" s="71"/>
      <c r="ALB123" s="71"/>
      <c r="ALC123" s="71"/>
      <c r="ALD123" s="71"/>
      <c r="ALE123" s="71"/>
      <c r="ALF123" s="71"/>
      <c r="ALG123" s="71"/>
      <c r="ALH123" s="71"/>
    </row>
    <row r="124" spans="1:996">
      <c r="A124" s="37"/>
      <c r="B124" t="str">
        <f t="shared" si="5"/>
        <v>214199/0731</v>
      </c>
      <c r="C124" s="29" t="s">
        <v>338</v>
      </c>
      <c r="D124" s="27"/>
      <c r="E124" s="55" t="s">
        <v>257</v>
      </c>
      <c r="F124" s="55" t="s">
        <v>5</v>
      </c>
      <c r="G124" s="309"/>
      <c r="H124" s="310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</row>
    <row r="125" spans="1:996">
      <c r="A125" s="37"/>
      <c r="B125" t="str">
        <f>D125&amp;E125</f>
        <v>214199/0733</v>
      </c>
      <c r="C125" s="29" t="s">
        <v>338</v>
      </c>
      <c r="D125" s="27"/>
      <c r="E125" s="55" t="s">
        <v>402</v>
      </c>
      <c r="F125" s="55" t="s">
        <v>404</v>
      </c>
      <c r="G125" s="309"/>
      <c r="H125" s="310">
        <v>535.54</v>
      </c>
      <c r="I125" s="311">
        <v>4951.38</v>
      </c>
      <c r="J125" s="311"/>
      <c r="K125" s="311"/>
      <c r="L125" s="311"/>
      <c r="M125" s="311"/>
      <c r="N125" s="311"/>
      <c r="O125" s="311"/>
      <c r="P125" s="311"/>
      <c r="Q125" s="311"/>
      <c r="R125" s="311"/>
    </row>
    <row r="126" spans="1:996">
      <c r="A126" s="37"/>
      <c r="B126" t="str">
        <f>D126&amp;E126</f>
        <v>214199/0736</v>
      </c>
      <c r="C126" s="29" t="s">
        <v>338</v>
      </c>
      <c r="D126" s="27"/>
      <c r="E126" s="55" t="s">
        <v>403</v>
      </c>
      <c r="F126" s="55" t="s">
        <v>405</v>
      </c>
      <c r="G126" s="309"/>
      <c r="H126" s="310">
        <v>535.54</v>
      </c>
      <c r="I126" s="311">
        <v>6393.93</v>
      </c>
      <c r="J126" s="311"/>
      <c r="K126" s="311"/>
      <c r="L126" s="311"/>
      <c r="M126" s="311"/>
      <c r="N126" s="311"/>
      <c r="O126" s="311"/>
      <c r="P126" s="311"/>
      <c r="Q126" s="311"/>
      <c r="R126" s="311"/>
    </row>
    <row r="127" spans="1:996">
      <c r="A127" s="37"/>
      <c r="B127" t="str">
        <f t="shared" si="5"/>
        <v>S214201</v>
      </c>
      <c r="C127" s="7" t="s">
        <v>362</v>
      </c>
      <c r="D127" s="27" t="s">
        <v>128</v>
      </c>
      <c r="E127" s="7">
        <v>214201</v>
      </c>
      <c r="F127" s="48" t="s">
        <v>163</v>
      </c>
      <c r="G127" s="49">
        <f>IFERROR(VLOOKUP(E127,'BD - A - Mvto Cx'!$E$15:$G$501,3,0),0)</f>
        <v>0</v>
      </c>
      <c r="H127" s="51">
        <f>IFERROR(VLOOKUP(E127,'BD - A - Mvto Cx'!$N$15:$P$500,3,0),0)</f>
        <v>0</v>
      </c>
      <c r="I127" s="50">
        <f>IFERROR(VLOOKUP(E127,'BD - A - Mvto Cx'!$W$15:$Y$500,3,0),0)</f>
        <v>0</v>
      </c>
      <c r="J127" s="50">
        <f>IFERROR(VLOOKUP(E127,'BD - A - Mvto Cx'!$AF$15:$AH$500,3,0),0)</f>
        <v>7054.57</v>
      </c>
      <c r="K127" s="50">
        <f>IFERROR(VLOOKUP(E127,'BD - A - Mvto Cx'!$AO$15:$AQ$500,3,0),0)</f>
        <v>0</v>
      </c>
      <c r="L127" s="50">
        <f>IFERROR(VLOOKUP(E127,'BD - A - Mvto Cx'!$AX$15:$AZ$500,3,0),0)</f>
        <v>0</v>
      </c>
      <c r="M127" s="50">
        <f>IFERROR(VLOOKUP(E127,'BD - A - Mvto Cx'!$BG$15:$BI$500,3,0),0)</f>
        <v>0</v>
      </c>
      <c r="N127" s="50">
        <f>IFERROR(VLOOKUP(E127,'BD - A - Mvto Cx'!$BP$15:$BR$500,3,0),0)</f>
        <v>0</v>
      </c>
      <c r="O127" s="50">
        <f>IFERROR(VLOOKUP(E127,'BD - A - Mvto Cx'!$BY$15:$CA$500,3,0),0)</f>
        <v>0</v>
      </c>
      <c r="P127" s="50">
        <f>IFERROR(VLOOKUP(E127,'BD - A - Mvto Cx'!$CH$15:$CJ$500,3,0),0)</f>
        <v>0</v>
      </c>
      <c r="Q127" s="50">
        <f>IFERROR(VLOOKUP(E127,'BD - A - Mvto Cx'!$CQ$15:$CS$500,3,0),0)</f>
        <v>0</v>
      </c>
      <c r="R127" s="50">
        <f>IFERROR(VLOOKUP(E127,'BD - A - Mvto Cx'!$CZ$15:$DB$500,3,0),0)</f>
        <v>0</v>
      </c>
    </row>
    <row r="128" spans="1:996">
      <c r="A128" s="37"/>
      <c r="B128" t="str">
        <f t="shared" si="5"/>
        <v>S214202</v>
      </c>
      <c r="C128" s="7" t="s">
        <v>362</v>
      </c>
      <c r="D128" s="27" t="s">
        <v>128</v>
      </c>
      <c r="E128" s="7">
        <v>214202</v>
      </c>
      <c r="F128" s="48" t="s">
        <v>164</v>
      </c>
      <c r="G128" s="49">
        <f>IFERROR(VLOOKUP(E128,'BD - A - Mvto Cx'!$E$15:$G$501,3,0),0)</f>
        <v>0</v>
      </c>
      <c r="H128" s="51">
        <f>IFERROR(VLOOKUP(E128,'BD - A - Mvto Cx'!$N$15:$P$500,3,0),0)</f>
        <v>0</v>
      </c>
      <c r="I128" s="50">
        <f>IFERROR(VLOOKUP(E128,'BD - A - Mvto Cx'!$W$15:$Y$500,3,0),0)</f>
        <v>0</v>
      </c>
      <c r="J128" s="50">
        <f>IFERROR(VLOOKUP(E128,'BD - A - Mvto Cx'!$AF$15:$AH$500,3,0),0)</f>
        <v>0</v>
      </c>
      <c r="K128" s="50">
        <f>IFERROR(VLOOKUP(E128,'BD - A - Mvto Cx'!$AO$15:$AQ$500,3,0),0)</f>
        <v>0</v>
      </c>
      <c r="L128" s="50">
        <f>IFERROR(VLOOKUP(E128,'BD - A - Mvto Cx'!$AX$15:$AZ$500,3,0),0)</f>
        <v>0</v>
      </c>
      <c r="M128" s="50">
        <f>IFERROR(VLOOKUP(E128,'BD - A - Mvto Cx'!$BG$15:$BI$500,3,0),0)</f>
        <v>0</v>
      </c>
      <c r="N128" s="50">
        <f>IFERROR(VLOOKUP(E128,'BD - A - Mvto Cx'!$BP$15:$BR$500,3,0),0)</f>
        <v>0</v>
      </c>
      <c r="O128" s="50">
        <f>IFERROR(VLOOKUP(E128,'BD - A - Mvto Cx'!$BY$15:$CA$500,3,0),0)</f>
        <v>0</v>
      </c>
      <c r="P128" s="50">
        <f>IFERROR(VLOOKUP(E128,'BD - A - Mvto Cx'!$CH$15:$CJ$500,3,0),0)</f>
        <v>0</v>
      </c>
      <c r="Q128" s="50">
        <f>IFERROR(VLOOKUP(E128,'BD - A - Mvto Cx'!$CQ$15:$CS$500,3,0),0)</f>
        <v>0</v>
      </c>
      <c r="R128" s="50">
        <f>IFERROR(VLOOKUP(E128,'BD - A - Mvto Cx'!$CZ$15:$DB$500,3,0),0)</f>
        <v>0</v>
      </c>
    </row>
    <row r="129" spans="1:996" s="75" customFormat="1">
      <c r="A129" s="104"/>
      <c r="B129" s="75" t="str">
        <f t="shared" si="5"/>
        <v>S215101</v>
      </c>
      <c r="C129" s="75" t="s">
        <v>347</v>
      </c>
      <c r="D129" s="148" t="s">
        <v>128</v>
      </c>
      <c r="E129" s="75">
        <v>215101</v>
      </c>
      <c r="F129" s="105" t="s">
        <v>165</v>
      </c>
      <c r="G129" s="74">
        <f>IFERROR(VLOOKUP(E129,'BD - A - Mvto Cx'!$E$15:$G$501,3,0),0)</f>
        <v>2684.07</v>
      </c>
      <c r="H129" s="72">
        <f>IFERROR(VLOOKUP(E129,'BD - A - Mvto Cx'!$N$15:$P$500,3,0),0)</f>
        <v>3194.83</v>
      </c>
      <c r="I129" s="73">
        <f>IFERROR(VLOOKUP(E129,'BD - A - Mvto Cx'!$W$15:$Y$500,3,0),0)</f>
        <v>6300.81</v>
      </c>
      <c r="J129" s="73">
        <f>IFERROR(VLOOKUP(E129,'BD - A - Mvto Cx'!$AF$15:$AH$500,3,0),0)</f>
        <v>1076.4000000000001</v>
      </c>
      <c r="K129" s="73">
        <f>IFERROR(VLOOKUP(E129,'BD - A - Mvto Cx'!$AO$15:$AQ$500,3,0),0)</f>
        <v>0</v>
      </c>
      <c r="L129" s="73">
        <f>IFERROR(VLOOKUP(E129,'BD - A - Mvto Cx'!$AX$15:$AZ$500,3,0),0)</f>
        <v>0</v>
      </c>
      <c r="M129" s="73">
        <f>IFERROR(VLOOKUP(E129,'BD - A - Mvto Cx'!$BG$15:$BI$500,3,0),0)</f>
        <v>0</v>
      </c>
      <c r="N129" s="73">
        <f>IFERROR(VLOOKUP(E129,'BD - A - Mvto Cx'!$BP$15:$BR$500,3,0),0)</f>
        <v>0</v>
      </c>
      <c r="O129" s="73">
        <f>IFERROR(VLOOKUP(E129,'BD - A - Mvto Cx'!$BY$15:$CA$500,3,0),0)</f>
        <v>0</v>
      </c>
      <c r="P129" s="73">
        <f>IFERROR(VLOOKUP(E129,'BD - A - Mvto Cx'!$CH$15:$CJ$500,3,0),0)</f>
        <v>0</v>
      </c>
      <c r="Q129" s="73">
        <f>IFERROR(VLOOKUP(E129,'BD - A - Mvto Cx'!$CQ$15:$CS$500,3,0),0)</f>
        <v>0</v>
      </c>
      <c r="R129" s="73">
        <f>IFERROR(VLOOKUP(E129,'BD - A - Mvto Cx'!$CZ$15:$DB$500,3,0),0)</f>
        <v>0</v>
      </c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  <c r="CZ129" s="106"/>
      <c r="DA129" s="106"/>
      <c r="DB129" s="106"/>
      <c r="DC129" s="106"/>
      <c r="DD129" s="106"/>
      <c r="DE129" s="106"/>
      <c r="DF129" s="106"/>
      <c r="DG129" s="106"/>
      <c r="DH129" s="106"/>
      <c r="DI129" s="106"/>
      <c r="DJ129" s="106"/>
      <c r="DK129" s="106"/>
      <c r="DL129" s="106"/>
      <c r="DM129" s="106"/>
      <c r="DN129" s="106"/>
      <c r="DO129" s="106"/>
      <c r="DP129" s="106"/>
      <c r="DQ129" s="106"/>
      <c r="DR129" s="106"/>
      <c r="DS129" s="106"/>
      <c r="DT129" s="106"/>
      <c r="DU129" s="106"/>
      <c r="DV129" s="106"/>
      <c r="DW129" s="106"/>
      <c r="DX129" s="106"/>
      <c r="DY129" s="106"/>
      <c r="DZ129" s="106"/>
      <c r="EA129" s="106"/>
      <c r="EB129" s="106"/>
      <c r="EC129" s="106"/>
      <c r="ED129" s="106"/>
      <c r="EE129" s="106"/>
      <c r="EF129" s="106"/>
      <c r="EG129" s="106"/>
      <c r="EH129" s="106"/>
      <c r="EI129" s="106"/>
      <c r="EJ129" s="106"/>
      <c r="EK129" s="106"/>
      <c r="EL129" s="106"/>
      <c r="EM129" s="106"/>
      <c r="EN129" s="106"/>
      <c r="EO129" s="106"/>
      <c r="EP129" s="106"/>
      <c r="EQ129" s="106"/>
      <c r="ER129" s="106"/>
      <c r="ES129" s="106"/>
      <c r="ET129" s="106"/>
      <c r="EU129" s="106"/>
      <c r="EV129" s="106"/>
      <c r="EW129" s="106"/>
      <c r="EX129" s="106"/>
      <c r="EY129" s="106"/>
      <c r="EZ129" s="106"/>
      <c r="FA129" s="106"/>
      <c r="FB129" s="106"/>
      <c r="FC129" s="106"/>
      <c r="FD129" s="106"/>
      <c r="FE129" s="106"/>
      <c r="FF129" s="106"/>
      <c r="FG129" s="106"/>
      <c r="FH129" s="106"/>
      <c r="FI129" s="106"/>
      <c r="FJ129" s="106"/>
      <c r="FK129" s="106"/>
      <c r="FL129" s="106"/>
      <c r="FM129" s="106"/>
      <c r="FN129" s="106"/>
      <c r="FO129" s="106"/>
      <c r="FP129" s="106"/>
      <c r="FQ129" s="106"/>
      <c r="FR129" s="106"/>
      <c r="FS129" s="106"/>
      <c r="FT129" s="106"/>
      <c r="FU129" s="106"/>
      <c r="FV129" s="106"/>
      <c r="FW129" s="106"/>
      <c r="FX129" s="106"/>
      <c r="FY129" s="106"/>
      <c r="FZ129" s="106"/>
      <c r="GA129" s="106"/>
      <c r="GB129" s="106"/>
      <c r="GC129" s="106"/>
      <c r="GD129" s="106"/>
      <c r="GE129" s="106"/>
      <c r="GF129" s="106"/>
      <c r="GG129" s="106"/>
      <c r="GH129" s="106"/>
      <c r="GI129" s="106"/>
      <c r="GJ129" s="106"/>
      <c r="GK129" s="106"/>
      <c r="GL129" s="106"/>
      <c r="GM129" s="106"/>
      <c r="GN129" s="106"/>
      <c r="GO129" s="106"/>
      <c r="GP129" s="106"/>
      <c r="GQ129" s="106"/>
      <c r="GR129" s="106"/>
      <c r="GS129" s="106"/>
      <c r="GT129" s="106"/>
      <c r="GU129" s="106"/>
      <c r="GV129" s="106"/>
      <c r="GW129" s="106"/>
      <c r="GX129" s="106"/>
      <c r="GY129" s="106"/>
      <c r="GZ129" s="106"/>
      <c r="HA129" s="106"/>
      <c r="HB129" s="106"/>
      <c r="HC129" s="106"/>
      <c r="HD129" s="106"/>
      <c r="HE129" s="106"/>
      <c r="HF129" s="106"/>
      <c r="HG129" s="106"/>
      <c r="HH129" s="106"/>
      <c r="HI129" s="106"/>
      <c r="HJ129" s="106"/>
      <c r="HK129" s="106"/>
      <c r="HL129" s="106"/>
      <c r="HM129" s="106"/>
      <c r="HN129" s="106"/>
      <c r="HO129" s="106"/>
      <c r="HP129" s="106"/>
      <c r="HQ129" s="106"/>
      <c r="HR129" s="106"/>
      <c r="HS129" s="106"/>
      <c r="HT129" s="106"/>
      <c r="HU129" s="106"/>
      <c r="HV129" s="106"/>
      <c r="HW129" s="106"/>
      <c r="HX129" s="106"/>
      <c r="HY129" s="106"/>
      <c r="HZ129" s="106"/>
      <c r="IA129" s="106"/>
      <c r="IB129" s="106"/>
      <c r="IC129" s="106"/>
      <c r="ID129" s="106"/>
      <c r="IE129" s="106"/>
      <c r="IF129" s="106"/>
      <c r="IG129" s="106"/>
      <c r="IH129" s="106"/>
      <c r="II129" s="106"/>
      <c r="IJ129" s="106"/>
      <c r="IK129" s="106"/>
      <c r="IL129" s="106"/>
      <c r="IM129" s="106"/>
      <c r="IN129" s="106"/>
      <c r="IO129" s="106"/>
      <c r="IP129" s="106"/>
      <c r="IQ129" s="106"/>
      <c r="IR129" s="106"/>
      <c r="IS129" s="106"/>
      <c r="IT129" s="106"/>
      <c r="IU129" s="106"/>
      <c r="IV129" s="106"/>
      <c r="IW129" s="106"/>
      <c r="IX129" s="106"/>
      <c r="IY129" s="106"/>
      <c r="IZ129" s="106"/>
      <c r="JA129" s="106"/>
      <c r="JB129" s="106"/>
      <c r="JC129" s="106"/>
      <c r="JD129" s="106"/>
      <c r="JE129" s="106"/>
      <c r="JF129" s="106"/>
      <c r="JG129" s="106"/>
      <c r="JH129" s="106"/>
      <c r="JI129" s="106"/>
      <c r="JJ129" s="106"/>
      <c r="JK129" s="106"/>
      <c r="JL129" s="106"/>
      <c r="JM129" s="106"/>
      <c r="JN129" s="106"/>
      <c r="JO129" s="106"/>
      <c r="JP129" s="106"/>
      <c r="JQ129" s="106"/>
      <c r="JR129" s="106"/>
      <c r="JS129" s="106"/>
      <c r="JT129" s="106"/>
      <c r="JU129" s="106"/>
      <c r="JV129" s="106"/>
      <c r="JW129" s="106"/>
      <c r="JX129" s="106"/>
      <c r="JY129" s="106"/>
      <c r="JZ129" s="106"/>
      <c r="KA129" s="106"/>
      <c r="KB129" s="106"/>
      <c r="KC129" s="106"/>
      <c r="KD129" s="106"/>
      <c r="KE129" s="106"/>
      <c r="KF129" s="106"/>
      <c r="KG129" s="106"/>
      <c r="KH129" s="106"/>
      <c r="KI129" s="106"/>
      <c r="KJ129" s="106"/>
      <c r="KK129" s="106"/>
      <c r="KL129" s="106"/>
      <c r="KM129" s="106"/>
      <c r="KN129" s="106"/>
      <c r="KO129" s="106"/>
      <c r="KP129" s="106"/>
      <c r="KQ129" s="106"/>
      <c r="KR129" s="106"/>
      <c r="KS129" s="106"/>
      <c r="KT129" s="106"/>
      <c r="KU129" s="106"/>
      <c r="KV129" s="106"/>
      <c r="KW129" s="106"/>
      <c r="KX129" s="106"/>
      <c r="KY129" s="106"/>
      <c r="KZ129" s="106"/>
      <c r="LA129" s="106"/>
      <c r="LB129" s="106"/>
      <c r="LC129" s="106"/>
      <c r="LD129" s="106"/>
      <c r="LE129" s="106"/>
      <c r="LF129" s="106"/>
      <c r="LG129" s="106"/>
      <c r="LH129" s="106"/>
      <c r="LI129" s="106"/>
      <c r="LJ129" s="106"/>
      <c r="LK129" s="106"/>
      <c r="LL129" s="106"/>
      <c r="LM129" s="106"/>
      <c r="LN129" s="106"/>
      <c r="LO129" s="106"/>
      <c r="LP129" s="106"/>
      <c r="LQ129" s="106"/>
      <c r="LR129" s="106"/>
      <c r="LS129" s="106"/>
      <c r="LT129" s="106"/>
      <c r="LU129" s="106"/>
      <c r="LV129" s="106"/>
      <c r="LW129" s="106"/>
      <c r="LX129" s="106"/>
      <c r="LY129" s="106"/>
      <c r="LZ129" s="106"/>
      <c r="MA129" s="106"/>
      <c r="MB129" s="106"/>
      <c r="MC129" s="106"/>
      <c r="MD129" s="106"/>
      <c r="ME129" s="106"/>
      <c r="MF129" s="106"/>
      <c r="MG129" s="106"/>
      <c r="MH129" s="106"/>
      <c r="MI129" s="106"/>
      <c r="MJ129" s="106"/>
      <c r="MK129" s="106"/>
      <c r="ML129" s="106"/>
      <c r="MM129" s="106"/>
      <c r="MN129" s="106"/>
      <c r="MO129" s="106"/>
      <c r="MP129" s="106"/>
      <c r="MQ129" s="106"/>
      <c r="MR129" s="106"/>
      <c r="MS129" s="106"/>
      <c r="MT129" s="106"/>
      <c r="MU129" s="106"/>
      <c r="MV129" s="106"/>
      <c r="MW129" s="106"/>
      <c r="MX129" s="106"/>
      <c r="MY129" s="106"/>
      <c r="MZ129" s="106"/>
      <c r="NA129" s="106"/>
      <c r="NB129" s="106"/>
      <c r="NC129" s="106"/>
      <c r="ND129" s="106"/>
      <c r="NE129" s="106"/>
      <c r="NF129" s="106"/>
      <c r="NG129" s="106"/>
      <c r="NH129" s="106"/>
      <c r="NI129" s="106"/>
      <c r="NJ129" s="106"/>
      <c r="NK129" s="106"/>
      <c r="NL129" s="106"/>
      <c r="NM129" s="106"/>
      <c r="NN129" s="106"/>
      <c r="NO129" s="106"/>
      <c r="NP129" s="106"/>
      <c r="NQ129" s="106"/>
      <c r="NR129" s="106"/>
      <c r="NS129" s="106"/>
      <c r="NT129" s="106"/>
      <c r="NU129" s="106"/>
      <c r="NV129" s="106"/>
      <c r="NW129" s="106"/>
      <c r="NX129" s="106"/>
      <c r="NY129" s="106"/>
      <c r="NZ129" s="106"/>
      <c r="OA129" s="106"/>
      <c r="OB129" s="106"/>
      <c r="OC129" s="106"/>
      <c r="OD129" s="106"/>
      <c r="OE129" s="106"/>
      <c r="OF129" s="106"/>
      <c r="OG129" s="106"/>
      <c r="OH129" s="106"/>
      <c r="OI129" s="106"/>
      <c r="OJ129" s="106"/>
      <c r="OK129" s="106"/>
      <c r="OL129" s="106"/>
      <c r="OM129" s="106"/>
      <c r="ON129" s="106"/>
      <c r="OO129" s="106"/>
      <c r="OP129" s="106"/>
      <c r="OQ129" s="106"/>
      <c r="OR129" s="106"/>
      <c r="OS129" s="106"/>
      <c r="OT129" s="106"/>
      <c r="OU129" s="106"/>
      <c r="OV129" s="106"/>
      <c r="OW129" s="106"/>
      <c r="OX129" s="106"/>
      <c r="OY129" s="106"/>
      <c r="OZ129" s="106"/>
      <c r="PA129" s="106"/>
      <c r="PB129" s="106"/>
      <c r="PC129" s="106"/>
      <c r="PD129" s="106"/>
      <c r="PE129" s="106"/>
      <c r="PF129" s="106"/>
      <c r="PG129" s="106"/>
      <c r="PH129" s="106"/>
      <c r="PI129" s="106"/>
      <c r="PJ129" s="106"/>
      <c r="PK129" s="106"/>
      <c r="PL129" s="106"/>
      <c r="PM129" s="106"/>
      <c r="PN129" s="106"/>
      <c r="PO129" s="106"/>
      <c r="PP129" s="106"/>
      <c r="PQ129" s="106"/>
      <c r="PR129" s="106"/>
      <c r="PS129" s="106"/>
      <c r="PT129" s="106"/>
      <c r="PU129" s="106"/>
      <c r="PV129" s="106"/>
      <c r="PW129" s="106"/>
      <c r="PX129" s="106"/>
      <c r="PY129" s="106"/>
      <c r="PZ129" s="106"/>
      <c r="QA129" s="106"/>
      <c r="QB129" s="106"/>
      <c r="QC129" s="106"/>
      <c r="QD129" s="106"/>
      <c r="QE129" s="106"/>
      <c r="QF129" s="106"/>
      <c r="QG129" s="106"/>
      <c r="QH129" s="106"/>
      <c r="QI129" s="106"/>
      <c r="QJ129" s="106"/>
      <c r="QK129" s="106"/>
      <c r="QL129" s="106"/>
      <c r="QM129" s="106"/>
      <c r="QN129" s="106"/>
      <c r="QO129" s="106"/>
      <c r="QP129" s="106"/>
      <c r="QQ129" s="106"/>
      <c r="QR129" s="106"/>
      <c r="QS129" s="106"/>
      <c r="QT129" s="106"/>
      <c r="QU129" s="106"/>
      <c r="QV129" s="106"/>
      <c r="QW129" s="106"/>
      <c r="QX129" s="106"/>
      <c r="QY129" s="106"/>
      <c r="QZ129" s="106"/>
      <c r="RA129" s="106"/>
      <c r="RB129" s="106"/>
      <c r="RC129" s="106"/>
      <c r="RD129" s="106"/>
      <c r="RE129" s="106"/>
      <c r="RF129" s="106"/>
      <c r="RG129" s="106"/>
      <c r="RH129" s="106"/>
      <c r="RI129" s="106"/>
      <c r="RJ129" s="106"/>
      <c r="RK129" s="106"/>
      <c r="RL129" s="106"/>
      <c r="RM129" s="106"/>
      <c r="RN129" s="106"/>
      <c r="RO129" s="106"/>
      <c r="RP129" s="106"/>
      <c r="RQ129" s="106"/>
      <c r="RR129" s="106"/>
      <c r="RS129" s="106"/>
      <c r="RT129" s="106"/>
      <c r="RU129" s="106"/>
      <c r="RV129" s="106"/>
      <c r="RW129" s="106"/>
      <c r="RX129" s="106"/>
      <c r="RY129" s="106"/>
      <c r="RZ129" s="106"/>
      <c r="SA129" s="106"/>
      <c r="SB129" s="106"/>
      <c r="SC129" s="106"/>
      <c r="SD129" s="106"/>
      <c r="SE129" s="106"/>
      <c r="SF129" s="106"/>
      <c r="SG129" s="106"/>
      <c r="SH129" s="106"/>
      <c r="SI129" s="106"/>
      <c r="SJ129" s="106"/>
      <c r="SK129" s="106"/>
      <c r="SL129" s="106"/>
      <c r="SM129" s="106"/>
      <c r="SN129" s="106"/>
      <c r="SO129" s="106"/>
      <c r="SP129" s="106"/>
      <c r="SQ129" s="106"/>
      <c r="SR129" s="106"/>
      <c r="SS129" s="106"/>
      <c r="ST129" s="106"/>
      <c r="SU129" s="106"/>
      <c r="SV129" s="106"/>
      <c r="SW129" s="106"/>
      <c r="SX129" s="106"/>
      <c r="SY129" s="106"/>
      <c r="SZ129" s="106"/>
      <c r="TA129" s="106"/>
      <c r="TB129" s="106"/>
      <c r="TC129" s="106"/>
      <c r="TD129" s="106"/>
      <c r="TE129" s="106"/>
      <c r="TF129" s="106"/>
      <c r="TG129" s="106"/>
      <c r="TH129" s="106"/>
      <c r="TI129" s="106"/>
      <c r="TJ129" s="106"/>
      <c r="TK129" s="106"/>
      <c r="TL129" s="106"/>
      <c r="TM129" s="106"/>
      <c r="TN129" s="106"/>
      <c r="TO129" s="106"/>
      <c r="TP129" s="106"/>
      <c r="TQ129" s="106"/>
      <c r="TR129" s="106"/>
      <c r="TS129" s="106"/>
      <c r="TT129" s="106"/>
      <c r="TU129" s="106"/>
      <c r="TV129" s="106"/>
      <c r="TW129" s="106"/>
      <c r="TX129" s="106"/>
      <c r="TY129" s="106"/>
      <c r="TZ129" s="106"/>
      <c r="UA129" s="106"/>
      <c r="UB129" s="106"/>
      <c r="UC129" s="106"/>
      <c r="UD129" s="106"/>
      <c r="UE129" s="106"/>
      <c r="UF129" s="106"/>
      <c r="UG129" s="106"/>
      <c r="UH129" s="106"/>
      <c r="UI129" s="106"/>
      <c r="UJ129" s="106"/>
      <c r="UK129" s="106"/>
      <c r="UL129" s="106"/>
      <c r="UM129" s="106"/>
      <c r="UN129" s="106"/>
      <c r="UO129" s="106"/>
      <c r="UP129" s="106"/>
      <c r="UQ129" s="106"/>
      <c r="UR129" s="106"/>
      <c r="US129" s="106"/>
      <c r="UT129" s="106"/>
      <c r="UU129" s="106"/>
      <c r="UV129" s="106"/>
      <c r="UW129" s="106"/>
      <c r="UX129" s="106"/>
      <c r="UY129" s="106"/>
      <c r="UZ129" s="106"/>
      <c r="VA129" s="106"/>
      <c r="VB129" s="106"/>
      <c r="VC129" s="106"/>
      <c r="VD129" s="106"/>
      <c r="VE129" s="106"/>
      <c r="VF129" s="106"/>
      <c r="VG129" s="106"/>
      <c r="VH129" s="106"/>
      <c r="VI129" s="106"/>
      <c r="VJ129" s="106"/>
      <c r="VK129" s="106"/>
      <c r="VL129" s="106"/>
      <c r="VM129" s="106"/>
      <c r="VN129" s="106"/>
      <c r="VO129" s="106"/>
      <c r="VP129" s="106"/>
      <c r="VQ129" s="106"/>
      <c r="VR129" s="106"/>
      <c r="VS129" s="106"/>
      <c r="VT129" s="106"/>
      <c r="VU129" s="106"/>
      <c r="VV129" s="106"/>
      <c r="VW129" s="106"/>
      <c r="VX129" s="106"/>
      <c r="VY129" s="106"/>
      <c r="VZ129" s="106"/>
      <c r="WA129" s="106"/>
      <c r="WB129" s="106"/>
      <c r="WC129" s="106"/>
      <c r="WD129" s="106"/>
      <c r="WE129" s="106"/>
      <c r="WF129" s="106"/>
      <c r="WG129" s="106"/>
      <c r="WH129" s="106"/>
      <c r="WI129" s="106"/>
      <c r="WJ129" s="106"/>
      <c r="WK129" s="106"/>
      <c r="WL129" s="106"/>
      <c r="WM129" s="106"/>
      <c r="WN129" s="106"/>
      <c r="WO129" s="106"/>
      <c r="WP129" s="106"/>
      <c r="WQ129" s="106"/>
      <c r="WR129" s="106"/>
      <c r="WS129" s="106"/>
      <c r="WT129" s="106"/>
      <c r="WU129" s="106"/>
      <c r="WV129" s="106"/>
      <c r="WW129" s="106"/>
      <c r="WX129" s="106"/>
      <c r="WY129" s="106"/>
      <c r="WZ129" s="106"/>
      <c r="XA129" s="106"/>
      <c r="XB129" s="106"/>
      <c r="XC129" s="106"/>
      <c r="XD129" s="106"/>
      <c r="XE129" s="106"/>
      <c r="XF129" s="106"/>
      <c r="XG129" s="106"/>
      <c r="XH129" s="106"/>
      <c r="XI129" s="106"/>
      <c r="XJ129" s="106"/>
      <c r="XK129" s="106"/>
      <c r="XL129" s="106"/>
      <c r="XM129" s="106"/>
      <c r="XN129" s="106"/>
      <c r="XO129" s="106"/>
      <c r="XP129" s="106"/>
      <c r="XQ129" s="106"/>
      <c r="XR129" s="106"/>
      <c r="XS129" s="106"/>
      <c r="XT129" s="106"/>
      <c r="XU129" s="106"/>
      <c r="XV129" s="106"/>
      <c r="XW129" s="106"/>
      <c r="XX129" s="106"/>
      <c r="XY129" s="106"/>
      <c r="XZ129" s="106"/>
      <c r="YA129" s="106"/>
      <c r="YB129" s="106"/>
      <c r="YC129" s="106"/>
      <c r="YD129" s="106"/>
      <c r="YE129" s="106"/>
      <c r="YF129" s="106"/>
      <c r="YG129" s="106"/>
      <c r="YH129" s="106"/>
      <c r="YI129" s="106"/>
      <c r="YJ129" s="106"/>
      <c r="YK129" s="106"/>
      <c r="YL129" s="106"/>
      <c r="YM129" s="106"/>
      <c r="YN129" s="106"/>
      <c r="YO129" s="106"/>
      <c r="YP129" s="106"/>
      <c r="YQ129" s="106"/>
      <c r="YR129" s="106"/>
      <c r="YS129" s="106"/>
      <c r="YT129" s="106"/>
      <c r="YU129" s="106"/>
      <c r="YV129" s="106"/>
      <c r="YW129" s="106"/>
      <c r="YX129" s="106"/>
      <c r="YY129" s="106"/>
      <c r="YZ129" s="106"/>
      <c r="ZA129" s="106"/>
      <c r="ZB129" s="106"/>
      <c r="ZC129" s="106"/>
      <c r="ZD129" s="106"/>
      <c r="ZE129" s="106"/>
      <c r="ZF129" s="106"/>
      <c r="ZG129" s="106"/>
      <c r="ZH129" s="106"/>
      <c r="ZI129" s="106"/>
      <c r="ZJ129" s="106"/>
      <c r="ZK129" s="106"/>
      <c r="ZL129" s="106"/>
      <c r="ZM129" s="106"/>
      <c r="ZN129" s="106"/>
      <c r="ZO129" s="106"/>
      <c r="ZP129" s="106"/>
      <c r="ZQ129" s="106"/>
      <c r="ZR129" s="106"/>
      <c r="ZS129" s="106"/>
      <c r="ZT129" s="106"/>
      <c r="ZU129" s="106"/>
      <c r="ZV129" s="106"/>
      <c r="ZW129" s="106"/>
      <c r="ZX129" s="106"/>
      <c r="ZY129" s="106"/>
      <c r="ZZ129" s="106"/>
      <c r="AAA129" s="106"/>
      <c r="AAB129" s="106"/>
      <c r="AAC129" s="106"/>
      <c r="AAD129" s="106"/>
      <c r="AAE129" s="106"/>
      <c r="AAF129" s="106"/>
      <c r="AAG129" s="106"/>
      <c r="AAH129" s="106"/>
      <c r="AAI129" s="106"/>
      <c r="AAJ129" s="106"/>
      <c r="AAK129" s="106"/>
      <c r="AAL129" s="106"/>
      <c r="AAM129" s="106"/>
      <c r="AAN129" s="106"/>
      <c r="AAO129" s="106"/>
      <c r="AAP129" s="106"/>
      <c r="AAQ129" s="106"/>
      <c r="AAR129" s="106"/>
      <c r="AAS129" s="106"/>
      <c r="AAT129" s="106"/>
      <c r="AAU129" s="106"/>
      <c r="AAV129" s="106"/>
      <c r="AAW129" s="106"/>
      <c r="AAX129" s="106"/>
      <c r="AAY129" s="106"/>
      <c r="AAZ129" s="106"/>
      <c r="ABA129" s="106"/>
      <c r="ABB129" s="106"/>
      <c r="ABC129" s="106"/>
      <c r="ABD129" s="106"/>
      <c r="ABE129" s="106"/>
      <c r="ABF129" s="106"/>
      <c r="ABG129" s="106"/>
      <c r="ABH129" s="106"/>
      <c r="ABI129" s="106"/>
      <c r="ABJ129" s="106"/>
      <c r="ABK129" s="106"/>
      <c r="ABL129" s="106"/>
      <c r="ABM129" s="106"/>
      <c r="ABN129" s="106"/>
      <c r="ABO129" s="106"/>
      <c r="ABP129" s="106"/>
      <c r="ABQ129" s="106"/>
      <c r="ABR129" s="106"/>
      <c r="ABS129" s="106"/>
      <c r="ABT129" s="106"/>
      <c r="ABU129" s="106"/>
      <c r="ABV129" s="106"/>
      <c r="ABW129" s="106"/>
      <c r="ABX129" s="106"/>
      <c r="ABY129" s="106"/>
      <c r="ABZ129" s="106"/>
      <c r="ACA129" s="106"/>
      <c r="ACB129" s="106"/>
      <c r="ACC129" s="106"/>
      <c r="ACD129" s="106"/>
      <c r="ACE129" s="106"/>
      <c r="ACF129" s="106"/>
      <c r="ACG129" s="106"/>
      <c r="ACH129" s="106"/>
      <c r="ACI129" s="106"/>
      <c r="ACJ129" s="106"/>
      <c r="ACK129" s="106"/>
      <c r="ACL129" s="106"/>
      <c r="ACM129" s="106"/>
      <c r="ACN129" s="106"/>
      <c r="ACO129" s="106"/>
      <c r="ACP129" s="106"/>
      <c r="ACQ129" s="106"/>
      <c r="ACR129" s="106"/>
      <c r="ACS129" s="106"/>
      <c r="ACT129" s="106"/>
      <c r="ACU129" s="106"/>
      <c r="ACV129" s="106"/>
      <c r="ACW129" s="106"/>
      <c r="ACX129" s="106"/>
      <c r="ACY129" s="106"/>
      <c r="ACZ129" s="106"/>
      <c r="ADA129" s="106"/>
      <c r="ADB129" s="106"/>
      <c r="ADC129" s="106"/>
      <c r="ADD129" s="106"/>
      <c r="ADE129" s="106"/>
      <c r="ADF129" s="106"/>
      <c r="ADG129" s="106"/>
      <c r="ADH129" s="106"/>
      <c r="ADI129" s="106"/>
      <c r="ADJ129" s="106"/>
      <c r="ADK129" s="106"/>
      <c r="ADL129" s="106"/>
      <c r="ADM129" s="106"/>
      <c r="ADN129" s="106"/>
      <c r="ADO129" s="106"/>
      <c r="ADP129" s="106"/>
      <c r="ADQ129" s="106"/>
      <c r="ADR129" s="106"/>
      <c r="ADS129" s="106"/>
      <c r="ADT129" s="106"/>
      <c r="ADU129" s="106"/>
      <c r="ADV129" s="106"/>
      <c r="ADW129" s="106"/>
      <c r="ADX129" s="106"/>
      <c r="ADY129" s="106"/>
      <c r="ADZ129" s="106"/>
      <c r="AEA129" s="106"/>
      <c r="AEB129" s="106"/>
      <c r="AEC129" s="106"/>
      <c r="AED129" s="106"/>
      <c r="AEE129" s="106"/>
      <c r="AEF129" s="106"/>
      <c r="AEG129" s="106"/>
      <c r="AEH129" s="106"/>
      <c r="AEI129" s="106"/>
      <c r="AEJ129" s="106"/>
      <c r="AEK129" s="106"/>
      <c r="AEL129" s="106"/>
      <c r="AEM129" s="106"/>
      <c r="AEN129" s="106"/>
      <c r="AEO129" s="106"/>
      <c r="AEP129" s="106"/>
      <c r="AEQ129" s="106"/>
      <c r="AER129" s="106"/>
      <c r="AES129" s="106"/>
      <c r="AET129" s="106"/>
      <c r="AEU129" s="106"/>
      <c r="AEV129" s="106"/>
      <c r="AEW129" s="106"/>
      <c r="AEX129" s="106"/>
      <c r="AEY129" s="106"/>
      <c r="AEZ129" s="106"/>
      <c r="AFA129" s="106"/>
      <c r="AFB129" s="106"/>
      <c r="AFC129" s="106"/>
      <c r="AFD129" s="106"/>
      <c r="AFE129" s="106"/>
      <c r="AFF129" s="106"/>
      <c r="AFG129" s="106"/>
      <c r="AFH129" s="106"/>
      <c r="AFI129" s="106"/>
      <c r="AFJ129" s="106"/>
      <c r="AFK129" s="106"/>
      <c r="AFL129" s="106"/>
      <c r="AFM129" s="106"/>
      <c r="AFN129" s="106"/>
      <c r="AFO129" s="106"/>
      <c r="AFP129" s="106"/>
      <c r="AFQ129" s="106"/>
      <c r="AFR129" s="106"/>
      <c r="AFS129" s="106"/>
      <c r="AFT129" s="106"/>
      <c r="AFU129" s="106"/>
      <c r="AFV129" s="106"/>
      <c r="AFW129" s="106"/>
      <c r="AFX129" s="106"/>
      <c r="AFY129" s="106"/>
      <c r="AFZ129" s="106"/>
      <c r="AGA129" s="106"/>
      <c r="AGB129" s="106"/>
      <c r="AGC129" s="106"/>
      <c r="AGD129" s="106"/>
      <c r="AGE129" s="106"/>
      <c r="AGF129" s="106"/>
      <c r="AGG129" s="106"/>
      <c r="AGH129" s="106"/>
      <c r="AGI129" s="106"/>
      <c r="AGJ129" s="106"/>
      <c r="AGK129" s="106"/>
      <c r="AGL129" s="106"/>
      <c r="AGM129" s="106"/>
      <c r="AGN129" s="106"/>
      <c r="AGO129" s="106"/>
      <c r="AGP129" s="106"/>
      <c r="AGQ129" s="106"/>
      <c r="AGR129" s="106"/>
      <c r="AGS129" s="106"/>
      <c r="AGT129" s="106"/>
      <c r="AGU129" s="106"/>
      <c r="AGV129" s="106"/>
      <c r="AGW129" s="106"/>
      <c r="AGX129" s="106"/>
      <c r="AGY129" s="106"/>
      <c r="AGZ129" s="106"/>
      <c r="AHA129" s="106"/>
      <c r="AHB129" s="106"/>
      <c r="AHC129" s="106"/>
      <c r="AHD129" s="106"/>
      <c r="AHE129" s="106"/>
      <c r="AHF129" s="106"/>
      <c r="AHG129" s="106"/>
      <c r="AHH129" s="106"/>
      <c r="AHI129" s="106"/>
      <c r="AHJ129" s="106"/>
      <c r="AHK129" s="106"/>
      <c r="AHL129" s="106"/>
      <c r="AHM129" s="106"/>
      <c r="AHN129" s="106"/>
      <c r="AHO129" s="106"/>
      <c r="AHP129" s="106"/>
      <c r="AHQ129" s="106"/>
      <c r="AHR129" s="106"/>
      <c r="AHS129" s="106"/>
      <c r="AHT129" s="106"/>
      <c r="AHU129" s="106"/>
      <c r="AHV129" s="106"/>
      <c r="AHW129" s="106"/>
      <c r="AHX129" s="106"/>
      <c r="AHY129" s="106"/>
      <c r="AHZ129" s="106"/>
      <c r="AIA129" s="106"/>
      <c r="AIB129" s="106"/>
      <c r="AIC129" s="106"/>
      <c r="AID129" s="106"/>
      <c r="AIE129" s="106"/>
      <c r="AIF129" s="106"/>
      <c r="AIG129" s="106"/>
      <c r="AIH129" s="106"/>
      <c r="AII129" s="106"/>
      <c r="AIJ129" s="106"/>
      <c r="AIK129" s="106"/>
      <c r="AIL129" s="106"/>
      <c r="AIM129" s="106"/>
      <c r="AIN129" s="106"/>
      <c r="AIO129" s="106"/>
      <c r="AIP129" s="106"/>
      <c r="AIQ129" s="106"/>
      <c r="AIR129" s="106"/>
      <c r="AIS129" s="106"/>
      <c r="AIT129" s="106"/>
      <c r="AIU129" s="106"/>
      <c r="AIV129" s="106"/>
      <c r="AIW129" s="106"/>
      <c r="AIX129" s="106"/>
      <c r="AIY129" s="106"/>
      <c r="AIZ129" s="106"/>
      <c r="AJA129" s="106"/>
      <c r="AJB129" s="106"/>
      <c r="AJC129" s="106"/>
      <c r="AJD129" s="106"/>
      <c r="AJE129" s="106"/>
      <c r="AJF129" s="106"/>
      <c r="AJG129" s="106"/>
      <c r="AJH129" s="106"/>
      <c r="AJI129" s="106"/>
      <c r="AJJ129" s="106"/>
      <c r="AJK129" s="106"/>
      <c r="AJL129" s="106"/>
      <c r="AJM129" s="106"/>
      <c r="AJN129" s="106"/>
      <c r="AJO129" s="106"/>
      <c r="AJP129" s="106"/>
      <c r="AJQ129" s="106"/>
      <c r="AJR129" s="106"/>
      <c r="AJS129" s="106"/>
      <c r="AJT129" s="106"/>
      <c r="AJU129" s="106"/>
      <c r="AJV129" s="106"/>
      <c r="AJW129" s="106"/>
      <c r="AJX129" s="106"/>
      <c r="AJY129" s="106"/>
      <c r="AJZ129" s="106"/>
      <c r="AKA129" s="106"/>
      <c r="AKB129" s="106"/>
      <c r="AKC129" s="106"/>
      <c r="AKD129" s="106"/>
      <c r="AKE129" s="106"/>
      <c r="AKF129" s="106"/>
      <c r="AKG129" s="106"/>
      <c r="AKH129" s="106"/>
      <c r="AKI129" s="106"/>
      <c r="AKJ129" s="106"/>
      <c r="AKK129" s="106"/>
      <c r="AKL129" s="106"/>
      <c r="AKM129" s="106"/>
      <c r="AKN129" s="106"/>
      <c r="AKO129" s="106"/>
      <c r="AKP129" s="106"/>
      <c r="AKQ129" s="106"/>
      <c r="AKR129" s="106"/>
      <c r="AKS129" s="106"/>
      <c r="AKT129" s="106"/>
      <c r="AKU129" s="106"/>
      <c r="AKV129" s="106"/>
      <c r="AKW129" s="106"/>
      <c r="AKX129" s="106"/>
      <c r="AKY129" s="106"/>
      <c r="AKZ129" s="106"/>
      <c r="ALA129" s="106"/>
      <c r="ALB129" s="106"/>
      <c r="ALC129" s="106"/>
      <c r="ALD129" s="106"/>
      <c r="ALE129" s="106"/>
      <c r="ALF129" s="106"/>
      <c r="ALG129" s="106"/>
      <c r="ALH129" s="106"/>
    </row>
    <row r="130" spans="1:996">
      <c r="A130" s="37"/>
      <c r="B130" t="str">
        <f t="shared" si="5"/>
        <v>S215102</v>
      </c>
      <c r="C130" s="29" t="s">
        <v>259</v>
      </c>
      <c r="D130" s="27" t="s">
        <v>128</v>
      </c>
      <c r="E130" s="7">
        <v>215102</v>
      </c>
      <c r="F130" s="48" t="s">
        <v>166</v>
      </c>
      <c r="G130" s="49">
        <f>IFERROR(VLOOKUP(E130,'BD - A - Mvto Cx'!$E$15:$G$501,3,0),0)</f>
        <v>0</v>
      </c>
      <c r="H130" s="51">
        <f>IFERROR(VLOOKUP(E130,'BD - A - Mvto Cx'!$N$15:$P$500,3,0),0)</f>
        <v>0</v>
      </c>
      <c r="I130" s="50">
        <f>IFERROR(VLOOKUP(E130,'BD - A - Mvto Cx'!$W$15:$Y$500,3,0),0)</f>
        <v>0</v>
      </c>
      <c r="J130" s="50">
        <f>IFERROR(VLOOKUP(E130,'BD - A - Mvto Cx'!$AF$15:$AH$500,3,0),0)</f>
        <v>0</v>
      </c>
      <c r="K130" s="50">
        <f>IFERROR(VLOOKUP(E130,'BD - A - Mvto Cx'!$AO$15:$AQ$500,3,0),0)</f>
        <v>0</v>
      </c>
      <c r="L130" s="50">
        <f>IFERROR(VLOOKUP(E130,'BD - A - Mvto Cx'!$AX$15:$AZ$500,3,0),0)</f>
        <v>0</v>
      </c>
      <c r="M130" s="50">
        <f>IFERROR(VLOOKUP(E130,'BD - A - Mvto Cx'!$BG$15:$BI$500,3,0),0)</f>
        <v>0</v>
      </c>
      <c r="N130" s="50">
        <f>IFERROR(VLOOKUP(E130,'BD - A - Mvto Cx'!$BP$15:$BR$500,3,0),0)</f>
        <v>0</v>
      </c>
      <c r="O130" s="50">
        <f>IFERROR(VLOOKUP(E130,'BD - A - Mvto Cx'!$BY$15:$CA$500,3,0),0)</f>
        <v>0</v>
      </c>
      <c r="P130" s="50">
        <f>IFERROR(VLOOKUP(E130,'BD - A - Mvto Cx'!$CH$15:$CJ$500,3,0),0)</f>
        <v>0</v>
      </c>
      <c r="Q130" s="50">
        <f>IFERROR(VLOOKUP(E130,'BD - A - Mvto Cx'!$CQ$15:$CS$500,3,0),0)</f>
        <v>0</v>
      </c>
      <c r="R130" s="50">
        <f>IFERROR(VLOOKUP(E130,'BD - A - Mvto Cx'!$CZ$15:$DB$500,3,0),0)</f>
        <v>0</v>
      </c>
    </row>
    <row r="131" spans="1:996">
      <c r="A131" s="37"/>
      <c r="B131" t="str">
        <f t="shared" si="5"/>
        <v>S215103</v>
      </c>
      <c r="C131" s="29" t="s">
        <v>258</v>
      </c>
      <c r="D131" s="27" t="s">
        <v>128</v>
      </c>
      <c r="E131" s="7">
        <v>215103</v>
      </c>
      <c r="F131" s="48" t="s">
        <v>167</v>
      </c>
      <c r="G131" s="49">
        <f>IFERROR(VLOOKUP(E131,'BD - A - Mvto Cx'!$E$15:$G$501,3,0),0)</f>
        <v>0</v>
      </c>
      <c r="H131" s="51">
        <f>IFERROR(VLOOKUP(E131,'BD - A - Mvto Cx'!$N$15:$P$500,3,0),0)</f>
        <v>0</v>
      </c>
      <c r="I131" s="50">
        <f>IFERROR(VLOOKUP(E131,'BD - A - Mvto Cx'!$W$15:$Y$500,3,0),0)</f>
        <v>0</v>
      </c>
      <c r="J131" s="50">
        <f>IFERROR(VLOOKUP(E131,'BD - A - Mvto Cx'!$AF$15:$AH$500,3,0),0)</f>
        <v>0</v>
      </c>
      <c r="K131" s="50">
        <f>IFERROR(VLOOKUP(E131,'BD - A - Mvto Cx'!$AO$15:$AQ$500,3,0),0)</f>
        <v>0</v>
      </c>
      <c r="L131" s="50">
        <f>IFERROR(VLOOKUP(E131,'BD - A - Mvto Cx'!$AX$15:$AZ$500,3,0),0)</f>
        <v>0</v>
      </c>
      <c r="M131" s="50">
        <f>IFERROR(VLOOKUP(E131,'BD - A - Mvto Cx'!$BG$15:$BI$500,3,0),0)</f>
        <v>0</v>
      </c>
      <c r="N131" s="50">
        <f>IFERROR(VLOOKUP(E131,'BD - A - Mvto Cx'!$BP$15:$BR$500,3,0),0)</f>
        <v>0</v>
      </c>
      <c r="O131" s="50">
        <f>IFERROR(VLOOKUP(E131,'BD - A - Mvto Cx'!$BY$15:$CA$500,3,0),0)</f>
        <v>0</v>
      </c>
      <c r="P131" s="50">
        <f>IFERROR(VLOOKUP(E131,'BD - A - Mvto Cx'!$CH$15:$CJ$500,3,0),0)</f>
        <v>0</v>
      </c>
      <c r="Q131" s="50">
        <f>IFERROR(VLOOKUP(E131,'BD - A - Mvto Cx'!$CQ$15:$CS$500,3,0),0)</f>
        <v>0</v>
      </c>
      <c r="R131" s="50">
        <f>IFERROR(VLOOKUP(E131,'BD - A - Mvto Cx'!$CZ$15:$DB$500,3,0),0)</f>
        <v>0</v>
      </c>
    </row>
    <row r="132" spans="1:996" s="41" customFormat="1">
      <c r="A132" s="37"/>
      <c r="B132" t="str">
        <f t="shared" si="5"/>
        <v>S215108</v>
      </c>
      <c r="C132" s="29" t="s">
        <v>380</v>
      </c>
      <c r="D132" s="27" t="s">
        <v>128</v>
      </c>
      <c r="E132" s="7">
        <v>215108</v>
      </c>
      <c r="F132" s="48" t="s">
        <v>401</v>
      </c>
      <c r="G132" s="49">
        <f>IFERROR(VLOOKUP(E132,'BD - A - Mvto Cx'!$E$15:$G$501,3,0),0)</f>
        <v>0</v>
      </c>
      <c r="H132" s="51">
        <f>IFERROR(VLOOKUP(E132,'BD - A - Mvto Cx'!$N$15:$P$500,3,0),0)</f>
        <v>0</v>
      </c>
      <c r="I132" s="50">
        <f>IFERROR(VLOOKUP(E132,'BD - A - Mvto Cx'!$W$15:$Y$500,3,0),0)</f>
        <v>0</v>
      </c>
      <c r="J132" s="50">
        <f>IFERROR(VLOOKUP(E132,'BD - A - Mvto Cx'!$AF$15:$AH$500,3,0),0)</f>
        <v>0</v>
      </c>
      <c r="K132" s="50">
        <f>IFERROR(VLOOKUP(E132,'BD - A - Mvto Cx'!$AO$15:$AQ$500,3,0),0)</f>
        <v>0</v>
      </c>
      <c r="L132" s="50">
        <f>IFERROR(VLOOKUP(E132,'BD - A - Mvto Cx'!$AX$15:$AZ$500,3,0),0)</f>
        <v>0</v>
      </c>
      <c r="M132" s="50">
        <f>IFERROR(VLOOKUP(E132,'BD - A - Mvto Cx'!$BG$15:$BI$500,3,0),0)</f>
        <v>0</v>
      </c>
      <c r="N132" s="50">
        <f>IFERROR(VLOOKUP(E132,'BD - A - Mvto Cx'!$BP$15:$BR$500,3,0),0)</f>
        <v>0</v>
      </c>
      <c r="O132" s="50">
        <f>IFERROR(VLOOKUP(E132,'BD - A - Mvto Cx'!$BY$15:$CA$500,3,0),0)</f>
        <v>0</v>
      </c>
      <c r="P132" s="50">
        <f>IFERROR(VLOOKUP(E132,'BD - A - Mvto Cx'!$CH$15:$CJ$500,3,0),0)</f>
        <v>0</v>
      </c>
      <c r="Q132" s="50">
        <f>IFERROR(VLOOKUP(E132,'BD - A - Mvto Cx'!$CQ$15:$CS$500,3,0),0)</f>
        <v>0</v>
      </c>
      <c r="R132" s="50">
        <f>IFERROR(VLOOKUP(E132,'BD - A - Mvto Cx'!$CZ$15:$DB$500,3,0),0)</f>
        <v>0</v>
      </c>
    </row>
    <row r="133" spans="1:996" s="41" customFormat="1">
      <c r="A133" s="37"/>
      <c r="B133" t="str">
        <f t="shared" si="5"/>
        <v>S215109</v>
      </c>
      <c r="C133" s="29" t="s">
        <v>340</v>
      </c>
      <c r="D133" s="27" t="s">
        <v>128</v>
      </c>
      <c r="E133" s="7">
        <v>215109</v>
      </c>
      <c r="F133" s="48" t="s">
        <v>168</v>
      </c>
      <c r="G133" s="423">
        <f>IFERROR(VLOOKUP(E133,'BD - A - Mvto Cx'!$E$15:$G$501,3,0),0)</f>
        <v>161.18</v>
      </c>
      <c r="H133" s="51">
        <f>IFERROR(VLOOKUP(E133,'BD - A - Mvto Cx'!$N$15:$P$500,3,0),0)</f>
        <v>0</v>
      </c>
      <c r="I133" s="50">
        <f>IFERROR(VLOOKUP(E133,'BD - A - Mvto Cx'!$W$15:$Y$500,3,0),0)</f>
        <v>16.940000000000001</v>
      </c>
      <c r="J133" s="50">
        <f>IFERROR(VLOOKUP(E133,'BD - A - Mvto Cx'!$AF$15:$AH$500,3,0),0)</f>
        <v>0</v>
      </c>
      <c r="K133" s="50">
        <f>IFERROR(VLOOKUP(E133,'BD - A - Mvto Cx'!$AO$15:$AQ$500,3,0),0)</f>
        <v>0</v>
      </c>
      <c r="L133" s="50">
        <f>IFERROR(VLOOKUP(E133,'BD - A - Mvto Cx'!$AX$15:$AZ$500,3,0),0)</f>
        <v>0</v>
      </c>
      <c r="M133" s="50">
        <f>IFERROR(VLOOKUP(E133,'BD - A - Mvto Cx'!$BG$15:$BI$500,3,0),0)</f>
        <v>0</v>
      </c>
      <c r="N133" s="50">
        <f>IFERROR(VLOOKUP(E133,'BD - A - Mvto Cx'!$BP$15:$BR$500,3,0),0)</f>
        <v>0</v>
      </c>
      <c r="O133" s="50">
        <f>IFERROR(VLOOKUP(E133,'BD - A - Mvto Cx'!$BY$15:$CA$500,3,0),0)</f>
        <v>0</v>
      </c>
      <c r="P133" s="50">
        <f>IFERROR(VLOOKUP(E133,'BD - A - Mvto Cx'!$CH$15:$CJ$500,3,0),0)</f>
        <v>0</v>
      </c>
      <c r="Q133" s="50">
        <f>IFERROR(VLOOKUP(E133,'BD - A - Mvto Cx'!$CQ$15:$CS$500,3,0),0)</f>
        <v>0</v>
      </c>
      <c r="R133" s="50">
        <f>IFERROR(VLOOKUP(E133,'BD - A - Mvto Cx'!$CZ$15:$DB$500,3,0),0)</f>
        <v>0</v>
      </c>
    </row>
    <row r="134" spans="1:996" s="41" customFormat="1">
      <c r="A134" s="37"/>
      <c r="B134" t="str">
        <f t="shared" si="5"/>
        <v>S215110</v>
      </c>
      <c r="C134" s="29" t="s">
        <v>421</v>
      </c>
      <c r="D134" s="27" t="s">
        <v>128</v>
      </c>
      <c r="E134" s="7">
        <v>215110</v>
      </c>
      <c r="F134" s="48" t="s">
        <v>169</v>
      </c>
      <c r="G134" s="423">
        <f>IFERROR(VLOOKUP(E134,'BD - A - Mvto Cx'!$E$15:$G$501,3,0),0)</f>
        <v>162.51</v>
      </c>
      <c r="H134" s="51">
        <f>IFERROR(VLOOKUP(E134,'BD - A - Mvto Cx'!$N$15:$P$500,3,0),0)</f>
        <v>0</v>
      </c>
      <c r="I134" s="50">
        <f>IFERROR(VLOOKUP(E134,'BD - A - Mvto Cx'!$W$15:$Y$500,3,0),0)</f>
        <v>0</v>
      </c>
      <c r="J134" s="50">
        <f>IFERROR(VLOOKUP(E134,'BD - A - Mvto Cx'!$AF$15:$AH$500,3,0),0)</f>
        <v>0</v>
      </c>
      <c r="K134" s="50">
        <f>IFERROR(VLOOKUP(E134,'BD - A - Mvto Cx'!$AO$15:$AQ$500,3,0),0)</f>
        <v>0</v>
      </c>
      <c r="L134" s="50">
        <f>IFERROR(VLOOKUP(E134,'BD - A - Mvto Cx'!$AX$15:$AZ$500,3,0),0)</f>
        <v>0</v>
      </c>
      <c r="M134" s="50">
        <f>IFERROR(VLOOKUP(E134,'BD - A - Mvto Cx'!$BG$15:$BI$500,3,0),0)</f>
        <v>0</v>
      </c>
      <c r="N134" s="50">
        <f>IFERROR(VLOOKUP(E134,'BD - A - Mvto Cx'!$BP$15:$BR$500,3,0),0)</f>
        <v>0</v>
      </c>
      <c r="O134" s="50">
        <f>IFERROR(VLOOKUP(E134,'BD - A - Mvto Cx'!$BY$15:$CA$500,3,0),0)</f>
        <v>0</v>
      </c>
      <c r="P134" s="50">
        <f>IFERROR(VLOOKUP(E134,'BD - A - Mvto Cx'!$CH$15:$CJ$500,3,0),0)</f>
        <v>0</v>
      </c>
      <c r="Q134" s="50">
        <f>IFERROR(VLOOKUP(E134,'BD - A - Mvto Cx'!$CQ$15:$CS$500,3,0),0)</f>
        <v>0</v>
      </c>
      <c r="R134" s="50">
        <f>IFERROR(VLOOKUP(E134,'BD - A - Mvto Cx'!$CZ$15:$DB$500,3,0),0)</f>
        <v>0</v>
      </c>
    </row>
    <row r="135" spans="1:996" s="41" customFormat="1">
      <c r="A135" s="37"/>
      <c r="B135" t="str">
        <f t="shared" si="5"/>
        <v>S215302</v>
      </c>
      <c r="C135" s="29" t="s">
        <v>356</v>
      </c>
      <c r="D135" s="27" t="s">
        <v>128</v>
      </c>
      <c r="E135" s="7">
        <v>215302</v>
      </c>
      <c r="F135" s="48" t="s">
        <v>170</v>
      </c>
      <c r="G135" s="49">
        <f>IFERROR(VLOOKUP(E135,'BD - A - Mvto Cx'!$E$15:$G$501,3,0),0)</f>
        <v>0</v>
      </c>
      <c r="H135" s="51">
        <f>IFERROR(VLOOKUP(E135,'BD - A - Mvto Cx'!$N$15:$P$500,3,0),0)</f>
        <v>0</v>
      </c>
      <c r="I135" s="50">
        <f>IFERROR(VLOOKUP(E135,'BD - A - Mvto Cx'!$W$15:$Y$500,3,0),0)</f>
        <v>166.98</v>
      </c>
      <c r="J135" s="50">
        <f>IFERROR(VLOOKUP(E135,'BD - A - Mvto Cx'!$AF$15:$AH$500,3,0),0)</f>
        <v>0</v>
      </c>
      <c r="K135" s="50">
        <f>IFERROR(VLOOKUP(E135,'BD - A - Mvto Cx'!$AO$15:$AQ$500,3,0),0)</f>
        <v>0</v>
      </c>
      <c r="L135" s="50">
        <f>IFERROR(VLOOKUP(E135,'BD - A - Mvto Cx'!$AX$15:$AZ$500,3,0),0)</f>
        <v>0</v>
      </c>
      <c r="M135" s="50">
        <f>IFERROR(VLOOKUP(E135,'BD - A - Mvto Cx'!$BG$15:$BI$500,3,0),0)</f>
        <v>0</v>
      </c>
      <c r="N135" s="50">
        <f>IFERROR(VLOOKUP(E135,'BD - A - Mvto Cx'!$BP$15:$BR$500,3,0),0)</f>
        <v>0</v>
      </c>
      <c r="O135" s="50">
        <f>IFERROR(VLOOKUP(E135,'BD - A - Mvto Cx'!$BY$15:$CA$500,3,0),0)</f>
        <v>0</v>
      </c>
      <c r="P135" s="50">
        <f>IFERROR(VLOOKUP(E135,'BD - A - Mvto Cx'!$CH$15:$CJ$500,3,0),0)</f>
        <v>0</v>
      </c>
      <c r="Q135" s="50">
        <f>IFERROR(VLOOKUP(E135,'BD - A - Mvto Cx'!$CQ$15:$CS$500,3,0),0)</f>
        <v>0</v>
      </c>
      <c r="R135" s="50">
        <f>IFERROR(VLOOKUP(E135,'BD - A - Mvto Cx'!$CZ$15:$DB$500,3,0),0)</f>
        <v>0</v>
      </c>
    </row>
    <row r="136" spans="1:996" s="41" customFormat="1">
      <c r="A136" s="37"/>
      <c r="B136" t="str">
        <f t="shared" si="5"/>
        <v>S215304</v>
      </c>
      <c r="C136" s="29" t="s">
        <v>228</v>
      </c>
      <c r="D136" s="27" t="s">
        <v>128</v>
      </c>
      <c r="E136" s="7">
        <v>215304</v>
      </c>
      <c r="F136" s="48" t="s">
        <v>171</v>
      </c>
      <c r="G136" s="49">
        <f>IFERROR(VLOOKUP(E136,'BD - A - Mvto Cx'!$E$15:$G$501,3,0),0)</f>
        <v>185.5</v>
      </c>
      <c r="H136" s="51">
        <f>IFERROR(VLOOKUP(E136,'BD - A - Mvto Cx'!$N$15:$P$500,3,0),0)</f>
        <v>0</v>
      </c>
      <c r="I136" s="50">
        <f>IFERROR(VLOOKUP(E136,'BD - A - Mvto Cx'!$W$15:$Y$500,3,0),0)</f>
        <v>0</v>
      </c>
      <c r="J136" s="50">
        <f>IFERROR(VLOOKUP(E136,'BD - A - Mvto Cx'!$AF$15:$AH$500,3,0),0)</f>
        <v>0</v>
      </c>
      <c r="K136" s="50">
        <f>IFERROR(VLOOKUP(E136,'BD - A - Mvto Cx'!$AO$15:$AQ$500,3,0),0)</f>
        <v>0</v>
      </c>
      <c r="L136" s="50">
        <f>IFERROR(VLOOKUP(E136,'BD - A - Mvto Cx'!$AX$15:$AZ$500,3,0),0)</f>
        <v>0</v>
      </c>
      <c r="M136" s="50">
        <f>IFERROR(VLOOKUP(E136,'BD - A - Mvto Cx'!$BG$15:$BI$500,3,0),0)</f>
        <v>0</v>
      </c>
      <c r="N136" s="50">
        <f>IFERROR(VLOOKUP(E136,'BD - A - Mvto Cx'!$BP$15:$BR$500,3,0),0)</f>
        <v>0</v>
      </c>
      <c r="O136" s="50">
        <f>IFERROR(VLOOKUP(E136,'BD - A - Mvto Cx'!$BY$15:$CA$500,3,0),0)</f>
        <v>0</v>
      </c>
      <c r="P136" s="50">
        <f>IFERROR(VLOOKUP(E136,'BD - A - Mvto Cx'!$CH$15:$CJ$500,3,0),0)</f>
        <v>0</v>
      </c>
      <c r="Q136" s="50">
        <f>IFERROR(VLOOKUP(E136,'BD - A - Mvto Cx'!$CQ$15:$CS$500,3,0),0)</f>
        <v>0</v>
      </c>
      <c r="R136" s="50">
        <f>IFERROR(VLOOKUP(E136,'BD - A - Mvto Cx'!$CZ$15:$DB$500,3,0),0)</f>
        <v>0</v>
      </c>
    </row>
    <row r="137" spans="1:996" s="41" customFormat="1">
      <c r="A137" s="37"/>
      <c r="B137" t="str">
        <f t="shared" si="5"/>
        <v>S215331</v>
      </c>
      <c r="C137" s="29" t="s">
        <v>228</v>
      </c>
      <c r="D137" s="27" t="s">
        <v>128</v>
      </c>
      <c r="E137" s="7">
        <v>215331</v>
      </c>
      <c r="F137" s="48" t="s">
        <v>172</v>
      </c>
      <c r="G137" s="49">
        <f>IFERROR(VLOOKUP(E137,'BD - A - Mvto Cx'!$E$15:$G$501,3,0),0)</f>
        <v>0</v>
      </c>
      <c r="H137" s="51">
        <f>IFERROR(VLOOKUP(E137,'BD - A - Mvto Cx'!$N$15:$P$500,3,0),0)</f>
        <v>0</v>
      </c>
      <c r="I137" s="50">
        <f>IFERROR(VLOOKUP(E137,'BD - A - Mvto Cx'!$W$15:$Y$500,3,0),0)</f>
        <v>0</v>
      </c>
      <c r="J137" s="50">
        <f>IFERROR(VLOOKUP(E137,'BD - A - Mvto Cx'!$AF$15:$AH$500,3,0),0)</f>
        <v>0</v>
      </c>
      <c r="K137" s="50">
        <f>IFERROR(VLOOKUP(E137,'BD - A - Mvto Cx'!$AO$15:$AQ$500,3,0),0)</f>
        <v>0</v>
      </c>
      <c r="L137" s="50">
        <f>IFERROR(VLOOKUP(E137,'BD - A - Mvto Cx'!$AX$15:$AZ$500,3,0),0)</f>
        <v>0</v>
      </c>
      <c r="M137" s="50">
        <f>IFERROR(VLOOKUP(E137,'BD - A - Mvto Cx'!$BG$15:$BI$500,3,0),0)</f>
        <v>0</v>
      </c>
      <c r="N137" s="50">
        <f>IFERROR(VLOOKUP(E137,'BD - A - Mvto Cx'!$BP$15:$BR$500,3,0),0)</f>
        <v>0</v>
      </c>
      <c r="O137" s="50">
        <f>IFERROR(VLOOKUP(E137,'BD - A - Mvto Cx'!$BY$15:$CA$500,3,0),0)</f>
        <v>0</v>
      </c>
      <c r="P137" s="50">
        <f>IFERROR(VLOOKUP(E137,'BD - A - Mvto Cx'!$CH$15:$CJ$500,3,0),0)</f>
        <v>0</v>
      </c>
      <c r="Q137" s="50">
        <f>IFERROR(VLOOKUP(E137,'BD - A - Mvto Cx'!$CQ$15:$CS$500,3,0),0)</f>
        <v>0</v>
      </c>
      <c r="R137" s="50">
        <f>IFERROR(VLOOKUP(E137,'BD - A - Mvto Cx'!$CZ$15:$DB$500,3,0),0)</f>
        <v>0</v>
      </c>
    </row>
    <row r="138" spans="1:996" s="41" customFormat="1">
      <c r="A138" s="37"/>
      <c r="B138" t="str">
        <f t="shared" si="5"/>
        <v>S215332</v>
      </c>
      <c r="C138" s="29" t="s">
        <v>228</v>
      </c>
      <c r="D138" s="27" t="s">
        <v>128</v>
      </c>
      <c r="E138" s="7">
        <v>215332</v>
      </c>
      <c r="F138" s="48" t="s">
        <v>173</v>
      </c>
      <c r="G138" s="49">
        <f>IFERROR(VLOOKUP(E138,'BD - A - Mvto Cx'!$E$15:$G$501,3,0),0)</f>
        <v>0</v>
      </c>
      <c r="H138" s="51">
        <f>IFERROR(VLOOKUP(E138,'BD - A - Mvto Cx'!$N$15:$P$500,3,0),0)</f>
        <v>0</v>
      </c>
      <c r="I138" s="50">
        <f>IFERROR(VLOOKUP(E138,'BD - A - Mvto Cx'!$W$15:$Y$500,3,0),0)</f>
        <v>0</v>
      </c>
      <c r="J138" s="50">
        <f>IFERROR(VLOOKUP(E138,'BD - A - Mvto Cx'!$AF$15:$AH$500,3,0),0)</f>
        <v>0</v>
      </c>
      <c r="K138" s="50">
        <f>IFERROR(VLOOKUP(E138,'BD - A - Mvto Cx'!$AO$15:$AQ$500,3,0),0)</f>
        <v>0</v>
      </c>
      <c r="L138" s="50">
        <f>IFERROR(VLOOKUP(E138,'BD - A - Mvto Cx'!$AX$15:$AZ$500,3,0),0)</f>
        <v>0</v>
      </c>
      <c r="M138" s="50">
        <f>IFERROR(VLOOKUP(E138,'BD - A - Mvto Cx'!$BG$15:$BI$500,3,0),0)</f>
        <v>0</v>
      </c>
      <c r="N138" s="50">
        <f>IFERROR(VLOOKUP(E138,'BD - A - Mvto Cx'!$BP$15:$BR$500,3,0),0)</f>
        <v>0</v>
      </c>
      <c r="O138" s="50">
        <f>IFERROR(VLOOKUP(E138,'BD - A - Mvto Cx'!$BY$15:$CA$500,3,0),0)</f>
        <v>0</v>
      </c>
      <c r="P138" s="50">
        <f>IFERROR(VLOOKUP(E138,'BD - A - Mvto Cx'!$CH$15:$CJ$500,3,0),0)</f>
        <v>0</v>
      </c>
      <c r="Q138" s="50">
        <f>IFERROR(VLOOKUP(E138,'BD - A - Mvto Cx'!$CQ$15:$CS$500,3,0),0)</f>
        <v>0</v>
      </c>
      <c r="R138" s="50">
        <f>IFERROR(VLOOKUP(E138,'BD - A - Mvto Cx'!$CZ$15:$DB$500,3,0),0)</f>
        <v>0</v>
      </c>
    </row>
    <row r="139" spans="1:996" s="41" customFormat="1">
      <c r="A139" s="37"/>
      <c r="B139" t="str">
        <f t="shared" si="5"/>
        <v>S215390</v>
      </c>
      <c r="C139" s="7" t="s">
        <v>378</v>
      </c>
      <c r="D139" s="27" t="s">
        <v>128</v>
      </c>
      <c r="E139" s="7">
        <v>215390</v>
      </c>
      <c r="F139" s="48" t="s">
        <v>174</v>
      </c>
      <c r="G139" s="423">
        <f>IFERROR(VLOOKUP(E139,'BD - A - Mvto Cx'!$E$15:$G$501,3,0),0)</f>
        <v>7354.58</v>
      </c>
      <c r="H139" s="51">
        <f>IFERROR(VLOOKUP(E139,'BD - A - Mvto Cx'!$N$15:$P$500,3,0),0)</f>
        <v>10147.01</v>
      </c>
      <c r="I139" s="50">
        <f>IFERROR(VLOOKUP(E139,'BD - A - Mvto Cx'!$W$15:$Y$500,3,0),0)</f>
        <v>6067.27</v>
      </c>
      <c r="J139" s="50">
        <f>IFERROR(VLOOKUP(E139,'BD - A - Mvto Cx'!$AF$15:$AH$500,3,0),0)</f>
        <v>7266.86</v>
      </c>
      <c r="K139" s="50">
        <f>IFERROR(VLOOKUP(E139,'BD - A - Mvto Cx'!$AO$15:$AQ$500,3,0),0)</f>
        <v>0</v>
      </c>
      <c r="L139" s="50">
        <f>IFERROR(VLOOKUP(E139,'BD - A - Mvto Cx'!$AX$15:$AZ$500,3,0),0)</f>
        <v>0</v>
      </c>
      <c r="M139" s="50">
        <f>IFERROR(VLOOKUP(E139,'BD - A - Mvto Cx'!$BG$15:$BI$500,3,0),0)</f>
        <v>0</v>
      </c>
      <c r="N139" s="50">
        <f>IFERROR(VLOOKUP(E139,'BD - A - Mvto Cx'!$BP$15:$BR$500,3,0),0)</f>
        <v>0</v>
      </c>
      <c r="O139" s="50">
        <f>IFERROR(VLOOKUP(E139,'BD - A - Mvto Cx'!$BY$15:$CA$500,3,0),0)</f>
        <v>0</v>
      </c>
      <c r="P139" s="50">
        <f>IFERROR(VLOOKUP(E139,'BD - A - Mvto Cx'!$CH$15:$CJ$500,3,0),0)</f>
        <v>0</v>
      </c>
      <c r="Q139" s="50">
        <f>IFERROR(VLOOKUP(E139,'BD - A - Mvto Cx'!$CQ$15:$CS$500,3,0),0)</f>
        <v>0</v>
      </c>
      <c r="R139" s="50">
        <f>IFERROR(VLOOKUP(E139,'BD - A - Mvto Cx'!$CZ$15:$DB$500,3,0),0)</f>
        <v>0</v>
      </c>
    </row>
    <row r="140" spans="1:996" s="41" customFormat="1">
      <c r="A140" s="37"/>
      <c r="B140" t="str">
        <f t="shared" si="5"/>
        <v>S215391</v>
      </c>
      <c r="C140" s="7" t="s">
        <v>378</v>
      </c>
      <c r="D140" s="27" t="s">
        <v>128</v>
      </c>
      <c r="E140" s="7">
        <v>215391</v>
      </c>
      <c r="F140" s="48" t="s">
        <v>175</v>
      </c>
      <c r="G140" s="423">
        <f>IFERROR(VLOOKUP(E140,'BD - A - Mvto Cx'!$E$15:$G$501,3,0),0)</f>
        <v>18040</v>
      </c>
      <c r="H140" s="51">
        <f>IFERROR(VLOOKUP(E140,'BD - A - Mvto Cx'!$N$15:$P$500,3,0),0)</f>
        <v>13900</v>
      </c>
      <c r="I140" s="50">
        <f>IFERROR(VLOOKUP(E140,'BD - A - Mvto Cx'!$W$15:$Y$500,3,0),0)</f>
        <v>15600</v>
      </c>
      <c r="J140" s="50">
        <f>IFERROR(VLOOKUP(E140,'BD - A - Mvto Cx'!$AF$15:$AH$500,3,0),0)</f>
        <v>21539</v>
      </c>
      <c r="K140" s="50">
        <f>IFERROR(VLOOKUP(E140,'BD - A - Mvto Cx'!$AO$15:$AQ$500,3,0),0)</f>
        <v>0</v>
      </c>
      <c r="L140" s="50">
        <f>IFERROR(VLOOKUP(E140,'BD - A - Mvto Cx'!$AX$15:$AZ$500,3,0),0)</f>
        <v>0</v>
      </c>
      <c r="M140" s="50">
        <f>IFERROR(VLOOKUP(E140,'BD - A - Mvto Cx'!$BG$15:$BI$500,3,0),0)</f>
        <v>0</v>
      </c>
      <c r="N140" s="50">
        <f>IFERROR(VLOOKUP(E140,'BD - A - Mvto Cx'!$BP$15:$BR$500,3,0),0)</f>
        <v>0</v>
      </c>
      <c r="O140" s="50">
        <f>IFERROR(VLOOKUP(E140,'BD - A - Mvto Cx'!$BY$15:$CA$500,3,0),0)</f>
        <v>0</v>
      </c>
      <c r="P140" s="50">
        <f>IFERROR(VLOOKUP(E140,'BD - A - Mvto Cx'!$CH$15:$CJ$500,3,0),0)</f>
        <v>0</v>
      </c>
      <c r="Q140" s="50">
        <f>IFERROR(VLOOKUP(E140,'BD - A - Mvto Cx'!$CQ$15:$CS$500,3,0),0)</f>
        <v>0</v>
      </c>
      <c r="R140" s="50">
        <f>IFERROR(VLOOKUP(E140,'BD - A - Mvto Cx'!$CZ$15:$DB$500,3,0),0)</f>
        <v>0</v>
      </c>
    </row>
    <row r="141" spans="1:996" s="41" customFormat="1">
      <c r="A141" s="37"/>
      <c r="B141" t="str">
        <f t="shared" si="5"/>
        <v>S215392</v>
      </c>
      <c r="C141" s="7" t="s">
        <v>378</v>
      </c>
      <c r="D141" s="27" t="s">
        <v>128</v>
      </c>
      <c r="E141" s="7">
        <v>215392</v>
      </c>
      <c r="F141" s="48" t="s">
        <v>176</v>
      </c>
      <c r="G141" s="423">
        <f>IFERROR(VLOOKUP(E141,'BD - A - Mvto Cx'!$E$15:$G$501,3,0),0)</f>
        <v>0</v>
      </c>
      <c r="H141" s="51">
        <f>IFERROR(VLOOKUP(E141,'BD - A - Mvto Cx'!$N$15:$P$500,3,0),0)</f>
        <v>0</v>
      </c>
      <c r="I141" s="50">
        <f>IFERROR(VLOOKUP(E141,'BD - A - Mvto Cx'!$W$15:$Y$500,3,0),0)</f>
        <v>0</v>
      </c>
      <c r="J141" s="50">
        <f>IFERROR(VLOOKUP(E141,'BD - A - Mvto Cx'!$AF$15:$AH$500,3,0),0)</f>
        <v>0</v>
      </c>
      <c r="K141" s="50">
        <f>IFERROR(VLOOKUP(E141,'BD - A - Mvto Cx'!$AO$15:$AQ$500,3,0),0)</f>
        <v>0</v>
      </c>
      <c r="L141" s="50">
        <f>IFERROR(VLOOKUP(E141,'BD - A - Mvto Cx'!$AX$15:$AZ$500,3,0),0)</f>
        <v>0</v>
      </c>
      <c r="M141" s="50">
        <f>IFERROR(VLOOKUP(E141,'BD - A - Mvto Cx'!$BG$15:$BI$500,3,0),0)</f>
        <v>0</v>
      </c>
      <c r="N141" s="50">
        <f>IFERROR(VLOOKUP(E141,'BD - A - Mvto Cx'!$BP$15:$BR$500,3,0),0)</f>
        <v>0</v>
      </c>
      <c r="O141" s="50">
        <f>IFERROR(VLOOKUP(E141,'BD - A - Mvto Cx'!$BY$15:$CA$500,3,0),0)</f>
        <v>0</v>
      </c>
      <c r="P141" s="50">
        <f>IFERROR(VLOOKUP(E141,'BD - A - Mvto Cx'!$CH$15:$CJ$500,3,0),0)</f>
        <v>0</v>
      </c>
      <c r="Q141" s="50">
        <f>IFERROR(VLOOKUP(E141,'BD - A - Mvto Cx'!$CQ$15:$CS$500,3,0),0)</f>
        <v>0</v>
      </c>
      <c r="R141" s="50">
        <f>IFERROR(VLOOKUP(E141,'BD - A - Mvto Cx'!$CZ$15:$DB$500,3,0),0)</f>
        <v>0</v>
      </c>
    </row>
    <row r="142" spans="1:996" s="135" customFormat="1">
      <c r="A142" s="129"/>
      <c r="B142" s="130" t="str">
        <f t="shared" ref="B142" si="7">D142&amp;E142</f>
        <v>S218101</v>
      </c>
      <c r="C142" s="131" t="s">
        <v>340</v>
      </c>
      <c r="D142" s="27" t="s">
        <v>128</v>
      </c>
      <c r="E142" s="130">
        <v>218101</v>
      </c>
      <c r="F142" s="132" t="s">
        <v>453</v>
      </c>
      <c r="G142" s="423">
        <f>IFERROR(VLOOKUP(E142,'BD - A - Mvto Cx'!$E$15:$G$501,3,0),0)</f>
        <v>70000</v>
      </c>
      <c r="H142" s="133">
        <f>IFERROR(VLOOKUP(E142,'BD - A - Mvto Cx'!$N$15:$P$500,3,0),0)</f>
        <v>78655.17</v>
      </c>
      <c r="I142" s="134">
        <f>IFERROR(VLOOKUP(E142,'BD - A - Mvto Cx'!$W$15:$Y$500,3,0),0)</f>
        <v>76778.080000000002</v>
      </c>
      <c r="J142" s="317">
        <f>IFERROR(VLOOKUP(E142,'BD - A - Mvto Cx'!$AF$15:$AH$500,3,0),0)</f>
        <v>89546.1</v>
      </c>
      <c r="K142" s="317">
        <f>IFERROR(VLOOKUP(E142,'BD - A - Mvto Cx'!$AO$15:$AQ$500,3,0),0)</f>
        <v>0</v>
      </c>
      <c r="L142" s="317">
        <f>IFERROR(VLOOKUP(E142,'BD - A - Mvto Cx'!$AX$15:$AZ$500,3,0),0)</f>
        <v>0</v>
      </c>
      <c r="M142" s="317">
        <f>IFERROR(VLOOKUP(E142,'BD - A - Mvto Cx'!$BG$15:$BI$500,3,0),0)</f>
        <v>0</v>
      </c>
      <c r="N142" s="317">
        <f>IFERROR(VLOOKUP(E142,'BD - A - Mvto Cx'!$BP$15:$BR$500,3,0),0)</f>
        <v>0</v>
      </c>
      <c r="O142" s="317">
        <f>IFERROR(VLOOKUP(E142,'BD - A - Mvto Cx'!$BY$15:$CA$500,3,0),0)</f>
        <v>0</v>
      </c>
      <c r="P142" s="317">
        <f>IFERROR(VLOOKUP(E142,'BD - A - Mvto Cx'!$CH$15:$CJ$500,3,0),0)</f>
        <v>0</v>
      </c>
      <c r="Q142" s="317">
        <f>IFERROR(VLOOKUP(E142,'BD - A - Mvto Cx'!$CQ$15:$CS$500,3,0),0)</f>
        <v>0</v>
      </c>
      <c r="R142" s="317">
        <f>IFERROR(VLOOKUP(E142,'BD - A - Mvto Cx'!$CZ$15:$DB$500,3,0),0)</f>
        <v>0</v>
      </c>
    </row>
    <row r="143" spans="1:996" s="41" customFormat="1">
      <c r="A143" s="37"/>
      <c r="B143" t="str">
        <f t="shared" si="5"/>
        <v>S224201</v>
      </c>
      <c r="C143" s="7" t="s">
        <v>362</v>
      </c>
      <c r="D143" s="27" t="s">
        <v>128</v>
      </c>
      <c r="E143" s="7">
        <v>224201</v>
      </c>
      <c r="F143" s="48" t="s">
        <v>177</v>
      </c>
      <c r="G143" s="49">
        <f>IFERROR(VLOOKUP(E143,'BD - A - Mvto Cx'!$E$15:$G$501,3,0),0)</f>
        <v>84289.55</v>
      </c>
      <c r="H143" s="51">
        <f>IFERROR(VLOOKUP(E143,'BD - A - Mvto Cx'!$N$15:$P$500,3,0),0)</f>
        <v>84289.55</v>
      </c>
      <c r="I143" s="50">
        <f>IFERROR(VLOOKUP(E143,'BD - A - Mvto Cx'!$W$15:$Y$500,3,0),0)</f>
        <v>84289.55</v>
      </c>
      <c r="J143" s="50">
        <f>IFERROR(VLOOKUP(E143,'BD - A - Mvto Cx'!$AF$15:$AH$500,3,0),0)</f>
        <v>77234.98</v>
      </c>
      <c r="K143" s="50">
        <f>IFERROR(VLOOKUP(E143,'BD - A - Mvto Cx'!$AO$15:$AQ$500,3,0),0)</f>
        <v>0</v>
      </c>
      <c r="L143" s="50">
        <f>IFERROR(VLOOKUP(E143,'BD - A - Mvto Cx'!$AX$15:$AZ$500,3,0),0)</f>
        <v>0</v>
      </c>
      <c r="M143" s="50">
        <f>IFERROR(VLOOKUP(E143,'BD - A - Mvto Cx'!$BG$15:$BI$500,3,0),0)</f>
        <v>0</v>
      </c>
      <c r="N143" s="50">
        <f>IFERROR(VLOOKUP(E143,'BD - A - Mvto Cx'!$BP$15:$BR$500,3,0),0)</f>
        <v>0</v>
      </c>
      <c r="O143" s="50">
        <f>IFERROR(VLOOKUP(E143,'BD - A - Mvto Cx'!$BY$15:$CA$500,3,0),0)</f>
        <v>0</v>
      </c>
      <c r="P143" s="50">
        <f>IFERROR(VLOOKUP(E143,'BD - A - Mvto Cx'!$CH$15:$CJ$500,3,0),0)</f>
        <v>0</v>
      </c>
      <c r="Q143" s="50">
        <f>IFERROR(VLOOKUP(E143,'BD - A - Mvto Cx'!$CQ$15:$CS$500,3,0),0)</f>
        <v>0</v>
      </c>
      <c r="R143" s="50">
        <f>IFERROR(VLOOKUP(E143,'BD - A - Mvto Cx'!$CZ$15:$DB$500,3,0),0)</f>
        <v>0</v>
      </c>
    </row>
    <row r="144" spans="1:996" s="41" customFormat="1">
      <c r="A144" s="37"/>
      <c r="B144" t="str">
        <f t="shared" si="5"/>
        <v>S224202</v>
      </c>
      <c r="C144" s="7" t="s">
        <v>362</v>
      </c>
      <c r="D144" s="27" t="s">
        <v>128</v>
      </c>
      <c r="E144" s="7">
        <v>224202</v>
      </c>
      <c r="F144" s="48" t="s">
        <v>178</v>
      </c>
      <c r="G144" s="49">
        <f>IFERROR(VLOOKUP(E144,'BD - A - Mvto Cx'!$E$15:$G$501,3,0),0)</f>
        <v>393.55</v>
      </c>
      <c r="H144" s="51">
        <f>IFERROR(VLOOKUP(E144,'BD - A - Mvto Cx'!$N$15:$P$500,3,0),0)</f>
        <v>393.55</v>
      </c>
      <c r="I144" s="50">
        <f>IFERROR(VLOOKUP(E144,'BD - A - Mvto Cx'!$W$15:$Y$500,3,0),0)</f>
        <v>393.55</v>
      </c>
      <c r="J144" s="50">
        <f>IFERROR(VLOOKUP(E144,'BD - A - Mvto Cx'!$AF$15:$AH$500,3,0),0)</f>
        <v>393.55</v>
      </c>
      <c r="K144" s="50">
        <f>IFERROR(VLOOKUP(E144,'BD - A - Mvto Cx'!$AO$15:$AQ$500,3,0),0)</f>
        <v>0</v>
      </c>
      <c r="L144" s="50">
        <f>IFERROR(VLOOKUP(E144,'BD - A - Mvto Cx'!$AX$15:$AZ$500,3,0),0)</f>
        <v>0</v>
      </c>
      <c r="M144" s="50">
        <f>IFERROR(VLOOKUP(E144,'BD - A - Mvto Cx'!$BG$15:$BI$500,3,0),0)</f>
        <v>0</v>
      </c>
      <c r="N144" s="50">
        <f>IFERROR(VLOOKUP(E144,'BD - A - Mvto Cx'!$BP$15:$BR$500,3,0),0)</f>
        <v>0</v>
      </c>
      <c r="O144" s="50">
        <f>IFERROR(VLOOKUP(E144,'BD - A - Mvto Cx'!$BY$15:$CA$500,3,0),0)</f>
        <v>0</v>
      </c>
      <c r="P144" s="50">
        <f>IFERROR(VLOOKUP(E144,'BD - A - Mvto Cx'!$CH$15:$CJ$500,3,0),0)</f>
        <v>0</v>
      </c>
      <c r="Q144" s="50">
        <f>IFERROR(VLOOKUP(E144,'BD - A - Mvto Cx'!$CQ$15:$CS$500,3,0),0)</f>
        <v>0</v>
      </c>
      <c r="R144" s="50">
        <f>IFERROR(VLOOKUP(E144,'BD - A - Mvto Cx'!$CZ$15:$DB$500,3,0),0)</f>
        <v>0</v>
      </c>
    </row>
    <row r="145" spans="1:18" s="41" customFormat="1">
      <c r="A145" s="37"/>
      <c r="B145" t="str">
        <f t="shared" si="5"/>
        <v>S225105</v>
      </c>
      <c r="C145" s="7" t="s">
        <v>380</v>
      </c>
      <c r="D145" s="27" t="s">
        <v>128</v>
      </c>
      <c r="E145" s="7">
        <v>225105</v>
      </c>
      <c r="F145" s="48" t="s">
        <v>179</v>
      </c>
      <c r="G145" s="49">
        <f>IFERROR(VLOOKUP(E145,'BD - A - Mvto Cx'!$E$15:$G$501,3,0),0)</f>
        <v>0</v>
      </c>
      <c r="H145" s="51">
        <f>IFERROR(VLOOKUP(E145,'BD - A - Mvto Cx'!$N$15:$P$500,3,0),0)</f>
        <v>0</v>
      </c>
      <c r="I145" s="50">
        <f>IFERROR(VLOOKUP(E145,'BD - A - Mvto Cx'!$W$15:$Y$500,3,0),0)</f>
        <v>0</v>
      </c>
      <c r="J145" s="50">
        <f>IFERROR(VLOOKUP(E145,'BD - A - Mvto Cx'!$AF$15:$AH$500,3,0),0)</f>
        <v>0</v>
      </c>
      <c r="K145" s="50">
        <f>IFERROR(VLOOKUP(E145,'BD - A - Mvto Cx'!$AO$15:$AQ$500,3,0),0)</f>
        <v>0</v>
      </c>
      <c r="L145" s="50">
        <f>IFERROR(VLOOKUP(E145,'BD - A - Mvto Cx'!$AX$15:$AZ$500,3,0),0)</f>
        <v>0</v>
      </c>
      <c r="M145" s="50">
        <f>IFERROR(VLOOKUP(E145,'BD - A - Mvto Cx'!$BG$15:$BI$500,3,0),0)</f>
        <v>0</v>
      </c>
      <c r="N145" s="50">
        <f>IFERROR(VLOOKUP(E145,'BD - A - Mvto Cx'!$BP$15:$BR$500,3,0),0)</f>
        <v>0</v>
      </c>
      <c r="O145" s="50">
        <f>IFERROR(VLOOKUP(E145,'BD - A - Mvto Cx'!$BY$15:$CA$500,3,0),0)</f>
        <v>0</v>
      </c>
      <c r="P145" s="50">
        <f>IFERROR(VLOOKUP(E145,'BD - A - Mvto Cx'!$CH$15:$CJ$500,3,0),0)</f>
        <v>0</v>
      </c>
      <c r="Q145" s="50">
        <f>IFERROR(VLOOKUP(E145,'BD - A - Mvto Cx'!$CQ$15:$CS$500,3,0),0)</f>
        <v>0</v>
      </c>
      <c r="R145" s="50">
        <f>IFERROR(VLOOKUP(E145,'BD - A - Mvto Cx'!$CZ$15:$DB$500,3,0),0)</f>
        <v>0</v>
      </c>
    </row>
    <row r="146" spans="1:18" s="41" customFormat="1">
      <c r="A146" s="37"/>
      <c r="B146" t="str">
        <f t="shared" si="5"/>
        <v>S226101</v>
      </c>
      <c r="C146" s="7" t="s">
        <v>382</v>
      </c>
      <c r="D146" s="27" t="s">
        <v>128</v>
      </c>
      <c r="E146" s="7">
        <v>226101</v>
      </c>
      <c r="F146" s="48" t="s">
        <v>180</v>
      </c>
      <c r="G146" s="423">
        <f>IFERROR(VLOOKUP(E146,'BD - A - Mvto Cx'!$E$15:$G$501,3,0),0)</f>
        <v>0</v>
      </c>
      <c r="H146" s="51">
        <f>IFERROR(VLOOKUP(E146,'BD - A - Mvto Cx'!$N$15:$P$500,3,0),0)</f>
        <v>0</v>
      </c>
      <c r="I146" s="50">
        <f>IFERROR(VLOOKUP(E146,'BD - A - Mvto Cx'!$W$15:$Y$500,3,0),0)</f>
        <v>0</v>
      </c>
      <c r="J146" s="50">
        <f>IFERROR(VLOOKUP(E146,'BD - A - Mvto Cx'!$AF$15:$AH$500,3,0),0)</f>
        <v>2606.1799999999998</v>
      </c>
      <c r="K146" s="50">
        <f>IFERROR(VLOOKUP(E146,'BD - A - Mvto Cx'!$AO$15:$AQ$500,3,0),0)</f>
        <v>0</v>
      </c>
      <c r="L146" s="50">
        <f>IFERROR(VLOOKUP(E146,'BD - A - Mvto Cx'!$AX$15:$AZ$500,3,0),0)</f>
        <v>0</v>
      </c>
      <c r="M146" s="50">
        <f>IFERROR(VLOOKUP(E146,'BD - A - Mvto Cx'!$BG$15:$BI$500,3,0),0)</f>
        <v>0</v>
      </c>
      <c r="N146" s="50">
        <f>IFERROR(VLOOKUP(E146,'BD - A - Mvto Cx'!$BP$15:$BR$500,3,0),0)</f>
        <v>0</v>
      </c>
      <c r="O146" s="50">
        <f>IFERROR(VLOOKUP(E146,'BD - A - Mvto Cx'!$BY$15:$CA$500,3,0),0)</f>
        <v>0</v>
      </c>
      <c r="P146" s="50">
        <f>IFERROR(VLOOKUP(E146,'BD - A - Mvto Cx'!$CH$15:$CJ$500,3,0),0)</f>
        <v>0</v>
      </c>
      <c r="Q146" s="50">
        <f>IFERROR(VLOOKUP(E146,'BD - A - Mvto Cx'!$CQ$15:$CS$500,3,0),0)</f>
        <v>0</v>
      </c>
      <c r="R146" s="50">
        <f>IFERROR(VLOOKUP(E146,'BD - A - Mvto Cx'!$CZ$15:$DB$500,3,0),0)</f>
        <v>0</v>
      </c>
    </row>
    <row r="147" spans="1:18" s="41" customFormat="1">
      <c r="A147" s="37"/>
      <c r="B147" t="str">
        <f t="shared" si="5"/>
        <v>S226201</v>
      </c>
      <c r="C147" s="7" t="s">
        <v>380</v>
      </c>
      <c r="D147" s="27" t="s">
        <v>128</v>
      </c>
      <c r="E147" s="7">
        <v>226201</v>
      </c>
      <c r="F147" s="48" t="s">
        <v>181</v>
      </c>
      <c r="G147" s="423">
        <f>IFERROR(VLOOKUP(E147,'BD - A - Mvto Cx'!$E$15:$G$501,3,0),0)</f>
        <v>1674325</v>
      </c>
      <c r="H147" s="51">
        <f>IFERROR(VLOOKUP(E147,'BD - A - Mvto Cx'!$N$15:$P$500,3,0),0)</f>
        <v>1685140</v>
      </c>
      <c r="I147" s="50">
        <f>IFERROR(VLOOKUP(E147,'BD - A - Mvto Cx'!$W$15:$Y$500,3,0),0)</f>
        <v>2987785</v>
      </c>
      <c r="J147" s="50">
        <f>IFERROR(VLOOKUP(E147,'BD - A - Mvto Cx'!$AF$15:$AH$500,3,0),0)</f>
        <v>110000</v>
      </c>
      <c r="K147" s="50">
        <f>IFERROR(VLOOKUP(E147,'BD - A - Mvto Cx'!$AO$15:$AQ$500,3,0),0)</f>
        <v>0</v>
      </c>
      <c r="L147" s="50">
        <f>IFERROR(VLOOKUP(E147,'BD - A - Mvto Cx'!$AX$15:$AZ$500,3,0),0)</f>
        <v>0</v>
      </c>
      <c r="M147" s="50">
        <f>IFERROR(VLOOKUP(E147,'BD - A - Mvto Cx'!$BG$15:$BI$500,3,0),0)</f>
        <v>0</v>
      </c>
      <c r="N147" s="50">
        <f>IFERROR(VLOOKUP(E147,'BD - A - Mvto Cx'!$BP$15:$BR$500,3,0),0)</f>
        <v>0</v>
      </c>
      <c r="O147" s="50">
        <f>IFERROR(VLOOKUP(E147,'BD - A - Mvto Cx'!$BY$15:$CA$500,3,0),0)</f>
        <v>0</v>
      </c>
      <c r="P147" s="50">
        <f>IFERROR(VLOOKUP(E147,'BD - A - Mvto Cx'!$CH$15:$CJ$500,3,0),0)</f>
        <v>0</v>
      </c>
      <c r="Q147" s="50">
        <f>IFERROR(VLOOKUP(E147,'BD - A - Mvto Cx'!$CQ$15:$CS$500,3,0),0)</f>
        <v>0</v>
      </c>
      <c r="R147" s="50">
        <f>IFERROR(VLOOKUP(E147,'BD - A - Mvto Cx'!$CZ$15:$DB$500,3,0),0)</f>
        <v>0</v>
      </c>
    </row>
    <row r="148" spans="1:18" s="41" customFormat="1">
      <c r="A148" s="37"/>
      <c r="B148" t="str">
        <f t="shared" si="5"/>
        <v>S259198</v>
      </c>
      <c r="C148" s="7" t="s">
        <v>380</v>
      </c>
      <c r="D148" s="27" t="s">
        <v>128</v>
      </c>
      <c r="E148" s="7">
        <v>259198</v>
      </c>
      <c r="F148" s="48" t="s">
        <v>1106</v>
      </c>
      <c r="G148" s="423">
        <f>IFERROR(VLOOKUP(E148,'BD - A - Mvto Cx'!$E$15:$G$501,3,0),0)</f>
        <v>0</v>
      </c>
      <c r="H148" s="51">
        <f>IFERROR(VLOOKUP(E148,'BD - A - Mvto Cx'!$N$15:$P$500,3,0),0)</f>
        <v>0</v>
      </c>
      <c r="I148" s="50">
        <f>IFERROR(VLOOKUP(E148,'BD - A - Mvto Cx'!$W$15:$Y$500,3,0),0)</f>
        <v>0</v>
      </c>
      <c r="J148" s="50">
        <f>IFERROR(VLOOKUP(E148,'BD - A - Mvto Cx'!$AF$15:$AH$500,3,0),0)</f>
        <v>1804661</v>
      </c>
      <c r="K148" s="50">
        <f>IFERROR(VLOOKUP(E148,'BD - A - Mvto Cx'!$AO$15:$AQ$500,3,0),0)</f>
        <v>0</v>
      </c>
      <c r="L148" s="50">
        <f>IFERROR(VLOOKUP(E148,'BD - A - Mvto Cx'!$AX$15:$AZ$500,3,0),0)</f>
        <v>0</v>
      </c>
      <c r="M148" s="50">
        <f>IFERROR(VLOOKUP(E148,'BD - A - Mvto Cx'!$BG$15:$BI$500,3,0),0)</f>
        <v>0</v>
      </c>
      <c r="N148" s="50">
        <f>IFERROR(VLOOKUP(E148,'BD - A - Mvto Cx'!$BP$15:$BR$500,3,0),0)</f>
        <v>0</v>
      </c>
      <c r="O148" s="50">
        <f>IFERROR(VLOOKUP(E148,'BD - A - Mvto Cx'!$BY$15:$CA$500,3,0),0)</f>
        <v>0</v>
      </c>
      <c r="P148" s="50">
        <f>IFERROR(VLOOKUP(E148,'BD - A - Mvto Cx'!$CH$15:$CJ$500,3,0),0)</f>
        <v>0</v>
      </c>
      <c r="Q148" s="50">
        <f>IFERROR(VLOOKUP(E148,'BD - A - Mvto Cx'!$CQ$15:$CS$500,3,0),0)</f>
        <v>0</v>
      </c>
      <c r="R148" s="50">
        <f>IFERROR(VLOOKUP(E148,'BD - A - Mvto Cx'!$CZ$15:$DB$500,3,0),0)</f>
        <v>0</v>
      </c>
    </row>
    <row r="149" spans="1:18" s="41" customFormat="1">
      <c r="A149" s="37"/>
      <c r="B149" t="str">
        <f t="shared" si="5"/>
        <v>S312109</v>
      </c>
      <c r="C149" s="7" t="s">
        <v>228</v>
      </c>
      <c r="D149" s="27" t="s">
        <v>128</v>
      </c>
      <c r="E149" s="7">
        <v>312109</v>
      </c>
      <c r="F149" s="48" t="s">
        <v>581</v>
      </c>
      <c r="G149" s="423">
        <f>IFERROR(VLOOKUP(E149,'BD - A - Mvto Cx'!$E$15:$G$501,3,0),0)</f>
        <v>0</v>
      </c>
      <c r="H149" s="51">
        <f>IFERROR(VLOOKUP(E149,'BD - A - Mvto Cx'!$N$15:$P$500,3,0),0)</f>
        <v>0</v>
      </c>
      <c r="I149" s="50">
        <f>IFERROR(VLOOKUP(E149,'BD - A - Mvto Cx'!$W$15:$Y$500,3,0),0)</f>
        <v>0</v>
      </c>
      <c r="J149" s="50">
        <f>IFERROR(VLOOKUP(E149,'BD - A - Mvto Cx'!$AF$15:$AH$500,3,0),0)</f>
        <v>0</v>
      </c>
      <c r="K149" s="50">
        <f>IFERROR(VLOOKUP(E149,'BD - A - Mvto Cx'!$AO$15:$AQ$500,3,0),0)</f>
        <v>0</v>
      </c>
      <c r="L149" s="50">
        <f>IFERROR(VLOOKUP(E149,'BD - A - Mvto Cx'!$AX$15:$AZ$500,3,0),0)</f>
        <v>0</v>
      </c>
      <c r="M149" s="50">
        <f>IFERROR(VLOOKUP(E149,'BD - A - Mvto Cx'!$BG$15:$BI$500,3,0),0)</f>
        <v>0</v>
      </c>
      <c r="N149" s="50">
        <f>IFERROR(VLOOKUP(E149,'BD - A - Mvto Cx'!$BP$15:$BR$500,3,0),0)</f>
        <v>0</v>
      </c>
      <c r="O149" s="50">
        <f>IFERROR(VLOOKUP(E149,'BD - A - Mvto Cx'!$BY$15:$CA$500,3,0),0)</f>
        <v>0</v>
      </c>
      <c r="P149" s="50">
        <f>IFERROR(VLOOKUP(E149,'BD - A - Mvto Cx'!$CH$15:$CJ$500,3,0),0)</f>
        <v>0</v>
      </c>
      <c r="Q149" s="50">
        <f>IFERROR(VLOOKUP(E149,'BD - A - Mvto Cx'!$CQ$15:$CS$500,3,0),0)</f>
        <v>0</v>
      </c>
      <c r="R149" s="50">
        <f>IFERROR(VLOOKUP(E149,'BD - A - Mvto Cx'!$CZ$15:$DB$500,3,0),0)</f>
        <v>0</v>
      </c>
    </row>
    <row r="150" spans="1:18" s="41" customFormat="1">
      <c r="A150" s="37"/>
      <c r="B150" t="str">
        <f t="shared" si="5"/>
        <v>S331703</v>
      </c>
      <c r="C150" s="7" t="s">
        <v>127</v>
      </c>
      <c r="D150" s="27" t="s">
        <v>128</v>
      </c>
      <c r="E150" s="7">
        <v>331703</v>
      </c>
      <c r="F150" s="48" t="s">
        <v>182</v>
      </c>
      <c r="G150" s="49">
        <f>IFERROR(VLOOKUP(E150,'BD - A - Mvto Cx'!$E$15:$G$501,3,0),0)</f>
        <v>0</v>
      </c>
      <c r="H150" s="51">
        <f>IFERROR(VLOOKUP(E150,'BD - A - Mvto Cx'!$N$15:$P$500,3,0),0)</f>
        <v>0</v>
      </c>
      <c r="I150" s="50">
        <f>IFERROR(VLOOKUP(E150,'BD - A - Mvto Cx'!$W$15:$Y$500,3,0),0)</f>
        <v>0</v>
      </c>
      <c r="J150" s="50">
        <f>IFERROR(VLOOKUP(E150,'BD - A - Mvto Cx'!$AF$15:$AH$500,3,0),0)</f>
        <v>0</v>
      </c>
      <c r="K150" s="50">
        <f>IFERROR(VLOOKUP(E150,'BD - A - Mvto Cx'!$AO$15:$AQ$500,3,0),0)</f>
        <v>0</v>
      </c>
      <c r="L150" s="50">
        <f>IFERROR(VLOOKUP(E150,'BD - A - Mvto Cx'!$AX$15:$AZ$500,3,0),0)</f>
        <v>0</v>
      </c>
      <c r="M150" s="50">
        <f>IFERROR(VLOOKUP(E150,'BD - A - Mvto Cx'!$BG$15:$BI$500,3,0),0)</f>
        <v>0</v>
      </c>
      <c r="N150" s="50">
        <f>IFERROR(VLOOKUP(E150,'BD - A - Mvto Cx'!$BP$15:$BR$500,3,0),0)</f>
        <v>0</v>
      </c>
      <c r="O150" s="50">
        <f>IFERROR(VLOOKUP(E150,'BD - A - Mvto Cx'!$BY$15:$CA$500,3,0),0)</f>
        <v>0</v>
      </c>
      <c r="P150" s="50">
        <f>IFERROR(VLOOKUP(E150,'BD - A - Mvto Cx'!$CH$15:$CJ$500,3,0),0)</f>
        <v>0</v>
      </c>
      <c r="Q150" s="50">
        <f>IFERROR(VLOOKUP(E150,'BD - A - Mvto Cx'!$CQ$15:$CS$500,3,0),0)</f>
        <v>0</v>
      </c>
      <c r="R150" s="50">
        <f>IFERROR(VLOOKUP(E150,'BD - A - Mvto Cx'!$CZ$15:$DB$500,3,0),0)</f>
        <v>0</v>
      </c>
    </row>
    <row r="151" spans="1:18" s="41" customFormat="1">
      <c r="A151" s="37"/>
      <c r="B151" t="str">
        <f t="shared" si="5"/>
        <v>S331808</v>
      </c>
      <c r="C151" s="7" t="s">
        <v>127</v>
      </c>
      <c r="D151" s="27" t="s">
        <v>128</v>
      </c>
      <c r="E151" s="7">
        <v>331808</v>
      </c>
      <c r="F151" s="48" t="s">
        <v>582</v>
      </c>
      <c r="G151" s="49">
        <f>IFERROR(VLOOKUP(E151,'BD - A - Mvto Cx'!$E$15:$G$501,3,0),0)</f>
        <v>0</v>
      </c>
      <c r="H151" s="51">
        <f>IFERROR(VLOOKUP(E151,'BD - A - Mvto Cx'!$N$15:$P$500,3,0),0)</f>
        <v>0</v>
      </c>
      <c r="I151" s="50">
        <f>IFERROR(VLOOKUP(E151,'BD - A - Mvto Cx'!$W$15:$Y$500,3,0),0)</f>
        <v>0</v>
      </c>
      <c r="J151" s="50">
        <f>IFERROR(VLOOKUP(E151,'BD - A - Mvto Cx'!$AF$15:$AH$500,3,0),0)</f>
        <v>0</v>
      </c>
      <c r="K151" s="50">
        <f>IFERROR(VLOOKUP(E151,'BD - A - Mvto Cx'!$AO$15:$AQ$500,3,0),0)</f>
        <v>0</v>
      </c>
      <c r="L151" s="50">
        <f>IFERROR(VLOOKUP(E151,'BD - A - Mvto Cx'!$AX$15:$AZ$500,3,0),0)</f>
        <v>0</v>
      </c>
      <c r="M151" s="50">
        <f>IFERROR(VLOOKUP(E151,'BD - A - Mvto Cx'!$BG$15:$BI$500,3,0),0)</f>
        <v>0</v>
      </c>
      <c r="N151" s="50">
        <f>IFERROR(VLOOKUP(E151,'BD - A - Mvto Cx'!$BP$15:$BR$500,3,0),0)</f>
        <v>0</v>
      </c>
      <c r="O151" s="50">
        <f>IFERROR(VLOOKUP(E151,'BD - A - Mvto Cx'!$BY$15:$CA$500,3,0),0)</f>
        <v>0</v>
      </c>
      <c r="P151" s="50">
        <f>IFERROR(VLOOKUP(E151,'BD - A - Mvto Cx'!$CH$15:$CJ$500,3,0),0)</f>
        <v>0</v>
      </c>
      <c r="Q151" s="50">
        <f>IFERROR(VLOOKUP(E151,'BD - A - Mvto Cx'!$CQ$15:$CS$500,3,0),0)</f>
        <v>0</v>
      </c>
      <c r="R151" s="50">
        <f>IFERROR(VLOOKUP(E151,'BD - A - Mvto Cx'!$CZ$15:$DB$500,3,0),0)</f>
        <v>0</v>
      </c>
    </row>
    <row r="152" spans="1:18" s="41" customFormat="1">
      <c r="A152" s="37"/>
      <c r="B152" t="str">
        <f t="shared" si="5"/>
        <v>S331814</v>
      </c>
      <c r="C152" s="7" t="s">
        <v>127</v>
      </c>
      <c r="D152" s="27" t="s">
        <v>128</v>
      </c>
      <c r="E152" s="7">
        <v>331814</v>
      </c>
      <c r="F152" s="48" t="s">
        <v>183</v>
      </c>
      <c r="G152" s="423">
        <f>IFERROR(VLOOKUP(E152,'BD - A - Mvto Cx'!$E$15:$G$501,3,0),0)</f>
        <v>985.97</v>
      </c>
      <c r="H152" s="51">
        <f>IFERROR(VLOOKUP(E152,'BD - A - Mvto Cx'!$N$15:$P$500,3,0),0)</f>
        <v>923.95</v>
      </c>
      <c r="I152" s="50">
        <f>IFERROR(VLOOKUP(E152,'BD - A - Mvto Cx'!$W$15:$Y$500,3,0),0)</f>
        <v>1054.8599999999999</v>
      </c>
      <c r="J152" s="50">
        <f>IFERROR(VLOOKUP(E152,'BD - A - Mvto Cx'!$AF$15:$AH$500,3,0),0)</f>
        <v>1028.94</v>
      </c>
      <c r="K152" s="50">
        <f>IFERROR(VLOOKUP(E152,'BD - A - Mvto Cx'!$AO$15:$AQ$500,3,0),0)</f>
        <v>0</v>
      </c>
      <c r="L152" s="50">
        <f>IFERROR(VLOOKUP(E152,'BD - A - Mvto Cx'!$AX$15:$AZ$500,3,0),0)</f>
        <v>0</v>
      </c>
      <c r="M152" s="50">
        <f>IFERROR(VLOOKUP(E152,'BD - A - Mvto Cx'!$BG$15:$BI$500,3,0),0)</f>
        <v>0</v>
      </c>
      <c r="N152" s="50">
        <f>IFERROR(VLOOKUP(E152,'BD - A - Mvto Cx'!$BP$15:$BR$500,3,0),0)</f>
        <v>0</v>
      </c>
      <c r="O152" s="50">
        <f>IFERROR(VLOOKUP(E152,'BD - A - Mvto Cx'!$BY$15:$CA$500,3,0),0)</f>
        <v>0</v>
      </c>
      <c r="P152" s="50">
        <f>IFERROR(VLOOKUP(E152,'BD - A - Mvto Cx'!$CH$15:$CJ$500,3,0),0)</f>
        <v>0</v>
      </c>
      <c r="Q152" s="50">
        <f>IFERROR(VLOOKUP(E152,'BD - A - Mvto Cx'!$CQ$15:$CS$500,3,0),0)</f>
        <v>0</v>
      </c>
      <c r="R152" s="50">
        <f>IFERROR(VLOOKUP(E152,'BD - A - Mvto Cx'!$CZ$15:$DB$500,3,0),0)</f>
        <v>0</v>
      </c>
    </row>
    <row r="153" spans="1:18" s="41" customFormat="1">
      <c r="A153" s="37"/>
      <c r="B153" t="str">
        <f t="shared" si="5"/>
        <v>S331848</v>
      </c>
      <c r="C153" s="29" t="s">
        <v>261</v>
      </c>
      <c r="D153" s="27" t="s">
        <v>128</v>
      </c>
      <c r="E153" s="7">
        <v>331848</v>
      </c>
      <c r="F153" s="48" t="s">
        <v>184</v>
      </c>
      <c r="G153" s="423">
        <f>IFERROR(VLOOKUP(E153,'BD - A - Mvto Cx'!$E$15:$G$501,3,0),0)</f>
        <v>1.18</v>
      </c>
      <c r="H153" s="51">
        <f>IFERROR(VLOOKUP(E153,'BD - A - Mvto Cx'!$N$15:$P$500,3,0),0)</f>
        <v>0.82</v>
      </c>
      <c r="I153" s="50">
        <f>IFERROR(VLOOKUP(E153,'BD - A - Mvto Cx'!$W$15:$Y$500,3,0),0)</f>
        <v>1.45</v>
      </c>
      <c r="J153" s="50">
        <f>IFERROR(VLOOKUP(E153,'BD - A - Mvto Cx'!$AF$15:$AH$500,3,0),0)</f>
        <v>1.95</v>
      </c>
      <c r="K153" s="50">
        <f>IFERROR(VLOOKUP(E153,'BD - A - Mvto Cx'!$AO$15:$AQ$500,3,0),0)</f>
        <v>0</v>
      </c>
      <c r="L153" s="50">
        <f>IFERROR(VLOOKUP(E153,'BD - A - Mvto Cx'!$AX$15:$AZ$500,3,0),0)</f>
        <v>0</v>
      </c>
      <c r="M153" s="50">
        <f>IFERROR(VLOOKUP(E153,'BD - A - Mvto Cx'!$BG$15:$BI$500,3,0),0)</f>
        <v>0</v>
      </c>
      <c r="N153" s="50">
        <f>IFERROR(VLOOKUP(E153,'BD - A - Mvto Cx'!$BP$15:$BR$500,3,0),0)</f>
        <v>0</v>
      </c>
      <c r="O153" s="50">
        <f>IFERROR(VLOOKUP(E153,'BD - A - Mvto Cx'!$BY$15:$CA$500,3,0),0)</f>
        <v>0</v>
      </c>
      <c r="P153" s="50">
        <f>IFERROR(VLOOKUP(E153,'BD - A - Mvto Cx'!$CH$15:$CJ$500,3,0),0)</f>
        <v>0</v>
      </c>
      <c r="Q153" s="50">
        <f>IFERROR(VLOOKUP(E153,'BD - A - Mvto Cx'!$CQ$15:$CS$500,3,0),0)</f>
        <v>0</v>
      </c>
      <c r="R153" s="50">
        <f>IFERROR(VLOOKUP(E153,'BD - A - Mvto Cx'!$CZ$15:$DB$500,3,0),0)</f>
        <v>0</v>
      </c>
    </row>
    <row r="154" spans="1:18" s="41" customFormat="1">
      <c r="A154" s="37"/>
      <c r="B154" t="str">
        <f t="shared" si="5"/>
        <v>S331849</v>
      </c>
      <c r="C154" s="29" t="s">
        <v>261</v>
      </c>
      <c r="D154" s="27" t="s">
        <v>128</v>
      </c>
      <c r="E154" s="7">
        <v>331849</v>
      </c>
      <c r="F154" s="48" t="s">
        <v>124</v>
      </c>
      <c r="G154" s="423">
        <f>IFERROR(VLOOKUP(E154,'BD - A - Mvto Cx'!$E$15:$G$501,3,0),0)</f>
        <v>260.75</v>
      </c>
      <c r="H154" s="51">
        <f>IFERROR(VLOOKUP(E154,'BD - A - Mvto Cx'!$N$15:$P$500,3,0),0)</f>
        <v>235.21</v>
      </c>
      <c r="I154" s="50">
        <f>IFERROR(VLOOKUP(E154,'BD - A - Mvto Cx'!$W$15:$Y$500,3,0),0)</f>
        <v>117.16</v>
      </c>
      <c r="J154" s="50">
        <f>IFERROR(VLOOKUP(E154,'BD - A - Mvto Cx'!$AF$15:$AH$500,3,0),0)</f>
        <v>21.15</v>
      </c>
      <c r="K154" s="50">
        <f>IFERROR(VLOOKUP(E154,'BD - A - Mvto Cx'!$AO$15:$AQ$500,3,0),0)</f>
        <v>0</v>
      </c>
      <c r="L154" s="50">
        <f>IFERROR(VLOOKUP(E154,'BD - A - Mvto Cx'!$AX$15:$AZ$500,3,0),0)</f>
        <v>0</v>
      </c>
      <c r="M154" s="50">
        <f>IFERROR(VLOOKUP(E154,'BD - A - Mvto Cx'!$BG$15:$BI$500,3,0),0)</f>
        <v>0</v>
      </c>
      <c r="N154" s="50">
        <f>IFERROR(VLOOKUP(E154,'BD - A - Mvto Cx'!$BP$15:$BR$500,3,0),0)</f>
        <v>0</v>
      </c>
      <c r="O154" s="50">
        <f>IFERROR(VLOOKUP(E154,'BD - A - Mvto Cx'!$BY$15:$CA$500,3,0),0)</f>
        <v>0</v>
      </c>
      <c r="P154" s="50">
        <f>IFERROR(VLOOKUP(E154,'BD - A - Mvto Cx'!$CH$15:$CJ$500,3,0),0)</f>
        <v>0</v>
      </c>
      <c r="Q154" s="50">
        <f>IFERROR(VLOOKUP(E154,'BD - A - Mvto Cx'!$CQ$15:$CS$500,3,0),0)</f>
        <v>0</v>
      </c>
      <c r="R154" s="50">
        <f>IFERROR(VLOOKUP(E154,'BD - A - Mvto Cx'!$CZ$15:$DB$500,3,0),0)</f>
        <v>0</v>
      </c>
    </row>
    <row r="155" spans="1:18" s="41" customFormat="1">
      <c r="A155" s="37"/>
      <c r="B155" t="str">
        <f t="shared" si="5"/>
        <v>S331850</v>
      </c>
      <c r="C155" s="29" t="s">
        <v>261</v>
      </c>
      <c r="D155" s="27" t="s">
        <v>128</v>
      </c>
      <c r="E155" s="7">
        <v>331850</v>
      </c>
      <c r="F155" s="48" t="s">
        <v>185</v>
      </c>
      <c r="G155" s="423">
        <f>IFERROR(VLOOKUP(E155,'BD - A - Mvto Cx'!$E$15:$G$501,3,0),0)</f>
        <v>13869.35</v>
      </c>
      <c r="H155" s="51">
        <f>IFERROR(VLOOKUP(E155,'BD - A - Mvto Cx'!$N$15:$P$500,3,0),0)</f>
        <v>12262.35</v>
      </c>
      <c r="I155" s="50">
        <f>IFERROR(VLOOKUP(E155,'BD - A - Mvto Cx'!$W$15:$Y$500,3,0),0)</f>
        <v>12832.7</v>
      </c>
      <c r="J155" s="50">
        <f>IFERROR(VLOOKUP(E155,'BD - A - Mvto Cx'!$AF$15:$AH$500,3,0),0)</f>
        <v>11995.93</v>
      </c>
      <c r="K155" s="50">
        <f>IFERROR(VLOOKUP(E155,'BD - A - Mvto Cx'!$AO$15:$AQ$500,3,0),0)</f>
        <v>0</v>
      </c>
      <c r="L155" s="50">
        <f>IFERROR(VLOOKUP(E155,'BD - A - Mvto Cx'!$AX$15:$AZ$500,3,0),0)</f>
        <v>0</v>
      </c>
      <c r="M155" s="50">
        <f>IFERROR(VLOOKUP(E155,'BD - A - Mvto Cx'!$BG$15:$BI$500,3,0),0)</f>
        <v>0</v>
      </c>
      <c r="N155" s="50">
        <f>IFERROR(VLOOKUP(E155,'BD - A - Mvto Cx'!$BP$15:$BR$500,3,0),0)</f>
        <v>0</v>
      </c>
      <c r="O155" s="50">
        <f>IFERROR(VLOOKUP(E155,'BD - A - Mvto Cx'!$BY$15:$CA$500,3,0),0)</f>
        <v>0</v>
      </c>
      <c r="P155" s="50">
        <f>IFERROR(VLOOKUP(E155,'BD - A - Mvto Cx'!$CH$15:$CJ$500,3,0),0)</f>
        <v>0</v>
      </c>
      <c r="Q155" s="50">
        <f>IFERROR(VLOOKUP(E155,'BD - A - Mvto Cx'!$CQ$15:$CS$500,3,0),0)</f>
        <v>0</v>
      </c>
      <c r="R155" s="50">
        <f>IFERROR(VLOOKUP(E155,'BD - A - Mvto Cx'!$CZ$15:$DB$500,3,0),0)</f>
        <v>0</v>
      </c>
    </row>
    <row r="156" spans="1:18" s="41" customFormat="1">
      <c r="A156" s="37"/>
      <c r="B156" t="str">
        <f t="shared" si="5"/>
        <v>S331851</v>
      </c>
      <c r="C156" s="29" t="s">
        <v>261</v>
      </c>
      <c r="D156" s="27" t="s">
        <v>128</v>
      </c>
      <c r="E156" s="7">
        <v>331851</v>
      </c>
      <c r="F156" s="48" t="s">
        <v>186</v>
      </c>
      <c r="G156" s="423">
        <f>IFERROR(VLOOKUP(E156,'BD - A - Mvto Cx'!$E$15:$G$501,3,0),0)</f>
        <v>2172.29</v>
      </c>
      <c r="H156" s="51">
        <f>IFERROR(VLOOKUP(E156,'BD - A - Mvto Cx'!$N$15:$P$500,3,0),0)</f>
        <v>1653.93</v>
      </c>
      <c r="I156" s="50">
        <f>IFERROR(VLOOKUP(E156,'BD - A - Mvto Cx'!$W$15:$Y$500,3,0),0)</f>
        <v>1819.05</v>
      </c>
      <c r="J156" s="50">
        <f>IFERROR(VLOOKUP(E156,'BD - A - Mvto Cx'!$AF$15:$AH$500,3,0),0)</f>
        <v>1603.79</v>
      </c>
      <c r="K156" s="50">
        <f>IFERROR(VLOOKUP(E156,'BD - A - Mvto Cx'!$AO$15:$AQ$500,3,0),0)</f>
        <v>0</v>
      </c>
      <c r="L156" s="50">
        <f>IFERROR(VLOOKUP(E156,'BD - A - Mvto Cx'!$AX$15:$AZ$500,3,0),0)</f>
        <v>0</v>
      </c>
      <c r="M156" s="50">
        <f>IFERROR(VLOOKUP(E156,'BD - A - Mvto Cx'!$BG$15:$BI$500,3,0),0)</f>
        <v>0</v>
      </c>
      <c r="N156" s="50">
        <f>IFERROR(VLOOKUP(E156,'BD - A - Mvto Cx'!$BP$15:$BR$500,3,0),0)</f>
        <v>0</v>
      </c>
      <c r="O156" s="50">
        <f>IFERROR(VLOOKUP(E156,'BD - A - Mvto Cx'!$BY$15:$CA$500,3,0),0)</f>
        <v>0</v>
      </c>
      <c r="P156" s="50">
        <f>IFERROR(VLOOKUP(E156,'BD - A - Mvto Cx'!$CH$15:$CJ$500,3,0),0)</f>
        <v>0</v>
      </c>
      <c r="Q156" s="50">
        <f>IFERROR(VLOOKUP(E156,'BD - A - Mvto Cx'!$CQ$15:$CS$500,3,0),0)</f>
        <v>0</v>
      </c>
      <c r="R156" s="50">
        <f>IFERROR(VLOOKUP(E156,'BD - A - Mvto Cx'!$CZ$15:$DB$500,3,0),0)</f>
        <v>0</v>
      </c>
    </row>
    <row r="157" spans="1:18" s="41" customFormat="1">
      <c r="A157" s="37"/>
      <c r="B157" t="str">
        <f t="shared" si="5"/>
        <v>S331852</v>
      </c>
      <c r="C157" s="29" t="s">
        <v>261</v>
      </c>
      <c r="D157" s="27" t="s">
        <v>128</v>
      </c>
      <c r="E157" s="7">
        <v>331852</v>
      </c>
      <c r="F157" s="48" t="s">
        <v>187</v>
      </c>
      <c r="G157" s="423">
        <f>IFERROR(VLOOKUP(E157,'BD - A - Mvto Cx'!$E$15:$G$501,3,0),0)</f>
        <v>15449.6</v>
      </c>
      <c r="H157" s="51">
        <f>IFERROR(VLOOKUP(E157,'BD - A - Mvto Cx'!$N$15:$P$500,3,0),0)</f>
        <v>14059.89</v>
      </c>
      <c r="I157" s="50">
        <f>IFERROR(VLOOKUP(E157,'BD - A - Mvto Cx'!$W$15:$Y$500,3,0),0)</f>
        <v>13930.94</v>
      </c>
      <c r="J157" s="50">
        <f>IFERROR(VLOOKUP(E157,'BD - A - Mvto Cx'!$AF$15:$AH$500,3,0),0)</f>
        <v>13252.45</v>
      </c>
      <c r="K157" s="50">
        <f>IFERROR(VLOOKUP(E157,'BD - A - Mvto Cx'!$AO$15:$AQ$500,3,0),0)</f>
        <v>0</v>
      </c>
      <c r="L157" s="50">
        <f>IFERROR(VLOOKUP(E157,'BD - A - Mvto Cx'!$AX$15:$AZ$500,3,0),0)</f>
        <v>0</v>
      </c>
      <c r="M157" s="50">
        <f>IFERROR(VLOOKUP(E157,'BD - A - Mvto Cx'!$BG$15:$BI$500,3,0),0)</f>
        <v>0</v>
      </c>
      <c r="N157" s="50">
        <f>IFERROR(VLOOKUP(E157,'BD - A - Mvto Cx'!$BP$15:$BR$500,3,0),0)</f>
        <v>0</v>
      </c>
      <c r="O157" s="50">
        <f>IFERROR(VLOOKUP(E157,'BD - A - Mvto Cx'!$BY$15:$CA$500,3,0),0)</f>
        <v>0</v>
      </c>
      <c r="P157" s="50">
        <f>IFERROR(VLOOKUP(E157,'BD - A - Mvto Cx'!$CH$15:$CJ$500,3,0),0)</f>
        <v>0</v>
      </c>
      <c r="Q157" s="50">
        <f>IFERROR(VLOOKUP(E157,'BD - A - Mvto Cx'!$CQ$15:$CS$500,3,0),0)</f>
        <v>0</v>
      </c>
      <c r="R157" s="50">
        <f>IFERROR(VLOOKUP(E157,'BD - A - Mvto Cx'!$CZ$15:$DB$500,3,0),0)</f>
        <v>0</v>
      </c>
    </row>
    <row r="158" spans="1:18" s="41" customFormat="1">
      <c r="A158" s="37"/>
      <c r="B158" t="str">
        <f t="shared" si="5"/>
        <v>S331853</v>
      </c>
      <c r="C158" s="29" t="s">
        <v>261</v>
      </c>
      <c r="D158" s="27" t="s">
        <v>128</v>
      </c>
      <c r="E158" s="7">
        <v>331853</v>
      </c>
      <c r="F158" s="48" t="s">
        <v>188</v>
      </c>
      <c r="G158" s="423">
        <f>IFERROR(VLOOKUP(E158,'BD - A - Mvto Cx'!$E$15:$G$501,3,0),0)</f>
        <v>3611.95</v>
      </c>
      <c r="H158" s="51">
        <f>IFERROR(VLOOKUP(E158,'BD - A - Mvto Cx'!$N$15:$P$500,3,0),0)</f>
        <v>2850.46</v>
      </c>
      <c r="I158" s="50">
        <f>IFERROR(VLOOKUP(E158,'BD - A - Mvto Cx'!$W$15:$Y$500,3,0),0)</f>
        <v>3519.49</v>
      </c>
      <c r="J158" s="50">
        <f>IFERROR(VLOOKUP(E158,'BD - A - Mvto Cx'!$AF$15:$AH$500,3,0),0)</f>
        <v>2861.09</v>
      </c>
      <c r="K158" s="50">
        <f>IFERROR(VLOOKUP(E158,'BD - A - Mvto Cx'!$AO$15:$AQ$500,3,0),0)</f>
        <v>0</v>
      </c>
      <c r="L158" s="50">
        <f>IFERROR(VLOOKUP(E158,'BD - A - Mvto Cx'!$AX$15:$AZ$500,3,0),0)</f>
        <v>0</v>
      </c>
      <c r="M158" s="50">
        <f>IFERROR(VLOOKUP(E158,'BD - A - Mvto Cx'!$BG$15:$BI$500,3,0),0)</f>
        <v>0</v>
      </c>
      <c r="N158" s="50">
        <f>IFERROR(VLOOKUP(E158,'BD - A - Mvto Cx'!$BP$15:$BR$500,3,0),0)</f>
        <v>0</v>
      </c>
      <c r="O158" s="50">
        <f>IFERROR(VLOOKUP(E158,'BD - A - Mvto Cx'!$BY$15:$CA$500,3,0),0)</f>
        <v>0</v>
      </c>
      <c r="P158" s="50">
        <f>IFERROR(VLOOKUP(E158,'BD - A - Mvto Cx'!$CH$15:$CJ$500,3,0),0)</f>
        <v>0</v>
      </c>
      <c r="Q158" s="50">
        <f>IFERROR(VLOOKUP(E158,'BD - A - Mvto Cx'!$CQ$15:$CS$500,3,0),0)</f>
        <v>0</v>
      </c>
      <c r="R158" s="50">
        <f>IFERROR(VLOOKUP(E158,'BD - A - Mvto Cx'!$CZ$15:$DB$500,3,0),0)</f>
        <v>0</v>
      </c>
    </row>
    <row r="159" spans="1:18" s="41" customFormat="1">
      <c r="A159" s="37"/>
      <c r="B159" t="str">
        <f t="shared" si="5"/>
        <v>S331854</v>
      </c>
      <c r="C159" s="29" t="s">
        <v>261</v>
      </c>
      <c r="D159" s="27" t="s">
        <v>128</v>
      </c>
      <c r="E159" s="7">
        <v>331854</v>
      </c>
      <c r="F159" s="48" t="s">
        <v>189</v>
      </c>
      <c r="G159" s="423">
        <f>IFERROR(VLOOKUP(E159,'BD - A - Mvto Cx'!$E$15:$G$501,3,0),0)</f>
        <v>1.46</v>
      </c>
      <c r="H159" s="51">
        <f>IFERROR(VLOOKUP(E159,'BD - A - Mvto Cx'!$N$15:$P$500,3,0),0)</f>
        <v>1.61</v>
      </c>
      <c r="I159" s="50">
        <f>IFERROR(VLOOKUP(E159,'BD - A - Mvto Cx'!$W$15:$Y$500,3,0),0)</f>
        <v>0</v>
      </c>
      <c r="J159" s="50">
        <f>IFERROR(VLOOKUP(E159,'BD - A - Mvto Cx'!$AF$15:$AH$500,3,0),0)</f>
        <v>0.71</v>
      </c>
      <c r="K159" s="50">
        <f>IFERROR(VLOOKUP(E159,'BD - A - Mvto Cx'!$AO$15:$AQ$500,3,0),0)</f>
        <v>0</v>
      </c>
      <c r="L159" s="50">
        <f>IFERROR(VLOOKUP(E159,'BD - A - Mvto Cx'!$AX$15:$AZ$500,3,0),0)</f>
        <v>0</v>
      </c>
      <c r="M159" s="50">
        <f>IFERROR(VLOOKUP(E159,'BD - A - Mvto Cx'!$BG$15:$BI$500,3,0),0)</f>
        <v>0</v>
      </c>
      <c r="N159" s="50">
        <f>IFERROR(VLOOKUP(E159,'BD - A - Mvto Cx'!$BP$15:$BR$500,3,0),0)</f>
        <v>0</v>
      </c>
      <c r="O159" s="50">
        <f>IFERROR(VLOOKUP(E159,'BD - A - Mvto Cx'!$BY$15:$CA$500,3,0),0)</f>
        <v>0</v>
      </c>
      <c r="P159" s="50">
        <f>IFERROR(VLOOKUP(E159,'BD - A - Mvto Cx'!$CH$15:$CJ$500,3,0),0)</f>
        <v>0</v>
      </c>
      <c r="Q159" s="50">
        <f>IFERROR(VLOOKUP(E159,'BD - A - Mvto Cx'!$CQ$15:$CS$500,3,0),0)</f>
        <v>0</v>
      </c>
      <c r="R159" s="50">
        <f>IFERROR(VLOOKUP(E159,'BD - A - Mvto Cx'!$CZ$15:$DB$500,3,0),0)</f>
        <v>0</v>
      </c>
    </row>
    <row r="160" spans="1:18" s="41" customFormat="1">
      <c r="A160" s="37"/>
      <c r="B160" t="str">
        <f t="shared" si="5"/>
        <v>S331855</v>
      </c>
      <c r="C160" s="29" t="s">
        <v>261</v>
      </c>
      <c r="D160" s="27" t="s">
        <v>128</v>
      </c>
      <c r="E160" s="7">
        <v>331855</v>
      </c>
      <c r="F160" s="48" t="s">
        <v>190</v>
      </c>
      <c r="G160" s="423">
        <f>IFERROR(VLOOKUP(E160,'BD - A - Mvto Cx'!$E$15:$G$501,3,0),0)</f>
        <v>904.73</v>
      </c>
      <c r="H160" s="51">
        <f>IFERROR(VLOOKUP(E160,'BD - A - Mvto Cx'!$N$15:$P$500,3,0),0)</f>
        <v>686.99</v>
      </c>
      <c r="I160" s="50">
        <f>IFERROR(VLOOKUP(E160,'BD - A - Mvto Cx'!$W$15:$Y$500,3,0),0)</f>
        <v>680.41</v>
      </c>
      <c r="J160" s="50">
        <f>IFERROR(VLOOKUP(E160,'BD - A - Mvto Cx'!$AF$15:$AH$500,3,0),0)</f>
        <v>716.31</v>
      </c>
      <c r="K160" s="50">
        <f>IFERROR(VLOOKUP(E160,'BD - A - Mvto Cx'!$AO$15:$AQ$500,3,0),0)</f>
        <v>0</v>
      </c>
      <c r="L160" s="50">
        <f>IFERROR(VLOOKUP(E160,'BD - A - Mvto Cx'!$AX$15:$AZ$500,3,0),0)</f>
        <v>0</v>
      </c>
      <c r="M160" s="50">
        <f>IFERROR(VLOOKUP(E160,'BD - A - Mvto Cx'!$BG$15:$BI$500,3,0),0)</f>
        <v>0</v>
      </c>
      <c r="N160" s="50">
        <f>IFERROR(VLOOKUP(E160,'BD - A - Mvto Cx'!$BP$15:$BR$500,3,0),0)</f>
        <v>0</v>
      </c>
      <c r="O160" s="50">
        <f>IFERROR(VLOOKUP(E160,'BD - A - Mvto Cx'!$BY$15:$CA$500,3,0),0)</f>
        <v>0</v>
      </c>
      <c r="P160" s="50">
        <f>IFERROR(VLOOKUP(E160,'BD - A - Mvto Cx'!$CH$15:$CJ$500,3,0),0)</f>
        <v>0</v>
      </c>
      <c r="Q160" s="50">
        <f>IFERROR(VLOOKUP(E160,'BD - A - Mvto Cx'!$CQ$15:$CS$500,3,0),0)</f>
        <v>0</v>
      </c>
      <c r="R160" s="50">
        <f>IFERROR(VLOOKUP(E160,'BD - A - Mvto Cx'!$CZ$15:$DB$500,3,0),0)</f>
        <v>0</v>
      </c>
    </row>
    <row r="161" spans="1:18" s="41" customFormat="1">
      <c r="A161" s="37"/>
      <c r="B161" t="str">
        <f t="shared" si="5"/>
        <v>S331859</v>
      </c>
      <c r="C161" s="29" t="s">
        <v>261</v>
      </c>
      <c r="D161" s="27" t="s">
        <v>128</v>
      </c>
      <c r="E161" s="7">
        <v>331859</v>
      </c>
      <c r="F161" s="48" t="s">
        <v>191</v>
      </c>
      <c r="G161" s="423">
        <f>IFERROR(VLOOKUP(E161,'BD - A - Mvto Cx'!$E$15:$G$501,3,0),0)</f>
        <v>1539.01</v>
      </c>
      <c r="H161" s="51">
        <f>IFERROR(VLOOKUP(E161,'BD - A - Mvto Cx'!$N$15:$P$500,3,0),0)</f>
        <v>1247.47</v>
      </c>
      <c r="I161" s="50">
        <f>IFERROR(VLOOKUP(E161,'BD - A - Mvto Cx'!$W$15:$Y$500,3,0),0)</f>
        <v>1220.3800000000001</v>
      </c>
      <c r="J161" s="50">
        <f>IFERROR(VLOOKUP(E161,'BD - A - Mvto Cx'!$AF$15:$AH$500,3,0),0)</f>
        <v>1093.7</v>
      </c>
      <c r="K161" s="50">
        <f>IFERROR(VLOOKUP(E161,'BD - A - Mvto Cx'!$AO$15:$AQ$500,3,0),0)</f>
        <v>0</v>
      </c>
      <c r="L161" s="50">
        <f>IFERROR(VLOOKUP(E161,'BD - A - Mvto Cx'!$AX$15:$AZ$500,3,0),0)</f>
        <v>0</v>
      </c>
      <c r="M161" s="50">
        <f>IFERROR(VLOOKUP(E161,'BD - A - Mvto Cx'!$BG$15:$BI$500,3,0),0)</f>
        <v>0</v>
      </c>
      <c r="N161" s="50">
        <f>IFERROR(VLOOKUP(E161,'BD - A - Mvto Cx'!$BP$15:$BR$500,3,0),0)</f>
        <v>0</v>
      </c>
      <c r="O161" s="50">
        <f>IFERROR(VLOOKUP(E161,'BD - A - Mvto Cx'!$BY$15:$CA$500,3,0),0)</f>
        <v>0</v>
      </c>
      <c r="P161" s="50">
        <f>IFERROR(VLOOKUP(E161,'BD - A - Mvto Cx'!$CH$15:$CJ$500,3,0),0)</f>
        <v>0</v>
      </c>
      <c r="Q161" s="50">
        <f>IFERROR(VLOOKUP(E161,'BD - A - Mvto Cx'!$CQ$15:$CS$500,3,0),0)</f>
        <v>0</v>
      </c>
      <c r="R161" s="50">
        <f>IFERROR(VLOOKUP(E161,'BD - A - Mvto Cx'!$CZ$15:$DB$500,3,0),0)</f>
        <v>0</v>
      </c>
    </row>
    <row r="162" spans="1:18" s="41" customFormat="1">
      <c r="A162" s="37"/>
      <c r="B162" t="str">
        <f t="shared" si="5"/>
        <v>S331860</v>
      </c>
      <c r="C162" s="29" t="s">
        <v>261</v>
      </c>
      <c r="D162" s="27" t="s">
        <v>128</v>
      </c>
      <c r="E162" s="7">
        <v>331860</v>
      </c>
      <c r="F162" s="48" t="s">
        <v>192</v>
      </c>
      <c r="G162" s="423">
        <f>IFERROR(VLOOKUP(E162,'BD - A - Mvto Cx'!$E$15:$G$501,3,0),0)</f>
        <v>538.45000000000005</v>
      </c>
      <c r="H162" s="51">
        <f>IFERROR(VLOOKUP(E162,'BD - A - Mvto Cx'!$N$15:$P$500,3,0),0)</f>
        <v>456.73</v>
      </c>
      <c r="I162" s="50">
        <f>IFERROR(VLOOKUP(E162,'BD - A - Mvto Cx'!$W$15:$Y$500,3,0),0)</f>
        <v>454.23</v>
      </c>
      <c r="J162" s="50">
        <f>IFERROR(VLOOKUP(E162,'BD - A - Mvto Cx'!$AF$15:$AH$500,3,0),0)</f>
        <v>458.86</v>
      </c>
      <c r="K162" s="50">
        <f>IFERROR(VLOOKUP(E162,'BD - A - Mvto Cx'!$AO$15:$AQ$500,3,0),0)</f>
        <v>0</v>
      </c>
      <c r="L162" s="50">
        <f>IFERROR(VLOOKUP(E162,'BD - A - Mvto Cx'!$AX$15:$AZ$500,3,0),0)</f>
        <v>0</v>
      </c>
      <c r="M162" s="50">
        <f>IFERROR(VLOOKUP(E162,'BD - A - Mvto Cx'!$BG$15:$BI$500,3,0),0)</f>
        <v>0</v>
      </c>
      <c r="N162" s="50">
        <f>IFERROR(VLOOKUP(E162,'BD - A - Mvto Cx'!$BP$15:$BR$500,3,0),0)</f>
        <v>0</v>
      </c>
      <c r="O162" s="50">
        <f>IFERROR(VLOOKUP(E162,'BD - A - Mvto Cx'!$BY$15:$CA$500,3,0),0)</f>
        <v>0</v>
      </c>
      <c r="P162" s="50">
        <f>IFERROR(VLOOKUP(E162,'BD - A - Mvto Cx'!$CH$15:$CJ$500,3,0),0)</f>
        <v>0</v>
      </c>
      <c r="Q162" s="50">
        <f>IFERROR(VLOOKUP(E162,'BD - A - Mvto Cx'!$CQ$15:$CS$500,3,0),0)</f>
        <v>0</v>
      </c>
      <c r="R162" s="50">
        <f>IFERROR(VLOOKUP(E162,'BD - A - Mvto Cx'!$CZ$15:$DB$500,3,0),0)</f>
        <v>0</v>
      </c>
    </row>
    <row r="163" spans="1:18" s="41" customFormat="1">
      <c r="A163" s="37"/>
      <c r="B163" t="str">
        <f t="shared" si="5"/>
        <v>S331861</v>
      </c>
      <c r="C163" s="29" t="s">
        <v>261</v>
      </c>
      <c r="D163" s="27" t="s">
        <v>128</v>
      </c>
      <c r="E163" s="7">
        <v>331861</v>
      </c>
      <c r="F163" s="48" t="s">
        <v>193</v>
      </c>
      <c r="G163" s="423">
        <f>IFERROR(VLOOKUP(E163,'BD - A - Mvto Cx'!$E$15:$G$501,3,0),0)</f>
        <v>0</v>
      </c>
      <c r="H163" s="51">
        <f>IFERROR(VLOOKUP(E163,'BD - A - Mvto Cx'!$N$15:$P$500,3,0),0)</f>
        <v>0</v>
      </c>
      <c r="I163" s="50">
        <f>IFERROR(VLOOKUP(E163,'BD - A - Mvto Cx'!$W$15:$Y$500,3,0),0)</f>
        <v>0</v>
      </c>
      <c r="J163" s="50">
        <f>IFERROR(VLOOKUP(E163,'BD - A - Mvto Cx'!$AF$15:$AH$500,3,0),0)</f>
        <v>0</v>
      </c>
      <c r="K163" s="50">
        <f>IFERROR(VLOOKUP(E163,'BD - A - Mvto Cx'!$AO$15:$AQ$500,3,0),0)</f>
        <v>0</v>
      </c>
      <c r="L163" s="50">
        <f>IFERROR(VLOOKUP(E163,'BD - A - Mvto Cx'!$AX$15:$AZ$500,3,0),0)</f>
        <v>0</v>
      </c>
      <c r="M163" s="50">
        <f>IFERROR(VLOOKUP(E163,'BD - A - Mvto Cx'!$BG$15:$BI$500,3,0),0)</f>
        <v>0</v>
      </c>
      <c r="N163" s="50">
        <f>IFERROR(VLOOKUP(E163,'BD - A - Mvto Cx'!$BP$15:$BR$500,3,0),0)</f>
        <v>0</v>
      </c>
      <c r="O163" s="50">
        <f>IFERROR(VLOOKUP(E163,'BD - A - Mvto Cx'!$BY$15:$CA$500,3,0),0)</f>
        <v>0</v>
      </c>
      <c r="P163" s="50">
        <f>IFERROR(VLOOKUP(E163,'BD - A - Mvto Cx'!$CH$15:$CJ$500,3,0),0)</f>
        <v>0</v>
      </c>
      <c r="Q163" s="50">
        <f>IFERROR(VLOOKUP(E163,'BD - A - Mvto Cx'!$CQ$15:$CS$500,3,0),0)</f>
        <v>0</v>
      </c>
      <c r="R163" s="50">
        <f>IFERROR(VLOOKUP(E163,'BD - A - Mvto Cx'!$CZ$15:$DB$500,3,0),0)</f>
        <v>0</v>
      </c>
    </row>
    <row r="164" spans="1:18" s="41" customFormat="1">
      <c r="A164" s="37"/>
      <c r="B164" t="str">
        <f t="shared" si="5"/>
        <v>S331862</v>
      </c>
      <c r="C164" s="29" t="s">
        <v>261</v>
      </c>
      <c r="D164" s="27" t="s">
        <v>128</v>
      </c>
      <c r="E164" s="7">
        <v>331862</v>
      </c>
      <c r="F164" s="48" t="s">
        <v>194</v>
      </c>
      <c r="G164" s="423">
        <f>IFERROR(VLOOKUP(E164,'BD - A - Mvto Cx'!$E$15:$G$501,3,0),0)</f>
        <v>0</v>
      </c>
      <c r="H164" s="51">
        <f>IFERROR(VLOOKUP(E164,'BD - A - Mvto Cx'!$N$15:$P$500,3,0),0)</f>
        <v>0</v>
      </c>
      <c r="I164" s="50">
        <f>IFERROR(VLOOKUP(E164,'BD - A - Mvto Cx'!$W$15:$Y$500,3,0),0)</f>
        <v>0</v>
      </c>
      <c r="J164" s="50">
        <f>IFERROR(VLOOKUP(E164,'BD - A - Mvto Cx'!$AF$15:$AH$500,3,0),0)</f>
        <v>0</v>
      </c>
      <c r="K164" s="50">
        <f>IFERROR(VLOOKUP(E164,'BD - A - Mvto Cx'!$AO$15:$AQ$500,3,0),0)</f>
        <v>0</v>
      </c>
      <c r="L164" s="50">
        <f>IFERROR(VLOOKUP(E164,'BD - A - Mvto Cx'!$AX$15:$AZ$500,3,0),0)</f>
        <v>0</v>
      </c>
      <c r="M164" s="50">
        <f>IFERROR(VLOOKUP(E164,'BD - A - Mvto Cx'!$BG$15:$BI$500,3,0),0)</f>
        <v>0</v>
      </c>
      <c r="N164" s="50">
        <f>IFERROR(VLOOKUP(E164,'BD - A - Mvto Cx'!$BP$15:$BR$500,3,0),0)</f>
        <v>0</v>
      </c>
      <c r="O164" s="50">
        <f>IFERROR(VLOOKUP(E164,'BD - A - Mvto Cx'!$BY$15:$CA$500,3,0),0)</f>
        <v>0</v>
      </c>
      <c r="P164" s="50">
        <f>IFERROR(VLOOKUP(E164,'BD - A - Mvto Cx'!$CH$15:$CJ$500,3,0),0)</f>
        <v>0</v>
      </c>
      <c r="Q164" s="50">
        <f>IFERROR(VLOOKUP(E164,'BD - A - Mvto Cx'!$CQ$15:$CS$500,3,0),0)</f>
        <v>0</v>
      </c>
      <c r="R164" s="50">
        <f>IFERROR(VLOOKUP(E164,'BD - A - Mvto Cx'!$CZ$15:$DB$500,3,0),0)</f>
        <v>0</v>
      </c>
    </row>
    <row r="165" spans="1:18" s="41" customFormat="1">
      <c r="A165" s="37"/>
      <c r="B165" t="str">
        <f t="shared" si="5"/>
        <v>S331863</v>
      </c>
      <c r="C165" s="29" t="s">
        <v>261</v>
      </c>
      <c r="D165" s="27" t="s">
        <v>128</v>
      </c>
      <c r="E165" s="7">
        <v>331863</v>
      </c>
      <c r="F165" s="48" t="s">
        <v>195</v>
      </c>
      <c r="G165" s="423">
        <f>IFERROR(VLOOKUP(E165,'BD - A - Mvto Cx'!$E$15:$G$501,3,0),0)</f>
        <v>352.83</v>
      </c>
      <c r="H165" s="51">
        <f>IFERROR(VLOOKUP(E165,'BD - A - Mvto Cx'!$N$15:$P$500,3,0),0)</f>
        <v>246.24</v>
      </c>
      <c r="I165" s="50">
        <f>IFERROR(VLOOKUP(E165,'BD - A - Mvto Cx'!$W$15:$Y$500,3,0),0)</f>
        <v>394.97</v>
      </c>
      <c r="J165" s="50">
        <f>IFERROR(VLOOKUP(E165,'BD - A - Mvto Cx'!$AF$15:$AH$500,3,0),0)</f>
        <v>210.06</v>
      </c>
      <c r="K165" s="50">
        <f>IFERROR(VLOOKUP(E165,'BD - A - Mvto Cx'!$AO$15:$AQ$500,3,0),0)</f>
        <v>0</v>
      </c>
      <c r="L165" s="50">
        <f>IFERROR(VLOOKUP(E165,'BD - A - Mvto Cx'!$AX$15:$AZ$500,3,0),0)</f>
        <v>0</v>
      </c>
      <c r="M165" s="50">
        <f>IFERROR(VLOOKUP(E165,'BD - A - Mvto Cx'!$BG$15:$BI$500,3,0),0)</f>
        <v>0</v>
      </c>
      <c r="N165" s="50">
        <f>IFERROR(VLOOKUP(E165,'BD - A - Mvto Cx'!$BP$15:$BR$500,3,0),0)</f>
        <v>0</v>
      </c>
      <c r="O165" s="50">
        <f>IFERROR(VLOOKUP(E165,'BD - A - Mvto Cx'!$BY$15:$CA$500,3,0),0)</f>
        <v>0</v>
      </c>
      <c r="P165" s="50">
        <f>IFERROR(VLOOKUP(E165,'BD - A - Mvto Cx'!$CH$15:$CJ$500,3,0),0)</f>
        <v>0</v>
      </c>
      <c r="Q165" s="50">
        <f>IFERROR(VLOOKUP(E165,'BD - A - Mvto Cx'!$CQ$15:$CS$500,3,0),0)</f>
        <v>0</v>
      </c>
      <c r="R165" s="50">
        <f>IFERROR(VLOOKUP(E165,'BD - A - Mvto Cx'!$CZ$15:$DB$500,3,0),0)</f>
        <v>0</v>
      </c>
    </row>
    <row r="166" spans="1:18" s="41" customFormat="1">
      <c r="A166" s="37"/>
      <c r="B166" t="str">
        <f t="shared" si="5"/>
        <v>S331864</v>
      </c>
      <c r="C166" s="29" t="s">
        <v>261</v>
      </c>
      <c r="D166" s="27" t="s">
        <v>128</v>
      </c>
      <c r="E166" s="7">
        <v>331864</v>
      </c>
      <c r="F166" s="48" t="s">
        <v>196</v>
      </c>
      <c r="G166" s="423">
        <f>IFERROR(VLOOKUP(E166,'BD - A - Mvto Cx'!$E$15:$G$501,3,0),0)</f>
        <v>0</v>
      </c>
      <c r="H166" s="51">
        <f>IFERROR(VLOOKUP(E166,'BD - A - Mvto Cx'!$N$15:$P$500,3,0),0)</f>
        <v>0</v>
      </c>
      <c r="I166" s="50">
        <f>IFERROR(VLOOKUP(E166,'BD - A - Mvto Cx'!$W$15:$Y$500,3,0),0)</f>
        <v>0</v>
      </c>
      <c r="J166" s="50">
        <f>IFERROR(VLOOKUP(E166,'BD - A - Mvto Cx'!$AF$15:$AH$500,3,0),0)</f>
        <v>0</v>
      </c>
      <c r="K166" s="50">
        <f>IFERROR(VLOOKUP(E166,'BD - A - Mvto Cx'!$AO$15:$AQ$500,3,0),0)</f>
        <v>0</v>
      </c>
      <c r="L166" s="50">
        <f>IFERROR(VLOOKUP(E166,'BD - A - Mvto Cx'!$AX$15:$AZ$500,3,0),0)</f>
        <v>0</v>
      </c>
      <c r="M166" s="50">
        <f>IFERROR(VLOOKUP(E166,'BD - A - Mvto Cx'!$BG$15:$BI$500,3,0),0)</f>
        <v>0</v>
      </c>
      <c r="N166" s="50">
        <f>IFERROR(VLOOKUP(E166,'BD - A - Mvto Cx'!$BP$15:$BR$500,3,0),0)</f>
        <v>0</v>
      </c>
      <c r="O166" s="50">
        <f>IFERROR(VLOOKUP(E166,'BD - A - Mvto Cx'!$BY$15:$CA$500,3,0),0)</f>
        <v>0</v>
      </c>
      <c r="P166" s="50">
        <f>IFERROR(VLOOKUP(E166,'BD - A - Mvto Cx'!$CH$15:$CJ$500,3,0),0)</f>
        <v>0</v>
      </c>
      <c r="Q166" s="50">
        <f>IFERROR(VLOOKUP(E166,'BD - A - Mvto Cx'!$CQ$15:$CS$500,3,0),0)</f>
        <v>0</v>
      </c>
      <c r="R166" s="50">
        <f>IFERROR(VLOOKUP(E166,'BD - A - Mvto Cx'!$CZ$15:$DB$500,3,0),0)</f>
        <v>0</v>
      </c>
    </row>
    <row r="167" spans="1:18" s="41" customFormat="1">
      <c r="A167" s="37"/>
      <c r="B167" t="str">
        <f t="shared" si="5"/>
        <v>S331865</v>
      </c>
      <c r="C167" s="36" t="s">
        <v>261</v>
      </c>
      <c r="D167" s="27" t="s">
        <v>128</v>
      </c>
      <c r="E167" s="7">
        <v>331865</v>
      </c>
      <c r="F167" s="48" t="s">
        <v>520</v>
      </c>
      <c r="G167" s="423">
        <f>IFERROR(VLOOKUP(E167,'BD - A - Mvto Cx'!$E$15:$G$501,3,0),0)</f>
        <v>21.59</v>
      </c>
      <c r="H167" s="51">
        <f>IFERROR(VLOOKUP(E167,'BD - A - Mvto Cx'!$N$15:$P$500,3,0),0)</f>
        <v>0</v>
      </c>
      <c r="I167" s="50">
        <f>IFERROR(VLOOKUP(E167,'BD - A - Mvto Cx'!$W$15:$Y$500,3,0),0)</f>
        <v>0</v>
      </c>
      <c r="J167" s="50">
        <f>IFERROR(VLOOKUP(E167,'BD - A - Mvto Cx'!$AF$15:$AH$500,3,0),0)</f>
        <v>0</v>
      </c>
      <c r="K167" s="50">
        <f>IFERROR(VLOOKUP(E167,'BD - A - Mvto Cx'!$AO$15:$AQ$500,3,0),0)</f>
        <v>0</v>
      </c>
      <c r="L167" s="50">
        <f>IFERROR(VLOOKUP(E167,'BD - A - Mvto Cx'!$AX$15:$AZ$500,3,0),0)</f>
        <v>0</v>
      </c>
      <c r="M167" s="50">
        <f>IFERROR(VLOOKUP(E167,'BD - A - Mvto Cx'!$BG$15:$BI$500,3,0),0)</f>
        <v>0</v>
      </c>
      <c r="N167" s="50">
        <f>IFERROR(VLOOKUP(E167,'BD - A - Mvto Cx'!$BP$15:$BR$500,3,0),0)</f>
        <v>0</v>
      </c>
      <c r="O167" s="50">
        <f>IFERROR(VLOOKUP(E167,'BD - A - Mvto Cx'!$BY$15:$CA$500,3,0),0)</f>
        <v>0</v>
      </c>
      <c r="P167" s="50">
        <f>IFERROR(VLOOKUP(E167,'BD - A - Mvto Cx'!$CH$15:$CJ$500,3,0),0)</f>
        <v>0</v>
      </c>
      <c r="Q167" s="50">
        <f>IFERROR(VLOOKUP(E167,'BD - A - Mvto Cx'!$CQ$15:$CS$500,3,0),0)</f>
        <v>0</v>
      </c>
      <c r="R167" s="50">
        <f>IFERROR(VLOOKUP(E167,'BD - A - Mvto Cx'!$CZ$15:$DB$500,3,0),0)</f>
        <v>0</v>
      </c>
    </row>
    <row r="168" spans="1:18" s="41" customFormat="1">
      <c r="A168" s="37"/>
      <c r="B168" t="str">
        <f t="shared" si="5"/>
        <v>S331866</v>
      </c>
      <c r="C168" s="29" t="s">
        <v>261</v>
      </c>
      <c r="D168" s="27" t="s">
        <v>128</v>
      </c>
      <c r="E168" s="7">
        <v>331866</v>
      </c>
      <c r="F168" s="48" t="s">
        <v>197</v>
      </c>
      <c r="G168" s="423">
        <f>IFERROR(VLOOKUP(E168,'BD - A - Mvto Cx'!$E$15:$G$501,3,0),0)</f>
        <v>144.44</v>
      </c>
      <c r="H168" s="51">
        <f>IFERROR(VLOOKUP(E168,'BD - A - Mvto Cx'!$N$15:$P$500,3,0),0)</f>
        <v>84.94</v>
      </c>
      <c r="I168" s="50">
        <f>IFERROR(VLOOKUP(E168,'BD - A - Mvto Cx'!$W$15:$Y$500,3,0),0)</f>
        <v>182.87</v>
      </c>
      <c r="J168" s="50">
        <f>IFERROR(VLOOKUP(E168,'BD - A - Mvto Cx'!$AF$15:$AH$500,3,0),0)</f>
        <v>101.27</v>
      </c>
      <c r="K168" s="50">
        <f>IFERROR(VLOOKUP(E168,'BD - A - Mvto Cx'!$AO$15:$AQ$500,3,0),0)</f>
        <v>0</v>
      </c>
      <c r="L168" s="50">
        <f>IFERROR(VLOOKUP(E168,'BD - A - Mvto Cx'!$AX$15:$AZ$500,3,0),0)</f>
        <v>0</v>
      </c>
      <c r="M168" s="50">
        <f>IFERROR(VLOOKUP(E168,'BD - A - Mvto Cx'!$BG$15:$BI$500,3,0),0)</f>
        <v>0</v>
      </c>
      <c r="N168" s="50">
        <f>IFERROR(VLOOKUP(E168,'BD - A - Mvto Cx'!$BP$15:$BR$500,3,0),0)</f>
        <v>0</v>
      </c>
      <c r="O168" s="50">
        <f>IFERROR(VLOOKUP(E168,'BD - A - Mvto Cx'!$BY$15:$CA$500,3,0),0)</f>
        <v>0</v>
      </c>
      <c r="P168" s="50">
        <f>IFERROR(VLOOKUP(E168,'BD - A - Mvto Cx'!$CH$15:$CJ$500,3,0),0)</f>
        <v>0</v>
      </c>
      <c r="Q168" s="50">
        <f>IFERROR(VLOOKUP(E168,'BD - A - Mvto Cx'!$CQ$15:$CS$500,3,0),0)</f>
        <v>0</v>
      </c>
      <c r="R168" s="50">
        <f>IFERROR(VLOOKUP(E168,'BD - A - Mvto Cx'!$CZ$15:$DB$500,3,0),0)</f>
        <v>0</v>
      </c>
    </row>
    <row r="169" spans="1:18" s="41" customFormat="1">
      <c r="A169" s="37"/>
      <c r="B169" t="str">
        <f t="shared" si="5"/>
        <v>S331867</v>
      </c>
      <c r="C169" s="29" t="s">
        <v>261</v>
      </c>
      <c r="D169" s="27" t="s">
        <v>128</v>
      </c>
      <c r="E169" s="7">
        <v>331867</v>
      </c>
      <c r="F169" s="48" t="s">
        <v>198</v>
      </c>
      <c r="G169" s="423">
        <f>IFERROR(VLOOKUP(E169,'BD - A - Mvto Cx'!$E$15:$G$501,3,0),0)</f>
        <v>0</v>
      </c>
      <c r="H169" s="51">
        <f>IFERROR(VLOOKUP(E169,'BD - A - Mvto Cx'!$N$15:$P$500,3,0),0)</f>
        <v>0</v>
      </c>
      <c r="I169" s="50">
        <f>IFERROR(VLOOKUP(E169,'BD - A - Mvto Cx'!$W$15:$Y$500,3,0),0)</f>
        <v>0</v>
      </c>
      <c r="J169" s="50">
        <f>IFERROR(VLOOKUP(E169,'BD - A - Mvto Cx'!$AF$15:$AH$500,3,0),0)</f>
        <v>0</v>
      </c>
      <c r="K169" s="50">
        <f>IFERROR(VLOOKUP(E169,'BD - A - Mvto Cx'!$AO$15:$AQ$500,3,0),0)</f>
        <v>0</v>
      </c>
      <c r="L169" s="50">
        <f>IFERROR(VLOOKUP(E169,'BD - A - Mvto Cx'!$AX$15:$AZ$500,3,0),0)</f>
        <v>0</v>
      </c>
      <c r="M169" s="50">
        <f>IFERROR(VLOOKUP(E169,'BD - A - Mvto Cx'!$BG$15:$BI$500,3,0),0)</f>
        <v>0</v>
      </c>
      <c r="N169" s="50">
        <f>IFERROR(VLOOKUP(E169,'BD - A - Mvto Cx'!$BP$15:$BR$500,3,0),0)</f>
        <v>0</v>
      </c>
      <c r="O169" s="50">
        <f>IFERROR(VLOOKUP(E169,'BD - A - Mvto Cx'!$BY$15:$CA$500,3,0),0)</f>
        <v>0</v>
      </c>
      <c r="P169" s="50">
        <f>IFERROR(VLOOKUP(E169,'BD - A - Mvto Cx'!$CH$15:$CJ$500,3,0),0)</f>
        <v>0</v>
      </c>
      <c r="Q169" s="50">
        <f>IFERROR(VLOOKUP(E169,'BD - A - Mvto Cx'!$CQ$15:$CS$500,3,0),0)</f>
        <v>0</v>
      </c>
      <c r="R169" s="50">
        <f>IFERROR(VLOOKUP(E169,'BD - A - Mvto Cx'!$CZ$15:$DB$500,3,0),0)</f>
        <v>0</v>
      </c>
    </row>
    <row r="170" spans="1:18" s="41" customFormat="1">
      <c r="A170" s="37"/>
      <c r="B170" t="str">
        <f t="shared" si="5"/>
        <v>S331871</v>
      </c>
      <c r="C170" s="29" t="s">
        <v>261</v>
      </c>
      <c r="D170" s="27" t="s">
        <v>128</v>
      </c>
      <c r="E170" s="7">
        <v>331871</v>
      </c>
      <c r="F170" s="48" t="s">
        <v>199</v>
      </c>
      <c r="G170" s="423">
        <f>IFERROR(VLOOKUP(E170,'BD - A - Mvto Cx'!$E$15:$G$501,3,0),0)</f>
        <v>0</v>
      </c>
      <c r="H170" s="51">
        <f>IFERROR(VLOOKUP(E170,'BD - A - Mvto Cx'!$N$15:$P$500,3,0),0)</f>
        <v>0</v>
      </c>
      <c r="I170" s="50">
        <f>IFERROR(VLOOKUP(E170,'BD - A - Mvto Cx'!$W$15:$Y$500,3,0),0)</f>
        <v>0</v>
      </c>
      <c r="J170" s="50">
        <f>IFERROR(VLOOKUP(E170,'BD - A - Mvto Cx'!$AF$15:$AH$500,3,0),0)</f>
        <v>0</v>
      </c>
      <c r="K170" s="50">
        <f>IFERROR(VLOOKUP(E170,'BD - A - Mvto Cx'!$AO$15:$AQ$500,3,0),0)</f>
        <v>0</v>
      </c>
      <c r="L170" s="50">
        <f>IFERROR(VLOOKUP(E170,'BD - A - Mvto Cx'!$AX$15:$AZ$500,3,0),0)</f>
        <v>0</v>
      </c>
      <c r="M170" s="50">
        <f>IFERROR(VLOOKUP(E170,'BD - A - Mvto Cx'!$BG$15:$BI$500,3,0),0)</f>
        <v>0</v>
      </c>
      <c r="N170" s="50">
        <f>IFERROR(VLOOKUP(E170,'BD - A - Mvto Cx'!$BP$15:$BR$500,3,0),0)</f>
        <v>0</v>
      </c>
      <c r="O170" s="50">
        <f>IFERROR(VLOOKUP(E170,'BD - A - Mvto Cx'!$BY$15:$CA$500,3,0),0)</f>
        <v>0</v>
      </c>
      <c r="P170" s="50">
        <f>IFERROR(VLOOKUP(E170,'BD - A - Mvto Cx'!$CH$15:$CJ$500,3,0),0)</f>
        <v>0</v>
      </c>
      <c r="Q170" s="50">
        <f>IFERROR(VLOOKUP(E170,'BD - A - Mvto Cx'!$CQ$15:$CS$500,3,0),0)</f>
        <v>0</v>
      </c>
      <c r="R170" s="50">
        <f>IFERROR(VLOOKUP(E170,'BD - A - Mvto Cx'!$CZ$15:$DB$500,3,0),0)</f>
        <v>0</v>
      </c>
    </row>
    <row r="171" spans="1:18" s="41" customFormat="1">
      <c r="A171" s="37"/>
      <c r="B171" t="str">
        <f t="shared" si="5"/>
        <v>S331873</v>
      </c>
      <c r="C171" s="29" t="s">
        <v>261</v>
      </c>
      <c r="D171" s="27" t="s">
        <v>128</v>
      </c>
      <c r="E171" s="7">
        <v>331873</v>
      </c>
      <c r="F171" s="48" t="s">
        <v>200</v>
      </c>
      <c r="G171" s="423">
        <f>IFERROR(VLOOKUP(E171,'BD - A - Mvto Cx'!$E$15:$G$501,3,0),0)</f>
        <v>0</v>
      </c>
      <c r="H171" s="51">
        <f>IFERROR(VLOOKUP(E171,'BD - A - Mvto Cx'!$N$15:$P$500,3,0),0)</f>
        <v>0</v>
      </c>
      <c r="I171" s="50">
        <f>IFERROR(VLOOKUP(E171,'BD - A - Mvto Cx'!$W$15:$Y$500,3,0),0)</f>
        <v>0</v>
      </c>
      <c r="J171" s="50">
        <f>IFERROR(VLOOKUP(E171,'BD - A - Mvto Cx'!$AF$15:$AH$500,3,0),0)</f>
        <v>0</v>
      </c>
      <c r="K171" s="50">
        <f>IFERROR(VLOOKUP(E171,'BD - A - Mvto Cx'!$AO$15:$AQ$500,3,0),0)</f>
        <v>0</v>
      </c>
      <c r="L171" s="50">
        <f>IFERROR(VLOOKUP(E171,'BD - A - Mvto Cx'!$AX$15:$AZ$500,3,0),0)</f>
        <v>0</v>
      </c>
      <c r="M171" s="50">
        <f>IFERROR(VLOOKUP(E171,'BD - A - Mvto Cx'!$BG$15:$BI$500,3,0),0)</f>
        <v>0</v>
      </c>
      <c r="N171" s="50">
        <f>IFERROR(VLOOKUP(E171,'BD - A - Mvto Cx'!$BP$15:$BR$500,3,0),0)</f>
        <v>0</v>
      </c>
      <c r="O171" s="50">
        <f>IFERROR(VLOOKUP(E171,'BD - A - Mvto Cx'!$BY$15:$CA$500,3,0),0)</f>
        <v>0</v>
      </c>
      <c r="P171" s="50">
        <f>IFERROR(VLOOKUP(E171,'BD - A - Mvto Cx'!$CH$15:$CJ$500,3,0),0)</f>
        <v>0</v>
      </c>
      <c r="Q171" s="50">
        <f>IFERROR(VLOOKUP(E171,'BD - A - Mvto Cx'!$CQ$15:$CS$500,3,0),0)</f>
        <v>0</v>
      </c>
      <c r="R171" s="50">
        <f>IFERROR(VLOOKUP(E171,'BD - A - Mvto Cx'!$CZ$15:$DB$500,3,0),0)</f>
        <v>0</v>
      </c>
    </row>
    <row r="172" spans="1:18" s="41" customFormat="1">
      <c r="A172" s="37"/>
      <c r="B172" t="str">
        <f t="shared" si="5"/>
        <v>S331874</v>
      </c>
      <c r="C172" s="29" t="s">
        <v>261</v>
      </c>
      <c r="D172" s="27" t="s">
        <v>128</v>
      </c>
      <c r="E172" s="7">
        <v>331874</v>
      </c>
      <c r="F172" s="48" t="s">
        <v>201</v>
      </c>
      <c r="G172" s="423">
        <f>IFERROR(VLOOKUP(E172,'BD - A - Mvto Cx'!$E$15:$G$501,3,0),0)</f>
        <v>30.96</v>
      </c>
      <c r="H172" s="51">
        <f>IFERROR(VLOOKUP(E172,'BD - A - Mvto Cx'!$N$15:$P$500,3,0),0)</f>
        <v>21.06</v>
      </c>
      <c r="I172" s="50">
        <f>IFERROR(VLOOKUP(E172,'BD - A - Mvto Cx'!$W$15:$Y$500,3,0),0)</f>
        <v>61</v>
      </c>
      <c r="J172" s="50">
        <f>IFERROR(VLOOKUP(E172,'BD - A - Mvto Cx'!$AF$15:$AH$500,3,0),0)</f>
        <v>51.44</v>
      </c>
      <c r="K172" s="50">
        <f>IFERROR(VLOOKUP(E172,'BD - A - Mvto Cx'!$AO$15:$AQ$500,3,0),0)</f>
        <v>0</v>
      </c>
      <c r="L172" s="50">
        <f>IFERROR(VLOOKUP(E172,'BD - A - Mvto Cx'!$AX$15:$AZ$500,3,0),0)</f>
        <v>0</v>
      </c>
      <c r="M172" s="50">
        <f>IFERROR(VLOOKUP(E172,'BD - A - Mvto Cx'!$BG$15:$BI$500,3,0),0)</f>
        <v>0</v>
      </c>
      <c r="N172" s="50">
        <f>IFERROR(VLOOKUP(E172,'BD - A - Mvto Cx'!$BP$15:$BR$500,3,0),0)</f>
        <v>0</v>
      </c>
      <c r="O172" s="50">
        <f>IFERROR(VLOOKUP(E172,'BD - A - Mvto Cx'!$BY$15:$CA$500,3,0),0)</f>
        <v>0</v>
      </c>
      <c r="P172" s="50">
        <f>IFERROR(VLOOKUP(E172,'BD - A - Mvto Cx'!$CH$15:$CJ$500,3,0),0)</f>
        <v>0</v>
      </c>
      <c r="Q172" s="50">
        <f>IFERROR(VLOOKUP(E172,'BD - A - Mvto Cx'!$CQ$15:$CS$500,3,0),0)</f>
        <v>0</v>
      </c>
      <c r="R172" s="50">
        <f>IFERROR(VLOOKUP(E172,'BD - A - Mvto Cx'!$CZ$15:$DB$500,3,0),0)</f>
        <v>0</v>
      </c>
    </row>
    <row r="173" spans="1:18" s="41" customFormat="1">
      <c r="A173" s="37"/>
      <c r="B173" t="str">
        <f t="shared" si="5"/>
        <v>S331875</v>
      </c>
      <c r="C173" s="29" t="s">
        <v>261</v>
      </c>
      <c r="D173" s="27" t="s">
        <v>128</v>
      </c>
      <c r="E173" s="7">
        <v>331875</v>
      </c>
      <c r="F173" s="48" t="s">
        <v>202</v>
      </c>
      <c r="G173" s="423">
        <f>IFERROR(VLOOKUP(E173,'BD - A - Mvto Cx'!$E$15:$G$501,3,0),0)</f>
        <v>5.58</v>
      </c>
      <c r="H173" s="51">
        <f>IFERROR(VLOOKUP(E173,'BD - A - Mvto Cx'!$N$15:$P$500,3,0),0)</f>
        <v>0</v>
      </c>
      <c r="I173" s="50">
        <f>IFERROR(VLOOKUP(E173,'BD - A - Mvto Cx'!$W$15:$Y$500,3,0),0)</f>
        <v>30.29</v>
      </c>
      <c r="J173" s="50">
        <f>IFERROR(VLOOKUP(E173,'BD - A - Mvto Cx'!$AF$15:$AH$500,3,0),0)</f>
        <v>16.55</v>
      </c>
      <c r="K173" s="50">
        <f>IFERROR(VLOOKUP(E173,'BD - A - Mvto Cx'!$AO$15:$AQ$500,3,0),0)</f>
        <v>0</v>
      </c>
      <c r="L173" s="50">
        <f>IFERROR(VLOOKUP(E173,'BD - A - Mvto Cx'!$AX$15:$AZ$500,3,0),0)</f>
        <v>0</v>
      </c>
      <c r="M173" s="50">
        <f>IFERROR(VLOOKUP(E173,'BD - A - Mvto Cx'!$BG$15:$BI$500,3,0),0)</f>
        <v>0</v>
      </c>
      <c r="N173" s="50">
        <f>IFERROR(VLOOKUP(E173,'BD - A - Mvto Cx'!$BP$15:$BR$500,3,0),0)</f>
        <v>0</v>
      </c>
      <c r="O173" s="50">
        <f>IFERROR(VLOOKUP(E173,'BD - A - Mvto Cx'!$BY$15:$CA$500,3,0),0)</f>
        <v>0</v>
      </c>
      <c r="P173" s="50">
        <f>IFERROR(VLOOKUP(E173,'BD - A - Mvto Cx'!$CH$15:$CJ$500,3,0),0)</f>
        <v>0</v>
      </c>
      <c r="Q173" s="50">
        <f>IFERROR(VLOOKUP(E173,'BD - A - Mvto Cx'!$CQ$15:$CS$500,3,0),0)</f>
        <v>0</v>
      </c>
      <c r="R173" s="50">
        <f>IFERROR(VLOOKUP(E173,'BD - A - Mvto Cx'!$CZ$15:$DB$500,3,0),0)</f>
        <v>0</v>
      </c>
    </row>
    <row r="174" spans="1:18" s="41" customFormat="1">
      <c r="A174" s="37"/>
      <c r="B174" t="str">
        <f t="shared" ref="B174:B184" si="8">D174&amp;E174</f>
        <v>S331876</v>
      </c>
      <c r="C174" s="29" t="s">
        <v>261</v>
      </c>
      <c r="D174" s="27" t="s">
        <v>128</v>
      </c>
      <c r="E174" s="7">
        <v>331876</v>
      </c>
      <c r="F174" s="48" t="s">
        <v>203</v>
      </c>
      <c r="G174" s="423">
        <f>IFERROR(VLOOKUP(E174,'BD - A - Mvto Cx'!$E$15:$G$501,3,0),0)</f>
        <v>0</v>
      </c>
      <c r="H174" s="51">
        <f>IFERROR(VLOOKUP(E174,'BD - A - Mvto Cx'!$N$15:$P$500,3,0),0)</f>
        <v>0</v>
      </c>
      <c r="I174" s="50">
        <f>IFERROR(VLOOKUP(E174,'BD - A - Mvto Cx'!$W$15:$Y$500,3,0),0)</f>
        <v>0</v>
      </c>
      <c r="J174" s="50">
        <f>IFERROR(VLOOKUP(E174,'BD - A - Mvto Cx'!$AF$15:$AH$500,3,0),0)</f>
        <v>0</v>
      </c>
      <c r="K174" s="50">
        <f>IFERROR(VLOOKUP(E174,'BD - A - Mvto Cx'!$AO$15:$AQ$500,3,0),0)</f>
        <v>0</v>
      </c>
      <c r="L174" s="50">
        <f>IFERROR(VLOOKUP(E174,'BD - A - Mvto Cx'!$AX$15:$AZ$500,3,0),0)</f>
        <v>0</v>
      </c>
      <c r="M174" s="50">
        <f>IFERROR(VLOOKUP(E174,'BD - A - Mvto Cx'!$BG$15:$BI$500,3,0),0)</f>
        <v>0</v>
      </c>
      <c r="N174" s="50">
        <f>IFERROR(VLOOKUP(E174,'BD - A - Mvto Cx'!$BP$15:$BR$500,3,0),0)</f>
        <v>0</v>
      </c>
      <c r="O174" s="50">
        <f>IFERROR(VLOOKUP(E174,'BD - A - Mvto Cx'!$BY$15:$CA$500,3,0),0)</f>
        <v>0</v>
      </c>
      <c r="P174" s="50">
        <f>IFERROR(VLOOKUP(E174,'BD - A - Mvto Cx'!$CH$15:$CJ$500,3,0),0)</f>
        <v>0</v>
      </c>
      <c r="Q174" s="50">
        <f>IFERROR(VLOOKUP(E174,'BD - A - Mvto Cx'!$CQ$15:$CS$500,3,0),0)</f>
        <v>0</v>
      </c>
      <c r="R174" s="50">
        <f>IFERROR(VLOOKUP(E174,'BD - A - Mvto Cx'!$CZ$15:$DB$500,3,0),0)</f>
        <v>0</v>
      </c>
    </row>
    <row r="175" spans="1:18" s="41" customFormat="1">
      <c r="A175" s="37"/>
      <c r="B175" t="str">
        <f t="shared" ref="B175" si="9">D175&amp;E175</f>
        <v>S331877</v>
      </c>
      <c r="C175" s="29" t="s">
        <v>261</v>
      </c>
      <c r="D175" s="27" t="s">
        <v>128</v>
      </c>
      <c r="E175">
        <v>331877</v>
      </c>
      <c r="F175" s="108" t="s">
        <v>456</v>
      </c>
      <c r="G175" s="423">
        <f>IFERROR(VLOOKUP(E175,'BD - A - Mvto Cx'!$E$15:$G$501,3,0),0)</f>
        <v>0</v>
      </c>
      <c r="H175" s="51">
        <f>IFERROR(VLOOKUP(E175,'BD - A - Mvto Cx'!$N$15:$P$500,3,0),0)</f>
        <v>0</v>
      </c>
      <c r="I175" s="50">
        <f>IFERROR(VLOOKUP(E175,'BD - A - Mvto Cx'!$W$15:$Y$500,3,0),0)</f>
        <v>0</v>
      </c>
      <c r="J175" s="50">
        <f>IFERROR(VLOOKUP(E175,'BD - A - Mvto Cx'!$AF$15:$AH$500,3,0),0)</f>
        <v>0</v>
      </c>
      <c r="K175" s="50">
        <f>IFERROR(VLOOKUP(E175,'BD - A - Mvto Cx'!$AO$15:$AQ$500,3,0),0)</f>
        <v>0</v>
      </c>
      <c r="L175" s="50">
        <f>IFERROR(VLOOKUP(E175,'BD - A - Mvto Cx'!$AX$15:$AZ$500,3,0),0)</f>
        <v>0</v>
      </c>
      <c r="M175" s="50">
        <f>IFERROR(VLOOKUP(E175,'BD - A - Mvto Cx'!$BG$15:$BI$500,3,0),0)</f>
        <v>0</v>
      </c>
      <c r="N175" s="50">
        <f>IFERROR(VLOOKUP(E175,'BD - A - Mvto Cx'!$BP$15:$BR$500,3,0),0)</f>
        <v>0</v>
      </c>
      <c r="O175" s="50">
        <f>IFERROR(VLOOKUP(E175,'BD - A - Mvto Cx'!$BY$15:$CA$500,3,0),0)</f>
        <v>0</v>
      </c>
      <c r="P175" s="50">
        <f>IFERROR(VLOOKUP(E175,'BD - A - Mvto Cx'!$CH$15:$CJ$500,3,0),0)</f>
        <v>0</v>
      </c>
      <c r="Q175" s="50">
        <f>IFERROR(VLOOKUP(E175,'BD - A - Mvto Cx'!$CQ$15:$CS$500,3,0),0)</f>
        <v>0</v>
      </c>
      <c r="R175" s="50">
        <f>IFERROR(VLOOKUP(E175,'BD - A - Mvto Cx'!$CZ$15:$DB$500,3,0),0)</f>
        <v>0</v>
      </c>
    </row>
    <row r="176" spans="1:18" s="41" customFormat="1">
      <c r="A176" s="37"/>
      <c r="B176" t="str">
        <f t="shared" si="8"/>
        <v>S332406</v>
      </c>
      <c r="C176" s="29" t="s">
        <v>344</v>
      </c>
      <c r="D176" s="27" t="s">
        <v>128</v>
      </c>
      <c r="E176" s="7">
        <v>332406</v>
      </c>
      <c r="F176" s="48" t="s">
        <v>204</v>
      </c>
      <c r="G176" s="423">
        <f>IFERROR(VLOOKUP(E176,'BD - A - Mvto Cx'!$E$15:$G$501,3,0),0)</f>
        <v>0</v>
      </c>
      <c r="H176" s="51">
        <f>IFERROR(VLOOKUP(E176,'BD - A - Mvto Cx'!$N$15:$P$500,3,0),0)</f>
        <v>0</v>
      </c>
      <c r="I176" s="50">
        <f>IFERROR(VLOOKUP(E176,'BD - A - Mvto Cx'!$W$15:$Y$500,3,0),0)</f>
        <v>0</v>
      </c>
      <c r="J176" s="50">
        <f>IFERROR(VLOOKUP(E176,'BD - A - Mvto Cx'!$AF$15:$AH$500,3,0),0)</f>
        <v>0</v>
      </c>
      <c r="K176" s="50">
        <f>IFERROR(VLOOKUP(E176,'BD - A - Mvto Cx'!$AO$15:$AQ$500,3,0),0)</f>
        <v>0</v>
      </c>
      <c r="L176" s="50">
        <f>IFERROR(VLOOKUP(E176,'BD - A - Mvto Cx'!$AX$15:$AZ$500,3,0),0)</f>
        <v>0</v>
      </c>
      <c r="M176" s="50">
        <f>IFERROR(VLOOKUP(E176,'BD - A - Mvto Cx'!$BG$15:$BI$500,3,0),0)</f>
        <v>0</v>
      </c>
      <c r="N176" s="50">
        <f>IFERROR(VLOOKUP(E176,'BD - A - Mvto Cx'!$BP$15:$BR$500,3,0),0)</f>
        <v>0</v>
      </c>
      <c r="O176" s="50">
        <f>IFERROR(VLOOKUP(E176,'BD - A - Mvto Cx'!$BY$15:$CA$500,3,0),0)</f>
        <v>0</v>
      </c>
      <c r="P176" s="50">
        <f>IFERROR(VLOOKUP(E176,'BD - A - Mvto Cx'!$CH$15:$CJ$500,3,0),0)</f>
        <v>0</v>
      </c>
      <c r="Q176" s="50">
        <f>IFERROR(VLOOKUP(E176,'BD - A - Mvto Cx'!$CQ$15:$CS$500,3,0),0)</f>
        <v>0</v>
      </c>
      <c r="R176" s="50">
        <f>IFERROR(VLOOKUP(E176,'BD - A - Mvto Cx'!$CZ$15:$DB$500,3,0),0)</f>
        <v>0</v>
      </c>
    </row>
    <row r="177" spans="1:18" s="41" customFormat="1">
      <c r="A177" s="37"/>
      <c r="B177" t="str">
        <f t="shared" si="8"/>
        <v>S333101</v>
      </c>
      <c r="C177" s="7" t="s">
        <v>363</v>
      </c>
      <c r="D177" s="27" t="s">
        <v>128</v>
      </c>
      <c r="E177" s="7">
        <v>333101</v>
      </c>
      <c r="F177" s="48" t="s">
        <v>205</v>
      </c>
      <c r="G177" s="49">
        <f>IFERROR(VLOOKUP(E177,'BD - A - Mvto Cx'!$E$15:$G$501,3,0),0)</f>
        <v>0</v>
      </c>
      <c r="H177" s="51">
        <f>IFERROR(VLOOKUP(E177,'BD - A - Mvto Cx'!$N$15:$P$500,3,0),0)</f>
        <v>0</v>
      </c>
      <c r="I177" s="50">
        <f>IFERROR(VLOOKUP(E177,'BD - A - Mvto Cx'!$W$15:$Y$500,3,0),0)</f>
        <v>0</v>
      </c>
      <c r="J177" s="50">
        <f>IFERROR(VLOOKUP(E177,'BD - A - Mvto Cx'!$AF$15:$AH$500,3,0),0)</f>
        <v>0</v>
      </c>
      <c r="K177" s="50">
        <f>IFERROR(VLOOKUP(E177,'BD - A - Mvto Cx'!$AO$15:$AQ$500,3,0),0)</f>
        <v>0</v>
      </c>
      <c r="L177" s="50">
        <f>IFERROR(VLOOKUP(E177,'BD - A - Mvto Cx'!$AX$15:$AZ$500,3,0),0)</f>
        <v>0</v>
      </c>
      <c r="M177" s="50">
        <f>IFERROR(VLOOKUP(E177,'BD - A - Mvto Cx'!$BG$15:$BI$500,3,0),0)</f>
        <v>0</v>
      </c>
      <c r="N177" s="50">
        <f>IFERROR(VLOOKUP(E177,'BD - A - Mvto Cx'!$BP$15:$BR$500,3,0),0)</f>
        <v>0</v>
      </c>
      <c r="O177" s="50">
        <f>IFERROR(VLOOKUP(E177,'BD - A - Mvto Cx'!$BY$15:$CA$500,3,0),0)</f>
        <v>0</v>
      </c>
      <c r="P177" s="50">
        <f>IFERROR(VLOOKUP(E177,'BD - A - Mvto Cx'!$CH$15:$CJ$500,3,0),0)</f>
        <v>0</v>
      </c>
      <c r="Q177" s="50">
        <f>IFERROR(VLOOKUP(E177,'BD - A - Mvto Cx'!$CQ$15:$CS$500,3,0),0)</f>
        <v>0</v>
      </c>
      <c r="R177" s="50">
        <f>IFERROR(VLOOKUP(E177,'BD - A - Mvto Cx'!$CZ$15:$DB$500,3,0),0)</f>
        <v>0</v>
      </c>
    </row>
    <row r="178" spans="1:18" s="41" customFormat="1">
      <c r="A178" s="37"/>
      <c r="B178" t="str">
        <f t="shared" si="8"/>
        <v>S333104</v>
      </c>
      <c r="C178" s="7" t="s">
        <v>363</v>
      </c>
      <c r="D178" s="27" t="s">
        <v>128</v>
      </c>
      <c r="E178" s="7">
        <v>333104</v>
      </c>
      <c r="F178" s="48" t="s">
        <v>206</v>
      </c>
      <c r="G178" s="49">
        <f>IFERROR(VLOOKUP(E178,'BD - A - Mvto Cx'!$E$15:$G$501,3,0),0)</f>
        <v>70.010000000000005</v>
      </c>
      <c r="H178" s="51">
        <f>IFERROR(VLOOKUP(E178,'BD - A - Mvto Cx'!$N$15:$P$500,3,0),0)</f>
        <v>0</v>
      </c>
      <c r="I178" s="50">
        <f>IFERROR(VLOOKUP(E178,'BD - A - Mvto Cx'!$W$15:$Y$500,3,0),0)</f>
        <v>10.09</v>
      </c>
      <c r="J178" s="50">
        <f>IFERROR(VLOOKUP(E178,'BD - A - Mvto Cx'!$AF$15:$AH$500,3,0),0)</f>
        <v>0</v>
      </c>
      <c r="K178" s="50">
        <f>IFERROR(VLOOKUP(E178,'BD - A - Mvto Cx'!$AO$15:$AQ$500,3,0),0)</f>
        <v>0</v>
      </c>
      <c r="L178" s="50">
        <f>IFERROR(VLOOKUP(E178,'BD - A - Mvto Cx'!$AX$15:$AZ$500,3,0),0)</f>
        <v>0</v>
      </c>
      <c r="M178" s="50">
        <f>IFERROR(VLOOKUP(E178,'BD - A - Mvto Cx'!$BG$15:$BI$500,3,0),0)</f>
        <v>0</v>
      </c>
      <c r="N178" s="50">
        <f>IFERROR(VLOOKUP(E178,'BD - A - Mvto Cx'!$BP$15:$BR$500,3,0),0)</f>
        <v>0</v>
      </c>
      <c r="O178" s="50">
        <f>IFERROR(VLOOKUP(E178,'BD - A - Mvto Cx'!$BY$15:$CA$500,3,0),0)</f>
        <v>0</v>
      </c>
      <c r="P178" s="50">
        <f>IFERROR(VLOOKUP(E178,'BD - A - Mvto Cx'!$CH$15:$CJ$500,3,0),0)</f>
        <v>0</v>
      </c>
      <c r="Q178" s="50">
        <f>IFERROR(VLOOKUP(E178,'BD - A - Mvto Cx'!$CQ$15:$CS$500,3,0),0)</f>
        <v>0</v>
      </c>
      <c r="R178" s="50">
        <f>IFERROR(VLOOKUP(E178,'BD - A - Mvto Cx'!$CZ$15:$DB$500,3,0),0)</f>
        <v>0</v>
      </c>
    </row>
    <row r="179" spans="1:18" s="41" customFormat="1">
      <c r="A179" s="37"/>
      <c r="B179" t="str">
        <f t="shared" si="8"/>
        <v>S333105</v>
      </c>
      <c r="C179" s="7" t="s">
        <v>363</v>
      </c>
      <c r="D179" s="27" t="s">
        <v>128</v>
      </c>
      <c r="E179" s="29">
        <v>333105</v>
      </c>
      <c r="F179" s="48" t="s">
        <v>125</v>
      </c>
      <c r="G179" s="49">
        <f>IFERROR(VLOOKUP(E179,'BD - A - Mvto Cx'!$E$15:$G$501,3,0),0)</f>
        <v>48233.67</v>
      </c>
      <c r="H179" s="51">
        <f>IFERROR(VLOOKUP(E179,'BD - A - Mvto Cx'!$N$15:$P$500,3,0),0)</f>
        <v>49455.81</v>
      </c>
      <c r="I179" s="39">
        <f>IFERROR(VLOOKUP(E179,'BD - A - Mvto Cx'!$W$15:$Y$500,3,0),0)</f>
        <v>50509.39</v>
      </c>
      <c r="J179" s="50">
        <f>IFERROR(VLOOKUP(E179,'BD - A - Mvto Cx'!$AF$15:$AH$500,3,0),0)</f>
        <v>51784.2</v>
      </c>
      <c r="K179" s="50">
        <f>IFERROR(VLOOKUP(E179,'BD - A - Mvto Cx'!$AO$15:$AQ$500,3,0),0)</f>
        <v>0</v>
      </c>
      <c r="L179" s="50">
        <f>IFERROR(VLOOKUP(E179,'BD - A - Mvto Cx'!$AX$15:$AZ$500,3,0),0)</f>
        <v>0</v>
      </c>
      <c r="M179" s="50">
        <f>IFERROR(VLOOKUP(E179,'BD - A - Mvto Cx'!$BG$15:$BI$500,3,0),0)</f>
        <v>0</v>
      </c>
      <c r="N179" s="50">
        <f>IFERROR(VLOOKUP(E179,'BD - A - Mvto Cx'!$BP$15:$BR$500,3,0),0)</f>
        <v>0</v>
      </c>
      <c r="O179" s="50">
        <f>IFERROR(VLOOKUP(E179,'BD - A - Mvto Cx'!$BY$15:$CA$500,3,0),0)</f>
        <v>0</v>
      </c>
      <c r="P179" s="50">
        <f>IFERROR(VLOOKUP(E179,'BD - A - Mvto Cx'!$CH$15:$CJ$500,3,0),0)</f>
        <v>0</v>
      </c>
      <c r="Q179" s="50">
        <f>IFERROR(VLOOKUP(E179,'BD - A - Mvto Cx'!$CQ$15:$CS$500,3,0),0)</f>
        <v>0</v>
      </c>
      <c r="R179" s="50">
        <f>IFERROR(VLOOKUP(E179,'BD - A - Mvto Cx'!$CZ$15:$DB$500,3,0),0)</f>
        <v>0</v>
      </c>
    </row>
    <row r="180" spans="1:18" s="41" customFormat="1">
      <c r="A180" s="37"/>
      <c r="B180" t="str">
        <f t="shared" si="8"/>
        <v>S333107</v>
      </c>
      <c r="C180" s="7" t="s">
        <v>363</v>
      </c>
      <c r="D180" s="27" t="s">
        <v>128</v>
      </c>
      <c r="E180" s="7">
        <v>333107</v>
      </c>
      <c r="F180" s="48" t="s">
        <v>207</v>
      </c>
      <c r="G180" s="49">
        <f>IFERROR(VLOOKUP(E180,'BD - A - Mvto Cx'!$E$15:$G$501,3,0),0)</f>
        <v>7356.27</v>
      </c>
      <c r="H180" s="51">
        <f>IFERROR(VLOOKUP(E180,'BD - A - Mvto Cx'!$N$15:$P$500,3,0),0)</f>
        <v>6629.01</v>
      </c>
      <c r="I180" s="50">
        <f>IFERROR(VLOOKUP(E180,'BD - A - Mvto Cx'!$W$15:$Y$500,3,0),0)</f>
        <v>5055.6000000000004</v>
      </c>
      <c r="J180" s="50">
        <f>IFERROR(VLOOKUP(E180,'BD - A - Mvto Cx'!$AF$15:$AH$500,3,0),0)</f>
        <v>5422.29</v>
      </c>
      <c r="K180" s="50">
        <f>IFERROR(VLOOKUP(E180,'BD - A - Mvto Cx'!$AO$15:$AQ$500,3,0),0)</f>
        <v>0</v>
      </c>
      <c r="L180" s="50">
        <f>IFERROR(VLOOKUP(E180,'BD - A - Mvto Cx'!$AX$15:$AZ$500,3,0),0)</f>
        <v>0</v>
      </c>
      <c r="M180" s="50">
        <f>IFERROR(VLOOKUP(E180,'BD - A - Mvto Cx'!$BG$15:$BI$500,3,0),0)</f>
        <v>0</v>
      </c>
      <c r="N180" s="50">
        <f>IFERROR(VLOOKUP(E180,'BD - A - Mvto Cx'!$BP$15:$BR$500,3,0),0)</f>
        <v>0</v>
      </c>
      <c r="O180" s="50">
        <f>IFERROR(VLOOKUP(E180,'BD - A - Mvto Cx'!$BY$15:$CA$500,3,0),0)</f>
        <v>0</v>
      </c>
      <c r="P180" s="50">
        <f>IFERROR(VLOOKUP(E180,'BD - A - Mvto Cx'!$CH$15:$CJ$500,3,0),0)</f>
        <v>0</v>
      </c>
      <c r="Q180" s="50">
        <f>IFERROR(VLOOKUP(E180,'BD - A - Mvto Cx'!$CQ$15:$CS$500,3,0),0)</f>
        <v>0</v>
      </c>
      <c r="R180" s="50">
        <f>IFERROR(VLOOKUP(E180,'BD - A - Mvto Cx'!$CZ$15:$DB$500,3,0),0)</f>
        <v>0</v>
      </c>
    </row>
    <row r="181" spans="1:18" s="41" customFormat="1">
      <c r="A181" s="37"/>
      <c r="B181" t="str">
        <f t="shared" si="8"/>
        <v>S333108</v>
      </c>
      <c r="C181" s="7" t="s">
        <v>363</v>
      </c>
      <c r="D181" s="27" t="s">
        <v>128</v>
      </c>
      <c r="E181" s="7">
        <v>333108</v>
      </c>
      <c r="F181" s="48" t="s">
        <v>208</v>
      </c>
      <c r="G181" s="49">
        <f>IFERROR(VLOOKUP(E181,'BD - A - Mvto Cx'!$E$15:$G$501,3,0),0)</f>
        <v>0</v>
      </c>
      <c r="H181" s="51">
        <f>IFERROR(VLOOKUP(E181,'BD - A - Mvto Cx'!$N$15:$P$500,3,0),0)</f>
        <v>0</v>
      </c>
      <c r="I181" s="50">
        <f>IFERROR(VLOOKUP(E181,'BD - A - Mvto Cx'!$W$15:$Y$500,3,0),0)</f>
        <v>0</v>
      </c>
      <c r="J181" s="50">
        <f>IFERROR(VLOOKUP(E181,'BD - A - Mvto Cx'!$AF$15:$AH$500,3,0),0)</f>
        <v>0</v>
      </c>
      <c r="K181" s="50">
        <f>IFERROR(VLOOKUP(E181,'BD - A - Mvto Cx'!$AO$15:$AQ$500,3,0),0)</f>
        <v>0</v>
      </c>
      <c r="L181" s="50">
        <f>IFERROR(VLOOKUP(E181,'BD - A - Mvto Cx'!$AX$15:$AZ$500,3,0),0)</f>
        <v>0</v>
      </c>
      <c r="M181" s="50">
        <f>IFERROR(VLOOKUP(E181,'BD - A - Mvto Cx'!$BG$15:$BI$500,3,0),0)</f>
        <v>0</v>
      </c>
      <c r="N181" s="50">
        <f>IFERROR(VLOOKUP(E181,'BD - A - Mvto Cx'!$BP$15:$BR$500,3,0),0)</f>
        <v>0</v>
      </c>
      <c r="O181" s="50">
        <f>IFERROR(VLOOKUP(E181,'BD - A - Mvto Cx'!$BY$15:$CA$500,3,0),0)</f>
        <v>0</v>
      </c>
      <c r="P181" s="50">
        <f>IFERROR(VLOOKUP(E181,'BD - A - Mvto Cx'!$CH$15:$CJ$500,3,0),0)</f>
        <v>0</v>
      </c>
      <c r="Q181" s="50">
        <f>IFERROR(VLOOKUP(E181,'BD - A - Mvto Cx'!$CQ$15:$CS$500,3,0),0)</f>
        <v>0</v>
      </c>
      <c r="R181" s="50">
        <f>IFERROR(VLOOKUP(E181,'BD - A - Mvto Cx'!$CZ$15:$DB$500,3,0),0)</f>
        <v>0</v>
      </c>
    </row>
    <row r="182" spans="1:18" s="41" customFormat="1">
      <c r="A182" s="37"/>
      <c r="B182" t="str">
        <f t="shared" si="8"/>
        <v>S333109</v>
      </c>
      <c r="C182" s="7" t="s">
        <v>364</v>
      </c>
      <c r="D182" s="27" t="s">
        <v>128</v>
      </c>
      <c r="E182" s="7">
        <v>333109</v>
      </c>
      <c r="F182" s="48" t="s">
        <v>209</v>
      </c>
      <c r="G182" s="49">
        <f>IFERROR(VLOOKUP(E182,'BD - A - Mvto Cx'!$E$15:$G$501,3,0),0)</f>
        <v>0</v>
      </c>
      <c r="H182" s="51">
        <f>IFERROR(VLOOKUP(E182,'BD - A - Mvto Cx'!$N$15:$P$500,3,0),0)</f>
        <v>0</v>
      </c>
      <c r="I182" s="50">
        <f>IFERROR(VLOOKUP(E182,'BD - A - Mvto Cx'!$W$15:$Y$500,3,0),0)</f>
        <v>0</v>
      </c>
      <c r="J182" s="50">
        <f>IFERROR(VLOOKUP(E182,'BD - A - Mvto Cx'!$AF$15:$AH$500,3,0),0)</f>
        <v>0</v>
      </c>
      <c r="K182" s="50">
        <f>IFERROR(VLOOKUP(E182,'BD - A - Mvto Cx'!$AO$15:$AQ$500,3,0),0)</f>
        <v>0</v>
      </c>
      <c r="L182" s="50">
        <f>IFERROR(VLOOKUP(E182,'BD - A - Mvto Cx'!$AX$15:$AZ$500,3,0),0)</f>
        <v>0</v>
      </c>
      <c r="M182" s="50">
        <f>IFERROR(VLOOKUP(E182,'BD - A - Mvto Cx'!$BG$15:$BI$500,3,0),0)</f>
        <v>0</v>
      </c>
      <c r="N182" s="50">
        <f>IFERROR(VLOOKUP(E182,'BD - A - Mvto Cx'!$BP$15:$BR$500,3,0),0)</f>
        <v>0</v>
      </c>
      <c r="O182" s="50">
        <f>IFERROR(VLOOKUP(E182,'BD - A - Mvto Cx'!$BY$15:$CA$500,3,0),0)</f>
        <v>0</v>
      </c>
      <c r="P182" s="50">
        <f>IFERROR(VLOOKUP(E182,'BD - A - Mvto Cx'!$CH$15:$CJ$500,3,0),0)</f>
        <v>0</v>
      </c>
      <c r="Q182" s="50">
        <f>IFERROR(VLOOKUP(E182,'BD - A - Mvto Cx'!$CQ$15:$CS$500,3,0),0)</f>
        <v>0</v>
      </c>
      <c r="R182" s="50">
        <f>IFERROR(VLOOKUP(E182,'BD - A - Mvto Cx'!$CZ$15:$DB$500,3,0),0)</f>
        <v>0</v>
      </c>
    </row>
    <row r="183" spans="1:18" s="41" customFormat="1">
      <c r="A183" s="37"/>
      <c r="B183" t="str">
        <f t="shared" si="8"/>
        <v>S333110</v>
      </c>
      <c r="C183" s="7" t="s">
        <v>364</v>
      </c>
      <c r="D183" s="27" t="s">
        <v>128</v>
      </c>
      <c r="E183" s="7">
        <v>333110</v>
      </c>
      <c r="F183" s="48" t="s">
        <v>210</v>
      </c>
      <c r="G183" s="49">
        <f>IFERROR(VLOOKUP(E183,'BD - A - Mvto Cx'!$E$15:$G$501,3,0),0)</f>
        <v>2.93</v>
      </c>
      <c r="H183" s="51">
        <f>IFERROR(VLOOKUP(E183,'BD - A - Mvto Cx'!$N$15:$P$500,3,0),0)</f>
        <v>1.0900000000000001</v>
      </c>
      <c r="I183" s="50">
        <f>IFERROR(VLOOKUP(E183,'BD - A - Mvto Cx'!$W$15:$Y$500,3,0),0)</f>
        <v>0</v>
      </c>
      <c r="J183" s="50">
        <f>IFERROR(VLOOKUP(E183,'BD - A - Mvto Cx'!$AF$15:$AH$500,3,0),0)</f>
        <v>0</v>
      </c>
      <c r="K183" s="50">
        <f>IFERROR(VLOOKUP(E183,'BD - A - Mvto Cx'!$AO$15:$AQ$500,3,0),0)</f>
        <v>0</v>
      </c>
      <c r="L183" s="50">
        <f>IFERROR(VLOOKUP(E183,'BD - A - Mvto Cx'!$AX$15:$AZ$500,3,0),0)</f>
        <v>0</v>
      </c>
      <c r="M183" s="50">
        <f>IFERROR(VLOOKUP(E183,'BD - A - Mvto Cx'!$BG$15:$BI$500,3,0),0)</f>
        <v>0</v>
      </c>
      <c r="N183" s="50">
        <f>IFERROR(VLOOKUP(E183,'BD - A - Mvto Cx'!$BP$15:$BR$500,3,0),0)</f>
        <v>0</v>
      </c>
      <c r="O183" s="50">
        <f>IFERROR(VLOOKUP(E183,'BD - A - Mvto Cx'!$BY$15:$CA$500,3,0),0)</f>
        <v>0</v>
      </c>
      <c r="P183" s="50">
        <f>IFERROR(VLOOKUP(E183,'BD - A - Mvto Cx'!$CH$15:$CJ$500,3,0),0)</f>
        <v>0</v>
      </c>
      <c r="Q183" s="50">
        <f>IFERROR(VLOOKUP(E183,'BD - A - Mvto Cx'!$CQ$15:$CS$500,3,0),0)</f>
        <v>0</v>
      </c>
      <c r="R183" s="50">
        <f>IFERROR(VLOOKUP(E183,'BD - A - Mvto Cx'!$CZ$15:$DB$500,3,0),0)</f>
        <v>0</v>
      </c>
    </row>
    <row r="184" spans="1:18" s="41" customFormat="1">
      <c r="A184" s="37"/>
      <c r="B184" t="str">
        <f t="shared" si="8"/>
        <v>S333111</v>
      </c>
      <c r="C184" s="7" t="s">
        <v>127</v>
      </c>
      <c r="D184" s="27" t="s">
        <v>128</v>
      </c>
      <c r="E184" s="7">
        <v>333111</v>
      </c>
      <c r="F184" s="48" t="s">
        <v>126</v>
      </c>
      <c r="G184" s="49">
        <f>IFERROR(VLOOKUP(E184,'BD - A - Mvto Cx'!$E$15:$G$501,3,0),0)</f>
        <v>0</v>
      </c>
      <c r="H184" s="51">
        <f>IFERROR(VLOOKUP(E184,'BD - A - Mvto Cx'!$N$15:$P$500,3,0),0)</f>
        <v>0</v>
      </c>
      <c r="I184" s="50">
        <f>IFERROR(VLOOKUP(E184,'BD - A - Mvto Cx'!$W$15:$Y$500,3,0),0)</f>
        <v>0</v>
      </c>
      <c r="J184" s="50">
        <f>IFERROR(VLOOKUP(E184,'BD - A - Mvto Cx'!$AF$15:$AH$500,3,0),0)</f>
        <v>0</v>
      </c>
      <c r="K184" s="50">
        <f>IFERROR(VLOOKUP(E184,'BD - A - Mvto Cx'!$AO$15:$AQ$500,3,0),0)</f>
        <v>0</v>
      </c>
      <c r="L184" s="50">
        <f>IFERROR(VLOOKUP(E184,'BD - A - Mvto Cx'!$AX$15:$AZ$500,3,0),0)</f>
        <v>0</v>
      </c>
      <c r="M184" s="50">
        <f>IFERROR(VLOOKUP(E184,'BD - A - Mvto Cx'!$BG$15:$BI$500,3,0),0)</f>
        <v>0</v>
      </c>
      <c r="N184" s="50">
        <f>IFERROR(VLOOKUP(E184,'BD - A - Mvto Cx'!$BP$15:$BR$500,3,0),0)</f>
        <v>0</v>
      </c>
      <c r="O184" s="50">
        <f>IFERROR(VLOOKUP(E184,'BD - A - Mvto Cx'!$BY$15:$CA$500,3,0),0)</f>
        <v>0</v>
      </c>
      <c r="P184" s="50">
        <f>IFERROR(VLOOKUP(E184,'BD - A - Mvto Cx'!$CH$15:$CJ$500,3,0),0)</f>
        <v>0</v>
      </c>
      <c r="Q184" s="50">
        <f>IFERROR(VLOOKUP(E184,'BD - A - Mvto Cx'!$CQ$15:$CS$500,3,0),0)</f>
        <v>0</v>
      </c>
      <c r="R184" s="50">
        <f>IFERROR(VLOOKUP(E184,'BD - A - Mvto Cx'!$CZ$15:$DB$500,3,0),0)</f>
        <v>0</v>
      </c>
    </row>
    <row r="185" spans="1:18" s="41" customFormat="1">
      <c r="A185" s="40"/>
      <c r="B185" s="56"/>
      <c r="C185" s="56"/>
      <c r="D185" s="56"/>
      <c r="E185" s="56"/>
      <c r="F185" s="56"/>
      <c r="G185" s="424"/>
      <c r="H185" s="57"/>
      <c r="I185" s="57"/>
      <c r="J185" s="57"/>
      <c r="K185" s="57"/>
      <c r="L185" s="57"/>
      <c r="M185" s="58"/>
      <c r="N185" s="58"/>
      <c r="O185" s="58"/>
      <c r="P185" s="58"/>
      <c r="Q185" s="58"/>
    </row>
    <row r="186" spans="1:18" s="41" customFormat="1">
      <c r="A186" s="40"/>
      <c r="B186" s="56"/>
      <c r="C186" s="56"/>
      <c r="D186" s="56"/>
      <c r="E186" s="56"/>
      <c r="F186" s="56"/>
      <c r="G186" s="56"/>
      <c r="H186" s="107"/>
      <c r="I186" s="56"/>
      <c r="J186" s="56"/>
      <c r="K186" s="56"/>
      <c r="L186" s="56"/>
      <c r="M186" s="56"/>
      <c r="N186" s="58"/>
      <c r="O186" s="58"/>
      <c r="P186" s="58"/>
      <c r="Q186" s="58"/>
    </row>
    <row r="187" spans="1:18" s="41" customFormat="1">
      <c r="A187" s="40"/>
      <c r="B187" s="56"/>
      <c r="C187" s="56"/>
      <c r="D187" s="56"/>
      <c r="E187" s="56"/>
      <c r="F187" s="56"/>
      <c r="G187" s="107"/>
      <c r="H187" s="56"/>
      <c r="I187" s="56"/>
      <c r="J187" s="56"/>
      <c r="K187" s="56"/>
      <c r="L187" s="56"/>
      <c r="M187" s="56"/>
      <c r="N187" s="58"/>
      <c r="O187" s="58"/>
      <c r="P187" s="58"/>
      <c r="Q187" s="58"/>
    </row>
    <row r="188" spans="1:18" s="41" customFormat="1">
      <c r="A188" s="40"/>
      <c r="B188" s="56"/>
      <c r="C188" s="56"/>
      <c r="D188" s="56"/>
      <c r="E188" s="56"/>
      <c r="F188" s="56"/>
      <c r="G188" s="59"/>
      <c r="H188" s="59"/>
      <c r="I188" s="59"/>
      <c r="J188" s="59"/>
      <c r="K188" s="59"/>
      <c r="L188" s="59"/>
      <c r="M188" s="58"/>
      <c r="N188" s="58"/>
      <c r="O188" s="58"/>
      <c r="P188" s="58"/>
      <c r="Q188" s="58"/>
    </row>
    <row r="189" spans="1:18" s="41" customFormat="1">
      <c r="A189" s="40"/>
      <c r="B189" s="56"/>
      <c r="C189" s="56"/>
      <c r="D189" s="56"/>
      <c r="E189" s="56"/>
      <c r="F189" s="368" t="s">
        <v>211</v>
      </c>
      <c r="G189" s="51">
        <f>'BD - A - Mvto Cx'!C14</f>
        <v>313112.02</v>
      </c>
      <c r="H189" s="51">
        <f>'BD - A - Mvto Cx'!L14</f>
        <v>1102236.95</v>
      </c>
      <c r="I189" s="51">
        <f>'BD - A - Mvto Cx'!U14</f>
        <v>1006881.83</v>
      </c>
      <c r="J189" s="51">
        <f>'BD - A - Mvto Cx'!AD14</f>
        <v>156933.01</v>
      </c>
      <c r="K189" s="72">
        <f>'BD - A - Mvto Cx'!AM14</f>
        <v>0</v>
      </c>
      <c r="L189" s="72">
        <f>'BD - A - Mvto Cx'!AV14</f>
        <v>0</v>
      </c>
      <c r="M189" s="51">
        <f>'BD - A - Mvto Cx'!BE14</f>
        <v>0</v>
      </c>
      <c r="N189" s="51">
        <f>'BD - A - Mvto Cx'!BN14</f>
        <v>0</v>
      </c>
      <c r="O189" s="51">
        <f>'BD - A - Mvto Cx'!BW14</f>
        <v>0</v>
      </c>
      <c r="P189" s="51">
        <f>'BD - A - Mvto Cx'!CF14</f>
        <v>0</v>
      </c>
      <c r="Q189" s="51">
        <f>'BD - A - Mvto Cx'!CO14</f>
        <v>0</v>
      </c>
      <c r="R189" s="51">
        <f>'BD - A - Mvto Cx'!CX14</f>
        <v>0</v>
      </c>
    </row>
    <row r="190" spans="1:18" s="41" customFormat="1">
      <c r="A190" s="40"/>
      <c r="B190" s="56"/>
      <c r="C190" s="56"/>
      <c r="D190" s="56"/>
      <c r="E190" s="56"/>
      <c r="F190" s="368" t="s">
        <v>212</v>
      </c>
      <c r="G190" s="51">
        <f>'BD - A - Mvto Cx'!H14</f>
        <v>1102236.95</v>
      </c>
      <c r="H190" s="51">
        <f>'BD - A - Mvto Cx'!Q14</f>
        <v>1006881.83</v>
      </c>
      <c r="I190" s="51">
        <f>'BD - A - Mvto Cx'!Z14</f>
        <v>156933.01</v>
      </c>
      <c r="J190" s="51">
        <f>'BD - A - Mvto Cx'!AI14</f>
        <v>-17532.259999999998</v>
      </c>
      <c r="K190" s="51">
        <f>'BD - A - Mvto Cx'!AR14</f>
        <v>0</v>
      </c>
      <c r="L190" s="51">
        <f>'BD - A - Mvto Cx'!BA14</f>
        <v>0</v>
      </c>
      <c r="M190" s="145">
        <f>'BD - A - Mvto Cx'!BJ14</f>
        <v>0</v>
      </c>
      <c r="N190" s="175">
        <f>'BD - A - Mvto Cx'!BS14</f>
        <v>0</v>
      </c>
      <c r="O190" s="175">
        <f>'BD - A - Mvto Cx'!CB14</f>
        <v>0</v>
      </c>
      <c r="P190" s="175">
        <f>'BD - A - Mvto Cx'!CK14</f>
        <v>0</v>
      </c>
      <c r="Q190" s="175">
        <f>'BD - A - Mvto Cx'!CT14</f>
        <v>0</v>
      </c>
      <c r="R190" s="175">
        <f>'BD - A - Mvto Cx'!DC14</f>
        <v>0</v>
      </c>
    </row>
    <row r="191" spans="1:18" s="41" customFormat="1">
      <c r="A191" s="40"/>
      <c r="B191" s="61"/>
      <c r="C191" s="61"/>
      <c r="D191" s="61"/>
      <c r="E191" s="61"/>
      <c r="F191" s="368" t="s">
        <v>213</v>
      </c>
      <c r="G191" s="62">
        <f t="shared" ref="G191:O191" si="10">G190-G189</f>
        <v>789124.92999999993</v>
      </c>
      <c r="H191" s="62">
        <f t="shared" si="10"/>
        <v>-95355.12</v>
      </c>
      <c r="I191" s="62">
        <f t="shared" si="10"/>
        <v>-849948.82</v>
      </c>
      <c r="J191" s="62">
        <f t="shared" si="10"/>
        <v>-174465.27000000002</v>
      </c>
      <c r="K191" s="62">
        <f>K190-K189</f>
        <v>0</v>
      </c>
      <c r="L191" s="62">
        <f t="shared" si="10"/>
        <v>0</v>
      </c>
      <c r="M191" s="62">
        <f t="shared" si="10"/>
        <v>0</v>
      </c>
      <c r="N191" s="62">
        <f t="shared" si="10"/>
        <v>0</v>
      </c>
      <c r="O191" s="62">
        <f t="shared" si="10"/>
        <v>0</v>
      </c>
      <c r="P191" s="62">
        <f t="shared" ref="P191:R191" si="11">P190-P189</f>
        <v>0</v>
      </c>
      <c r="Q191" s="62">
        <f t="shared" si="11"/>
        <v>0</v>
      </c>
      <c r="R191" s="62">
        <f t="shared" si="11"/>
        <v>0</v>
      </c>
    </row>
    <row r="192" spans="1:18" s="41" customFormat="1">
      <c r="A192" s="40"/>
      <c r="B192" s="61"/>
      <c r="C192" s="61"/>
      <c r="D192" s="61"/>
      <c r="E192" s="61"/>
      <c r="F192" s="368" t="s">
        <v>30</v>
      </c>
      <c r="G192" s="51">
        <f>SUMIF($D$3:$D$184,"E",$G$3:$G$184)</f>
        <v>4391783.1300000008</v>
      </c>
      <c r="H192" s="51">
        <f>SUMIF($D$3:$D$184,"E",$H$3:$H$184)</f>
        <v>3454302.7700000005</v>
      </c>
      <c r="I192" s="49">
        <f>SUMIF($D$3:$D$184,"E",$I$3:$I$184)</f>
        <v>3815781.11</v>
      </c>
      <c r="J192" s="49">
        <f>SUMIF($D$3:$D$184,"E",$J$3:$J$184)</f>
        <v>3343230.7299999995</v>
      </c>
      <c r="K192" s="49">
        <f>SUMIF($D$3:$D$184,"E",$K$3:$K$184)</f>
        <v>0</v>
      </c>
      <c r="L192" s="49">
        <f>SUMIF($D$3:$D$184,"E",$L$3:$L$184)</f>
        <v>0</v>
      </c>
      <c r="M192" s="49">
        <f>SUMIF($D$3:$D$184,"E",$M$3:$M$184)</f>
        <v>0</v>
      </c>
      <c r="N192" s="49">
        <f>SUMIF($D$3:$D$184,"E",$N$3:$N$184)</f>
        <v>0</v>
      </c>
      <c r="O192" s="49">
        <f>SUMIF($D$3:$D$184,"E",$O$3:$O$184)</f>
        <v>0</v>
      </c>
      <c r="P192" s="49">
        <f>SUMIF($D$3:$D$184,"E",$P$3:$P$184)</f>
        <v>0</v>
      </c>
      <c r="Q192" s="49">
        <f>SUMIF($D$3:$D$184,"E",$Q$3:$Q$184)</f>
        <v>0</v>
      </c>
      <c r="R192" s="49">
        <f>SUMIF($D$3:$D$184,"E",$R$3:$R$184)</f>
        <v>0</v>
      </c>
    </row>
    <row r="193" spans="1:18" s="41" customFormat="1">
      <c r="A193" s="40"/>
      <c r="B193" s="63"/>
      <c r="C193" s="63"/>
      <c r="D193" s="63"/>
      <c r="E193" s="63"/>
      <c r="F193" s="368" t="s">
        <v>27</v>
      </c>
      <c r="G193" s="51">
        <f>SUMIF($D$3:$D$184,"S",$G$3:$G$184)</f>
        <v>3602658.2000000007</v>
      </c>
      <c r="H193" s="51">
        <f>SUMIF($D$3:$D$184,"S",$H$3:$H$184)</f>
        <v>3549657.8900000006</v>
      </c>
      <c r="I193" s="49">
        <f>SUMIF($D$3:$D$184,"S",$I$3:$I$184)</f>
        <v>4665729.9300000016</v>
      </c>
      <c r="J193" s="49">
        <f>SUMIF($D$3:$D$184,"S",$J$3:$J$184)</f>
        <v>3517696.0000000005</v>
      </c>
      <c r="K193" s="49">
        <f>SUMIF($D$3:$D$184,"S",$K$3:$K$184)</f>
        <v>0</v>
      </c>
      <c r="L193" s="49">
        <f>SUMIF($D$3:$D$184,"S",$L$3:$L$184)</f>
        <v>0</v>
      </c>
      <c r="M193" s="49">
        <f>SUMIF($D$3:$D$184,"S",$M$3:$M$184)</f>
        <v>0</v>
      </c>
      <c r="N193" s="49">
        <f>SUMIF($D$3:$D$184,"S",$N$3:$N$184)</f>
        <v>0</v>
      </c>
      <c r="O193" s="49">
        <f>SUMIF($D$3:$D$184,"S",$O$3:$O$184)</f>
        <v>0</v>
      </c>
      <c r="P193" s="49">
        <f>SUMIF($D$3:$D$184,"S",$P$3:$P$184)</f>
        <v>0</v>
      </c>
      <c r="Q193" s="49">
        <f>SUMIF($D$3:$D$184,"S",$Q$3:$Q$184)</f>
        <v>0</v>
      </c>
      <c r="R193" s="49">
        <f>SUMIF($D$3:$D$184,"S",$R$3:$R$184)</f>
        <v>0</v>
      </c>
    </row>
    <row r="194" spans="1:18" s="41" customFormat="1">
      <c r="A194" s="40"/>
      <c r="B194" s="63"/>
      <c r="C194" s="63"/>
      <c r="D194" s="63"/>
      <c r="E194" s="63"/>
      <c r="F194" s="368" t="s">
        <v>213</v>
      </c>
      <c r="G194" s="62">
        <f t="shared" ref="G194:N194" si="12">G192-G193</f>
        <v>789124.93000000017</v>
      </c>
      <c r="H194" s="62">
        <f t="shared" si="12"/>
        <v>-95355.120000000112</v>
      </c>
      <c r="I194" s="62">
        <f t="shared" si="12"/>
        <v>-849948.8200000017</v>
      </c>
      <c r="J194" s="62">
        <f t="shared" si="12"/>
        <v>-174465.27000000095</v>
      </c>
      <c r="K194" s="62">
        <f>K192-K193</f>
        <v>0</v>
      </c>
      <c r="L194" s="62">
        <f t="shared" si="12"/>
        <v>0</v>
      </c>
      <c r="M194" s="62">
        <f t="shared" si="12"/>
        <v>0</v>
      </c>
      <c r="N194" s="62">
        <f t="shared" si="12"/>
        <v>0</v>
      </c>
      <c r="O194" s="62">
        <f>O192-O193</f>
        <v>0</v>
      </c>
      <c r="P194" s="62">
        <f>P192-P193</f>
        <v>0</v>
      </c>
      <c r="Q194" s="62">
        <f>Q192-Q193</f>
        <v>0</v>
      </c>
      <c r="R194" s="62">
        <f>R192-R193</f>
        <v>0</v>
      </c>
    </row>
    <row r="195" spans="1:18" s="41" customFormat="1">
      <c r="A195" s="40"/>
      <c r="B195" s="63"/>
      <c r="C195" s="63"/>
      <c r="D195" s="63"/>
      <c r="E195" s="63"/>
      <c r="F195" s="368" t="s">
        <v>214</v>
      </c>
      <c r="G195" s="140">
        <f>G191-G194</f>
        <v>0</v>
      </c>
      <c r="H195" s="62">
        <f>H191-H194</f>
        <v>1.1641532182693481E-10</v>
      </c>
      <c r="I195" s="62">
        <f t="shared" ref="I195:N195" si="13">I191-I194</f>
        <v>1.7462298274040222E-9</v>
      </c>
      <c r="J195" s="62">
        <f t="shared" si="13"/>
        <v>9.3132257461547852E-10</v>
      </c>
      <c r="K195" s="421">
        <f t="shared" si="13"/>
        <v>0</v>
      </c>
      <c r="L195" s="62">
        <f t="shared" si="13"/>
        <v>0</v>
      </c>
      <c r="M195" s="62">
        <f t="shared" si="13"/>
        <v>0</v>
      </c>
      <c r="N195" s="62">
        <f t="shared" si="13"/>
        <v>0</v>
      </c>
      <c r="O195" s="62">
        <f>O191-O194</f>
        <v>0</v>
      </c>
      <c r="P195" s="62">
        <f t="shared" ref="P195:R195" si="14">P191-P194</f>
        <v>0</v>
      </c>
      <c r="Q195" s="62">
        <f t="shared" si="14"/>
        <v>0</v>
      </c>
      <c r="R195" s="62">
        <f t="shared" si="14"/>
        <v>0</v>
      </c>
    </row>
    <row r="196" spans="1:18" s="41" customFormat="1">
      <c r="A196" s="40"/>
      <c r="B196" s="63"/>
      <c r="C196" s="63"/>
      <c r="D196" s="63"/>
      <c r="E196" s="63"/>
      <c r="F196" s="63"/>
      <c r="G196" s="64"/>
      <c r="H196" s="64"/>
      <c r="I196" s="64"/>
      <c r="J196" s="64"/>
      <c r="K196" s="64"/>
      <c r="L196" s="58"/>
      <c r="M196" s="58"/>
      <c r="N196" s="58"/>
      <c r="O196" s="58"/>
      <c r="P196" s="58"/>
      <c r="Q196" s="58"/>
      <c r="R196" s="58"/>
    </row>
    <row r="197" spans="1:18" s="41" customFormat="1">
      <c r="A197" s="40"/>
      <c r="B197" s="63"/>
      <c r="C197" s="63"/>
      <c r="D197" s="63"/>
      <c r="E197" s="63"/>
      <c r="F197" s="368" t="s">
        <v>575</v>
      </c>
      <c r="G197" s="65">
        <f>PALATO!E73</f>
        <v>789124.92999999912</v>
      </c>
      <c r="H197" s="65">
        <f>PALATO!K73</f>
        <v>-95355.120000000825</v>
      </c>
      <c r="I197" s="65">
        <f>PALATO!R73</f>
        <v>-849948.82000000076</v>
      </c>
      <c r="J197" s="65">
        <f>PALATO!Y73</f>
        <v>-174465.27000000019</v>
      </c>
      <c r="K197" s="65">
        <f>PALATO!AF73</f>
        <v>0</v>
      </c>
      <c r="L197" s="175">
        <f>PALATO!AM73</f>
        <v>0</v>
      </c>
      <c r="M197" s="175">
        <f>PALATO!AT73</f>
        <v>0</v>
      </c>
      <c r="N197" s="175">
        <f>PALATO!BA73</f>
        <v>0</v>
      </c>
      <c r="O197" s="175">
        <f>PALATO!BH73</f>
        <v>0</v>
      </c>
      <c r="P197" s="175">
        <f>PALATO!BO73</f>
        <v>0</v>
      </c>
      <c r="Q197" s="175">
        <f>PALATO!BV73</f>
        <v>0</v>
      </c>
      <c r="R197" s="175">
        <f>PALATO!CC73</f>
        <v>0</v>
      </c>
    </row>
    <row r="198" spans="1:18" s="41" customFormat="1">
      <c r="A198" s="40"/>
      <c r="B198" s="63"/>
      <c r="C198" s="63"/>
      <c r="D198" s="63"/>
      <c r="E198" s="63"/>
      <c r="F198" s="63"/>
      <c r="G198" s="66"/>
      <c r="H198" s="66"/>
      <c r="I198" s="66"/>
      <c r="J198" s="66"/>
      <c r="K198" s="66"/>
      <c r="L198" s="58"/>
      <c r="M198" s="58"/>
      <c r="N198" s="58"/>
      <c r="O198" s="58"/>
      <c r="P198" s="58"/>
      <c r="Q198" s="58"/>
      <c r="R198" s="58"/>
    </row>
    <row r="199" spans="1:18" s="41" customFormat="1">
      <c r="A199" s="40"/>
      <c r="B199" s="63"/>
      <c r="C199" s="63"/>
      <c r="D199" s="63"/>
      <c r="E199" s="63"/>
      <c r="F199" s="63"/>
      <c r="G199" s="65">
        <f>G194-G197</f>
        <v>1.0477378964424133E-9</v>
      </c>
      <c r="H199" s="65">
        <f t="shared" ref="H199:N199" si="15">H194-H197</f>
        <v>7.1304384618997574E-10</v>
      </c>
      <c r="I199" s="65">
        <f t="shared" si="15"/>
        <v>-9.3132257461547852E-10</v>
      </c>
      <c r="J199" s="65">
        <f t="shared" si="15"/>
        <v>-7.5669959187507629E-10</v>
      </c>
      <c r="K199" s="175">
        <f t="shared" si="15"/>
        <v>0</v>
      </c>
      <c r="L199" s="175">
        <f>L194-L197</f>
        <v>0</v>
      </c>
      <c r="M199" s="175">
        <f t="shared" si="15"/>
        <v>0</v>
      </c>
      <c r="N199" s="175">
        <f t="shared" si="15"/>
        <v>0</v>
      </c>
      <c r="O199" s="175">
        <f>O194-O197</f>
        <v>0</v>
      </c>
      <c r="P199" s="65">
        <f>P194-P197</f>
        <v>0</v>
      </c>
      <c r="Q199" s="65">
        <f t="shared" ref="Q199:R199" si="16">Q194-Q197</f>
        <v>0</v>
      </c>
      <c r="R199" s="65">
        <f t="shared" si="16"/>
        <v>0</v>
      </c>
    </row>
    <row r="200" spans="1:18" s="41" customFormat="1">
      <c r="A200" s="40"/>
      <c r="B200" s="63"/>
      <c r="C200" s="63"/>
      <c r="D200" s="63"/>
      <c r="E200" s="63"/>
      <c r="F200" s="63"/>
      <c r="G200" s="66"/>
      <c r="H200" s="66"/>
      <c r="I200" s="66"/>
      <c r="J200" s="66"/>
      <c r="K200" s="67"/>
      <c r="L200" s="67"/>
      <c r="M200" s="67"/>
      <c r="N200" s="67"/>
      <c r="O200" s="58"/>
      <c r="P200" s="58"/>
      <c r="Q200" s="58"/>
    </row>
    <row r="201" spans="1:18" s="41" customFormat="1">
      <c r="A201" s="40"/>
      <c r="B201" s="63"/>
      <c r="C201" s="63"/>
      <c r="D201" s="63"/>
      <c r="E201" s="63"/>
      <c r="F201" s="63"/>
      <c r="G201" s="67"/>
      <c r="H201" s="67"/>
      <c r="I201" s="67"/>
      <c r="J201" s="67"/>
      <c r="K201" s="67"/>
      <c r="L201" s="67"/>
      <c r="M201" s="67"/>
      <c r="N201" s="67"/>
      <c r="O201" s="58"/>
      <c r="P201" s="58"/>
      <c r="Q201" s="58"/>
    </row>
    <row r="202" spans="1:18" s="41" customFormat="1">
      <c r="A202" s="40"/>
      <c r="B202" s="63"/>
      <c r="C202" s="63"/>
      <c r="D202" s="63"/>
      <c r="E202" s="63"/>
      <c r="F202" s="63"/>
      <c r="G202" s="66"/>
      <c r="H202" s="66"/>
      <c r="I202" s="66"/>
      <c r="J202" s="66"/>
      <c r="K202" s="66"/>
      <c r="L202" s="58"/>
      <c r="M202" s="58"/>
      <c r="N202" s="383"/>
      <c r="O202" s="58"/>
      <c r="P202" s="58"/>
      <c r="Q202" s="58"/>
    </row>
    <row r="203" spans="1:18" s="41" customFormat="1">
      <c r="A203" s="40"/>
      <c r="B203" s="63"/>
      <c r="C203" s="63"/>
      <c r="D203" s="63"/>
      <c r="E203" s="63"/>
      <c r="F203" s="63"/>
      <c r="G203" s="66"/>
      <c r="H203" s="67"/>
      <c r="I203" s="66"/>
      <c r="J203" s="66"/>
      <c r="K203" s="66"/>
      <c r="L203" s="58"/>
      <c r="M203" s="58"/>
      <c r="N203" s="58"/>
      <c r="O203" s="58"/>
      <c r="P203" s="58"/>
      <c r="Q203" s="58"/>
    </row>
    <row r="204" spans="1:18" s="41" customFormat="1">
      <c r="A204" s="40"/>
      <c r="B204" s="63"/>
      <c r="C204" s="63"/>
      <c r="D204" s="63"/>
      <c r="E204" s="63"/>
      <c r="F204" s="63"/>
      <c r="G204" s="66"/>
      <c r="H204" s="66"/>
      <c r="I204" s="66"/>
      <c r="J204" s="66"/>
      <c r="K204" s="66"/>
      <c r="L204" s="58"/>
      <c r="M204" s="58"/>
      <c r="N204" s="58"/>
      <c r="O204" s="58"/>
      <c r="P204" s="58"/>
      <c r="Q204" s="58"/>
    </row>
    <row r="205" spans="1:18">
      <c r="M205" s="370"/>
    </row>
  </sheetData>
  <autoFilter ref="B2:R184" xr:uid="{00000000-0009-0000-0000-000008000000}"/>
  <phoneticPr fontId="74" type="noConversion"/>
  <conditionalFormatting sqref="H189:R189">
    <cfRule type="cellIs" dxfId="0" priority="1" operator="equal">
      <formula>G$190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C1:T136"/>
  <sheetViews>
    <sheetView showGridLines="0" topLeftCell="A112" zoomScaleNormal="100" workbookViewId="0">
      <selection activeCell="J133" sqref="J133"/>
    </sheetView>
  </sheetViews>
  <sheetFormatPr defaultColWidth="9" defaultRowHeight="14.4"/>
  <cols>
    <col min="1" max="1" width="3.88671875" customWidth="1"/>
    <col min="2" max="2" width="1.88671875" customWidth="1"/>
    <col min="3" max="3" width="12.88671875" customWidth="1"/>
    <col min="4" max="4" width="13.5546875" style="7" customWidth="1"/>
    <col min="5" max="5" width="13.5546875" style="7" bestFit="1" customWidth="1"/>
    <col min="6" max="6" width="64.33203125" style="11" bestFit="1" customWidth="1"/>
    <col min="7" max="7" width="13.33203125" style="7" bestFit="1" customWidth="1"/>
    <col min="8" max="8" width="13.5546875" style="32" bestFit="1" customWidth="1"/>
    <col min="9" max="9" width="13.44140625" style="9" customWidth="1"/>
    <col min="10" max="10" width="13.44140625" style="10" customWidth="1"/>
    <col min="11" max="11" width="13.44140625" style="9" customWidth="1"/>
    <col min="12" max="15" width="13.44140625" style="1" customWidth="1"/>
    <col min="16" max="18" width="13.44140625" style="2" customWidth="1"/>
    <col min="19" max="19" width="15.5546875" style="2" customWidth="1"/>
    <col min="20" max="20" width="9.88671875" bestFit="1" customWidth="1"/>
    <col min="21" max="1014" width="8.5546875" customWidth="1"/>
  </cols>
  <sheetData>
    <row r="1" spans="3:19">
      <c r="C1" s="7" t="s">
        <v>427</v>
      </c>
      <c r="E1" s="11"/>
      <c r="F1" s="7"/>
      <c r="G1" s="31"/>
      <c r="H1" s="6"/>
      <c r="I1" s="3"/>
      <c r="J1" s="6"/>
      <c r="K1" s="4"/>
      <c r="O1" s="5"/>
      <c r="S1"/>
    </row>
    <row r="2" spans="3:19">
      <c r="C2" s="77" t="s">
        <v>346</v>
      </c>
      <c r="D2" s="77" t="s">
        <v>0</v>
      </c>
      <c r="E2" s="78" t="s">
        <v>1</v>
      </c>
      <c r="F2" s="77" t="s">
        <v>2</v>
      </c>
      <c r="G2" s="76" t="s">
        <v>46</v>
      </c>
      <c r="H2" s="76" t="s">
        <v>47</v>
      </c>
      <c r="I2" s="21" t="s">
        <v>48</v>
      </c>
      <c r="J2" s="23" t="s">
        <v>49</v>
      </c>
      <c r="K2" s="23" t="s">
        <v>50</v>
      </c>
      <c r="L2" s="23" t="s">
        <v>51</v>
      </c>
      <c r="M2" s="18" t="s">
        <v>52</v>
      </c>
      <c r="N2" s="23" t="s">
        <v>53</v>
      </c>
      <c r="O2" s="23" t="s">
        <v>54</v>
      </c>
      <c r="P2" s="21" t="s">
        <v>55</v>
      </c>
      <c r="Q2" s="23" t="s">
        <v>56</v>
      </c>
      <c r="R2" s="25" t="s">
        <v>57</v>
      </c>
      <c r="S2"/>
    </row>
    <row r="3" spans="3:19">
      <c r="C3" s="79" t="s">
        <v>347</v>
      </c>
      <c r="D3" s="81" t="s">
        <v>338</v>
      </c>
      <c r="E3" s="97">
        <v>113101</v>
      </c>
      <c r="F3" s="90" t="s">
        <v>262</v>
      </c>
      <c r="G3" s="24">
        <f>IFERROR(VLOOKUP(Tabela32[[#This Row],[Conta]],'BD - A - Despesas'!$A$15:$E$500,5,0),0)</f>
        <v>0</v>
      </c>
      <c r="H3" s="24">
        <f>IFERROR(VLOOKUP(Tabela32[[#This Row],[Conta]],'BD - A - Despesas'!$J$15:$N$500,5,0),0)</f>
        <v>0</v>
      </c>
      <c r="I3" s="24">
        <f>IFERROR(VLOOKUP(Tabela32[[#This Row],[Conta]],'BD - A - Despesas'!$S$15:$W$500,5,0),0)</f>
        <v>0</v>
      </c>
      <c r="J3" s="24">
        <f>IFERROR(VLOOKUP(Tabela32[[#This Row],[Conta]],'BD - A - Despesas'!$AB$15:$AF$500,5,0),0)</f>
        <v>0</v>
      </c>
      <c r="K3" s="24">
        <f>IFERROR(VLOOKUP(Tabela32[[#This Row],[Conta]],'BD - A - Despesas'!$AK$15:$AO$500,5,0),0)</f>
        <v>0</v>
      </c>
      <c r="L3" s="24">
        <f>IFERROR(VLOOKUP(Tabela32[[#This Row],[Conta]],'BD - A - Despesas'!$AT$15:$AX$500,5,0),0)</f>
        <v>0</v>
      </c>
      <c r="M3" s="24">
        <f>IFERROR(VLOOKUP(Tabela32[[#This Row],[Conta]],'BD - A - Despesas'!$BC$15:$BG$500,5,0),0)</f>
        <v>0</v>
      </c>
      <c r="N3" s="24">
        <f>IFERROR(VLOOKUP(Tabela32[[#This Row],[Conta]],'BD - A - Despesas'!$BL$15:$BP$500,5,0),0)</f>
        <v>0</v>
      </c>
      <c r="O3" s="24">
        <f>IFERROR(VLOOKUP(Tabela32[[#This Row],[Conta]],'BD - A - Despesas'!$BU$15:$BY$500,5,0),0)</f>
        <v>0</v>
      </c>
      <c r="P3" s="24">
        <f>IFERROR(VLOOKUP(Tabela32[[#This Row],[Conta]],'BD - A - Despesas'!$CD$15:$CH$500,5,0),0)</f>
        <v>0</v>
      </c>
      <c r="Q3" s="24">
        <f>IFERROR(VLOOKUP(Tabela32[[#This Row],[Conta]],'BD - A - Despesas'!$CM$15:$CQ$500,5,0),0)</f>
        <v>0</v>
      </c>
      <c r="R3" s="24">
        <f>IFERROR(VLOOKUP(Tabela32[[#This Row],[Conta]],'BD - A - Despesas'!$CV$15:$CZ$500,5,0),0)</f>
        <v>0</v>
      </c>
      <c r="S3"/>
    </row>
    <row r="4" spans="3:19">
      <c r="C4" s="79" t="s">
        <v>347</v>
      </c>
      <c r="D4" s="81" t="s">
        <v>385</v>
      </c>
      <c r="E4" s="85">
        <v>114798</v>
      </c>
      <c r="F4" s="82" t="s">
        <v>104</v>
      </c>
      <c r="G4" s="12">
        <f>IFERROR(VLOOKUP(Tabela32[[#This Row],[Conta]],'BD - A - Despesas'!$A$15:$E$500,5,0),0)</f>
        <v>0</v>
      </c>
      <c r="H4" s="24">
        <f>IFERROR(VLOOKUP(Tabela32[[#This Row],[Conta]],'BD - A - Despesas'!$J$15:$N$500,5,0),0)</f>
        <v>0</v>
      </c>
      <c r="I4" s="24">
        <f>IFERROR(VLOOKUP(Tabela32[[#This Row],[Conta]],'BD - A - Despesas'!$S$15:$W$500,5,0),0)</f>
        <v>0</v>
      </c>
      <c r="J4" s="24">
        <f>IFERROR(VLOOKUP(Tabela32[[#This Row],[Conta]],'BD - A - Despesas'!$AB$15:$AF$500,5,0),0)</f>
        <v>0</v>
      </c>
      <c r="K4" s="24">
        <f>IFERROR(VLOOKUP(Tabela32[[#This Row],[Conta]],'BD - A - Despesas'!$AK$15:$AO$500,5,0),0)</f>
        <v>0</v>
      </c>
      <c r="L4" s="24">
        <f>IFERROR(VLOOKUP(Tabela32[[#This Row],[Conta]],'BD - A - Despesas'!$AT$15:$AX$500,5,0),0)</f>
        <v>0</v>
      </c>
      <c r="M4" s="24">
        <f>IFERROR(VLOOKUP(Tabela32[[#This Row],[Conta]],'BD - A - Despesas'!$BC$15:$BG$500,5,0),0)</f>
        <v>0</v>
      </c>
      <c r="N4" s="24">
        <f>IFERROR(VLOOKUP(Tabela32[[#This Row],[Conta]],'BD - A - Despesas'!$BL$15:$BP$500,5,0),0)</f>
        <v>0</v>
      </c>
      <c r="O4" s="24">
        <f>IFERROR(VLOOKUP(Tabela32[[#This Row],[Conta]],'BD - A - Despesas'!$BU$15:$BY$500,5,0),0)</f>
        <v>0</v>
      </c>
      <c r="P4" s="24">
        <f>IFERROR(VLOOKUP(Tabela32[[#This Row],[Conta]],'BD - A - Despesas'!$CD$15:$CH$500,5,0),0)</f>
        <v>0</v>
      </c>
      <c r="Q4" s="24">
        <f>IFERROR(VLOOKUP(Tabela32[[#This Row],[Conta]],'BD - A - Despesas'!$CM$15:$CQ$500,5,0),0)</f>
        <v>0</v>
      </c>
      <c r="R4" s="24">
        <f>IFERROR(VLOOKUP(Tabela32[[#This Row],[Conta]],'BD - A - Despesas'!$CV$15:$CZ$500,5,0),0)</f>
        <v>0</v>
      </c>
      <c r="S4"/>
    </row>
    <row r="5" spans="3:19">
      <c r="C5" s="79" t="s">
        <v>349</v>
      </c>
      <c r="D5" s="81" t="s">
        <v>352</v>
      </c>
      <c r="E5" s="85">
        <v>116106</v>
      </c>
      <c r="F5" s="83" t="s">
        <v>352</v>
      </c>
      <c r="G5" s="13">
        <f>IFERROR(VLOOKUP(Tabela32[[#This Row],[Conta]],'BD - A - Despesas'!$A$15:$E$500,5,0),0)</f>
        <v>0</v>
      </c>
      <c r="H5" s="24">
        <f>IFERROR(VLOOKUP(Tabela32[[#This Row],[Conta]],'BD - A - Despesas'!$J$15:$N$500,5,0),0)</f>
        <v>0</v>
      </c>
      <c r="I5" s="24">
        <f>IFERROR(VLOOKUP(Tabela32[[#This Row],[Conta]],'BD - A - Despesas'!$S$15:$W$500,5,0),0)</f>
        <v>0</v>
      </c>
      <c r="J5" s="24">
        <f>IFERROR(VLOOKUP(Tabela32[[#This Row],[Conta]],'BD - A - Despesas'!$AB$15:$AF$500,5,0),0)</f>
        <v>0</v>
      </c>
      <c r="K5" s="24">
        <f>IFERROR(VLOOKUP(Tabela32[[#This Row],[Conta]],'BD - A - Despesas'!$AK$15:$AO$500,5,0),0)</f>
        <v>0</v>
      </c>
      <c r="L5" s="24">
        <f>IFERROR(VLOOKUP(Tabela32[[#This Row],[Conta]],'BD - A - Despesas'!$AT$15:$AX$500,5,0),0)</f>
        <v>0</v>
      </c>
      <c r="M5" s="24">
        <f>IFERROR(VLOOKUP(Tabela32[[#This Row],[Conta]],'BD - A - Despesas'!$BC$15:$BG$500,5,0),0)</f>
        <v>0</v>
      </c>
      <c r="N5" s="24">
        <f>IFERROR(VLOOKUP(Tabela32[[#This Row],[Conta]],'BD - A - Despesas'!$BL$15:$BP$500,5,0),0)</f>
        <v>0</v>
      </c>
      <c r="O5" s="24">
        <f>IFERROR(VLOOKUP(Tabela32[[#This Row],[Conta]],'BD - A - Despesas'!$BU$15:$BY$500,5,0),0)</f>
        <v>0</v>
      </c>
      <c r="P5" s="24">
        <f>IFERROR(VLOOKUP(Tabela32[[#This Row],[Conta]],'BD - A - Despesas'!$CD$15:$CH$500,5,0),0)</f>
        <v>0</v>
      </c>
      <c r="Q5" s="24">
        <f>IFERROR(VLOOKUP(Tabela32[[#This Row],[Conta]],'BD - A - Despesas'!$CM$15:$CQ$500,5,0),0)</f>
        <v>0</v>
      </c>
      <c r="R5" s="24">
        <f>IFERROR(VLOOKUP(Tabela32[[#This Row],[Conta]],'BD - A - Despesas'!$CV$15:$CZ$500,5,0),0)</f>
        <v>0</v>
      </c>
      <c r="S5"/>
    </row>
    <row r="6" spans="3:19">
      <c r="C6" s="79" t="s">
        <v>349</v>
      </c>
      <c r="D6" s="81" t="s">
        <v>352</v>
      </c>
      <c r="E6" s="85">
        <v>116112</v>
      </c>
      <c r="F6" s="82" t="s">
        <v>263</v>
      </c>
      <c r="G6" s="12">
        <f>IFERROR(VLOOKUP(Tabela32[[#This Row],[Conta]],'BD - A - Despesas'!$A$15:$E$500,5,0),0)</f>
        <v>0</v>
      </c>
      <c r="H6" s="24">
        <f>IFERROR(VLOOKUP(Tabela32[[#This Row],[Conta]],'BD - A - Despesas'!$J$15:$N$500,5,0),0)</f>
        <v>0</v>
      </c>
      <c r="I6" s="24">
        <f>IFERROR(VLOOKUP(Tabela32[[#This Row],[Conta]],'BD - A - Despesas'!$S$15:$W$500,5,0),0)</f>
        <v>0</v>
      </c>
      <c r="J6" s="24">
        <f>IFERROR(VLOOKUP(Tabela32[[#This Row],[Conta]],'BD - A - Despesas'!$AB$15:$AF$500,5,0),0)</f>
        <v>0</v>
      </c>
      <c r="K6" s="24">
        <f>IFERROR(VLOOKUP(Tabela32[[#This Row],[Conta]],'BD - A - Despesas'!$AK$15:$AO$500,5,0),0)</f>
        <v>0</v>
      </c>
      <c r="L6" s="24">
        <f>IFERROR(VLOOKUP(Tabela32[[#This Row],[Conta]],'BD - A - Despesas'!$AT$15:$AX$500,5,0),0)</f>
        <v>0</v>
      </c>
      <c r="M6" s="24">
        <f>IFERROR(VLOOKUP(Tabela32[[#This Row],[Conta]],'BD - A - Despesas'!$BC$15:$BG$500,5,0),0)</f>
        <v>0</v>
      </c>
      <c r="N6" s="24">
        <f>IFERROR(VLOOKUP(Tabela32[[#This Row],[Conta]],'BD - A - Despesas'!$BL$15:$BP$500,5,0),0)</f>
        <v>0</v>
      </c>
      <c r="O6" s="24">
        <f>IFERROR(VLOOKUP(Tabela32[[#This Row],[Conta]],'BD - A - Despesas'!$BU$15:$BY$500,5,0),0)</f>
        <v>0</v>
      </c>
      <c r="P6" s="24">
        <f>IFERROR(VLOOKUP(Tabela32[[#This Row],[Conta]],'BD - A - Despesas'!$CD$15:$CH$500,5,0),0)</f>
        <v>0</v>
      </c>
      <c r="Q6" s="24">
        <f>IFERROR(VLOOKUP(Tabela32[[#This Row],[Conta]],'BD - A - Despesas'!$CM$15:$CQ$500,5,0),0)</f>
        <v>0</v>
      </c>
      <c r="R6" s="24">
        <f>IFERROR(VLOOKUP(Tabela32[[#This Row],[Conta]],'BD - A - Despesas'!$CV$15:$CZ$500,5,0),0)</f>
        <v>0</v>
      </c>
      <c r="S6"/>
    </row>
    <row r="7" spans="3:19">
      <c r="C7" s="79" t="s">
        <v>349</v>
      </c>
      <c r="D7" s="81" t="s">
        <v>352</v>
      </c>
      <c r="E7" s="85">
        <v>116193</v>
      </c>
      <c r="F7" s="82" t="s">
        <v>264</v>
      </c>
      <c r="G7" s="12">
        <f>IFERROR(VLOOKUP(Tabela32[[#This Row],[Conta]],'BD - A - Despesas'!$A$15:$E$500,5,0),0)</f>
        <v>0</v>
      </c>
      <c r="H7" s="24">
        <f>IFERROR(VLOOKUP(Tabela32[[#This Row],[Conta]],'BD - A - Despesas'!$J$15:$N$500,5,0),0)</f>
        <v>0</v>
      </c>
      <c r="I7" s="24">
        <f>IFERROR(VLOOKUP(Tabela32[[#This Row],[Conta]],'BD - A - Despesas'!$S$15:$W$500,5,0),0)</f>
        <v>0</v>
      </c>
      <c r="J7" s="24">
        <f>IFERROR(VLOOKUP(Tabela32[[#This Row],[Conta]],'BD - A - Despesas'!$AB$15:$AF$500,5,0),0)</f>
        <v>0</v>
      </c>
      <c r="K7" s="24">
        <f>IFERROR(VLOOKUP(Tabela32[[#This Row],[Conta]],'BD - A - Despesas'!$AK$15:$AO$500,5,0),0)</f>
        <v>0</v>
      </c>
      <c r="L7" s="24">
        <f>IFERROR(VLOOKUP(Tabela32[[#This Row],[Conta]],'BD - A - Despesas'!$AT$15:$AX$500,5,0),0)</f>
        <v>0</v>
      </c>
      <c r="M7" s="24">
        <f>IFERROR(VLOOKUP(Tabela32[[#This Row],[Conta]],'BD - A - Despesas'!$BC$15:$BG$500,5,0),0)</f>
        <v>0</v>
      </c>
      <c r="N7" s="24">
        <f>IFERROR(VLOOKUP(Tabela32[[#This Row],[Conta]],'BD - A - Despesas'!$BL$15:$BP$500,5,0),0)</f>
        <v>0</v>
      </c>
      <c r="O7" s="24">
        <f>IFERROR(VLOOKUP(Tabela32[[#This Row],[Conta]],'BD - A - Despesas'!$BU$15:$BY$500,5,0),0)</f>
        <v>0</v>
      </c>
      <c r="P7" s="24">
        <f>IFERROR(VLOOKUP(Tabela32[[#This Row],[Conta]],'BD - A - Despesas'!$CD$15:$CH$500,5,0),0)</f>
        <v>0</v>
      </c>
      <c r="Q7" s="24">
        <f>IFERROR(VLOOKUP(Tabela32[[#This Row],[Conta]],'BD - A - Despesas'!$CM$15:$CQ$500,5,0),0)</f>
        <v>0</v>
      </c>
      <c r="R7" s="24">
        <f>IFERROR(VLOOKUP(Tabela32[[#This Row],[Conta]],'BD - A - Despesas'!$CV$15:$CZ$500,5,0),0)</f>
        <v>0</v>
      </c>
      <c r="S7"/>
    </row>
    <row r="8" spans="3:19">
      <c r="C8" s="79" t="s">
        <v>349</v>
      </c>
      <c r="D8" s="81" t="s">
        <v>352</v>
      </c>
      <c r="E8" s="85">
        <v>116301</v>
      </c>
      <c r="F8" s="82" t="s">
        <v>265</v>
      </c>
      <c r="G8" s="19">
        <f>IFERROR(VLOOKUP(Tabela32[[#This Row],[Conta]],'BD - A - Despesas'!$A$15:$E$500,5,0),0)</f>
        <v>0</v>
      </c>
      <c r="H8" s="24">
        <f>IFERROR(VLOOKUP(Tabela32[[#This Row],[Conta]],'BD - A - Despesas'!$J$15:$N$500,5,0),0)</f>
        <v>0</v>
      </c>
      <c r="I8" s="24">
        <f>IFERROR(VLOOKUP(Tabela32[[#This Row],[Conta]],'BD - A - Despesas'!$S$15:$W$500,5,0),0)</f>
        <v>0</v>
      </c>
      <c r="J8" s="24">
        <f>IFERROR(VLOOKUP(Tabela32[[#This Row],[Conta]],'BD - A - Despesas'!$AB$15:$AF$500,5,0),0)</f>
        <v>0</v>
      </c>
      <c r="K8" s="24">
        <f>IFERROR(VLOOKUP(Tabela32[[#This Row],[Conta]],'BD - A - Despesas'!$AK$15:$AO$500,5,0),0)</f>
        <v>0</v>
      </c>
      <c r="L8" s="24">
        <f>IFERROR(VLOOKUP(Tabela32[[#This Row],[Conta]],'BD - A - Despesas'!$AT$15:$AX$500,5,0),0)</f>
        <v>0</v>
      </c>
      <c r="M8" s="24">
        <f>IFERROR(VLOOKUP(Tabela32[[#This Row],[Conta]],'BD - A - Despesas'!$BC$15:$BG$500,5,0),0)</f>
        <v>0</v>
      </c>
      <c r="N8" s="24">
        <f>IFERROR(VLOOKUP(Tabela32[[#This Row],[Conta]],'BD - A - Despesas'!$BL$15:$BP$500,5,0),0)</f>
        <v>0</v>
      </c>
      <c r="O8" s="24">
        <f>IFERROR(VLOOKUP(Tabela32[[#This Row],[Conta]],'BD - A - Despesas'!$BU$15:$BY$500,5,0),0)</f>
        <v>0</v>
      </c>
      <c r="P8" s="24">
        <f>IFERROR(VLOOKUP(Tabela32[[#This Row],[Conta]],'BD - A - Despesas'!$CD$15:$CH$500,5,0),0)</f>
        <v>0</v>
      </c>
      <c r="Q8" s="24">
        <f>IFERROR(VLOOKUP(Tabela32[[#This Row],[Conta]],'BD - A - Despesas'!$CM$15:$CQ$500,5,0),0)</f>
        <v>0</v>
      </c>
      <c r="R8" s="24">
        <f>IFERROR(VLOOKUP(Tabela32[[#This Row],[Conta]],'BD - A - Despesas'!$CV$15:$CZ$500,5,0),0)</f>
        <v>0</v>
      </c>
      <c r="S8"/>
    </row>
    <row r="9" spans="3:19">
      <c r="C9" s="79" t="s">
        <v>348</v>
      </c>
      <c r="D9" s="81" t="s">
        <v>266</v>
      </c>
      <c r="E9" s="85">
        <v>116401</v>
      </c>
      <c r="F9" s="82" t="s">
        <v>266</v>
      </c>
      <c r="G9" s="19">
        <f>IFERROR(VLOOKUP(Tabela32[[#This Row],[Conta]],'BD - A - Despesas'!$A$15:$E$500,5,0),0)</f>
        <v>0</v>
      </c>
      <c r="H9" s="24">
        <f>IFERROR(VLOOKUP(Tabela32[[#This Row],[Conta]],'BD - A - Despesas'!$J$15:$N$500,5,0),0)</f>
        <v>0</v>
      </c>
      <c r="I9" s="24">
        <f>IFERROR(VLOOKUP(Tabela32[[#This Row],[Conta]],'BD - A - Despesas'!$S$15:$W$500,5,0),0)</f>
        <v>0</v>
      </c>
      <c r="J9" s="24">
        <f>IFERROR(VLOOKUP(Tabela32[[#This Row],[Conta]],'BD - A - Despesas'!$AB$15:$AF$500,5,0),0)</f>
        <v>0</v>
      </c>
      <c r="K9" s="24">
        <f>IFERROR(VLOOKUP(Tabela32[[#This Row],[Conta]],'BD - A - Despesas'!$AK$15:$AO$500,5,0),0)</f>
        <v>0</v>
      </c>
      <c r="L9" s="24">
        <f>IFERROR(VLOOKUP(Tabela32[[#This Row],[Conta]],'BD - A - Despesas'!$AT$15:$AX$500,5,0),0)</f>
        <v>0</v>
      </c>
      <c r="M9" s="24">
        <f>IFERROR(VLOOKUP(Tabela32[[#This Row],[Conta]],'BD - A - Despesas'!$BC$15:$BG$500,5,0),0)</f>
        <v>0</v>
      </c>
      <c r="N9" s="24">
        <f>IFERROR(VLOOKUP(Tabela32[[#This Row],[Conta]],'BD - A - Despesas'!$BL$15:$BP$500,5,0),0)</f>
        <v>0</v>
      </c>
      <c r="O9" s="24">
        <f>IFERROR(VLOOKUP(Tabela32[[#This Row],[Conta]],'BD - A - Despesas'!$BU$15:$BY$500,5,0),0)</f>
        <v>0</v>
      </c>
      <c r="P9" s="24">
        <f>IFERROR(VLOOKUP(Tabela32[[#This Row],[Conta]],'BD - A - Despesas'!$CD$15:$CH$500,5,0),0)</f>
        <v>0</v>
      </c>
      <c r="Q9" s="24">
        <f>IFERROR(VLOOKUP(Tabela32[[#This Row],[Conta]],'BD - A - Despesas'!$CM$15:$CQ$500,5,0),0)</f>
        <v>0</v>
      </c>
      <c r="R9" s="24">
        <f>IFERROR(VLOOKUP(Tabela32[[#This Row],[Conta]],'BD - A - Despesas'!$CV$15:$CZ$500,5,0),0)</f>
        <v>0</v>
      </c>
      <c r="S9"/>
    </row>
    <row r="10" spans="3:19">
      <c r="C10" s="79" t="s">
        <v>349</v>
      </c>
      <c r="D10" s="81" t="s">
        <v>352</v>
      </c>
      <c r="E10" s="85">
        <v>116701</v>
      </c>
      <c r="F10" s="82" t="s">
        <v>267</v>
      </c>
      <c r="G10" s="19">
        <f>IFERROR(VLOOKUP(Tabela32[[#This Row],[Conta]],'BD - A - Despesas'!$A$15:$E$500,5,0),0)</f>
        <v>0</v>
      </c>
      <c r="H10" s="24">
        <f>IFERROR(VLOOKUP(Tabela32[[#This Row],[Conta]],'BD - A - Despesas'!$J$15:$N$500,5,0),0)</f>
        <v>0</v>
      </c>
      <c r="I10" s="24">
        <f>IFERROR(VLOOKUP(Tabela32[[#This Row],[Conta]],'BD - A - Despesas'!$S$15:$W$500,5,0),0)</f>
        <v>0</v>
      </c>
      <c r="J10" s="24">
        <f>IFERROR(VLOOKUP(Tabela32[[#This Row],[Conta]],'BD - A - Despesas'!$AB$15:$AF$500,5,0),0)</f>
        <v>0</v>
      </c>
      <c r="K10" s="24">
        <f>IFERROR(VLOOKUP(Tabela32[[#This Row],[Conta]],'BD - A - Despesas'!$AK$15:$AO$500,5,0),0)</f>
        <v>0</v>
      </c>
      <c r="L10" s="24">
        <f>IFERROR(VLOOKUP(Tabela32[[#This Row],[Conta]],'BD - A - Despesas'!$AT$15:$AX$500,5,0),0)</f>
        <v>0</v>
      </c>
      <c r="M10" s="24">
        <f>IFERROR(VLOOKUP(Tabela32[[#This Row],[Conta]],'BD - A - Despesas'!$BC$15:$BG$500,5,0),0)</f>
        <v>0</v>
      </c>
      <c r="N10" s="24">
        <f>IFERROR(VLOOKUP(Tabela32[[#This Row],[Conta]],'BD - A - Despesas'!$BL$15:$BP$500,5,0),0)</f>
        <v>0</v>
      </c>
      <c r="O10" s="24">
        <f>IFERROR(VLOOKUP(Tabela32[[#This Row],[Conta]],'BD - A - Despesas'!$BU$15:$BY$500,5,0),0)</f>
        <v>0</v>
      </c>
      <c r="P10" s="24">
        <f>IFERROR(VLOOKUP(Tabela32[[#This Row],[Conta]],'BD - A - Despesas'!$CD$15:$CH$500,5,0),0)</f>
        <v>0</v>
      </c>
      <c r="Q10" s="24">
        <f>IFERROR(VLOOKUP(Tabela32[[#This Row],[Conta]],'BD - A - Despesas'!$CM$15:$CQ$500,5,0),0)</f>
        <v>0</v>
      </c>
      <c r="R10" s="24">
        <f>IFERROR(VLOOKUP(Tabela32[[#This Row],[Conta]],'BD - A - Despesas'!$CV$15:$CZ$500,5,0),0)</f>
        <v>0</v>
      </c>
      <c r="S10"/>
    </row>
    <row r="11" spans="3:19">
      <c r="C11" s="79" t="s">
        <v>347</v>
      </c>
      <c r="D11" s="81" t="s">
        <v>338</v>
      </c>
      <c r="E11" s="85">
        <v>119102</v>
      </c>
      <c r="F11" s="82" t="s">
        <v>372</v>
      </c>
      <c r="G11" s="19">
        <f>IFERROR(VLOOKUP(Tabela32[[#This Row],[Conta]],'BD - A - Despesas'!$A$15:$E$500,5,0),0)</f>
        <v>0</v>
      </c>
      <c r="H11" s="24">
        <f>IFERROR(VLOOKUP(Tabela32[[#This Row],[Conta]],'BD - A - Despesas'!$J$15:$N$500,5,0),0)</f>
        <v>2118.4299999999998</v>
      </c>
      <c r="I11" s="24">
        <f>IFERROR(VLOOKUP(Tabela32[[#This Row],[Conta]],'BD - A - Despesas'!$S$15:$W$500,5,0),0)</f>
        <v>957.74</v>
      </c>
      <c r="J11" s="24">
        <f>IFERROR(VLOOKUP(Tabela32[[#This Row],[Conta]],'BD - A - Despesas'!$AB$15:$AF$500,5,0),0)</f>
        <v>0</v>
      </c>
      <c r="K11" s="24">
        <f>IFERROR(VLOOKUP(Tabela32[[#This Row],[Conta]],'BD - A - Despesas'!$AK$15:$AO$500,5,0),0)</f>
        <v>0</v>
      </c>
      <c r="L11" s="24">
        <f>IFERROR(VLOOKUP(Tabela32[[#This Row],[Conta]],'BD - A - Despesas'!$AT$15:$AX$500,5,0),0)</f>
        <v>0</v>
      </c>
      <c r="M11" s="24">
        <f>IFERROR(VLOOKUP(Tabela32[[#This Row],[Conta]],'BD - A - Despesas'!$BC$15:$BG$500,5,0),0)</f>
        <v>0</v>
      </c>
      <c r="N11" s="24">
        <f>IFERROR(VLOOKUP(Tabela32[[#This Row],[Conta]],'BD - A - Despesas'!$BL$15:$BP$500,5,0),0)</f>
        <v>0</v>
      </c>
      <c r="O11" s="24">
        <f>IFERROR(VLOOKUP(Tabela32[[#This Row],[Conta]],'BD - A - Despesas'!$BU$15:$BY$500,5,0),0)</f>
        <v>0</v>
      </c>
      <c r="P11" s="24">
        <f>IFERROR(VLOOKUP(Tabela32[[#This Row],[Conta]],'BD - A - Despesas'!$CD$15:$CH$500,5,0),0)</f>
        <v>0</v>
      </c>
      <c r="Q11" s="24">
        <f>IFERROR(VLOOKUP(Tabela32[[#This Row],[Conta]],'BD - A - Despesas'!$CM$15:$CQ$500,5,0),0)</f>
        <v>0</v>
      </c>
      <c r="R11" s="24">
        <f>IFERROR(VLOOKUP(Tabela32[[#This Row],[Conta]],'BD - A - Despesas'!$CV$15:$CZ$500,5,0),0)</f>
        <v>0</v>
      </c>
      <c r="S11"/>
    </row>
    <row r="12" spans="3:19">
      <c r="C12" s="79" t="s">
        <v>347</v>
      </c>
      <c r="D12" s="80" t="s">
        <v>8</v>
      </c>
      <c r="E12" s="98">
        <v>119103</v>
      </c>
      <c r="F12" s="82" t="s">
        <v>130</v>
      </c>
      <c r="G12" s="19">
        <f>IFERROR(VLOOKUP(Tabela32[[#This Row],[Conta]],'BD - A - Despesas'!$A$15:$E$500,5,0),0)</f>
        <v>0</v>
      </c>
      <c r="H12" s="24">
        <f>IFERROR(VLOOKUP(Tabela32[[#This Row],[Conta]],'BD - A - Despesas'!$J$15:$N$500,5,0),0)</f>
        <v>0</v>
      </c>
      <c r="I12" s="24">
        <f>IFERROR(VLOOKUP(Tabela32[[#This Row],[Conta]],'BD - A - Despesas'!$S$15:$W$500,5,0),0)</f>
        <v>0</v>
      </c>
      <c r="J12" s="24">
        <f>IFERROR(VLOOKUP(Tabela32[[#This Row],[Conta]],'BD - A - Despesas'!$AB$15:$AF$500,5,0),0)</f>
        <v>0</v>
      </c>
      <c r="K12" s="24">
        <f>IFERROR(VLOOKUP(Tabela32[[#This Row],[Conta]],'BD - A - Despesas'!$AK$15:$AO$500,5,0),0)</f>
        <v>0</v>
      </c>
      <c r="L12" s="24">
        <f>IFERROR(VLOOKUP(Tabela32[[#This Row],[Conta]],'BD - A - Despesas'!$AT$15:$AX$500,5,0),0)</f>
        <v>0</v>
      </c>
      <c r="M12" s="24">
        <f>IFERROR(VLOOKUP(Tabela32[[#This Row],[Conta]],'BD - A - Despesas'!$BC$15:$BG$500,5,0),0)</f>
        <v>0</v>
      </c>
      <c r="N12" s="24">
        <f>IFERROR(VLOOKUP(Tabela32[[#This Row],[Conta]],'BD - A - Despesas'!$BL$15:$BP$500,5,0),0)</f>
        <v>0</v>
      </c>
      <c r="O12" s="24">
        <f>IFERROR(VLOOKUP(Tabela32[[#This Row],[Conta]],'BD - A - Despesas'!$BU$15:$BY$500,5,0),0)</f>
        <v>0</v>
      </c>
      <c r="P12" s="24">
        <f>IFERROR(VLOOKUP(Tabela32[[#This Row],[Conta]],'BD - A - Despesas'!$CD$15:$CH$500,5,0),0)</f>
        <v>0</v>
      </c>
      <c r="Q12" s="24">
        <f>IFERROR(VLOOKUP(Tabela32[[#This Row],[Conta]],'BD - A - Despesas'!$CM$15:$CQ$500,5,0),0)</f>
        <v>0</v>
      </c>
      <c r="R12" s="24">
        <f>IFERROR(VLOOKUP(Tabela32[[#This Row],[Conta]],'BD - A - Despesas'!$CV$15:$CZ$500,5,0),0)</f>
        <v>0</v>
      </c>
      <c r="S12"/>
    </row>
    <row r="13" spans="3:19">
      <c r="C13" s="149" t="s">
        <v>347</v>
      </c>
      <c r="D13" s="164" t="s">
        <v>338</v>
      </c>
      <c r="E13" s="150">
        <v>124103</v>
      </c>
      <c r="F13" s="151" t="s">
        <v>526</v>
      </c>
      <c r="G13" s="19">
        <f>IFERROR(VLOOKUP(Tabela32[[#This Row],[Conta]],'BD - A - Despesas'!$A$15:$E$500,5,0),0)</f>
        <v>0</v>
      </c>
      <c r="H13" s="24">
        <f>IFERROR(VLOOKUP(Tabela32[[#This Row],[Conta]],'BD - A - Despesas'!$J$15:$N$500,5,0),0)</f>
        <v>0</v>
      </c>
      <c r="I13" s="24">
        <f>IFERROR(VLOOKUP(Tabela32[[#This Row],[Conta]],'BD - A - Despesas'!$S$15:$W$500,5,0),0)</f>
        <v>0</v>
      </c>
      <c r="J13" s="24">
        <f>IFERROR(VLOOKUP(Tabela32[[#This Row],[Conta]],'BD - A - Despesas'!$AB$15:$AF$500,5,0),0)</f>
        <v>0</v>
      </c>
      <c r="K13" s="24">
        <f>IFERROR(VLOOKUP(Tabela32[[#This Row],[Conta]],'BD - A - Despesas'!$AK$15:$AO$500,5,0),0)</f>
        <v>0</v>
      </c>
      <c r="L13" s="24">
        <f>IFERROR(VLOOKUP(Tabela32[[#This Row],[Conta]],'BD - A - Despesas'!$AT$15:$AX$500,5,0),0)</f>
        <v>0</v>
      </c>
      <c r="M13" s="24">
        <f>IFERROR(VLOOKUP(Tabela32[[#This Row],[Conta]],'BD - A - Despesas'!$BC$15:$BG$500,5,0),0)</f>
        <v>0</v>
      </c>
      <c r="N13" s="24">
        <f>IFERROR(VLOOKUP(Tabela32[[#This Row],[Conta]],'BD - A - Despesas'!$BL$15:$BP$500,5,0),0)</f>
        <v>0</v>
      </c>
      <c r="O13" s="24">
        <f>IFERROR(VLOOKUP(Tabela32[[#This Row],[Conta]],'BD - A - Despesas'!$BU$15:$BY$500,5,0),0)</f>
        <v>0</v>
      </c>
      <c r="P13" s="24">
        <f>IFERROR(VLOOKUP(Tabela32[[#This Row],[Conta]],'BD - A - Despesas'!$CD$15:$CH$500,5,0),0)</f>
        <v>0</v>
      </c>
      <c r="Q13" s="24">
        <f>IFERROR(VLOOKUP(Tabela32[[#This Row],[Conta]],'BD - A - Despesas'!$CM$15:$CQ$500,5,0),0)</f>
        <v>0</v>
      </c>
      <c r="R13" s="24">
        <f>IFERROR(VLOOKUP(Tabela32[[#This Row],[Conta]],'BD - A - Despesas'!$CV$15:$CZ$500,5,0),0)</f>
        <v>0</v>
      </c>
      <c r="S13"/>
    </row>
    <row r="14" spans="3:19">
      <c r="C14" s="79" t="s">
        <v>350</v>
      </c>
      <c r="D14" s="80" t="s">
        <v>360</v>
      </c>
      <c r="E14" s="98">
        <v>128104</v>
      </c>
      <c r="F14" s="82" t="s">
        <v>268</v>
      </c>
      <c r="G14" s="19">
        <f>IFERROR(VLOOKUP(Tabela32[[#This Row],[Conta]],'BD - A - Despesas'!$A$15:$E$500,5,0),0)</f>
        <v>0</v>
      </c>
      <c r="H14" s="24">
        <f>IFERROR(VLOOKUP(Tabela32[[#This Row],[Conta]],'BD - A - Despesas'!$J$15:$N$500,5,0),0)</f>
        <v>0</v>
      </c>
      <c r="I14" s="24">
        <f>IFERROR(VLOOKUP(Tabela32[[#This Row],[Conta]],'BD - A - Despesas'!$S$15:$W$500,5,0),0)</f>
        <v>0</v>
      </c>
      <c r="J14" s="24">
        <f>IFERROR(VLOOKUP(Tabela32[[#This Row],[Conta]],'BD - A - Despesas'!$AB$15:$AF$500,5,0),0)</f>
        <v>0</v>
      </c>
      <c r="K14" s="24">
        <f>IFERROR(VLOOKUP(Tabela32[[#This Row],[Conta]],'BD - A - Despesas'!$AK$15:$AO$500,5,0),0)</f>
        <v>0</v>
      </c>
      <c r="L14" s="24">
        <f>IFERROR(VLOOKUP(Tabela32[[#This Row],[Conta]],'BD - A - Despesas'!$AT$15:$AX$500,5,0),0)</f>
        <v>0</v>
      </c>
      <c r="M14" s="24">
        <f>IFERROR(VLOOKUP(Tabela32[[#This Row],[Conta]],'BD - A - Despesas'!$BC$15:$BG$500,5,0),0)</f>
        <v>0</v>
      </c>
      <c r="N14" s="24">
        <f>IFERROR(VLOOKUP(Tabela32[[#This Row],[Conta]],'BD - A - Despesas'!$BL$15:$BP$500,5,0),0)</f>
        <v>0</v>
      </c>
      <c r="O14" s="24">
        <f>IFERROR(VLOOKUP(Tabela32[[#This Row],[Conta]],'BD - A - Despesas'!$BU$15:$BY$500,5,0),0)</f>
        <v>0</v>
      </c>
      <c r="P14" s="24">
        <f>IFERROR(VLOOKUP(Tabela32[[#This Row],[Conta]],'BD - A - Despesas'!$CD$15:$CH$500,5,0),0)</f>
        <v>0</v>
      </c>
      <c r="Q14" s="24">
        <f>IFERROR(VLOOKUP(Tabela32[[#This Row],[Conta]],'BD - A - Despesas'!$CM$15:$CQ$500,5,0),0)</f>
        <v>0</v>
      </c>
      <c r="R14" s="24">
        <f>IFERROR(VLOOKUP(Tabela32[[#This Row],[Conta]],'BD - A - Despesas'!$CV$15:$CZ$500,5,0),0)</f>
        <v>0</v>
      </c>
      <c r="S14"/>
    </row>
    <row r="15" spans="3:19">
      <c r="C15" s="84" t="s">
        <v>384</v>
      </c>
      <c r="D15" s="80" t="s">
        <v>360</v>
      </c>
      <c r="E15" s="98">
        <v>128501</v>
      </c>
      <c r="F15" s="82" t="s">
        <v>269</v>
      </c>
      <c r="G15" s="19">
        <f>IFERROR(VLOOKUP(Tabela32[[#This Row],[Conta]],'BD - A - Despesas'!$A$15:$E$500,5,0),0)</f>
        <v>0</v>
      </c>
      <c r="H15" s="24">
        <f>IFERROR(VLOOKUP(Tabela32[[#This Row],[Conta]],'BD - A - Despesas'!$J$15:$N$500,5,0),0)</f>
        <v>0</v>
      </c>
      <c r="I15" s="24">
        <f>IFERROR(VLOOKUP(Tabela32[[#This Row],[Conta]],'BD - A - Despesas'!$S$15:$W$500,5,0),0)</f>
        <v>0</v>
      </c>
      <c r="J15" s="24">
        <f>IFERROR(VLOOKUP(Tabela32[[#This Row],[Conta]],'BD - A - Despesas'!$AB$15:$AF$500,5,0),0)</f>
        <v>0</v>
      </c>
      <c r="K15" s="24">
        <f>IFERROR(VLOOKUP(Tabela32[[#This Row],[Conta]],'BD - A - Despesas'!$AK$15:$AO$500,5,0),0)</f>
        <v>0</v>
      </c>
      <c r="L15" s="24">
        <f>IFERROR(VLOOKUP(Tabela32[[#This Row],[Conta]],'BD - A - Despesas'!$AT$15:$AX$500,5,0),0)</f>
        <v>0</v>
      </c>
      <c r="M15" s="24">
        <f>IFERROR(VLOOKUP(Tabela32[[#This Row],[Conta]],'BD - A - Despesas'!$BC$15:$BG$500,5,0),0)</f>
        <v>0</v>
      </c>
      <c r="N15" s="24">
        <f>IFERROR(VLOOKUP(Tabela32[[#This Row],[Conta]],'BD - A - Despesas'!$BL$15:$BP$500,5,0),0)</f>
        <v>0</v>
      </c>
      <c r="O15" s="24">
        <f>IFERROR(VLOOKUP(Tabela32[[#This Row],[Conta]],'BD - A - Despesas'!$BU$15:$BY$500,5,0),0)</f>
        <v>0</v>
      </c>
      <c r="P15" s="24">
        <f>IFERROR(VLOOKUP(Tabela32[[#This Row],[Conta]],'BD - A - Despesas'!$CD$15:$CH$500,5,0),0)</f>
        <v>0</v>
      </c>
      <c r="Q15" s="24">
        <f>IFERROR(VLOOKUP(Tabela32[[#This Row],[Conta]],'BD - A - Despesas'!$CM$15:$CQ$500,5,0),0)</f>
        <v>0</v>
      </c>
      <c r="R15" s="24">
        <f>IFERROR(VLOOKUP(Tabela32[[#This Row],[Conta]],'BD - A - Despesas'!$CV$15:$CZ$500,5,0),0)</f>
        <v>0</v>
      </c>
      <c r="S15"/>
    </row>
    <row r="16" spans="3:19">
      <c r="C16" s="84" t="s">
        <v>384</v>
      </c>
      <c r="D16" s="80" t="s">
        <v>360</v>
      </c>
      <c r="E16" s="98">
        <v>128502</v>
      </c>
      <c r="F16" s="82" t="s">
        <v>270</v>
      </c>
      <c r="G16" s="19">
        <f>IFERROR(VLOOKUP(Tabela32[[#This Row],[Conta]],'BD - A - Despesas'!$A$15:$E$500,5,0),0)</f>
        <v>0</v>
      </c>
      <c r="H16" s="24">
        <f>IFERROR(VLOOKUP(Tabela32[[#This Row],[Conta]],'BD - A - Despesas'!$J$15:$N$500,5,0),0)</f>
        <v>0</v>
      </c>
      <c r="I16" s="24">
        <f>IFERROR(VLOOKUP(Tabela32[[#This Row],[Conta]],'BD - A - Despesas'!$S$15:$W$500,5,0),0)</f>
        <v>0</v>
      </c>
      <c r="J16" s="24">
        <f>IFERROR(VLOOKUP(Tabela32[[#This Row],[Conta]],'BD - A - Despesas'!$AB$15:$AF$500,5,0),0)</f>
        <v>0</v>
      </c>
      <c r="K16" s="24">
        <f>IFERROR(VLOOKUP(Tabela32[[#This Row],[Conta]],'BD - A - Despesas'!$AK$15:$AO$500,5,0),0)</f>
        <v>0</v>
      </c>
      <c r="L16" s="24">
        <f>IFERROR(VLOOKUP(Tabela32[[#This Row],[Conta]],'BD - A - Despesas'!$AT$15:$AX$500,5,0),0)</f>
        <v>0</v>
      </c>
      <c r="M16" s="24">
        <f>IFERROR(VLOOKUP(Tabela32[[#This Row],[Conta]],'BD - A - Despesas'!$BC$15:$BG$500,5,0),0)</f>
        <v>0</v>
      </c>
      <c r="N16" s="24">
        <f>IFERROR(VLOOKUP(Tabela32[[#This Row],[Conta]],'BD - A - Despesas'!$BL$15:$BP$500,5,0),0)</f>
        <v>0</v>
      </c>
      <c r="O16" s="24">
        <f>IFERROR(VLOOKUP(Tabela32[[#This Row],[Conta]],'BD - A - Despesas'!$BU$15:$BY$500,5,0),0)</f>
        <v>0</v>
      </c>
      <c r="P16" s="24">
        <f>IFERROR(VLOOKUP(Tabela32[[#This Row],[Conta]],'BD - A - Despesas'!$CD$15:$CH$500,5,0),0)</f>
        <v>0</v>
      </c>
      <c r="Q16" s="24">
        <f>IFERROR(VLOOKUP(Tabela32[[#This Row],[Conta]],'BD - A - Despesas'!$CM$15:$CQ$500,5,0),0)</f>
        <v>0</v>
      </c>
      <c r="R16" s="24">
        <f>IFERROR(VLOOKUP(Tabela32[[#This Row],[Conta]],'BD - A - Despesas'!$CV$15:$CZ$500,5,0),0)</f>
        <v>0</v>
      </c>
      <c r="S16"/>
    </row>
    <row r="17" spans="3:20">
      <c r="C17" s="84" t="s">
        <v>384</v>
      </c>
      <c r="D17" s="80" t="s">
        <v>360</v>
      </c>
      <c r="E17" s="98">
        <v>128504</v>
      </c>
      <c r="F17" s="82" t="s">
        <v>271</v>
      </c>
      <c r="G17" s="19">
        <f>IFERROR(VLOOKUP(Tabela32[[#This Row],[Conta]],'BD - A - Despesas'!$A$15:$E$500,5,0),0)</f>
        <v>0</v>
      </c>
      <c r="H17" s="24">
        <f>IFERROR(VLOOKUP(Tabela32[[#This Row],[Conta]],'BD - A - Despesas'!$J$15:$N$500,5,0),0)</f>
        <v>0</v>
      </c>
      <c r="I17" s="24">
        <f>IFERROR(VLOOKUP(Tabela32[[#This Row],[Conta]],'BD - A - Despesas'!$S$15:$W$500,5,0),0)</f>
        <v>0</v>
      </c>
      <c r="J17" s="24">
        <f>IFERROR(VLOOKUP(Tabela32[[#This Row],[Conta]],'BD - A - Despesas'!$AB$15:$AF$500,5,0),0)</f>
        <v>0</v>
      </c>
      <c r="K17" s="24">
        <f>IFERROR(VLOOKUP(Tabela32[[#This Row],[Conta]],'BD - A - Despesas'!$AK$15:$AO$500,5,0),0)</f>
        <v>0</v>
      </c>
      <c r="L17" s="24">
        <f>IFERROR(VLOOKUP(Tabela32[[#This Row],[Conta]],'BD - A - Despesas'!$AT$15:$AX$500,5,0),0)</f>
        <v>0</v>
      </c>
      <c r="M17" s="24">
        <f>IFERROR(VLOOKUP(Tabela32[[#This Row],[Conta]],'BD - A - Despesas'!$BC$15:$BG$500,5,0),0)</f>
        <v>0</v>
      </c>
      <c r="N17" s="24">
        <f>IFERROR(VLOOKUP(Tabela32[[#This Row],[Conta]],'BD - A - Despesas'!$BL$15:$BP$500,5,0),0)</f>
        <v>0</v>
      </c>
      <c r="O17" s="24">
        <f>IFERROR(VLOOKUP(Tabela32[[#This Row],[Conta]],'BD - A - Despesas'!$BU$15:$BY$500,5,0),0)</f>
        <v>0</v>
      </c>
      <c r="P17" s="24">
        <f>IFERROR(VLOOKUP(Tabela32[[#This Row],[Conta]],'BD - A - Despesas'!$CD$15:$CH$500,5,0),0)</f>
        <v>0</v>
      </c>
      <c r="Q17" s="24">
        <f>IFERROR(VLOOKUP(Tabela32[[#This Row],[Conta]],'BD - A - Despesas'!$CM$15:$CQ$500,5,0),0)</f>
        <v>0</v>
      </c>
      <c r="R17" s="24">
        <f>IFERROR(VLOOKUP(Tabela32[[#This Row],[Conta]],'BD - A - Despesas'!$CV$15:$CZ$500,5,0),0)</f>
        <v>0</v>
      </c>
      <c r="S17"/>
    </row>
    <row r="18" spans="3:20">
      <c r="C18" s="79" t="s">
        <v>347</v>
      </c>
      <c r="D18" s="80" t="s">
        <v>8</v>
      </c>
      <c r="E18" s="98">
        <v>215323</v>
      </c>
      <c r="F18" s="82" t="s">
        <v>272</v>
      </c>
      <c r="G18" s="19">
        <f>IFERROR(VLOOKUP(Tabela32[[#This Row],[Conta]],'BD - A - Despesas'!$A$15:$E$500,5,0),0)</f>
        <v>13600</v>
      </c>
      <c r="H18" s="24">
        <f>IFERROR(VLOOKUP(Tabela32[[#This Row],[Conta]],'BD - A - Despesas'!$J$15:$N$500,5,0),0)</f>
        <v>19600</v>
      </c>
      <c r="I18" s="24">
        <f>IFERROR(VLOOKUP(Tabela32[[#This Row],[Conta]],'BD - A - Despesas'!$S$15:$W$500,5,0),0)</f>
        <v>25530</v>
      </c>
      <c r="J18" s="24">
        <f>IFERROR(VLOOKUP(Tabela32[[#This Row],[Conta]],'BD - A - Despesas'!$AB$15:$AF$500,5,0),0)</f>
        <v>26780</v>
      </c>
      <c r="K18" s="24">
        <f>IFERROR(VLOOKUP(Tabela32[[#This Row],[Conta]],'BD - A - Despesas'!$AK$15:$AO$500,5,0),0)</f>
        <v>0</v>
      </c>
      <c r="L18" s="24">
        <f>IFERROR(VLOOKUP(Tabela32[[#This Row],[Conta]],'BD - A - Despesas'!$AT$15:$AX$500,5,0),0)</f>
        <v>0</v>
      </c>
      <c r="M18" s="24">
        <f>IFERROR(VLOOKUP(Tabela32[[#This Row],[Conta]],'BD - A - Despesas'!$BC$15:$BG$500,5,0),0)</f>
        <v>0</v>
      </c>
      <c r="N18" s="24">
        <f>IFERROR(VLOOKUP(Tabela32[[#This Row],[Conta]],'BD - A - Despesas'!$BL$15:$BP$500,5,0),0)</f>
        <v>0</v>
      </c>
      <c r="O18" s="24">
        <f>IFERROR(VLOOKUP(Tabela32[[#This Row],[Conta]],'BD - A - Despesas'!$BU$15:$BY$500,5,0),0)</f>
        <v>0</v>
      </c>
      <c r="P18" s="24">
        <f>IFERROR(VLOOKUP(Tabela32[[#This Row],[Conta]],'BD - A - Despesas'!$CD$15:$CH$500,5,0),0)</f>
        <v>0</v>
      </c>
      <c r="Q18" s="24">
        <f>IFERROR(VLOOKUP(Tabela32[[#This Row],[Conta]],'BD - A - Despesas'!$CM$15:$CQ$500,5,0),0)</f>
        <v>0</v>
      </c>
      <c r="R18" s="24">
        <f>IFERROR(VLOOKUP(Tabela32[[#This Row],[Conta]],'BD - A - Despesas'!$CV$15:$CZ$500,5,0),0)</f>
        <v>0</v>
      </c>
      <c r="S18"/>
    </row>
    <row r="19" spans="3:20">
      <c r="C19" s="79" t="s">
        <v>349</v>
      </c>
      <c r="D19" s="81" t="s">
        <v>352</v>
      </c>
      <c r="E19" s="150">
        <v>321101</v>
      </c>
      <c r="F19" s="151" t="s">
        <v>490</v>
      </c>
      <c r="G19" s="19">
        <f>IFERROR(VLOOKUP(Tabela32[[#This Row],[Conta]],'BD - A - Despesas'!$A$15:$E$500,5,0),0)</f>
        <v>3389.81</v>
      </c>
      <c r="H19" s="24">
        <f>IFERROR(VLOOKUP(Tabela32[[#This Row],[Conta]],'BD - A - Despesas'!$J$15:$N$500,5,0),0)</f>
        <v>2952.99</v>
      </c>
      <c r="I19" s="24">
        <f>IFERROR(VLOOKUP(Tabela32[[#This Row],[Conta]],'BD - A - Despesas'!$S$15:$W$500,5,0),0)</f>
        <v>2446.5100000000002</v>
      </c>
      <c r="J19" s="24">
        <f>IFERROR(VLOOKUP(Tabela32[[#This Row],[Conta]],'BD - A - Despesas'!$AB$15:$AF$500,5,0),0)</f>
        <v>0</v>
      </c>
      <c r="K19" s="24">
        <f>IFERROR(VLOOKUP(Tabela32[[#This Row],[Conta]],'BD - A - Despesas'!$AK$15:$AO$500,5,0),0)</f>
        <v>0</v>
      </c>
      <c r="L19" s="24">
        <f>IFERROR(VLOOKUP(Tabela32[[#This Row],[Conta]],'BD - A - Despesas'!$AT$15:$AX$500,5,0),0)</f>
        <v>0</v>
      </c>
      <c r="M19" s="24">
        <f>IFERROR(VLOOKUP(Tabela32[[#This Row],[Conta]],'BD - A - Despesas'!$BC$15:$BG$500,5,0),0)</f>
        <v>0</v>
      </c>
      <c r="N19" s="24">
        <f>IFERROR(VLOOKUP(Tabela32[[#This Row],[Conta]],'BD - A - Despesas'!$BL$15:$BP$500,5,0),0)</f>
        <v>0</v>
      </c>
      <c r="O19" s="24">
        <f>IFERROR(VLOOKUP(Tabela32[[#This Row],[Conta]],'BD - A - Despesas'!$BU$15:$BY$500,5,0),0)</f>
        <v>0</v>
      </c>
      <c r="P19" s="24">
        <f>IFERROR(VLOOKUP(Tabela32[[#This Row],[Conta]],'BD - A - Despesas'!$CD$15:$CH$500,5,0),0)</f>
        <v>0</v>
      </c>
      <c r="Q19" s="24">
        <f>IFERROR(VLOOKUP(Tabela32[[#This Row],[Conta]],'BD - A - Despesas'!$CM$15:$CQ$500,5,0),0)</f>
        <v>0</v>
      </c>
      <c r="R19" s="24">
        <f>IFERROR(VLOOKUP(Tabela32[[#This Row],[Conta]],'BD - A - Despesas'!$CV$15:$CZ$500,5,0),0)</f>
        <v>0</v>
      </c>
      <c r="S19"/>
    </row>
    <row r="20" spans="3:20">
      <c r="C20" s="79" t="s">
        <v>349</v>
      </c>
      <c r="D20" s="81" t="s">
        <v>352</v>
      </c>
      <c r="E20" s="30">
        <v>322101</v>
      </c>
      <c r="F20" s="82" t="s">
        <v>406</v>
      </c>
      <c r="G20" s="19">
        <f>IFERROR(VLOOKUP(Tabela32[[#This Row],[Conta]],'BD - A - Despesas'!$A$15:$E$500,5,0),0)</f>
        <v>0</v>
      </c>
      <c r="H20" s="24">
        <f>IFERROR(VLOOKUP(Tabela32[[#This Row],[Conta]],'BD - A - Despesas'!$J$15:$N$500,5,0),0)</f>
        <v>0</v>
      </c>
      <c r="I20" s="24">
        <f>IFERROR(VLOOKUP(Tabela32[[#This Row],[Conta]],'BD - A - Despesas'!$S$15:$W$500,5,0),0)</f>
        <v>0</v>
      </c>
      <c r="J20" s="24">
        <f>IFERROR(VLOOKUP(Tabela32[[#This Row],[Conta]],'BD - A - Despesas'!$AB$15:$AF$500,5,0),0)</f>
        <v>0</v>
      </c>
      <c r="K20" s="24">
        <f>IFERROR(VLOOKUP(Tabela32[[#This Row],[Conta]],'BD - A - Despesas'!$AK$15:$AO$500,5,0),0)</f>
        <v>0</v>
      </c>
      <c r="L20" s="24">
        <f>IFERROR(VLOOKUP(Tabela32[[#This Row],[Conta]],'BD - A - Despesas'!$AT$15:$AX$500,5,0),0)</f>
        <v>0</v>
      </c>
      <c r="M20" s="24">
        <f>IFERROR(VLOOKUP(Tabela32[[#This Row],[Conta]],'BD - A - Despesas'!$BC$15:$BG$500,5,0),0)</f>
        <v>0</v>
      </c>
      <c r="N20" s="24">
        <f>IFERROR(VLOOKUP(Tabela32[[#This Row],[Conta]],'BD - A - Despesas'!$BL$15:$BP$500,5,0),0)</f>
        <v>0</v>
      </c>
      <c r="O20" s="24">
        <f>IFERROR(VLOOKUP(Tabela32[[#This Row],[Conta]],'BD - A - Despesas'!$BU$15:$BY$500,5,0),0)</f>
        <v>0</v>
      </c>
      <c r="P20" s="24">
        <f>IFERROR(VLOOKUP(Tabela32[[#This Row],[Conta]],'BD - A - Despesas'!$CD$15:$CH$500,5,0),0)</f>
        <v>0</v>
      </c>
      <c r="Q20" s="24">
        <f>IFERROR(VLOOKUP(Tabela32[[#This Row],[Conta]],'BD - A - Despesas'!$CM$15:$CQ$500,5,0),0)</f>
        <v>0</v>
      </c>
      <c r="R20" s="24">
        <f>IFERROR(VLOOKUP(Tabela32[[#This Row],[Conta]],'BD - A - Despesas'!$CV$15:$CZ$500,5,0),0)</f>
        <v>0</v>
      </c>
      <c r="S20"/>
    </row>
    <row r="21" spans="3:20">
      <c r="C21" s="79" t="s">
        <v>347</v>
      </c>
      <c r="D21" s="80" t="s">
        <v>340</v>
      </c>
      <c r="E21" s="99">
        <v>331106</v>
      </c>
      <c r="F21" s="79" t="s">
        <v>273</v>
      </c>
      <c r="G21" s="19">
        <f>IFERROR(VLOOKUP(Tabela32[[#This Row],[Conta]],'BD - A - Despesas'!$A$15:$E$500,5,0),0)</f>
        <v>20766.75</v>
      </c>
      <c r="H21" s="24">
        <f>IFERROR(VLOOKUP(Tabela32[[#This Row],[Conta]],'BD - A - Despesas'!$J$15:$N$500,5,0),0)</f>
        <v>25311.040000000001</v>
      </c>
      <c r="I21" s="24">
        <f>IFERROR(VLOOKUP(Tabela32[[#This Row],[Conta]],'BD - A - Despesas'!$S$15:$W$500,5,0),0)</f>
        <v>23085.88</v>
      </c>
      <c r="J21" s="24">
        <f>IFERROR(VLOOKUP(Tabela32[[#This Row],[Conta]],'BD - A - Despesas'!$AB$15:$AF$500,5,0),0)</f>
        <v>23625.88</v>
      </c>
      <c r="K21" s="24">
        <f>IFERROR(VLOOKUP(Tabela32[[#This Row],[Conta]],'BD - A - Despesas'!$AK$15:$AO$500,5,0),0)</f>
        <v>0</v>
      </c>
      <c r="L21" s="24">
        <f>IFERROR(VLOOKUP(Tabela32[[#This Row],[Conta]],'BD - A - Despesas'!$AT$15:$AX$500,5,0),0)</f>
        <v>0</v>
      </c>
      <c r="M21" s="24">
        <f>IFERROR(VLOOKUP(Tabela32[[#This Row],[Conta]],'BD - A - Despesas'!$BC$15:$BG$500,5,0),0)</f>
        <v>0</v>
      </c>
      <c r="N21" s="24">
        <f>IFERROR(VLOOKUP(Tabela32[[#This Row],[Conta]],'BD - A - Despesas'!$BL$15:$BP$500,5,0),0)</f>
        <v>0</v>
      </c>
      <c r="O21" s="24">
        <f>IFERROR(VLOOKUP(Tabela32[[#This Row],[Conta]],'BD - A - Despesas'!$BU$15:$BY$500,5,0),0)</f>
        <v>0</v>
      </c>
      <c r="P21" s="24">
        <f>IFERROR(VLOOKUP(Tabela32[[#This Row],[Conta]],'BD - A - Despesas'!$CD$15:$CH$500,5,0),0)</f>
        <v>0</v>
      </c>
      <c r="Q21" s="24">
        <f>IFERROR(VLOOKUP(Tabela32[[#This Row],[Conta]],'BD - A - Despesas'!$CM$15:$CQ$500,5,0),0)</f>
        <v>0</v>
      </c>
      <c r="R21" s="24">
        <f>IFERROR(VLOOKUP(Tabela32[[#This Row],[Conta]],'BD - A - Despesas'!$CV$15:$CZ$500,5,0),0)</f>
        <v>0</v>
      </c>
      <c r="S21"/>
    </row>
    <row r="22" spans="3:20">
      <c r="C22" s="79" t="s">
        <v>347</v>
      </c>
      <c r="D22" s="80" t="s">
        <v>340</v>
      </c>
      <c r="E22" s="99">
        <v>331122</v>
      </c>
      <c r="F22" s="79" t="s">
        <v>447</v>
      </c>
      <c r="G22" s="19">
        <f>IFERROR(VLOOKUP(Tabela32[[#This Row],[Conta]],'BD - A - Despesas'!$A$15:$E$500,5,0),0)</f>
        <v>0</v>
      </c>
      <c r="H22" s="24">
        <f>IFERROR(VLOOKUP(Tabela32[[#This Row],[Conta]],'BD - A - Despesas'!$J$15:$N$500,5,0),0)</f>
        <v>0</v>
      </c>
      <c r="I22" s="24">
        <f>IFERROR(VLOOKUP(Tabela32[[#This Row],[Conta]],'BD - A - Despesas'!$S$15:$W$500,5,0),0)</f>
        <v>0</v>
      </c>
      <c r="J22" s="24">
        <f>IFERROR(VLOOKUP(Tabela32[[#This Row],[Conta]],'BD - A - Despesas'!$AB$15:$AF$500,5,0),0)</f>
        <v>0</v>
      </c>
      <c r="K22" s="24">
        <f>IFERROR(VLOOKUP(Tabela32[[#This Row],[Conta]],'BD - A - Despesas'!$AK$15:$AO$500,5,0),0)</f>
        <v>0</v>
      </c>
      <c r="L22" s="24">
        <f>IFERROR(VLOOKUP(Tabela32[[#This Row],[Conta]],'BD - A - Despesas'!$AT$15:$AX$500,5,0),0)</f>
        <v>0</v>
      </c>
      <c r="M22" s="24">
        <f>IFERROR(VLOOKUP(Tabela32[[#This Row],[Conta]],'BD - A - Despesas'!$BC$15:$BG$500,5,0),0)</f>
        <v>0</v>
      </c>
      <c r="N22" s="24">
        <f>IFERROR(VLOOKUP(Tabela32[[#This Row],[Conta]],'BD - A - Despesas'!$BL$15:$BP$500,5,0),0)</f>
        <v>0</v>
      </c>
      <c r="O22" s="24">
        <f>IFERROR(VLOOKUP(Tabela32[[#This Row],[Conta]],'BD - A - Despesas'!$BU$15:$BY$500,5,0),0)</f>
        <v>0</v>
      </c>
      <c r="P22" s="24">
        <f>IFERROR(VLOOKUP(Tabela32[[#This Row],[Conta]],'BD - A - Despesas'!$CD$15:$CH$500,5,0),0)</f>
        <v>0</v>
      </c>
      <c r="Q22" s="24">
        <f>IFERROR(VLOOKUP(Tabela32[[#This Row],[Conta]],'BD - A - Despesas'!$CM$15:$CQ$500,5,0),0)</f>
        <v>0</v>
      </c>
      <c r="R22" s="24">
        <f>IFERROR(VLOOKUP(Tabela32[[#This Row],[Conta]],'BD - A - Despesas'!$CV$15:$CZ$500,5,0),0)</f>
        <v>0</v>
      </c>
      <c r="S22"/>
    </row>
    <row r="23" spans="3:20">
      <c r="C23" s="79" t="s">
        <v>347</v>
      </c>
      <c r="D23" s="80" t="s">
        <v>340</v>
      </c>
      <c r="E23" s="99">
        <v>331124</v>
      </c>
      <c r="F23" s="79" t="s">
        <v>274</v>
      </c>
      <c r="G23" s="19">
        <f>IFERROR(VLOOKUP(Tabela32[[#This Row],[Conta]],'BD - A - Despesas'!$A$15:$E$500,5,0),0)</f>
        <v>0</v>
      </c>
      <c r="H23" s="24">
        <f>IFERROR(VLOOKUP(Tabela32[[#This Row],[Conta]],'BD - A - Despesas'!$J$15:$N$500,5,0),0)</f>
        <v>0</v>
      </c>
      <c r="I23" s="24">
        <f>IFERROR(VLOOKUP(Tabela32[[#This Row],[Conta]],'BD - A - Despesas'!$S$15:$W$500,5,0),0)</f>
        <v>4266.67</v>
      </c>
      <c r="J23" s="24">
        <f>IFERROR(VLOOKUP(Tabela32[[#This Row],[Conta]],'BD - A - Despesas'!$AB$15:$AF$500,5,0),0)</f>
        <v>0</v>
      </c>
      <c r="K23" s="24">
        <f>IFERROR(VLOOKUP(Tabela32[[#This Row],[Conta]],'BD - A - Despesas'!$AK$15:$AO$500,5,0),0)</f>
        <v>0</v>
      </c>
      <c r="L23" s="24">
        <f>IFERROR(VLOOKUP(Tabela32[[#This Row],[Conta]],'BD - A - Despesas'!$AT$15:$AX$500,5,0),0)</f>
        <v>0</v>
      </c>
      <c r="M23" s="24">
        <f>IFERROR(VLOOKUP(Tabela32[[#This Row],[Conta]],'BD - A - Despesas'!$BC$15:$BG$500,5,0),0)</f>
        <v>0</v>
      </c>
      <c r="N23" s="24">
        <f>IFERROR(VLOOKUP(Tabela32[[#This Row],[Conta]],'BD - A - Despesas'!$BL$15:$BP$500,5,0),0)</f>
        <v>0</v>
      </c>
      <c r="O23" s="24">
        <f>IFERROR(VLOOKUP(Tabela32[[#This Row],[Conta]],'BD - A - Despesas'!$BU$15:$BY$500,5,0),0)</f>
        <v>0</v>
      </c>
      <c r="P23" s="24">
        <f>IFERROR(VLOOKUP(Tabela32[[#This Row],[Conta]],'BD - A - Despesas'!$CD$15:$CH$500,5,0),0)</f>
        <v>0</v>
      </c>
      <c r="Q23" s="24">
        <f>IFERROR(VLOOKUP(Tabela32[[#This Row],[Conta]],'BD - A - Despesas'!$CM$15:$CQ$500,5,0),0)</f>
        <v>0</v>
      </c>
      <c r="R23" s="24">
        <f>IFERROR(VLOOKUP(Tabela32[[#This Row],[Conta]],'BD - A - Despesas'!$CV$15:$CZ$500,5,0),0)</f>
        <v>0</v>
      </c>
      <c r="S23"/>
    </row>
    <row r="24" spans="3:20">
      <c r="C24" s="79" t="s">
        <v>347</v>
      </c>
      <c r="D24" s="80" t="s">
        <v>340</v>
      </c>
      <c r="E24" s="99">
        <v>331199</v>
      </c>
      <c r="F24" s="79" t="s">
        <v>439</v>
      </c>
      <c r="G24" s="19">
        <f>IFERROR(VLOOKUP(Tabela32[[#This Row],[Conta]],'BD - A - Despesas'!$A$15:$E$500,5,0),0)</f>
        <v>0</v>
      </c>
      <c r="H24" s="24">
        <f>IFERROR(VLOOKUP(Tabela32[[#This Row],[Conta]],'BD - A - Despesas'!$J$15:$N$500,5,0),0)</f>
        <v>0</v>
      </c>
      <c r="I24" s="24">
        <f>IFERROR(VLOOKUP(Tabela32[[#This Row],[Conta]],'BD - A - Despesas'!$S$15:$W$500,5,0),0)</f>
        <v>0</v>
      </c>
      <c r="J24" s="24">
        <f>IFERROR(VLOOKUP(Tabela32[[#This Row],[Conta]],'BD - A - Despesas'!$AB$15:$AF$500,5,0),0)</f>
        <v>0</v>
      </c>
      <c r="K24" s="24">
        <f>IFERROR(VLOOKUP(Tabela32[[#This Row],[Conta]],'BD - A - Despesas'!$AK$15:$AO$500,5,0),0)</f>
        <v>0</v>
      </c>
      <c r="L24" s="24">
        <f>IFERROR(VLOOKUP(Tabela32[[#This Row],[Conta]],'BD - A - Despesas'!$AT$15:$AX$500,5,0),0)</f>
        <v>0</v>
      </c>
      <c r="M24" s="24">
        <f>IFERROR(VLOOKUP(Tabela32[[#This Row],[Conta]],'BD - A - Despesas'!$BC$15:$BG$500,5,0),0)</f>
        <v>0</v>
      </c>
      <c r="N24" s="24">
        <f>IFERROR(VLOOKUP(Tabela32[[#This Row],[Conta]],'BD - A - Despesas'!$BL$15:$BP$500,5,0),0)</f>
        <v>0</v>
      </c>
      <c r="O24" s="24">
        <f>IFERROR(VLOOKUP(Tabela32[[#This Row],[Conta]],'BD - A - Despesas'!$BU$15:$BY$500,5,0),0)</f>
        <v>0</v>
      </c>
      <c r="P24" s="24">
        <f>IFERROR(VLOOKUP(Tabela32[[#This Row],[Conta]],'BD - A - Despesas'!$CD$15:$CH$500,5,0),0)</f>
        <v>0</v>
      </c>
      <c r="Q24" s="24">
        <f>IFERROR(VLOOKUP(Tabela32[[#This Row],[Conta]],'BD - A - Despesas'!$CM$15:$CQ$500,5,0),0)</f>
        <v>0</v>
      </c>
      <c r="R24" s="24">
        <f>IFERROR(VLOOKUP(Tabela32[[#This Row],[Conta]],'BD - A - Despesas'!$CV$15:$CZ$500,5,0),0)</f>
        <v>0</v>
      </c>
      <c r="S24"/>
    </row>
    <row r="25" spans="3:20">
      <c r="C25" s="79" t="s">
        <v>347</v>
      </c>
      <c r="D25" s="80" t="s">
        <v>340</v>
      </c>
      <c r="E25" s="99">
        <v>331202</v>
      </c>
      <c r="F25" s="79" t="s">
        <v>275</v>
      </c>
      <c r="G25" s="19">
        <f>IFERROR(VLOOKUP(Tabela32[[#This Row],[Conta]],'BD - A - Despesas'!$A$15:$E$500,5,0),0)</f>
        <v>5993.67</v>
      </c>
      <c r="H25" s="24">
        <f>IFERROR(VLOOKUP(Tabela32[[#This Row],[Conta]],'BD - A - Despesas'!$J$15:$N$500,5,0),0)</f>
        <v>6517.05</v>
      </c>
      <c r="I25" s="24">
        <f>IFERROR(VLOOKUP(Tabela32[[#This Row],[Conta]],'BD - A - Despesas'!$S$15:$W$500,5,0),0)</f>
        <v>6447.05</v>
      </c>
      <c r="J25" s="24">
        <f>IFERROR(VLOOKUP(Tabela32[[#This Row],[Conta]],'BD - A - Despesas'!$AB$15:$AF$500,5,0),0)</f>
        <v>6570.47</v>
      </c>
      <c r="K25" s="24">
        <f>IFERROR(VLOOKUP(Tabela32[[#This Row],[Conta]],'BD - A - Despesas'!$AK$15:$AO$500,5,0),0)</f>
        <v>0</v>
      </c>
      <c r="L25" s="24">
        <f>IFERROR(VLOOKUP(Tabela32[[#This Row],[Conta]],'BD - A - Despesas'!$AT$15:$AX$500,5,0),0)</f>
        <v>0</v>
      </c>
      <c r="M25" s="24">
        <f>IFERROR(VLOOKUP(Tabela32[[#This Row],[Conta]],'BD - A - Despesas'!$BC$15:$BG$500,5,0),0)</f>
        <v>0</v>
      </c>
      <c r="N25" s="24">
        <f>IFERROR(VLOOKUP(Tabela32[[#This Row],[Conta]],'BD - A - Despesas'!$BL$15:$BP$500,5,0),0)</f>
        <v>0</v>
      </c>
      <c r="O25" s="24">
        <f>IFERROR(VLOOKUP(Tabela32[[#This Row],[Conta]],'BD - A - Despesas'!$BU$15:$BY$500,5,0),0)</f>
        <v>0</v>
      </c>
      <c r="P25" s="24">
        <f>IFERROR(VLOOKUP(Tabela32[[#This Row],[Conta]],'BD - A - Despesas'!$CD$15:$CH$500,5,0),0)</f>
        <v>0</v>
      </c>
      <c r="Q25" s="24">
        <f>IFERROR(VLOOKUP(Tabela32[[#This Row],[Conta]],'BD - A - Despesas'!$CM$15:$CQ$500,5,0),0)</f>
        <v>0</v>
      </c>
      <c r="R25" s="24">
        <f>IFERROR(VLOOKUP(Tabela32[[#This Row],[Conta]],'BD - A - Despesas'!$CV$15:$CZ$500,5,0),0)</f>
        <v>0</v>
      </c>
      <c r="S25"/>
    </row>
    <row r="26" spans="3:20">
      <c r="C26" s="79" t="s">
        <v>347</v>
      </c>
      <c r="D26" s="80" t="s">
        <v>340</v>
      </c>
      <c r="E26" s="99">
        <v>331205</v>
      </c>
      <c r="F26" s="79" t="s">
        <v>276</v>
      </c>
      <c r="G26" s="19">
        <f>IFERROR(VLOOKUP(Tabela32[[#This Row],[Conta]],'BD - A - Despesas'!$A$15:$E$500,5,0),0)</f>
        <v>245.42</v>
      </c>
      <c r="H26" s="24">
        <f>IFERROR(VLOOKUP(Tabela32[[#This Row],[Conta]],'BD - A - Despesas'!$J$15:$N$500,5,0),0)</f>
        <v>1688.76</v>
      </c>
      <c r="I26" s="24">
        <f>IFERROR(VLOOKUP(Tabela32[[#This Row],[Conta]],'BD - A - Despesas'!$S$15:$W$500,5,0),0)</f>
        <v>2449.7199999999998</v>
      </c>
      <c r="J26" s="24">
        <f>IFERROR(VLOOKUP(Tabela32[[#This Row],[Conta]],'BD - A - Despesas'!$AB$15:$AF$500,5,0),0)</f>
        <v>537.52</v>
      </c>
      <c r="K26" s="24">
        <f>IFERROR(VLOOKUP(Tabela32[[#This Row],[Conta]],'BD - A - Despesas'!$AK$15:$AO$500,5,0),0)</f>
        <v>0</v>
      </c>
      <c r="L26" s="24">
        <f>IFERROR(VLOOKUP(Tabela32[[#This Row],[Conta]],'BD - A - Despesas'!$AT$15:$AX$500,5,0),0)</f>
        <v>0</v>
      </c>
      <c r="M26" s="24">
        <f>IFERROR(VLOOKUP(Tabela32[[#This Row],[Conta]],'BD - A - Despesas'!$BC$15:$BG$500,5,0),0)</f>
        <v>0</v>
      </c>
      <c r="N26" s="24">
        <f>IFERROR(VLOOKUP(Tabela32[[#This Row],[Conta]],'BD - A - Despesas'!$BL$15:$BP$500,5,0),0)</f>
        <v>0</v>
      </c>
      <c r="O26" s="24">
        <f>IFERROR(VLOOKUP(Tabela32[[#This Row],[Conta]],'BD - A - Despesas'!$BU$15:$BY$500,5,0),0)</f>
        <v>0</v>
      </c>
      <c r="P26" s="24">
        <f>IFERROR(VLOOKUP(Tabela32[[#This Row],[Conta]],'BD - A - Despesas'!$CD$15:$CH$500,5,0),0)</f>
        <v>0</v>
      </c>
      <c r="Q26" s="24">
        <f>IFERROR(VLOOKUP(Tabela32[[#This Row],[Conta]],'BD - A - Despesas'!$CM$15:$CQ$500,5,0),0)</f>
        <v>0</v>
      </c>
      <c r="R26" s="24">
        <f>IFERROR(VLOOKUP(Tabela32[[#This Row],[Conta]],'BD - A - Despesas'!$CV$15:$CZ$500,5,0),0)</f>
        <v>0</v>
      </c>
      <c r="S26"/>
    </row>
    <row r="27" spans="3:20" s="7" customFormat="1">
      <c r="C27" s="79" t="s">
        <v>347</v>
      </c>
      <c r="D27" s="80" t="s">
        <v>340</v>
      </c>
      <c r="E27" s="99">
        <v>331206</v>
      </c>
      <c r="F27" s="79" t="s">
        <v>277</v>
      </c>
      <c r="G27" s="19">
        <f>IFERROR(VLOOKUP(Tabela32[[#This Row],[Conta]],'BD - A - Despesas'!$A$15:$E$500,5,0),0)</f>
        <v>0</v>
      </c>
      <c r="H27" s="24">
        <f>IFERROR(VLOOKUP(Tabela32[[#This Row],[Conta]],'BD - A - Despesas'!$J$15:$N$500,5,0),0)</f>
        <v>0</v>
      </c>
      <c r="I27" s="24">
        <f>IFERROR(VLOOKUP(Tabela32[[#This Row],[Conta]],'BD - A - Despesas'!$S$15:$W$500,5,0),0)</f>
        <v>0</v>
      </c>
      <c r="J27" s="24">
        <f>IFERROR(VLOOKUP(Tabela32[[#This Row],[Conta]],'BD - A - Despesas'!$AB$15:$AF$500,5,0),0)</f>
        <v>0</v>
      </c>
      <c r="K27" s="24">
        <f>IFERROR(VLOOKUP(Tabela32[[#This Row],[Conta]],'BD - A - Despesas'!$AK$15:$AO$500,5,0),0)</f>
        <v>0</v>
      </c>
      <c r="L27" s="24">
        <f>IFERROR(VLOOKUP(Tabela32[[#This Row],[Conta]],'BD - A - Despesas'!$AT$15:$AX$500,5,0),0)</f>
        <v>0</v>
      </c>
      <c r="M27" s="24">
        <f>IFERROR(VLOOKUP(Tabela32[[#This Row],[Conta]],'BD - A - Despesas'!$BC$15:$BG$500,5,0),0)</f>
        <v>0</v>
      </c>
      <c r="N27" s="24">
        <f>IFERROR(VLOOKUP(Tabela32[[#This Row],[Conta]],'BD - A - Despesas'!$BL$15:$BP$500,5,0),0)</f>
        <v>0</v>
      </c>
      <c r="O27" s="24">
        <f>IFERROR(VLOOKUP(Tabela32[[#This Row],[Conta]],'BD - A - Despesas'!$BU$15:$BY$500,5,0),0)</f>
        <v>0</v>
      </c>
      <c r="P27" s="24">
        <f>IFERROR(VLOOKUP(Tabela32[[#This Row],[Conta]],'BD - A - Despesas'!$CD$15:$CH$500,5,0),0)</f>
        <v>0</v>
      </c>
      <c r="Q27" s="24">
        <f>IFERROR(VLOOKUP(Tabela32[[#This Row],[Conta]],'BD - A - Despesas'!$CM$15:$CQ$500,5,0),0)</f>
        <v>0</v>
      </c>
      <c r="R27" s="24">
        <f>IFERROR(VLOOKUP(Tabela32[[#This Row],[Conta]],'BD - A - Despesas'!$CV$15:$CZ$500,5,0),0)</f>
        <v>0</v>
      </c>
      <c r="T27"/>
    </row>
    <row r="28" spans="3:20" s="7" customFormat="1">
      <c r="C28" s="79" t="s">
        <v>347</v>
      </c>
      <c r="D28" s="80" t="s">
        <v>340</v>
      </c>
      <c r="E28" s="99">
        <v>331208</v>
      </c>
      <c r="F28" s="79" t="s">
        <v>449</v>
      </c>
      <c r="G28" s="19">
        <f>IFERROR(VLOOKUP(Tabela32[[#This Row],[Conta]],'BD - A - Despesas'!$A$15:$E$500,5,0),0)</f>
        <v>0</v>
      </c>
      <c r="H28" s="24">
        <f>IFERROR(VLOOKUP(Tabela32[[#This Row],[Conta]],'BD - A - Despesas'!$J$15:$N$500,5,0),0)</f>
        <v>0</v>
      </c>
      <c r="I28" s="24">
        <f>IFERROR(VLOOKUP(Tabela32[[#This Row],[Conta]],'BD - A - Despesas'!$S$15:$W$500,5,0),0)</f>
        <v>0</v>
      </c>
      <c r="J28" s="24">
        <f>IFERROR(VLOOKUP(Tabela32[[#This Row],[Conta]],'BD - A - Despesas'!$AB$15:$AF$500,5,0),0)</f>
        <v>0</v>
      </c>
      <c r="K28" s="24">
        <f>IFERROR(VLOOKUP(Tabela32[[#This Row],[Conta]],'BD - A - Despesas'!$AK$15:$AO$500,5,0),0)</f>
        <v>0</v>
      </c>
      <c r="L28" s="24">
        <f>IFERROR(VLOOKUP(Tabela32[[#This Row],[Conta]],'BD - A - Despesas'!$AT$15:$AX$500,5,0),0)</f>
        <v>0</v>
      </c>
      <c r="M28" s="24">
        <f>IFERROR(VLOOKUP(Tabela32[[#This Row],[Conta]],'BD - A - Despesas'!$BC$15:$BG$500,5,0),0)</f>
        <v>0</v>
      </c>
      <c r="N28" s="24">
        <f>IFERROR(VLOOKUP(Tabela32[[#This Row],[Conta]],'BD - A - Despesas'!$BL$15:$BP$500,5,0),0)</f>
        <v>0</v>
      </c>
      <c r="O28" s="24">
        <f>IFERROR(VLOOKUP(Tabela32[[#This Row],[Conta]],'BD - A - Despesas'!$BU$15:$BY$500,5,0),0)</f>
        <v>0</v>
      </c>
      <c r="P28" s="24">
        <f>IFERROR(VLOOKUP(Tabela32[[#This Row],[Conta]],'BD - A - Despesas'!$CD$15:$CH$500,5,0),0)</f>
        <v>0</v>
      </c>
      <c r="Q28" s="24">
        <f>IFERROR(VLOOKUP(Tabela32[[#This Row],[Conta]],'BD - A - Despesas'!$CM$15:$CQ$500,5,0),0)</f>
        <v>0</v>
      </c>
      <c r="R28" s="24">
        <f>IFERROR(VLOOKUP(Tabela32[[#This Row],[Conta]],'BD - A - Despesas'!$CV$15:$CZ$500,5,0),0)</f>
        <v>0</v>
      </c>
      <c r="T28"/>
    </row>
    <row r="29" spans="3:20" s="7" customFormat="1">
      <c r="C29" s="79" t="s">
        <v>347</v>
      </c>
      <c r="D29" s="80" t="s">
        <v>340</v>
      </c>
      <c r="E29" s="99">
        <v>331251</v>
      </c>
      <c r="F29" s="82" t="s">
        <v>278</v>
      </c>
      <c r="G29" s="19">
        <f>IFERROR(VLOOKUP(Tabela32[[#This Row],[Conta]],'BD - A - Despesas'!$A$15:$E$500,5,0),0)</f>
        <v>0</v>
      </c>
      <c r="H29" s="24">
        <f>IFERROR(VLOOKUP(Tabela32[[#This Row],[Conta]],'BD - A - Despesas'!$J$15:$N$500,5,0),0)</f>
        <v>0</v>
      </c>
      <c r="I29" s="24">
        <f>IFERROR(VLOOKUP(Tabela32[[#This Row],[Conta]],'BD - A - Despesas'!$S$15:$W$500,5,0),0)</f>
        <v>0</v>
      </c>
      <c r="J29" s="24">
        <f>IFERROR(VLOOKUP(Tabela32[[#This Row],[Conta]],'BD - A - Despesas'!$AB$15:$AF$500,5,0),0)</f>
        <v>0</v>
      </c>
      <c r="K29" s="24">
        <f>IFERROR(VLOOKUP(Tabela32[[#This Row],[Conta]],'BD - A - Despesas'!$AK$15:$AO$500,5,0),0)</f>
        <v>0</v>
      </c>
      <c r="L29" s="24">
        <f>IFERROR(VLOOKUP(Tabela32[[#This Row],[Conta]],'BD - A - Despesas'!$AT$15:$AX$500,5,0),0)</f>
        <v>0</v>
      </c>
      <c r="M29" s="24">
        <f>IFERROR(VLOOKUP(Tabela32[[#This Row],[Conta]],'BD - A - Despesas'!$BC$15:$BG$500,5,0),0)</f>
        <v>0</v>
      </c>
      <c r="N29" s="24">
        <f>IFERROR(VLOOKUP(Tabela32[[#This Row],[Conta]],'BD - A - Despesas'!$BL$15:$BP$500,5,0),0)</f>
        <v>0</v>
      </c>
      <c r="O29" s="24">
        <f>IFERROR(VLOOKUP(Tabela32[[#This Row],[Conta]],'BD - A - Despesas'!$BU$15:$BY$500,5,0),0)</f>
        <v>0</v>
      </c>
      <c r="P29" s="24">
        <f>IFERROR(VLOOKUP(Tabela32[[#This Row],[Conta]],'BD - A - Despesas'!$CD$15:$CH$500,5,0),0)</f>
        <v>0</v>
      </c>
      <c r="Q29" s="24">
        <f>IFERROR(VLOOKUP(Tabela32[[#This Row],[Conta]],'BD - A - Despesas'!$CM$15:$CQ$500,5,0),0)</f>
        <v>0</v>
      </c>
      <c r="R29" s="24">
        <f>IFERROR(VLOOKUP(Tabela32[[#This Row],[Conta]],'BD - A - Despesas'!$CV$15:$CZ$500,5,0),0)</f>
        <v>0</v>
      </c>
      <c r="T29"/>
    </row>
    <row r="30" spans="3:20" s="7" customFormat="1">
      <c r="C30" s="79" t="s">
        <v>347</v>
      </c>
      <c r="D30" s="80" t="s">
        <v>340</v>
      </c>
      <c r="E30" s="99">
        <v>331252</v>
      </c>
      <c r="F30" s="79" t="s">
        <v>279</v>
      </c>
      <c r="G30" s="19">
        <f>IFERROR(VLOOKUP(Tabela32[[#This Row],[Conta]],'BD - A - Despesas'!$A$15:$E$500,5,0),0)</f>
        <v>3315</v>
      </c>
      <c r="H30" s="24">
        <f>IFERROR(VLOOKUP(Tabela32[[#This Row],[Conta]],'BD - A - Despesas'!$J$15:$N$500,5,0),0)</f>
        <v>1755</v>
      </c>
      <c r="I30" s="24">
        <f>IFERROR(VLOOKUP(Tabela32[[#This Row],[Conta]],'BD - A - Despesas'!$S$15:$W$500,5,0),0)</f>
        <v>1170</v>
      </c>
      <c r="J30" s="24">
        <f>IFERROR(VLOOKUP(Tabela32[[#This Row],[Conta]],'BD - A - Despesas'!$AB$15:$AF$500,5,0),0)</f>
        <v>1560</v>
      </c>
      <c r="K30" s="24">
        <f>IFERROR(VLOOKUP(Tabela32[[#This Row],[Conta]],'BD - A - Despesas'!$AK$15:$AO$500,5,0),0)</f>
        <v>0</v>
      </c>
      <c r="L30" s="24">
        <f>IFERROR(VLOOKUP(Tabela32[[#This Row],[Conta]],'BD - A - Despesas'!$AT$15:$AX$500,5,0),0)</f>
        <v>0</v>
      </c>
      <c r="M30" s="24">
        <f>IFERROR(VLOOKUP(Tabela32[[#This Row],[Conta]],'BD - A - Despesas'!$BC$15:$BG$500,5,0),0)</f>
        <v>0</v>
      </c>
      <c r="N30" s="24">
        <f>IFERROR(VLOOKUP(Tabela32[[#This Row],[Conta]],'BD - A - Despesas'!$BL$15:$BP$500,5,0),0)</f>
        <v>0</v>
      </c>
      <c r="O30" s="24">
        <f>IFERROR(VLOOKUP(Tabela32[[#This Row],[Conta]],'BD - A - Despesas'!$BU$15:$BY$500,5,0),0)</f>
        <v>0</v>
      </c>
      <c r="P30" s="24">
        <f>IFERROR(VLOOKUP(Tabela32[[#This Row],[Conta]],'BD - A - Despesas'!$CD$15:$CH$500,5,0),0)</f>
        <v>0</v>
      </c>
      <c r="Q30" s="24">
        <f>IFERROR(VLOOKUP(Tabela32[[#This Row],[Conta]],'BD - A - Despesas'!$CM$15:$CQ$500,5,0),0)</f>
        <v>0</v>
      </c>
      <c r="R30" s="24">
        <f>IFERROR(VLOOKUP(Tabela32[[#This Row],[Conta]],'BD - A - Despesas'!$CV$15:$CZ$500,5,0),0)</f>
        <v>0</v>
      </c>
      <c r="T30"/>
    </row>
    <row r="31" spans="3:20" s="7" customFormat="1">
      <c r="C31" s="79" t="s">
        <v>347</v>
      </c>
      <c r="D31" s="80" t="s">
        <v>340</v>
      </c>
      <c r="E31" s="99">
        <v>331253</v>
      </c>
      <c r="F31" s="82" t="s">
        <v>280</v>
      </c>
      <c r="G31" s="19">
        <f>IFERROR(VLOOKUP(Tabela32[[#This Row],[Conta]],'BD - A - Despesas'!$A$15:$E$500,5,0),0)</f>
        <v>0</v>
      </c>
      <c r="H31" s="24">
        <f>IFERROR(VLOOKUP(Tabela32[[#This Row],[Conta]],'BD - A - Despesas'!$J$15:$N$500,5,0),0)</f>
        <v>0</v>
      </c>
      <c r="I31" s="24">
        <f>IFERROR(VLOOKUP(Tabela32[[#This Row],[Conta]],'BD - A - Despesas'!$S$15:$W$500,5,0),0)</f>
        <v>0</v>
      </c>
      <c r="J31" s="24">
        <f>IFERROR(VLOOKUP(Tabela32[[#This Row],[Conta]],'BD - A - Despesas'!$AB$15:$AF$500,5,0),0)</f>
        <v>0</v>
      </c>
      <c r="K31" s="24">
        <f>IFERROR(VLOOKUP(Tabela32[[#This Row],[Conta]],'BD - A - Despesas'!$AK$15:$AO$500,5,0),0)</f>
        <v>0</v>
      </c>
      <c r="L31" s="24">
        <f>IFERROR(VLOOKUP(Tabela32[[#This Row],[Conta]],'BD - A - Despesas'!$AT$15:$AX$500,5,0),0)</f>
        <v>0</v>
      </c>
      <c r="M31" s="24">
        <f>IFERROR(VLOOKUP(Tabela32[[#This Row],[Conta]],'BD - A - Despesas'!$BC$15:$BG$500,5,0),0)</f>
        <v>0</v>
      </c>
      <c r="N31" s="24">
        <f>IFERROR(VLOOKUP(Tabela32[[#This Row],[Conta]],'BD - A - Despesas'!$BL$15:$BP$500,5,0),0)</f>
        <v>0</v>
      </c>
      <c r="O31" s="24">
        <f>IFERROR(VLOOKUP(Tabela32[[#This Row],[Conta]],'BD - A - Despesas'!$BU$15:$BY$500,5,0),0)</f>
        <v>0</v>
      </c>
      <c r="P31" s="24">
        <f>IFERROR(VLOOKUP(Tabela32[[#This Row],[Conta]],'BD - A - Despesas'!$CD$15:$CH$500,5,0),0)</f>
        <v>0</v>
      </c>
      <c r="Q31" s="24">
        <f>IFERROR(VLOOKUP(Tabela32[[#This Row],[Conta]],'BD - A - Despesas'!$CM$15:$CQ$500,5,0),0)</f>
        <v>0</v>
      </c>
      <c r="R31" s="24">
        <f>IFERROR(VLOOKUP(Tabela32[[#This Row],[Conta]],'BD - A - Despesas'!$CV$15:$CZ$500,5,0),0)</f>
        <v>0</v>
      </c>
      <c r="T31"/>
    </row>
    <row r="32" spans="3:20" s="7" customFormat="1">
      <c r="C32" s="84" t="s">
        <v>383</v>
      </c>
      <c r="D32" s="80" t="s">
        <v>331</v>
      </c>
      <c r="E32" s="99">
        <v>331301</v>
      </c>
      <c r="F32" s="82" t="s">
        <v>281</v>
      </c>
      <c r="G32" s="19">
        <f>IFERROR(VLOOKUP(Tabela32[[#This Row],[Conta]],'BD - A - Despesas'!$A$15:$E$500,5,0),0)</f>
        <v>0</v>
      </c>
      <c r="H32" s="24">
        <f>IFERROR(VLOOKUP(Tabela32[[#This Row],[Conta]],'BD - A - Despesas'!$J$15:$N$500,5,0),0)</f>
        <v>0</v>
      </c>
      <c r="I32" s="24">
        <f>IFERROR(VLOOKUP(Tabela32[[#This Row],[Conta]],'BD - A - Despesas'!$S$15:$W$500,5,0),0)</f>
        <v>0</v>
      </c>
      <c r="J32" s="24">
        <f>IFERROR(VLOOKUP(Tabela32[[#This Row],[Conta]],'BD - A - Despesas'!$AB$15:$AF$500,5,0),0)</f>
        <v>0</v>
      </c>
      <c r="K32" s="24">
        <f>IFERROR(VLOOKUP(Tabela32[[#This Row],[Conta]],'BD - A - Despesas'!$AK$15:$AO$500,5,0),0)</f>
        <v>0</v>
      </c>
      <c r="L32" s="24">
        <f>IFERROR(VLOOKUP(Tabela32[[#This Row],[Conta]],'BD - A - Despesas'!$AT$15:$AX$500,5,0),0)</f>
        <v>0</v>
      </c>
      <c r="M32" s="24">
        <f>IFERROR(VLOOKUP(Tabela32[[#This Row],[Conta]],'BD - A - Despesas'!$BC$15:$BG$500,5,0),0)</f>
        <v>0</v>
      </c>
      <c r="N32" s="24">
        <f>IFERROR(VLOOKUP(Tabela32[[#This Row],[Conta]],'BD - A - Despesas'!$BL$15:$BP$500,5,0),0)</f>
        <v>0</v>
      </c>
      <c r="O32" s="24">
        <f>IFERROR(VLOOKUP(Tabela32[[#This Row],[Conta]],'BD - A - Despesas'!$BU$15:$BY$500,5,0),0)</f>
        <v>0</v>
      </c>
      <c r="P32" s="24">
        <f>IFERROR(VLOOKUP(Tabela32[[#This Row],[Conta]],'BD - A - Despesas'!$CD$15:$CH$500,5,0),0)</f>
        <v>0</v>
      </c>
      <c r="Q32" s="24">
        <f>IFERROR(VLOOKUP(Tabela32[[#This Row],[Conta]],'BD - A - Despesas'!$CM$15:$CQ$500,5,0),0)</f>
        <v>0</v>
      </c>
      <c r="R32" s="24">
        <f>IFERROR(VLOOKUP(Tabela32[[#This Row],[Conta]],'BD - A - Despesas'!$CV$15:$CZ$500,5,0),0)</f>
        <v>0</v>
      </c>
      <c r="T32"/>
    </row>
    <row r="33" spans="3:20" s="7" customFormat="1">
      <c r="C33" s="79" t="s">
        <v>347</v>
      </c>
      <c r="D33" s="80" t="s">
        <v>332</v>
      </c>
      <c r="E33" s="99">
        <v>331302</v>
      </c>
      <c r="F33" s="79" t="s">
        <v>40</v>
      </c>
      <c r="G33" s="19">
        <f>IFERROR(VLOOKUP(Tabela32[[#This Row],[Conta]],'BD - A - Despesas'!$A$15:$E$500,5,0),0)</f>
        <v>0</v>
      </c>
      <c r="H33" s="24">
        <f>IFERROR(VLOOKUP(Tabela32[[#This Row],[Conta]],'BD - A - Despesas'!$J$15:$N$500,5,0),0)</f>
        <v>0</v>
      </c>
      <c r="I33" s="24">
        <f>IFERROR(VLOOKUP(Tabela32[[#This Row],[Conta]],'BD - A - Despesas'!$S$15:$W$500,5,0),0)</f>
        <v>0</v>
      </c>
      <c r="J33" s="24">
        <f>IFERROR(VLOOKUP(Tabela32[[#This Row],[Conta]],'BD - A - Despesas'!$AB$15:$AF$500,5,0),0)</f>
        <v>0</v>
      </c>
      <c r="K33" s="24">
        <f>IFERROR(VLOOKUP(Tabela32[[#This Row],[Conta]],'BD - A - Despesas'!$AK$15:$AO$500,5,0),0)</f>
        <v>0</v>
      </c>
      <c r="L33" s="24">
        <f>IFERROR(VLOOKUP(Tabela32[[#This Row],[Conta]],'BD - A - Despesas'!$AT$15:$AX$500,5,0),0)</f>
        <v>0</v>
      </c>
      <c r="M33" s="24">
        <f>IFERROR(VLOOKUP(Tabela32[[#This Row],[Conta]],'BD - A - Despesas'!$BC$15:$BG$500,5,0),0)</f>
        <v>0</v>
      </c>
      <c r="N33" s="24">
        <f>IFERROR(VLOOKUP(Tabela32[[#This Row],[Conta]],'BD - A - Despesas'!$BL$15:$BP$500,5,0),0)</f>
        <v>0</v>
      </c>
      <c r="O33" s="24">
        <f>IFERROR(VLOOKUP(Tabela32[[#This Row],[Conta]],'BD - A - Despesas'!$BU$15:$BY$500,5,0),0)</f>
        <v>0</v>
      </c>
      <c r="P33" s="24">
        <f>IFERROR(VLOOKUP(Tabela32[[#This Row],[Conta]],'BD - A - Despesas'!$CD$15:$CH$500,5,0),0)</f>
        <v>0</v>
      </c>
      <c r="Q33" s="24">
        <f>IFERROR(VLOOKUP(Tabela32[[#This Row],[Conta]],'BD - A - Despesas'!$CM$15:$CQ$500,5,0),0)</f>
        <v>0</v>
      </c>
      <c r="R33" s="24">
        <f>IFERROR(VLOOKUP(Tabela32[[#This Row],[Conta]],'BD - A - Despesas'!$CV$15:$CZ$500,5,0),0)</f>
        <v>0</v>
      </c>
      <c r="T33"/>
    </row>
    <row r="34" spans="3:20" s="7" customFormat="1">
      <c r="C34" s="79" t="s">
        <v>347</v>
      </c>
      <c r="D34" s="80" t="s">
        <v>332</v>
      </c>
      <c r="E34" s="99">
        <v>331303</v>
      </c>
      <c r="F34" s="82" t="s">
        <v>6</v>
      </c>
      <c r="G34" s="13">
        <f>IFERROR(VLOOKUP(Tabela32[[#This Row],[Conta]],'BD - A - Despesas'!$A$15:$E$500,5,0),0)</f>
        <v>0</v>
      </c>
      <c r="H34" s="24">
        <f>IFERROR(VLOOKUP(Tabela32[[#This Row],[Conta]],'BD - A - Despesas'!$J$15:$N$500,5,0),0)</f>
        <v>0</v>
      </c>
      <c r="I34" s="24">
        <f>IFERROR(VLOOKUP(Tabela32[[#This Row],[Conta]],'BD - A - Despesas'!$S$15:$W$500,5,0),0)</f>
        <v>0</v>
      </c>
      <c r="J34" s="24">
        <f>IFERROR(VLOOKUP(Tabela32[[#This Row],[Conta]],'BD - A - Despesas'!$AB$15:$AF$500,5,0),0)</f>
        <v>0</v>
      </c>
      <c r="K34" s="24">
        <f>IFERROR(VLOOKUP(Tabela32[[#This Row],[Conta]],'BD - A - Despesas'!$AK$15:$AO$500,5,0),0)</f>
        <v>0</v>
      </c>
      <c r="L34" s="24">
        <f>IFERROR(VLOOKUP(Tabela32[[#This Row],[Conta]],'BD - A - Despesas'!$AT$15:$AX$500,5,0),0)</f>
        <v>0</v>
      </c>
      <c r="M34" s="24">
        <f>IFERROR(VLOOKUP(Tabela32[[#This Row],[Conta]],'BD - A - Despesas'!$BC$15:$BG$500,5,0),0)</f>
        <v>0</v>
      </c>
      <c r="N34" s="24">
        <f>IFERROR(VLOOKUP(Tabela32[[#This Row],[Conta]],'BD - A - Despesas'!$BL$15:$BP$500,5,0),0)</f>
        <v>0</v>
      </c>
      <c r="O34" s="24">
        <f>IFERROR(VLOOKUP(Tabela32[[#This Row],[Conta]],'BD - A - Despesas'!$BU$15:$BY$500,5,0),0)</f>
        <v>0</v>
      </c>
      <c r="P34" s="24">
        <f>IFERROR(VLOOKUP(Tabela32[[#This Row],[Conta]],'BD - A - Despesas'!$CD$15:$CH$500,5,0),0)</f>
        <v>0</v>
      </c>
      <c r="Q34" s="24">
        <f>IFERROR(VLOOKUP(Tabela32[[#This Row],[Conta]],'BD - A - Despesas'!$CM$15:$CQ$500,5,0),0)</f>
        <v>0</v>
      </c>
      <c r="R34" s="24">
        <f>IFERROR(VLOOKUP(Tabela32[[#This Row],[Conta]],'BD - A - Despesas'!$CV$15:$CZ$500,5,0),0)</f>
        <v>0</v>
      </c>
      <c r="T34"/>
    </row>
    <row r="35" spans="3:20">
      <c r="C35" s="79" t="s">
        <v>347</v>
      </c>
      <c r="D35" s="80" t="s">
        <v>332</v>
      </c>
      <c r="E35" s="99">
        <v>331304</v>
      </c>
      <c r="F35" s="82" t="s">
        <v>7</v>
      </c>
      <c r="G35" s="13">
        <f>IFERROR(VLOOKUP(Tabela32[[#This Row],[Conta]],'BD - A - Despesas'!$A$15:$E$500,5,0),0)</f>
        <v>0</v>
      </c>
      <c r="H35" s="24">
        <f>IFERROR(VLOOKUP(Tabela32[[#This Row],[Conta]],'BD - A - Despesas'!$J$15:$N$500,5,0),0)</f>
        <v>0</v>
      </c>
      <c r="I35" s="24">
        <f>IFERROR(VLOOKUP(Tabela32[[#This Row],[Conta]],'BD - A - Despesas'!$S$15:$W$500,5,0),0)</f>
        <v>0</v>
      </c>
      <c r="J35" s="24">
        <f>IFERROR(VLOOKUP(Tabela32[[#This Row],[Conta]],'BD - A - Despesas'!$AB$15:$AF$500,5,0),0)</f>
        <v>0</v>
      </c>
      <c r="K35" s="24">
        <f>IFERROR(VLOOKUP(Tabela32[[#This Row],[Conta]],'BD - A - Despesas'!$AK$15:$AO$500,5,0),0)</f>
        <v>0</v>
      </c>
      <c r="L35" s="24">
        <f>IFERROR(VLOOKUP(Tabela32[[#This Row],[Conta]],'BD - A - Despesas'!$AT$15:$AX$500,5,0),0)</f>
        <v>0</v>
      </c>
      <c r="M35" s="24">
        <f>IFERROR(VLOOKUP(Tabela32[[#This Row],[Conta]],'BD - A - Despesas'!$BC$15:$BG$500,5,0),0)</f>
        <v>0</v>
      </c>
      <c r="N35" s="24">
        <f>IFERROR(VLOOKUP(Tabela32[[#This Row],[Conta]],'BD - A - Despesas'!$BL$15:$BP$500,5,0),0)</f>
        <v>0</v>
      </c>
      <c r="O35" s="24">
        <f>IFERROR(VLOOKUP(Tabela32[[#This Row],[Conta]],'BD - A - Despesas'!$BU$15:$BY$500,5,0),0)</f>
        <v>0</v>
      </c>
      <c r="P35" s="24">
        <f>IFERROR(VLOOKUP(Tabela32[[#This Row],[Conta]],'BD - A - Despesas'!$CD$15:$CH$500,5,0),0)</f>
        <v>0</v>
      </c>
      <c r="Q35" s="24">
        <f>IFERROR(VLOOKUP(Tabela32[[#This Row],[Conta]],'BD - A - Despesas'!$CM$15:$CQ$500,5,0),0)</f>
        <v>0</v>
      </c>
      <c r="R35" s="24">
        <f>IFERROR(VLOOKUP(Tabela32[[#This Row],[Conta]],'BD - A - Despesas'!$CV$15:$CZ$500,5,0),0)</f>
        <v>0</v>
      </c>
      <c r="S35"/>
    </row>
    <row r="36" spans="3:20">
      <c r="C36" s="79" t="s">
        <v>347</v>
      </c>
      <c r="D36" s="80" t="s">
        <v>332</v>
      </c>
      <c r="E36" s="99">
        <v>331305</v>
      </c>
      <c r="F36" s="82" t="s">
        <v>282</v>
      </c>
      <c r="G36" s="13">
        <f>IFERROR(VLOOKUP(Tabela32[[#This Row],[Conta]],'BD - A - Despesas'!$A$15:$E$500,5,0),0)</f>
        <v>0</v>
      </c>
      <c r="H36" s="24">
        <f>IFERROR(VLOOKUP(Tabela32[[#This Row],[Conta]],'BD - A - Despesas'!$J$15:$N$500,5,0),0)</f>
        <v>0</v>
      </c>
      <c r="I36" s="24">
        <f>IFERROR(VLOOKUP(Tabela32[[#This Row],[Conta]],'BD - A - Despesas'!$S$15:$W$500,5,0),0)</f>
        <v>0</v>
      </c>
      <c r="J36" s="24">
        <f>IFERROR(VLOOKUP(Tabela32[[#This Row],[Conta]],'BD - A - Despesas'!$AB$15:$AF$500,5,0),0)</f>
        <v>0</v>
      </c>
      <c r="K36" s="24">
        <f>IFERROR(VLOOKUP(Tabela32[[#This Row],[Conta]],'BD - A - Despesas'!$AK$15:$AO$500,5,0),0)</f>
        <v>0</v>
      </c>
      <c r="L36" s="24">
        <f>IFERROR(VLOOKUP(Tabela32[[#This Row],[Conta]],'BD - A - Despesas'!$AT$15:$AX$500,5,0),0)</f>
        <v>0</v>
      </c>
      <c r="M36" s="24">
        <f>IFERROR(VLOOKUP(Tabela32[[#This Row],[Conta]],'BD - A - Despesas'!$BC$15:$BG$500,5,0),0)</f>
        <v>0</v>
      </c>
      <c r="N36" s="24">
        <f>IFERROR(VLOOKUP(Tabela32[[#This Row],[Conta]],'BD - A - Despesas'!$BL$15:$BP$500,5,0),0)</f>
        <v>0</v>
      </c>
      <c r="O36" s="24">
        <f>IFERROR(VLOOKUP(Tabela32[[#This Row],[Conta]],'BD - A - Despesas'!$BU$15:$BY$500,5,0),0)</f>
        <v>0</v>
      </c>
      <c r="P36" s="24">
        <f>IFERROR(VLOOKUP(Tabela32[[#This Row],[Conta]],'BD - A - Despesas'!$CD$15:$CH$500,5,0),0)</f>
        <v>0</v>
      </c>
      <c r="Q36" s="24">
        <f>IFERROR(VLOOKUP(Tabela32[[#This Row],[Conta]],'BD - A - Despesas'!$CM$15:$CQ$500,5,0),0)</f>
        <v>0</v>
      </c>
      <c r="R36" s="24">
        <f>IFERROR(VLOOKUP(Tabela32[[#This Row],[Conta]],'BD - A - Despesas'!$CV$15:$CZ$500,5,0),0)</f>
        <v>0</v>
      </c>
      <c r="S36"/>
    </row>
    <row r="37" spans="3:20">
      <c r="C37" s="79" t="s">
        <v>347</v>
      </c>
      <c r="D37" s="80" t="s">
        <v>332</v>
      </c>
      <c r="E37" s="85">
        <v>331306</v>
      </c>
      <c r="F37" s="82" t="s">
        <v>287</v>
      </c>
      <c r="G37" s="13">
        <f>IFERROR(VLOOKUP(Tabela32[[#This Row],[Conta]],'BD - A - Despesas'!$A$15:$E$500,5,0),0)</f>
        <v>0</v>
      </c>
      <c r="H37" s="24">
        <f>IFERROR(VLOOKUP(Tabela32[[#This Row],[Conta]],'BD - A - Despesas'!$J$15:$N$500,5,0),0)</f>
        <v>0</v>
      </c>
      <c r="I37" s="24">
        <f>IFERROR(VLOOKUP(Tabela32[[#This Row],[Conta]],'BD - A - Despesas'!$S$15:$W$500,5,0),0)</f>
        <v>0</v>
      </c>
      <c r="J37" s="24">
        <f>IFERROR(VLOOKUP(Tabela32[[#This Row],[Conta]],'BD - A - Despesas'!$AB$15:$AF$500,5,0),0)</f>
        <v>0</v>
      </c>
      <c r="K37" s="24">
        <f>IFERROR(VLOOKUP(Tabela32[[#This Row],[Conta]],'BD - A - Despesas'!$AK$15:$AO$500,5,0),0)</f>
        <v>0</v>
      </c>
      <c r="L37" s="24">
        <f>IFERROR(VLOOKUP(Tabela32[[#This Row],[Conta]],'BD - A - Despesas'!$AT$15:$AX$500,5,0),0)</f>
        <v>0</v>
      </c>
      <c r="M37" s="24">
        <f>IFERROR(VLOOKUP(Tabela32[[#This Row],[Conta]],'BD - A - Despesas'!$BC$15:$BG$500,5,0),0)</f>
        <v>0</v>
      </c>
      <c r="N37" s="24">
        <f>IFERROR(VLOOKUP(Tabela32[[#This Row],[Conta]],'BD - A - Despesas'!$BL$15:$BP$500,5,0),0)</f>
        <v>0</v>
      </c>
      <c r="O37" s="24">
        <f>IFERROR(VLOOKUP(Tabela32[[#This Row],[Conta]],'BD - A - Despesas'!$BU$15:$BY$500,5,0),0)</f>
        <v>0</v>
      </c>
      <c r="P37" s="24">
        <f>IFERROR(VLOOKUP(Tabela32[[#This Row],[Conta]],'BD - A - Despesas'!$CD$15:$CH$500,5,0),0)</f>
        <v>0</v>
      </c>
      <c r="Q37" s="24">
        <f>IFERROR(VLOOKUP(Tabela32[[#This Row],[Conta]],'BD - A - Despesas'!$CM$15:$CQ$500,5,0),0)</f>
        <v>0</v>
      </c>
      <c r="R37" s="24">
        <f>IFERROR(VLOOKUP(Tabela32[[#This Row],[Conta]],'BD - A - Despesas'!$CV$15:$CZ$500,5,0),0)</f>
        <v>0</v>
      </c>
      <c r="S37"/>
    </row>
    <row r="38" spans="3:20">
      <c r="C38" s="79" t="s">
        <v>347</v>
      </c>
      <c r="D38" s="80" t="s">
        <v>332</v>
      </c>
      <c r="E38" s="85">
        <v>331307</v>
      </c>
      <c r="F38" s="82" t="s">
        <v>448</v>
      </c>
      <c r="G38" s="425">
        <f>IFERROR(VLOOKUP(Tabela32[[#This Row],[Conta]],'BD - A - Despesas'!$A$15:$E$500,5,0),0)</f>
        <v>1076.4000000000001</v>
      </c>
      <c r="H38" s="24">
        <f>IFERROR(VLOOKUP(Tabela32[[#This Row],[Conta]],'BD - A - Despesas'!$J$15:$N$500,5,0),0)</f>
        <v>1076.4000000000001</v>
      </c>
      <c r="I38" s="24">
        <f>IFERROR(VLOOKUP(Tabela32[[#This Row],[Conta]],'BD - A - Despesas'!$S$15:$W$500,5,0),0)</f>
        <v>1076.4000000000001</v>
      </c>
      <c r="J38" s="24">
        <f>IFERROR(VLOOKUP(Tabela32[[#This Row],[Conta]],'BD - A - Despesas'!$AB$15:$AF$500,5,0),0)</f>
        <v>1076.4000000000001</v>
      </c>
      <c r="K38" s="24">
        <f>IFERROR(VLOOKUP(Tabela32[[#This Row],[Conta]],'BD - A - Despesas'!$AK$15:$AO$500,5,0),0)</f>
        <v>0</v>
      </c>
      <c r="L38" s="24">
        <f>IFERROR(VLOOKUP(Tabela32[[#This Row],[Conta]],'BD - A - Despesas'!$AT$15:$AX$500,5,0),0)</f>
        <v>0</v>
      </c>
      <c r="M38" s="24">
        <f>IFERROR(VLOOKUP(Tabela32[[#This Row],[Conta]],'BD - A - Despesas'!$BC$15:$BG$500,5,0),0)</f>
        <v>0</v>
      </c>
      <c r="N38" s="24">
        <f>IFERROR(VLOOKUP(Tabela32[[#This Row],[Conta]],'BD - A - Despesas'!$BL$15:$BP$500,5,0),0)</f>
        <v>0</v>
      </c>
      <c r="O38" s="24">
        <f>IFERROR(VLOOKUP(Tabela32[[#This Row],[Conta]],'BD - A - Despesas'!$BU$15:$BY$500,5,0),0)</f>
        <v>0</v>
      </c>
      <c r="P38" s="24">
        <f>IFERROR(VLOOKUP(Tabela32[[#This Row],[Conta]],'BD - A - Despesas'!$CD$15:$CH$500,5,0),0)</f>
        <v>0</v>
      </c>
      <c r="Q38" s="24">
        <f>IFERROR(VLOOKUP(Tabela32[[#This Row],[Conta]],'BD - A - Despesas'!$CM$15:$CQ$500,5,0),0)</f>
        <v>0</v>
      </c>
      <c r="R38" s="24">
        <f>IFERROR(VLOOKUP(Tabela32[[#This Row],[Conta]],'BD - A - Despesas'!$CV$15:$CZ$500,5,0),0)</f>
        <v>0</v>
      </c>
      <c r="S38"/>
    </row>
    <row r="39" spans="3:20">
      <c r="C39" s="79" t="s">
        <v>347</v>
      </c>
      <c r="D39" s="80" t="s">
        <v>332</v>
      </c>
      <c r="E39" s="30">
        <v>331308</v>
      </c>
      <c r="F39" s="82" t="s">
        <v>407</v>
      </c>
      <c r="G39" s="13">
        <f>IFERROR(VLOOKUP(Tabela32[[#This Row],[Conta]],'BD - A - Despesas'!$A$15:$E$500,5,0),0)</f>
        <v>407.67</v>
      </c>
      <c r="H39" s="24">
        <f>IFERROR(VLOOKUP(Tabela32[[#This Row],[Conta]],'BD - A - Despesas'!$J$15:$N$500,5,0),0)</f>
        <v>0</v>
      </c>
      <c r="I39" s="24">
        <f>IFERROR(VLOOKUP(Tabela32[[#This Row],[Conta]],'BD - A - Despesas'!$S$15:$W$500,5,0),0)</f>
        <v>0</v>
      </c>
      <c r="J39" s="24">
        <f>IFERROR(VLOOKUP(Tabela32[[#This Row],[Conta]],'BD - A - Despesas'!$AB$15:$AF$500,5,0),0)</f>
        <v>0</v>
      </c>
      <c r="K39" s="24">
        <f>IFERROR(VLOOKUP(Tabela32[[#This Row],[Conta]],'BD - A - Despesas'!$AK$15:$AO$500,5,0),0)</f>
        <v>0</v>
      </c>
      <c r="L39" s="24">
        <f>IFERROR(VLOOKUP(Tabela32[[#This Row],[Conta]],'BD - A - Despesas'!$AT$15:$AX$500,5,0),0)</f>
        <v>0</v>
      </c>
      <c r="M39" s="24">
        <f>IFERROR(VLOOKUP(Tabela32[[#This Row],[Conta]],'BD - A - Despesas'!$BC$15:$BG$500,5,0),0)</f>
        <v>0</v>
      </c>
      <c r="N39" s="24">
        <f>IFERROR(VLOOKUP(Tabela32[[#This Row],[Conta]],'BD - A - Despesas'!$BL$15:$BP$500,5,0),0)</f>
        <v>0</v>
      </c>
      <c r="O39" s="24">
        <f>IFERROR(VLOOKUP(Tabela32[[#This Row],[Conta]],'BD - A - Despesas'!$BU$15:$BY$500,5,0),0)</f>
        <v>0</v>
      </c>
      <c r="P39" s="24">
        <f>IFERROR(VLOOKUP(Tabela32[[#This Row],[Conta]],'BD - A - Despesas'!$CD$15:$CH$500,5,0),0)</f>
        <v>0</v>
      </c>
      <c r="Q39" s="24">
        <f>IFERROR(VLOOKUP(Tabela32[[#This Row],[Conta]],'BD - A - Despesas'!$CM$15:$CQ$500,5,0),0)</f>
        <v>0</v>
      </c>
      <c r="R39" s="24">
        <f>IFERROR(VLOOKUP(Tabela32[[#This Row],[Conta]],'BD - A - Despesas'!$CV$15:$CZ$500,5,0),0)</f>
        <v>0</v>
      </c>
      <c r="S39"/>
    </row>
    <row r="40" spans="3:20">
      <c r="C40" s="79" t="s">
        <v>347</v>
      </c>
      <c r="D40" s="80" t="s">
        <v>332</v>
      </c>
      <c r="E40" s="30">
        <v>331309</v>
      </c>
      <c r="F40" s="82" t="s">
        <v>408</v>
      </c>
      <c r="G40" s="13">
        <f>IFERROR(VLOOKUP(Tabela32[[#This Row],[Conta]],'BD - A - Despesas'!$A$15:$E$500,5,0),0)</f>
        <v>0</v>
      </c>
      <c r="H40" s="24">
        <f>IFERROR(VLOOKUP(Tabela32[[#This Row],[Conta]],'BD - A - Despesas'!$J$15:$N$500,5,0),0)</f>
        <v>0</v>
      </c>
      <c r="I40" s="24">
        <f>IFERROR(VLOOKUP(Tabela32[[#This Row],[Conta]],'BD - A - Despesas'!$S$15:$W$500,5,0),0)</f>
        <v>0</v>
      </c>
      <c r="J40" s="24">
        <f>IFERROR(VLOOKUP(Tabela32[[#This Row],[Conta]],'BD - A - Despesas'!$AB$15:$AF$500,5,0),0)</f>
        <v>0</v>
      </c>
      <c r="K40" s="24">
        <f>IFERROR(VLOOKUP(Tabela32[[#This Row],[Conta]],'BD - A - Despesas'!$AK$15:$AO$500,5,0),0)</f>
        <v>0</v>
      </c>
      <c r="L40" s="24">
        <f>IFERROR(VLOOKUP(Tabela32[[#This Row],[Conta]],'BD - A - Despesas'!$AT$15:$AX$500,5,0),0)</f>
        <v>0</v>
      </c>
      <c r="M40" s="24">
        <f>IFERROR(VLOOKUP(Tabela32[[#This Row],[Conta]],'BD - A - Despesas'!$BC$15:$BG$500,5,0),0)</f>
        <v>0</v>
      </c>
      <c r="N40" s="24">
        <f>IFERROR(VLOOKUP(Tabela32[[#This Row],[Conta]],'BD - A - Despesas'!$BL$15:$BP$500,5,0),0)</f>
        <v>0</v>
      </c>
      <c r="O40" s="24">
        <f>IFERROR(VLOOKUP(Tabela32[[#This Row],[Conta]],'BD - A - Despesas'!$BU$15:$BY$500,5,0),0)</f>
        <v>0</v>
      </c>
      <c r="P40" s="24">
        <f>IFERROR(VLOOKUP(Tabela32[[#This Row],[Conta]],'BD - A - Despesas'!$CD$15:$CH$500,5,0),0)</f>
        <v>0</v>
      </c>
      <c r="Q40" s="24">
        <f>IFERROR(VLOOKUP(Tabela32[[#This Row],[Conta]],'BD - A - Despesas'!$CM$15:$CQ$500,5,0),0)</f>
        <v>0</v>
      </c>
      <c r="R40" s="24">
        <f>IFERROR(VLOOKUP(Tabela32[[#This Row],[Conta]],'BD - A - Despesas'!$CV$15:$CZ$500,5,0),0)</f>
        <v>0</v>
      </c>
      <c r="S40"/>
    </row>
    <row r="41" spans="3:20">
      <c r="C41" s="79" t="s">
        <v>347</v>
      </c>
      <c r="D41" s="80" t="s">
        <v>332</v>
      </c>
      <c r="E41" s="99">
        <v>331310</v>
      </c>
      <c r="F41" s="82" t="s">
        <v>283</v>
      </c>
      <c r="G41" s="13">
        <f>IFERROR(VLOOKUP(Tabela32[[#This Row],[Conta]],'BD - A - Despesas'!$A$15:$E$500,5,0),0)</f>
        <v>0</v>
      </c>
      <c r="H41" s="24">
        <f>IFERROR(VLOOKUP(Tabela32[[#This Row],[Conta]],'BD - A - Despesas'!$J$15:$N$500,5,0),0)</f>
        <v>0</v>
      </c>
      <c r="I41" s="24">
        <f>IFERROR(VLOOKUP(Tabela32[[#This Row],[Conta]],'BD - A - Despesas'!$S$15:$W$500,5,0),0)</f>
        <v>0</v>
      </c>
      <c r="J41" s="24">
        <f>IFERROR(VLOOKUP(Tabela32[[#This Row],[Conta]],'BD - A - Despesas'!$AB$15:$AF$500,5,0),0)</f>
        <v>0</v>
      </c>
      <c r="K41" s="24">
        <f>IFERROR(VLOOKUP(Tabela32[[#This Row],[Conta]],'BD - A - Despesas'!$AK$15:$AO$500,5,0),0)</f>
        <v>0</v>
      </c>
      <c r="L41" s="24">
        <f>IFERROR(VLOOKUP(Tabela32[[#This Row],[Conta]],'BD - A - Despesas'!$AT$15:$AX$500,5,0),0)</f>
        <v>0</v>
      </c>
      <c r="M41" s="24">
        <f>IFERROR(VLOOKUP(Tabela32[[#This Row],[Conta]],'BD - A - Despesas'!$BC$15:$BG$500,5,0),0)</f>
        <v>0</v>
      </c>
      <c r="N41" s="24">
        <f>IFERROR(VLOOKUP(Tabela32[[#This Row],[Conta]],'BD - A - Despesas'!$BL$15:$BP$500,5,0),0)</f>
        <v>0</v>
      </c>
      <c r="O41" s="24">
        <f>IFERROR(VLOOKUP(Tabela32[[#This Row],[Conta]],'BD - A - Despesas'!$BU$15:$BY$500,5,0),0)</f>
        <v>0</v>
      </c>
      <c r="P41" s="24">
        <f>IFERROR(VLOOKUP(Tabela32[[#This Row],[Conta]],'BD - A - Despesas'!$CD$15:$CH$500,5,0),0)</f>
        <v>0</v>
      </c>
      <c r="Q41" s="24">
        <f>IFERROR(VLOOKUP(Tabela32[[#This Row],[Conta]],'BD - A - Despesas'!$CM$15:$CQ$500,5,0),0)</f>
        <v>0</v>
      </c>
      <c r="R41" s="24">
        <f>IFERROR(VLOOKUP(Tabela32[[#This Row],[Conta]],'BD - A - Despesas'!$CV$15:$CZ$500,5,0),0)</f>
        <v>0</v>
      </c>
      <c r="S41"/>
    </row>
    <row r="42" spans="3:20">
      <c r="C42" s="79" t="s">
        <v>347</v>
      </c>
      <c r="D42" s="80" t="s">
        <v>332</v>
      </c>
      <c r="E42" s="99">
        <v>331311</v>
      </c>
      <c r="F42" s="82" t="s">
        <v>284</v>
      </c>
      <c r="G42" s="13">
        <f>IFERROR(VLOOKUP(Tabela32[[#This Row],[Conta]],'BD - A - Despesas'!$A$15:$E$500,5,0),0)</f>
        <v>0</v>
      </c>
      <c r="H42" s="24">
        <f>IFERROR(VLOOKUP(Tabela32[[#This Row],[Conta]],'BD - A - Despesas'!$J$15:$N$500,5,0),0)</f>
        <v>0</v>
      </c>
      <c r="I42" s="24">
        <f>IFERROR(VLOOKUP(Tabela32[[#This Row],[Conta]],'BD - A - Despesas'!$S$15:$W$500,5,0),0)</f>
        <v>0</v>
      </c>
      <c r="J42" s="24">
        <f>IFERROR(VLOOKUP(Tabela32[[#This Row],[Conta]],'BD - A - Despesas'!$AB$15:$AF$500,5,0),0)</f>
        <v>0</v>
      </c>
      <c r="K42" s="24">
        <f>IFERROR(VLOOKUP(Tabela32[[#This Row],[Conta]],'BD - A - Despesas'!$AK$15:$AO$500,5,0),0)</f>
        <v>0</v>
      </c>
      <c r="L42" s="24">
        <f>IFERROR(VLOOKUP(Tabela32[[#This Row],[Conta]],'BD - A - Despesas'!$AT$15:$AX$500,5,0),0)</f>
        <v>0</v>
      </c>
      <c r="M42" s="24">
        <f>IFERROR(VLOOKUP(Tabela32[[#This Row],[Conta]],'BD - A - Despesas'!$BC$15:$BG$500,5,0),0)</f>
        <v>0</v>
      </c>
      <c r="N42" s="24">
        <f>IFERROR(VLOOKUP(Tabela32[[#This Row],[Conta]],'BD - A - Despesas'!$BL$15:$BP$500,5,0),0)</f>
        <v>0</v>
      </c>
      <c r="O42" s="24">
        <f>IFERROR(VLOOKUP(Tabela32[[#This Row],[Conta]],'BD - A - Despesas'!$BU$15:$BY$500,5,0),0)</f>
        <v>0</v>
      </c>
      <c r="P42" s="24">
        <f>IFERROR(VLOOKUP(Tabela32[[#This Row],[Conta]],'BD - A - Despesas'!$CD$15:$CH$500,5,0),0)</f>
        <v>0</v>
      </c>
      <c r="Q42" s="24">
        <f>IFERROR(VLOOKUP(Tabela32[[#This Row],[Conta]],'BD - A - Despesas'!$CM$15:$CQ$500,5,0),0)</f>
        <v>0</v>
      </c>
      <c r="R42" s="24">
        <f>IFERROR(VLOOKUP(Tabela32[[#This Row],[Conta]],'BD - A - Despesas'!$CV$15:$CZ$500,5,0),0)</f>
        <v>0</v>
      </c>
      <c r="S42"/>
    </row>
    <row r="43" spans="3:20">
      <c r="C43" s="79" t="s">
        <v>347</v>
      </c>
      <c r="D43" s="80" t="s">
        <v>332</v>
      </c>
      <c r="E43" s="99">
        <v>331313</v>
      </c>
      <c r="F43" s="82" t="s">
        <v>285</v>
      </c>
      <c r="G43" s="13">
        <f>IFERROR(VLOOKUP(Tabela32[[#This Row],[Conta]],'BD - A - Despesas'!$A$15:$E$500,5,0),0)</f>
        <v>0</v>
      </c>
      <c r="H43" s="24">
        <f>IFERROR(VLOOKUP(Tabela32[[#This Row],[Conta]],'BD - A - Despesas'!$J$15:$N$500,5,0),0)</f>
        <v>0</v>
      </c>
      <c r="I43" s="24">
        <f>IFERROR(VLOOKUP(Tabela32[[#This Row],[Conta]],'BD - A - Despesas'!$S$15:$W$500,5,0),0)</f>
        <v>0</v>
      </c>
      <c r="J43" s="24">
        <f>IFERROR(VLOOKUP(Tabela32[[#This Row],[Conta]],'BD - A - Despesas'!$AB$15:$AF$500,5,0),0)</f>
        <v>0</v>
      </c>
      <c r="K43" s="24">
        <f>IFERROR(VLOOKUP(Tabela32[[#This Row],[Conta]],'BD - A - Despesas'!$AK$15:$AO$500,5,0),0)</f>
        <v>0</v>
      </c>
      <c r="L43" s="24">
        <f>IFERROR(VLOOKUP(Tabela32[[#This Row],[Conta]],'BD - A - Despesas'!$AT$15:$AX$500,5,0),0)</f>
        <v>0</v>
      </c>
      <c r="M43" s="24">
        <f>IFERROR(VLOOKUP(Tabela32[[#This Row],[Conta]],'BD - A - Despesas'!$BC$15:$BG$500,5,0),0)</f>
        <v>0</v>
      </c>
      <c r="N43" s="24">
        <f>IFERROR(VLOOKUP(Tabela32[[#This Row],[Conta]],'BD - A - Despesas'!$BL$15:$BP$500,5,0),0)</f>
        <v>0</v>
      </c>
      <c r="O43" s="24">
        <f>IFERROR(VLOOKUP(Tabela32[[#This Row],[Conta]],'BD - A - Despesas'!$BU$15:$BY$500,5,0),0)</f>
        <v>0</v>
      </c>
      <c r="P43" s="24">
        <f>IFERROR(VLOOKUP(Tabela32[[#This Row],[Conta]],'BD - A - Despesas'!$CD$15:$CH$500,5,0),0)</f>
        <v>0</v>
      </c>
      <c r="Q43" s="24">
        <f>IFERROR(VLOOKUP(Tabela32[[#This Row],[Conta]],'BD - A - Despesas'!$CM$15:$CQ$500,5,0),0)</f>
        <v>0</v>
      </c>
      <c r="R43" s="24">
        <f>IFERROR(VLOOKUP(Tabela32[[#This Row],[Conta]],'BD - A - Despesas'!$CV$15:$CZ$500,5,0),0)</f>
        <v>0</v>
      </c>
      <c r="S43"/>
    </row>
    <row r="44" spans="3:20">
      <c r="C44" s="79" t="s">
        <v>347</v>
      </c>
      <c r="D44" s="80" t="s">
        <v>332</v>
      </c>
      <c r="E44" s="30">
        <v>331314</v>
      </c>
      <c r="F44" s="82" t="s">
        <v>409</v>
      </c>
      <c r="G44" s="13">
        <f>IFERROR(VLOOKUP(Tabela32[[#This Row],[Conta]],'BD - A - Despesas'!$A$15:$E$500,5,0),0)</f>
        <v>0</v>
      </c>
      <c r="H44" s="24">
        <f>IFERROR(VLOOKUP(Tabela32[[#This Row],[Conta]],'BD - A - Despesas'!$J$15:$N$500,5,0),0)</f>
        <v>0</v>
      </c>
      <c r="I44" s="24">
        <f>IFERROR(VLOOKUP(Tabela32[[#This Row],[Conta]],'BD - A - Despesas'!$S$15:$W$500,5,0),0)</f>
        <v>0</v>
      </c>
      <c r="J44" s="24">
        <f>IFERROR(VLOOKUP(Tabela32[[#This Row],[Conta]],'BD - A - Despesas'!$AB$15:$AF$500,5,0),0)</f>
        <v>0</v>
      </c>
      <c r="K44" s="24">
        <f>IFERROR(VLOOKUP(Tabela32[[#This Row],[Conta]],'BD - A - Despesas'!$AK$15:$AO$500,5,0),0)</f>
        <v>0</v>
      </c>
      <c r="L44" s="24">
        <f>IFERROR(VLOOKUP(Tabela32[[#This Row],[Conta]],'BD - A - Despesas'!$AT$15:$AX$500,5,0),0)</f>
        <v>0</v>
      </c>
      <c r="M44" s="24">
        <f>IFERROR(VLOOKUP(Tabela32[[#This Row],[Conta]],'BD - A - Despesas'!$BC$15:$BG$500,5,0),0)</f>
        <v>0</v>
      </c>
      <c r="N44" s="24">
        <f>IFERROR(VLOOKUP(Tabela32[[#This Row],[Conta]],'BD - A - Despesas'!$BL$15:$BP$500,5,0),0)</f>
        <v>0</v>
      </c>
      <c r="O44" s="24">
        <f>IFERROR(VLOOKUP(Tabela32[[#This Row],[Conta]],'BD - A - Despesas'!$BU$15:$BY$500,5,0),0)</f>
        <v>0</v>
      </c>
      <c r="P44" s="24">
        <f>IFERROR(VLOOKUP(Tabela32[[#This Row],[Conta]],'BD - A - Despesas'!$CD$15:$CH$500,5,0),0)</f>
        <v>0</v>
      </c>
      <c r="Q44" s="24">
        <f>IFERROR(VLOOKUP(Tabela32[[#This Row],[Conta]],'BD - A - Despesas'!$CM$15:$CQ$500,5,0),0)</f>
        <v>0</v>
      </c>
      <c r="R44" s="24">
        <f>IFERROR(VLOOKUP(Tabela32[[#This Row],[Conta]],'BD - A - Despesas'!$CV$15:$CZ$500,5,0),0)</f>
        <v>0</v>
      </c>
      <c r="S44"/>
    </row>
    <row r="45" spans="3:20">
      <c r="C45" s="79" t="s">
        <v>347</v>
      </c>
      <c r="D45" s="80" t="s">
        <v>332</v>
      </c>
      <c r="E45" s="99">
        <v>331315</v>
      </c>
      <c r="F45" s="82" t="s">
        <v>286</v>
      </c>
      <c r="G45" s="13">
        <f>IFERROR(VLOOKUP(Tabela32[[#This Row],[Conta]],'BD - A - Despesas'!$A$15:$E$500,5,0),0)</f>
        <v>0</v>
      </c>
      <c r="H45" s="24">
        <f>IFERROR(VLOOKUP(Tabela32[[#This Row],[Conta]],'BD - A - Despesas'!$J$15:$N$500,5,0),0)</f>
        <v>0</v>
      </c>
      <c r="I45" s="24">
        <f>IFERROR(VLOOKUP(Tabela32[[#This Row],[Conta]],'BD - A - Despesas'!$S$15:$W$500,5,0),0)</f>
        <v>0</v>
      </c>
      <c r="J45" s="24">
        <f>IFERROR(VLOOKUP(Tabela32[[#This Row],[Conta]],'BD - A - Despesas'!$AB$15:$AF$500,5,0),0)</f>
        <v>0</v>
      </c>
      <c r="K45" s="24">
        <f>IFERROR(VLOOKUP(Tabela32[[#This Row],[Conta]],'BD - A - Despesas'!$AK$15:$AO$500,5,0),0)</f>
        <v>0</v>
      </c>
      <c r="L45" s="24">
        <f>IFERROR(VLOOKUP(Tabela32[[#This Row],[Conta]],'BD - A - Despesas'!$AT$15:$AX$500,5,0),0)</f>
        <v>0</v>
      </c>
      <c r="M45" s="24">
        <f>IFERROR(VLOOKUP(Tabela32[[#This Row],[Conta]],'BD - A - Despesas'!$BC$15:$BG$500,5,0),0)</f>
        <v>0</v>
      </c>
      <c r="N45" s="24">
        <f>IFERROR(VLOOKUP(Tabela32[[#This Row],[Conta]],'BD - A - Despesas'!$BL$15:$BP$500,5,0),0)</f>
        <v>0</v>
      </c>
      <c r="O45" s="24">
        <f>IFERROR(VLOOKUP(Tabela32[[#This Row],[Conta]],'BD - A - Despesas'!$BU$15:$BY$500,5,0),0)</f>
        <v>0</v>
      </c>
      <c r="P45" s="24">
        <f>IFERROR(VLOOKUP(Tabela32[[#This Row],[Conta]],'BD - A - Despesas'!$CD$15:$CH$500,5,0),0)</f>
        <v>0</v>
      </c>
      <c r="Q45" s="24">
        <f>IFERROR(VLOOKUP(Tabela32[[#This Row],[Conta]],'BD - A - Despesas'!$CM$15:$CQ$500,5,0),0)</f>
        <v>0</v>
      </c>
      <c r="R45" s="24">
        <f>IFERROR(VLOOKUP(Tabela32[[#This Row],[Conta]],'BD - A - Despesas'!$CV$15:$CZ$500,5,0),0)</f>
        <v>0</v>
      </c>
      <c r="S45"/>
    </row>
    <row r="46" spans="3:20">
      <c r="C46" s="79" t="s">
        <v>347</v>
      </c>
      <c r="D46" s="80" t="s">
        <v>332</v>
      </c>
      <c r="E46" s="100">
        <v>331316</v>
      </c>
      <c r="F46" s="79" t="s">
        <v>287</v>
      </c>
      <c r="G46" s="13">
        <f>IFERROR(VLOOKUP(Tabela32[[#This Row],[Conta]],'BD - A - Despesas'!$A$15:$E$500,5,0),0)</f>
        <v>0</v>
      </c>
      <c r="H46" s="24">
        <f>IFERROR(VLOOKUP(Tabela32[[#This Row],[Conta]],'BD - A - Despesas'!$J$15:$N$500,5,0),0)</f>
        <v>0</v>
      </c>
      <c r="I46" s="24">
        <f>IFERROR(VLOOKUP(Tabela32[[#This Row],[Conta]],'BD - A - Despesas'!$S$15:$W$500,5,0),0)</f>
        <v>0</v>
      </c>
      <c r="J46" s="24">
        <f>IFERROR(VLOOKUP(Tabela32[[#This Row],[Conta]],'BD - A - Despesas'!$AB$15:$AF$500,5,0),0)</f>
        <v>0</v>
      </c>
      <c r="K46" s="24">
        <f>IFERROR(VLOOKUP(Tabela32[[#This Row],[Conta]],'BD - A - Despesas'!$AK$15:$AO$500,5,0),0)</f>
        <v>0</v>
      </c>
      <c r="L46" s="24">
        <f>IFERROR(VLOOKUP(Tabela32[[#This Row],[Conta]],'BD - A - Despesas'!$AT$15:$AX$500,5,0),0)</f>
        <v>0</v>
      </c>
      <c r="M46" s="24">
        <f>IFERROR(VLOOKUP(Tabela32[[#This Row],[Conta]],'BD - A - Despesas'!$BC$15:$BG$500,5,0),0)</f>
        <v>0</v>
      </c>
      <c r="N46" s="24">
        <f>IFERROR(VLOOKUP(Tabela32[[#This Row],[Conta]],'BD - A - Despesas'!$BL$15:$BP$500,5,0),0)</f>
        <v>0</v>
      </c>
      <c r="O46" s="24">
        <f>IFERROR(VLOOKUP(Tabela32[[#This Row],[Conta]],'BD - A - Despesas'!$BU$15:$BY$500,5,0),0)</f>
        <v>0</v>
      </c>
      <c r="P46" s="24">
        <f>IFERROR(VLOOKUP(Tabela32[[#This Row],[Conta]],'BD - A - Despesas'!$CD$15:$CH$500,5,0),0)</f>
        <v>0</v>
      </c>
      <c r="Q46" s="24">
        <f>IFERROR(VLOOKUP(Tabela32[[#This Row],[Conta]],'BD - A - Despesas'!$CM$15:$CQ$500,5,0),0)</f>
        <v>0</v>
      </c>
      <c r="R46" s="24">
        <f>IFERROR(VLOOKUP(Tabela32[[#This Row],[Conta]],'BD - A - Despesas'!$CV$15:$CZ$500,5,0),0)</f>
        <v>0</v>
      </c>
      <c r="S46"/>
    </row>
    <row r="47" spans="3:20">
      <c r="C47" s="79" t="s">
        <v>347</v>
      </c>
      <c r="D47" s="80" t="s">
        <v>332</v>
      </c>
      <c r="E47" s="100">
        <v>331317</v>
      </c>
      <c r="F47" s="79" t="s">
        <v>288</v>
      </c>
      <c r="G47" s="14">
        <f>IFERROR(VLOOKUP(Tabela32[[#This Row],[Conta]],'BD - A - Despesas'!$A$15:$E$500,5,0),0)</f>
        <v>0</v>
      </c>
      <c r="H47" s="24">
        <f>IFERROR(VLOOKUP(Tabela32[[#This Row],[Conta]],'BD - A - Despesas'!$J$15:$N$500,5,0),0)</f>
        <v>0</v>
      </c>
      <c r="I47" s="24">
        <f>IFERROR(VLOOKUP(Tabela32[[#This Row],[Conta]],'BD - A - Despesas'!$S$15:$W$500,5,0),0)</f>
        <v>0</v>
      </c>
      <c r="J47" s="24">
        <f>IFERROR(VLOOKUP(Tabela32[[#This Row],[Conta]],'BD - A - Despesas'!$AB$15:$AF$500,5,0),0)</f>
        <v>0</v>
      </c>
      <c r="K47" s="24">
        <f>IFERROR(VLOOKUP(Tabela32[[#This Row],[Conta]],'BD - A - Despesas'!$AK$15:$AO$500,5,0),0)</f>
        <v>0</v>
      </c>
      <c r="L47" s="24">
        <f>IFERROR(VLOOKUP(Tabela32[[#This Row],[Conta]],'BD - A - Despesas'!$AT$15:$AX$500,5,0),0)</f>
        <v>0</v>
      </c>
      <c r="M47" s="24">
        <f>IFERROR(VLOOKUP(Tabela32[[#This Row],[Conta]],'BD - A - Despesas'!$BC$15:$BG$500,5,0),0)</f>
        <v>0</v>
      </c>
      <c r="N47" s="24">
        <f>IFERROR(VLOOKUP(Tabela32[[#This Row],[Conta]],'BD - A - Despesas'!$BL$15:$BP$500,5,0),0)</f>
        <v>0</v>
      </c>
      <c r="O47" s="24">
        <f>IFERROR(VLOOKUP(Tabela32[[#This Row],[Conta]],'BD - A - Despesas'!$BU$15:$BY$500,5,0),0)</f>
        <v>0</v>
      </c>
      <c r="P47" s="24">
        <f>IFERROR(VLOOKUP(Tabela32[[#This Row],[Conta]],'BD - A - Despesas'!$CD$15:$CH$500,5,0),0)</f>
        <v>0</v>
      </c>
      <c r="Q47" s="24">
        <f>IFERROR(VLOOKUP(Tabela32[[#This Row],[Conta]],'BD - A - Despesas'!$CM$15:$CQ$500,5,0),0)</f>
        <v>0</v>
      </c>
      <c r="R47" s="24">
        <f>IFERROR(VLOOKUP(Tabela32[[#This Row],[Conta]],'BD - A - Despesas'!$CV$15:$CZ$500,5,0),0)</f>
        <v>0</v>
      </c>
      <c r="S47"/>
    </row>
    <row r="48" spans="3:20">
      <c r="C48" s="79" t="s">
        <v>347</v>
      </c>
      <c r="D48" s="80" t="s">
        <v>332</v>
      </c>
      <c r="E48" s="100">
        <v>331318</v>
      </c>
      <c r="F48" s="86" t="s">
        <v>289</v>
      </c>
      <c r="G48" s="13">
        <f>IFERROR(VLOOKUP(Tabela32[[#This Row],[Conta]],'BD - A - Despesas'!$A$15:$E$500,5,0),0)</f>
        <v>0</v>
      </c>
      <c r="H48" s="24">
        <f>IFERROR(VLOOKUP(Tabela32[[#This Row],[Conta]],'BD - A - Despesas'!$J$15:$N$500,5,0),0)</f>
        <v>0</v>
      </c>
      <c r="I48" s="24">
        <f>IFERROR(VLOOKUP(Tabela32[[#This Row],[Conta]],'BD - A - Despesas'!$S$15:$W$500,5,0),0)</f>
        <v>0</v>
      </c>
      <c r="J48" s="24">
        <f>IFERROR(VLOOKUP(Tabela32[[#This Row],[Conta]],'BD - A - Despesas'!$AB$15:$AF$500,5,0),0)</f>
        <v>0</v>
      </c>
      <c r="K48" s="24">
        <f>IFERROR(VLOOKUP(Tabela32[[#This Row],[Conta]],'BD - A - Despesas'!$AK$15:$AO$500,5,0),0)</f>
        <v>0</v>
      </c>
      <c r="L48" s="24">
        <f>IFERROR(VLOOKUP(Tabela32[[#This Row],[Conta]],'BD - A - Despesas'!$AT$15:$AX$500,5,0),0)</f>
        <v>0</v>
      </c>
      <c r="M48" s="24">
        <f>IFERROR(VLOOKUP(Tabela32[[#This Row],[Conta]],'BD - A - Despesas'!$BC$15:$BG$500,5,0),0)</f>
        <v>0</v>
      </c>
      <c r="N48" s="24">
        <f>IFERROR(VLOOKUP(Tabela32[[#This Row],[Conta]],'BD - A - Despesas'!$BL$15:$BP$500,5,0),0)</f>
        <v>0</v>
      </c>
      <c r="O48" s="24">
        <f>IFERROR(VLOOKUP(Tabela32[[#This Row],[Conta]],'BD - A - Despesas'!$BU$15:$BY$500,5,0),0)</f>
        <v>0</v>
      </c>
      <c r="P48" s="24">
        <f>IFERROR(VLOOKUP(Tabela32[[#This Row],[Conta]],'BD - A - Despesas'!$CD$15:$CH$500,5,0),0)</f>
        <v>0</v>
      </c>
      <c r="Q48" s="24">
        <f>IFERROR(VLOOKUP(Tabela32[[#This Row],[Conta]],'BD - A - Despesas'!$CM$15:$CQ$500,5,0),0)</f>
        <v>0</v>
      </c>
      <c r="R48" s="24">
        <f>IFERROR(VLOOKUP(Tabela32[[#This Row],[Conta]],'BD - A - Despesas'!$CV$15:$CZ$500,5,0),0)</f>
        <v>0</v>
      </c>
      <c r="S48"/>
    </row>
    <row r="49" spans="3:19">
      <c r="C49" s="79" t="s">
        <v>347</v>
      </c>
      <c r="D49" s="80" t="s">
        <v>332</v>
      </c>
      <c r="E49" s="30">
        <v>331320</v>
      </c>
      <c r="F49" s="87" t="s">
        <v>410</v>
      </c>
      <c r="G49" s="13">
        <f>IFERROR(VLOOKUP(Tabela32[[#This Row],[Conta]],'BD - A - Despesas'!$A$15:$E$500,5,0),0)</f>
        <v>0</v>
      </c>
      <c r="H49" s="24">
        <f>IFERROR(VLOOKUP(Tabela32[[#This Row],[Conta]],'BD - A - Despesas'!$J$15:$N$500,5,0),0)</f>
        <v>0</v>
      </c>
      <c r="I49" s="24">
        <f>IFERROR(VLOOKUP(Tabela32[[#This Row],[Conta]],'BD - A - Despesas'!$S$15:$W$500,5,0),0)</f>
        <v>0</v>
      </c>
      <c r="J49" s="24">
        <f>IFERROR(VLOOKUP(Tabela32[[#This Row],[Conta]],'BD - A - Despesas'!$AB$15:$AF$500,5,0),0)</f>
        <v>0</v>
      </c>
      <c r="K49" s="24">
        <f>IFERROR(VLOOKUP(Tabela32[[#This Row],[Conta]],'BD - A - Despesas'!$AK$15:$AO$500,5,0),0)</f>
        <v>0</v>
      </c>
      <c r="L49" s="24">
        <f>IFERROR(VLOOKUP(Tabela32[[#This Row],[Conta]],'BD - A - Despesas'!$AT$15:$AX$500,5,0),0)</f>
        <v>0</v>
      </c>
      <c r="M49" s="24">
        <f>IFERROR(VLOOKUP(Tabela32[[#This Row],[Conta]],'BD - A - Despesas'!$BC$15:$BG$500,5,0),0)</f>
        <v>0</v>
      </c>
      <c r="N49" s="24">
        <f>IFERROR(VLOOKUP(Tabela32[[#This Row],[Conta]],'BD - A - Despesas'!$BL$15:$BP$500,5,0),0)</f>
        <v>0</v>
      </c>
      <c r="O49" s="24">
        <f>IFERROR(VLOOKUP(Tabela32[[#This Row],[Conta]],'BD - A - Despesas'!$BU$15:$BY$500,5,0),0)</f>
        <v>0</v>
      </c>
      <c r="P49" s="24">
        <f>IFERROR(VLOOKUP(Tabela32[[#This Row],[Conta]],'BD - A - Despesas'!$CD$15:$CH$500,5,0),0)</f>
        <v>0</v>
      </c>
      <c r="Q49" s="24">
        <f>IFERROR(VLOOKUP(Tabela32[[#This Row],[Conta]],'BD - A - Despesas'!$CM$15:$CQ$500,5,0),0)</f>
        <v>0</v>
      </c>
      <c r="R49" s="24">
        <f>IFERROR(VLOOKUP(Tabela32[[#This Row],[Conta]],'BD - A - Despesas'!$CV$15:$CZ$500,5,0),0)</f>
        <v>0</v>
      </c>
      <c r="S49"/>
    </row>
    <row r="50" spans="3:19">
      <c r="C50" s="79" t="s">
        <v>347</v>
      </c>
      <c r="D50" s="80" t="s">
        <v>332</v>
      </c>
      <c r="E50" s="85">
        <v>331322</v>
      </c>
      <c r="F50" s="87" t="s">
        <v>610</v>
      </c>
      <c r="G50" s="13">
        <f>IFERROR(VLOOKUP(Tabela32[[#This Row],[Conta]],'BD - A - Despesas'!$A$15:$E$500,5,0),0)</f>
        <v>1200</v>
      </c>
      <c r="H50" s="24">
        <f>IFERROR(VLOOKUP(Tabela32[[#This Row],[Conta]],'BD - A - Despesas'!$J$15:$N$500,5,0),0)</f>
        <v>0</v>
      </c>
      <c r="I50" s="24">
        <f>IFERROR(VLOOKUP(Tabela32[[#This Row],[Conta]],'BD - A - Despesas'!$S$15:$W$500,5,0),0)</f>
        <v>0</v>
      </c>
      <c r="J50" s="24">
        <f>IFERROR(VLOOKUP(Tabela32[[#This Row],[Conta]],'BD - A - Despesas'!$AB$15:$AF$500,5,0),0)</f>
        <v>0</v>
      </c>
      <c r="K50" s="24">
        <f>IFERROR(VLOOKUP(Tabela32[[#This Row],[Conta]],'BD - A - Despesas'!$AK$15:$AO$500,5,0),0)</f>
        <v>0</v>
      </c>
      <c r="L50" s="24">
        <f>IFERROR(VLOOKUP(Tabela32[[#This Row],[Conta]],'BD - A - Despesas'!$AT$15:$AX$500,5,0),0)</f>
        <v>0</v>
      </c>
      <c r="M50" s="24">
        <f>IFERROR(VLOOKUP(Tabela32[[#This Row],[Conta]],'BD - A - Despesas'!$BC$15:$BG$500,5,0),0)</f>
        <v>0</v>
      </c>
      <c r="N50" s="24">
        <f>IFERROR(VLOOKUP(Tabela32[[#This Row],[Conta]],'BD - A - Despesas'!$BL$15:$BP$500,5,0),0)</f>
        <v>0</v>
      </c>
      <c r="O50" s="24">
        <f>IFERROR(VLOOKUP(Tabela32[[#This Row],[Conta]],'BD - A - Despesas'!$BU$15:$BY$500,5,0),0)</f>
        <v>0</v>
      </c>
      <c r="P50" s="24">
        <f>IFERROR(VLOOKUP(Tabela32[[#This Row],[Conta]],'BD - A - Despesas'!$CD$15:$CH$500,5,0),0)</f>
        <v>0</v>
      </c>
      <c r="Q50" s="24">
        <f>IFERROR(VLOOKUP(Tabela32[[#This Row],[Conta]],'BD - A - Despesas'!$CM$15:$CQ$500,5,0),0)</f>
        <v>0</v>
      </c>
      <c r="R50" s="24">
        <f>IFERROR(VLOOKUP(Tabela32[[#This Row],[Conta]],'BD - A - Despesas'!$CV$15:$CZ$500,5,0),0)</f>
        <v>0</v>
      </c>
      <c r="S50"/>
    </row>
    <row r="51" spans="3:19">
      <c r="C51" s="79" t="s">
        <v>347</v>
      </c>
      <c r="D51" s="80" t="s">
        <v>330</v>
      </c>
      <c r="E51" s="100">
        <v>331401</v>
      </c>
      <c r="F51" s="87" t="s">
        <v>290</v>
      </c>
      <c r="G51" s="13">
        <f>IFERROR(VLOOKUP(Tabela32[[#This Row],[Conta]],'BD - A - Despesas'!$A$15:$E$500,5,0),0)</f>
        <v>0</v>
      </c>
      <c r="H51" s="24">
        <f>IFERROR(VLOOKUP(Tabela32[[#This Row],[Conta]],'BD - A - Despesas'!$J$15:$N$500,5,0),0)</f>
        <v>0</v>
      </c>
      <c r="I51" s="24">
        <f>IFERROR(VLOOKUP(Tabela32[[#This Row],[Conta]],'BD - A - Despesas'!$S$15:$W$500,5,0),0)</f>
        <v>0</v>
      </c>
      <c r="J51" s="24">
        <f>IFERROR(VLOOKUP(Tabela32[[#This Row],[Conta]],'BD - A - Despesas'!$AB$15:$AF$500,5,0),0)</f>
        <v>0</v>
      </c>
      <c r="K51" s="24">
        <f>IFERROR(VLOOKUP(Tabela32[[#This Row],[Conta]],'BD - A - Despesas'!$AK$15:$AO$500,5,0),0)</f>
        <v>0</v>
      </c>
      <c r="L51" s="24">
        <f>IFERROR(VLOOKUP(Tabela32[[#This Row],[Conta]],'BD - A - Despesas'!$AT$15:$AX$500,5,0),0)</f>
        <v>0</v>
      </c>
      <c r="M51" s="24">
        <f>IFERROR(VLOOKUP(Tabela32[[#This Row],[Conta]],'BD - A - Despesas'!$BC$15:$BG$500,5,0),0)</f>
        <v>0</v>
      </c>
      <c r="N51" s="24">
        <f>IFERROR(VLOOKUP(Tabela32[[#This Row],[Conta]],'BD - A - Despesas'!$BL$15:$BP$500,5,0),0)</f>
        <v>0</v>
      </c>
      <c r="O51" s="24">
        <f>IFERROR(VLOOKUP(Tabela32[[#This Row],[Conta]],'BD - A - Despesas'!$BU$15:$BY$500,5,0),0)</f>
        <v>0</v>
      </c>
      <c r="P51" s="24">
        <f>IFERROR(VLOOKUP(Tabela32[[#This Row],[Conta]],'BD - A - Despesas'!$CD$15:$CH$500,5,0),0)</f>
        <v>0</v>
      </c>
      <c r="Q51" s="24">
        <f>IFERROR(VLOOKUP(Tabela32[[#This Row],[Conta]],'BD - A - Despesas'!$CM$15:$CQ$500,5,0),0)</f>
        <v>0</v>
      </c>
      <c r="R51" s="24">
        <f>IFERROR(VLOOKUP(Tabela32[[#This Row],[Conta]],'BD - A - Despesas'!$CV$15:$CZ$500,5,0),0)</f>
        <v>0</v>
      </c>
      <c r="S51"/>
    </row>
    <row r="52" spans="3:19">
      <c r="C52" s="79" t="s">
        <v>347</v>
      </c>
      <c r="D52" s="80" t="s">
        <v>330</v>
      </c>
      <c r="E52" s="100">
        <v>331402</v>
      </c>
      <c r="F52" s="87" t="s">
        <v>291</v>
      </c>
      <c r="G52" s="13">
        <f>IFERROR(VLOOKUP(Tabela32[[#This Row],[Conta]],'BD - A - Despesas'!$A$15:$E$500,5,0),0)</f>
        <v>0</v>
      </c>
      <c r="H52" s="24">
        <f>IFERROR(VLOOKUP(Tabela32[[#This Row],[Conta]],'BD - A - Despesas'!$J$15:$N$500,5,0),0)</f>
        <v>0</v>
      </c>
      <c r="I52" s="24">
        <f>IFERROR(VLOOKUP(Tabela32[[#This Row],[Conta]],'BD - A - Despesas'!$S$15:$W$500,5,0),0)</f>
        <v>0</v>
      </c>
      <c r="J52" s="24">
        <f>IFERROR(VLOOKUP(Tabela32[[#This Row],[Conta]],'BD - A - Despesas'!$AB$15:$AF$500,5,0),0)</f>
        <v>0</v>
      </c>
      <c r="K52" s="24">
        <f>IFERROR(VLOOKUP(Tabela32[[#This Row],[Conta]],'BD - A - Despesas'!$AK$15:$AO$500,5,0),0)</f>
        <v>0</v>
      </c>
      <c r="L52" s="24">
        <f>IFERROR(VLOOKUP(Tabela32[[#This Row],[Conta]],'BD - A - Despesas'!$AT$15:$AX$500,5,0),0)</f>
        <v>0</v>
      </c>
      <c r="M52" s="24">
        <f>IFERROR(VLOOKUP(Tabela32[[#This Row],[Conta]],'BD - A - Despesas'!$BC$15:$BG$500,5,0),0)</f>
        <v>0</v>
      </c>
      <c r="N52" s="24">
        <f>IFERROR(VLOOKUP(Tabela32[[#This Row],[Conta]],'BD - A - Despesas'!$BL$15:$BP$500,5,0),0)</f>
        <v>0</v>
      </c>
      <c r="O52" s="24">
        <f>IFERROR(VLOOKUP(Tabela32[[#This Row],[Conta]],'BD - A - Despesas'!$BU$15:$BY$500,5,0),0)</f>
        <v>0</v>
      </c>
      <c r="P52" s="24">
        <f>IFERROR(VLOOKUP(Tabela32[[#This Row],[Conta]],'BD - A - Despesas'!$CD$15:$CH$500,5,0),0)</f>
        <v>0</v>
      </c>
      <c r="Q52" s="24">
        <f>IFERROR(VLOOKUP(Tabela32[[#This Row],[Conta]],'BD - A - Despesas'!$CM$15:$CQ$500,5,0),0)</f>
        <v>0</v>
      </c>
      <c r="R52" s="24">
        <f>IFERROR(VLOOKUP(Tabela32[[#This Row],[Conta]],'BD - A - Despesas'!$CV$15:$CZ$500,5,0),0)</f>
        <v>0</v>
      </c>
      <c r="S52"/>
    </row>
    <row r="53" spans="3:19">
      <c r="C53" s="79" t="s">
        <v>347</v>
      </c>
      <c r="D53" s="80" t="s">
        <v>330</v>
      </c>
      <c r="E53" s="100">
        <v>331403</v>
      </c>
      <c r="F53" s="87" t="s">
        <v>292</v>
      </c>
      <c r="G53" s="13">
        <f>IFERROR(VLOOKUP(Tabela32[[#This Row],[Conta]],'BD - A - Despesas'!$A$15:$E$500,5,0),0)</f>
        <v>0</v>
      </c>
      <c r="H53" s="24">
        <f>IFERROR(VLOOKUP(Tabela32[[#This Row],[Conta]],'BD - A - Despesas'!$J$15:$N$500,5,0),0)</f>
        <v>0</v>
      </c>
      <c r="I53" s="24">
        <f>IFERROR(VLOOKUP(Tabela32[[#This Row],[Conta]],'BD - A - Despesas'!$S$15:$W$500,5,0),0)</f>
        <v>0</v>
      </c>
      <c r="J53" s="24">
        <f>IFERROR(VLOOKUP(Tabela32[[#This Row],[Conta]],'BD - A - Despesas'!$AB$15:$AF$500,5,0),0)</f>
        <v>0</v>
      </c>
      <c r="K53" s="24">
        <f>IFERROR(VLOOKUP(Tabela32[[#This Row],[Conta]],'BD - A - Despesas'!$AK$15:$AO$500,5,0),0)</f>
        <v>0</v>
      </c>
      <c r="L53" s="24">
        <f>IFERROR(VLOOKUP(Tabela32[[#This Row],[Conta]],'BD - A - Despesas'!$AT$15:$AX$500,5,0),0)</f>
        <v>0</v>
      </c>
      <c r="M53" s="24">
        <f>IFERROR(VLOOKUP(Tabela32[[#This Row],[Conta]],'BD - A - Despesas'!$BC$15:$BG$500,5,0),0)</f>
        <v>0</v>
      </c>
      <c r="N53" s="24">
        <f>IFERROR(VLOOKUP(Tabela32[[#This Row],[Conta]],'BD - A - Despesas'!$BL$15:$BP$500,5,0),0)</f>
        <v>0</v>
      </c>
      <c r="O53" s="24">
        <f>IFERROR(VLOOKUP(Tabela32[[#This Row],[Conta]],'BD - A - Despesas'!$BU$15:$BY$500,5,0),0)</f>
        <v>0</v>
      </c>
      <c r="P53" s="24">
        <f>IFERROR(VLOOKUP(Tabela32[[#This Row],[Conta]],'BD - A - Despesas'!$CD$15:$CH$500,5,0),0)</f>
        <v>0</v>
      </c>
      <c r="Q53" s="24">
        <f>IFERROR(VLOOKUP(Tabela32[[#This Row],[Conta]],'BD - A - Despesas'!$CM$15:$CQ$500,5,0),0)</f>
        <v>0</v>
      </c>
      <c r="R53" s="24">
        <f>IFERROR(VLOOKUP(Tabela32[[#This Row],[Conta]],'BD - A - Despesas'!$CV$15:$CZ$500,5,0),0)</f>
        <v>0</v>
      </c>
      <c r="S53"/>
    </row>
    <row r="54" spans="3:19">
      <c r="C54" s="79" t="s">
        <v>347</v>
      </c>
      <c r="D54" s="80" t="s">
        <v>330</v>
      </c>
      <c r="E54" s="100">
        <v>331404</v>
      </c>
      <c r="F54" s="87" t="s">
        <v>293</v>
      </c>
      <c r="G54" s="14">
        <f>IFERROR(VLOOKUP(Tabela32[[#This Row],[Conta]],'BD - A - Despesas'!$A$15:$E$500,5,0),0)</f>
        <v>0</v>
      </c>
      <c r="H54" s="24">
        <f>IFERROR(VLOOKUP(Tabela32[[#This Row],[Conta]],'BD - A - Despesas'!$J$15:$N$500,5,0),0)</f>
        <v>0</v>
      </c>
      <c r="I54" s="24">
        <f>IFERROR(VLOOKUP(Tabela32[[#This Row],[Conta]],'BD - A - Despesas'!$S$15:$W$500,5,0),0)</f>
        <v>0</v>
      </c>
      <c r="J54" s="24">
        <f>IFERROR(VLOOKUP(Tabela32[[#This Row],[Conta]],'BD - A - Despesas'!$AB$15:$AF$500,5,0),0)</f>
        <v>0</v>
      </c>
      <c r="K54" s="24">
        <f>IFERROR(VLOOKUP(Tabela32[[#This Row],[Conta]],'BD - A - Despesas'!$AK$15:$AO$500,5,0),0)</f>
        <v>0</v>
      </c>
      <c r="L54" s="24">
        <f>IFERROR(VLOOKUP(Tabela32[[#This Row],[Conta]],'BD - A - Despesas'!$AT$15:$AX$500,5,0),0)</f>
        <v>0</v>
      </c>
      <c r="M54" s="24">
        <f>IFERROR(VLOOKUP(Tabela32[[#This Row],[Conta]],'BD - A - Despesas'!$BC$15:$BG$500,5,0),0)</f>
        <v>0</v>
      </c>
      <c r="N54" s="24">
        <f>IFERROR(VLOOKUP(Tabela32[[#This Row],[Conta]],'BD - A - Despesas'!$BL$15:$BP$500,5,0),0)</f>
        <v>0</v>
      </c>
      <c r="O54" s="24">
        <f>IFERROR(VLOOKUP(Tabela32[[#This Row],[Conta]],'BD - A - Despesas'!$BU$15:$BY$500,5,0),0)</f>
        <v>0</v>
      </c>
      <c r="P54" s="24">
        <f>IFERROR(VLOOKUP(Tabela32[[#This Row],[Conta]],'BD - A - Despesas'!$CD$15:$CH$500,5,0),0)</f>
        <v>0</v>
      </c>
      <c r="Q54" s="24">
        <f>IFERROR(VLOOKUP(Tabela32[[#This Row],[Conta]],'BD - A - Despesas'!$CM$15:$CQ$500,5,0),0)</f>
        <v>0</v>
      </c>
      <c r="R54" s="24">
        <f>IFERROR(VLOOKUP(Tabela32[[#This Row],[Conta]],'BD - A - Despesas'!$CV$15:$CZ$500,5,0),0)</f>
        <v>0</v>
      </c>
      <c r="S54"/>
    </row>
    <row r="55" spans="3:19">
      <c r="C55" s="79" t="s">
        <v>347</v>
      </c>
      <c r="D55" s="80" t="s">
        <v>330</v>
      </c>
      <c r="E55" s="100">
        <v>331405</v>
      </c>
      <c r="F55" s="88" t="s">
        <v>294</v>
      </c>
      <c r="G55" s="13">
        <f>IFERROR(VLOOKUP(Tabela32[[#This Row],[Conta]],'BD - A - Despesas'!$A$15:$E$500,5,0),0)</f>
        <v>0</v>
      </c>
      <c r="H55" s="24">
        <f>IFERROR(VLOOKUP(Tabela32[[#This Row],[Conta]],'BD - A - Despesas'!$J$15:$N$500,5,0),0)</f>
        <v>0</v>
      </c>
      <c r="I55" s="24">
        <f>IFERROR(VLOOKUP(Tabela32[[#This Row],[Conta]],'BD - A - Despesas'!$S$15:$W$500,5,0),0)</f>
        <v>0</v>
      </c>
      <c r="J55" s="24">
        <f>IFERROR(VLOOKUP(Tabela32[[#This Row],[Conta]],'BD - A - Despesas'!$AB$15:$AF$500,5,0),0)</f>
        <v>0</v>
      </c>
      <c r="K55" s="24">
        <f>IFERROR(VLOOKUP(Tabela32[[#This Row],[Conta]],'BD - A - Despesas'!$AK$15:$AO$500,5,0),0)</f>
        <v>0</v>
      </c>
      <c r="L55" s="24">
        <f>IFERROR(VLOOKUP(Tabela32[[#This Row],[Conta]],'BD - A - Despesas'!$AT$15:$AX$500,5,0),0)</f>
        <v>0</v>
      </c>
      <c r="M55" s="24">
        <f>IFERROR(VLOOKUP(Tabela32[[#This Row],[Conta]],'BD - A - Despesas'!$BC$15:$BG$500,5,0),0)</f>
        <v>0</v>
      </c>
      <c r="N55" s="24">
        <f>IFERROR(VLOOKUP(Tabela32[[#This Row],[Conta]],'BD - A - Despesas'!$BL$15:$BP$500,5,0),0)</f>
        <v>0</v>
      </c>
      <c r="O55" s="24">
        <f>IFERROR(VLOOKUP(Tabela32[[#This Row],[Conta]],'BD - A - Despesas'!$BU$15:$BY$500,5,0),0)</f>
        <v>0</v>
      </c>
      <c r="P55" s="24">
        <f>IFERROR(VLOOKUP(Tabela32[[#This Row],[Conta]],'BD - A - Despesas'!$CD$15:$CH$500,5,0),0)</f>
        <v>0</v>
      </c>
      <c r="Q55" s="24">
        <f>IFERROR(VLOOKUP(Tabela32[[#This Row],[Conta]],'BD - A - Despesas'!$CM$15:$CQ$500,5,0),0)</f>
        <v>0</v>
      </c>
      <c r="R55" s="24">
        <f>IFERROR(VLOOKUP(Tabela32[[#This Row],[Conta]],'BD - A - Despesas'!$CV$15:$CZ$500,5,0),0)</f>
        <v>0</v>
      </c>
      <c r="S55"/>
    </row>
    <row r="56" spans="3:19">
      <c r="C56" s="79" t="s">
        <v>347</v>
      </c>
      <c r="D56" s="80" t="s">
        <v>341</v>
      </c>
      <c r="E56" s="30">
        <v>331406</v>
      </c>
      <c r="F56" s="79" t="s">
        <v>411</v>
      </c>
      <c r="G56" s="13">
        <f>IFERROR(VLOOKUP(Tabela32[[#This Row],[Conta]],'BD - A - Despesas'!$A$15:$E$500,5,0),0)</f>
        <v>0</v>
      </c>
      <c r="H56" s="24">
        <f>IFERROR(VLOOKUP(Tabela32[[#This Row],[Conta]],'BD - A - Despesas'!$J$15:$N$500,5,0),0)</f>
        <v>0</v>
      </c>
      <c r="I56" s="24">
        <f>IFERROR(VLOOKUP(Tabela32[[#This Row],[Conta]],'BD - A - Despesas'!$S$15:$W$500,5,0),0)</f>
        <v>0</v>
      </c>
      <c r="J56" s="24">
        <f>IFERROR(VLOOKUP(Tabela32[[#This Row],[Conta]],'BD - A - Despesas'!$AB$15:$AF$500,5,0),0)</f>
        <v>0</v>
      </c>
      <c r="K56" s="24">
        <f>IFERROR(VLOOKUP(Tabela32[[#This Row],[Conta]],'BD - A - Despesas'!$AK$15:$AO$500,5,0),0)</f>
        <v>0</v>
      </c>
      <c r="L56" s="24">
        <f>IFERROR(VLOOKUP(Tabela32[[#This Row],[Conta]],'BD - A - Despesas'!$AT$15:$AX$500,5,0),0)</f>
        <v>0</v>
      </c>
      <c r="M56" s="24">
        <f>IFERROR(VLOOKUP(Tabela32[[#This Row],[Conta]],'BD - A - Despesas'!$BC$15:$BG$500,5,0),0)</f>
        <v>0</v>
      </c>
      <c r="N56" s="24">
        <f>IFERROR(VLOOKUP(Tabela32[[#This Row],[Conta]],'BD - A - Despesas'!$BL$15:$BP$500,5,0),0)</f>
        <v>0</v>
      </c>
      <c r="O56" s="24">
        <f>IFERROR(VLOOKUP(Tabela32[[#This Row],[Conta]],'BD - A - Despesas'!$BU$15:$BY$500,5,0),0)</f>
        <v>0</v>
      </c>
      <c r="P56" s="24">
        <f>IFERROR(VLOOKUP(Tabela32[[#This Row],[Conta]],'BD - A - Despesas'!$CD$15:$CH$500,5,0),0)</f>
        <v>0</v>
      </c>
      <c r="Q56" s="24">
        <f>IFERROR(VLOOKUP(Tabela32[[#This Row],[Conta]],'BD - A - Despesas'!$CM$15:$CQ$500,5,0),0)</f>
        <v>0</v>
      </c>
      <c r="R56" s="24">
        <f>IFERROR(VLOOKUP(Tabela32[[#This Row],[Conta]],'BD - A - Despesas'!$CV$15:$CZ$500,5,0),0)</f>
        <v>0</v>
      </c>
      <c r="S56"/>
    </row>
    <row r="57" spans="3:19">
      <c r="C57" s="79" t="s">
        <v>347</v>
      </c>
      <c r="D57" s="80" t="s">
        <v>341</v>
      </c>
      <c r="E57" s="85">
        <v>331407</v>
      </c>
      <c r="F57" s="79" t="s">
        <v>445</v>
      </c>
      <c r="G57" s="13">
        <f>IFERROR(VLOOKUP(Tabela32[[#This Row],[Conta]],'BD - A - Despesas'!$A$15:$E$500,5,0),0)</f>
        <v>0</v>
      </c>
      <c r="H57" s="24">
        <f>IFERROR(VLOOKUP(Tabela32[[#This Row],[Conta]],'BD - A - Despesas'!$J$15:$N$500,5,0),0)</f>
        <v>0</v>
      </c>
      <c r="I57" s="24">
        <f>IFERROR(VLOOKUP(Tabela32[[#This Row],[Conta]],'BD - A - Despesas'!$S$15:$W$500,5,0),0)</f>
        <v>0</v>
      </c>
      <c r="J57" s="24">
        <f>IFERROR(VLOOKUP(Tabela32[[#This Row],[Conta]],'BD - A - Despesas'!$AB$15:$AF$500,5,0),0)</f>
        <v>0</v>
      </c>
      <c r="K57" s="24">
        <f>IFERROR(VLOOKUP(Tabela32[[#This Row],[Conta]],'BD - A - Despesas'!$AK$15:$AO$500,5,0),0)</f>
        <v>0</v>
      </c>
      <c r="L57" s="24">
        <f>IFERROR(VLOOKUP(Tabela32[[#This Row],[Conta]],'BD - A - Despesas'!$AT$15:$AX$500,5,0),0)</f>
        <v>0</v>
      </c>
      <c r="M57" s="24">
        <f>IFERROR(VLOOKUP(Tabela32[[#This Row],[Conta]],'BD - A - Despesas'!$BC$15:$BG$500,5,0),0)</f>
        <v>0</v>
      </c>
      <c r="N57" s="24">
        <f>IFERROR(VLOOKUP(Tabela32[[#This Row],[Conta]],'BD - A - Despesas'!$BL$15:$BP$500,5,0),0)</f>
        <v>0</v>
      </c>
      <c r="O57" s="24">
        <f>IFERROR(VLOOKUP(Tabela32[[#This Row],[Conta]],'BD - A - Despesas'!$BU$15:$BY$500,5,0),0)</f>
        <v>0</v>
      </c>
      <c r="P57" s="24">
        <f>IFERROR(VLOOKUP(Tabela32[[#This Row],[Conta]],'BD - A - Despesas'!$CD$15:$CH$500,5,0),0)</f>
        <v>0</v>
      </c>
      <c r="Q57" s="24">
        <f>IFERROR(VLOOKUP(Tabela32[[#This Row],[Conta]],'BD - A - Despesas'!$CM$15:$CQ$500,5,0),0)</f>
        <v>0</v>
      </c>
      <c r="R57" s="24">
        <f>IFERROR(VLOOKUP(Tabela32[[#This Row],[Conta]],'BD - A - Despesas'!$CV$15:$CZ$500,5,0),0)</f>
        <v>0</v>
      </c>
      <c r="S57"/>
    </row>
    <row r="58" spans="3:19">
      <c r="C58" s="79" t="s">
        <v>347</v>
      </c>
      <c r="D58" s="80" t="s">
        <v>341</v>
      </c>
      <c r="E58" s="100">
        <v>331409</v>
      </c>
      <c r="F58" s="79" t="s">
        <v>295</v>
      </c>
      <c r="G58" s="14">
        <f>IFERROR(VLOOKUP(Tabela32[[#This Row],[Conta]],'BD - A - Despesas'!$A$15:$E$500,5,0),0)</f>
        <v>0</v>
      </c>
      <c r="H58" s="24">
        <f>IFERROR(VLOOKUP(Tabela32[[#This Row],[Conta]],'BD - A - Despesas'!$J$15:$N$500,5,0),0)</f>
        <v>0</v>
      </c>
      <c r="I58" s="24">
        <f>IFERROR(VLOOKUP(Tabela32[[#This Row],[Conta]],'BD - A - Despesas'!$S$15:$W$500,5,0),0)</f>
        <v>0</v>
      </c>
      <c r="J58" s="24">
        <f>IFERROR(VLOOKUP(Tabela32[[#This Row],[Conta]],'BD - A - Despesas'!$AB$15:$AF$500,5,0),0)</f>
        <v>0</v>
      </c>
      <c r="K58" s="24">
        <f>IFERROR(VLOOKUP(Tabela32[[#This Row],[Conta]],'BD - A - Despesas'!$AK$15:$AO$500,5,0),0)</f>
        <v>0</v>
      </c>
      <c r="L58" s="24">
        <f>IFERROR(VLOOKUP(Tabela32[[#This Row],[Conta]],'BD - A - Despesas'!$AT$15:$AX$500,5,0),0)</f>
        <v>0</v>
      </c>
      <c r="M58" s="24">
        <f>IFERROR(VLOOKUP(Tabela32[[#This Row],[Conta]],'BD - A - Despesas'!$BC$15:$BG$500,5,0),0)</f>
        <v>0</v>
      </c>
      <c r="N58" s="24">
        <f>IFERROR(VLOOKUP(Tabela32[[#This Row],[Conta]],'BD - A - Despesas'!$BL$15:$BP$500,5,0),0)</f>
        <v>0</v>
      </c>
      <c r="O58" s="24">
        <f>IFERROR(VLOOKUP(Tabela32[[#This Row],[Conta]],'BD - A - Despesas'!$BU$15:$BY$500,5,0),0)</f>
        <v>0</v>
      </c>
      <c r="P58" s="24">
        <f>IFERROR(VLOOKUP(Tabela32[[#This Row],[Conta]],'BD - A - Despesas'!$CD$15:$CH$500,5,0),0)</f>
        <v>0</v>
      </c>
      <c r="Q58" s="24">
        <f>IFERROR(VLOOKUP(Tabela32[[#This Row],[Conta]],'BD - A - Despesas'!$CM$15:$CQ$500,5,0),0)</f>
        <v>0</v>
      </c>
      <c r="R58" s="24">
        <f>IFERROR(VLOOKUP(Tabela32[[#This Row],[Conta]],'BD - A - Despesas'!$CV$15:$CZ$500,5,0),0)</f>
        <v>0</v>
      </c>
      <c r="S58"/>
    </row>
    <row r="59" spans="3:19">
      <c r="C59" s="79" t="s">
        <v>347</v>
      </c>
      <c r="D59" s="80" t="s">
        <v>341</v>
      </c>
      <c r="E59" s="100">
        <v>331410</v>
      </c>
      <c r="F59" s="88" t="s">
        <v>296</v>
      </c>
      <c r="G59" s="13">
        <f>IFERROR(VLOOKUP(Tabela32[[#This Row],[Conta]],'BD - A - Despesas'!$A$15:$E$500,5,0),0)</f>
        <v>0</v>
      </c>
      <c r="H59" s="24">
        <f>IFERROR(VLOOKUP(Tabela32[[#This Row],[Conta]],'BD - A - Despesas'!$J$15:$N$500,5,0),0)</f>
        <v>0</v>
      </c>
      <c r="I59" s="24">
        <f>IFERROR(VLOOKUP(Tabela32[[#This Row],[Conta]],'BD - A - Despesas'!$S$15:$W$500,5,0),0)</f>
        <v>0</v>
      </c>
      <c r="J59" s="24">
        <f>IFERROR(VLOOKUP(Tabela32[[#This Row],[Conta]],'BD - A - Despesas'!$AB$15:$AF$500,5,0),0)</f>
        <v>0</v>
      </c>
      <c r="K59" s="24">
        <f>IFERROR(VLOOKUP(Tabela32[[#This Row],[Conta]],'BD - A - Despesas'!$AK$15:$AO$500,5,0),0)</f>
        <v>0</v>
      </c>
      <c r="L59" s="24">
        <f>IFERROR(VLOOKUP(Tabela32[[#This Row],[Conta]],'BD - A - Despesas'!$AT$15:$AX$500,5,0),0)</f>
        <v>0</v>
      </c>
      <c r="M59" s="24">
        <f>IFERROR(VLOOKUP(Tabela32[[#This Row],[Conta]],'BD - A - Despesas'!$BC$15:$BG$500,5,0),0)</f>
        <v>0</v>
      </c>
      <c r="N59" s="24">
        <f>IFERROR(VLOOKUP(Tabela32[[#This Row],[Conta]],'BD - A - Despesas'!$BL$15:$BP$500,5,0),0)</f>
        <v>0</v>
      </c>
      <c r="O59" s="24">
        <f>IFERROR(VLOOKUP(Tabela32[[#This Row],[Conta]],'BD - A - Despesas'!$BU$15:$BY$500,5,0),0)</f>
        <v>0</v>
      </c>
      <c r="P59" s="24">
        <f>IFERROR(VLOOKUP(Tabela32[[#This Row],[Conta]],'BD - A - Despesas'!$CD$15:$CH$500,5,0),0)</f>
        <v>0</v>
      </c>
      <c r="Q59" s="24">
        <f>IFERROR(VLOOKUP(Tabela32[[#This Row],[Conta]],'BD - A - Despesas'!$CM$15:$CQ$500,5,0),0)</f>
        <v>0</v>
      </c>
      <c r="R59" s="24">
        <f>IFERROR(VLOOKUP(Tabela32[[#This Row],[Conta]],'BD - A - Despesas'!$CV$15:$CZ$500,5,0),0)</f>
        <v>0</v>
      </c>
      <c r="S59"/>
    </row>
    <row r="60" spans="3:19">
      <c r="C60" s="79" t="s">
        <v>347</v>
      </c>
      <c r="D60" s="80" t="s">
        <v>330</v>
      </c>
      <c r="E60" s="100">
        <v>331450</v>
      </c>
      <c r="F60" s="79" t="s">
        <v>297</v>
      </c>
      <c r="G60" s="12">
        <f>IFERROR(VLOOKUP(Tabela32[[#This Row],[Conta]],'BD - A - Despesas'!$A$15:$E$500,5,0),0)</f>
        <v>0</v>
      </c>
      <c r="H60" s="24">
        <f>IFERROR(VLOOKUP(Tabela32[[#This Row],[Conta]],'BD - A - Despesas'!$J$15:$N$500,5,0),0)</f>
        <v>0</v>
      </c>
      <c r="I60" s="24">
        <f>IFERROR(VLOOKUP(Tabela32[[#This Row],[Conta]],'BD - A - Despesas'!$S$15:$W$500,5,0),0)</f>
        <v>0</v>
      </c>
      <c r="J60" s="24">
        <f>IFERROR(VLOOKUP(Tabela32[[#This Row],[Conta]],'BD - A - Despesas'!$AB$15:$AF$500,5,0),0)</f>
        <v>0</v>
      </c>
      <c r="K60" s="24">
        <f>IFERROR(VLOOKUP(Tabela32[[#This Row],[Conta]],'BD - A - Despesas'!$AK$15:$AO$500,5,0),0)</f>
        <v>0</v>
      </c>
      <c r="L60" s="24">
        <f>IFERROR(VLOOKUP(Tabela32[[#This Row],[Conta]],'BD - A - Despesas'!$AT$15:$AX$500,5,0),0)</f>
        <v>0</v>
      </c>
      <c r="M60" s="24">
        <f>IFERROR(VLOOKUP(Tabela32[[#This Row],[Conta]],'BD - A - Despesas'!$BC$15:$BG$500,5,0),0)</f>
        <v>0</v>
      </c>
      <c r="N60" s="24">
        <f>IFERROR(VLOOKUP(Tabela32[[#This Row],[Conta]],'BD - A - Despesas'!$BL$15:$BP$500,5,0),0)</f>
        <v>0</v>
      </c>
      <c r="O60" s="24">
        <f>IFERROR(VLOOKUP(Tabela32[[#This Row],[Conta]],'BD - A - Despesas'!$BU$15:$BY$500,5,0),0)</f>
        <v>0</v>
      </c>
      <c r="P60" s="24">
        <f>IFERROR(VLOOKUP(Tabela32[[#This Row],[Conta]],'BD - A - Despesas'!$CD$15:$CH$500,5,0),0)</f>
        <v>0</v>
      </c>
      <c r="Q60" s="24">
        <f>IFERROR(VLOOKUP(Tabela32[[#This Row],[Conta]],'BD - A - Despesas'!$CM$15:$CQ$500,5,0),0)</f>
        <v>0</v>
      </c>
      <c r="R60" s="24">
        <f>IFERROR(VLOOKUP(Tabela32[[#This Row],[Conta]],'BD - A - Despesas'!$CV$15:$CZ$500,5,0),0)</f>
        <v>0</v>
      </c>
      <c r="S60"/>
    </row>
    <row r="61" spans="3:19">
      <c r="C61" s="79" t="s">
        <v>347</v>
      </c>
      <c r="D61" s="80" t="s">
        <v>330</v>
      </c>
      <c r="E61" s="101">
        <v>331451</v>
      </c>
      <c r="F61" s="79" t="s">
        <v>298</v>
      </c>
      <c r="G61" s="14">
        <f>IFERROR(VLOOKUP(Tabela32[[#This Row],[Conta]],'BD - A - Despesas'!$A$15:$E$500,5,0),0)</f>
        <v>0</v>
      </c>
      <c r="H61" s="24">
        <f>IFERROR(VLOOKUP(Tabela32[[#This Row],[Conta]],'BD - A - Despesas'!$J$15:$N$500,5,0),0)</f>
        <v>0</v>
      </c>
      <c r="I61" s="24">
        <f>IFERROR(VLOOKUP(Tabela32[[#This Row],[Conta]],'BD - A - Despesas'!$S$15:$W$500,5,0),0)</f>
        <v>0</v>
      </c>
      <c r="J61" s="24">
        <f>IFERROR(VLOOKUP(Tabela32[[#This Row],[Conta]],'BD - A - Despesas'!$AB$15:$AF$500,5,0),0)</f>
        <v>0</v>
      </c>
      <c r="K61" s="24">
        <f>IFERROR(VLOOKUP(Tabela32[[#This Row],[Conta]],'BD - A - Despesas'!$AK$15:$AO$500,5,0),0)</f>
        <v>0</v>
      </c>
      <c r="L61" s="24">
        <f>IFERROR(VLOOKUP(Tabela32[[#This Row],[Conta]],'BD - A - Despesas'!$AT$15:$AX$500,5,0),0)</f>
        <v>0</v>
      </c>
      <c r="M61" s="24">
        <f>IFERROR(VLOOKUP(Tabela32[[#This Row],[Conta]],'BD - A - Despesas'!$BC$15:$BG$500,5,0),0)</f>
        <v>0</v>
      </c>
      <c r="N61" s="24">
        <f>IFERROR(VLOOKUP(Tabela32[[#This Row],[Conta]],'BD - A - Despesas'!$BL$15:$BP$500,5,0),0)</f>
        <v>0</v>
      </c>
      <c r="O61" s="24">
        <f>IFERROR(VLOOKUP(Tabela32[[#This Row],[Conta]],'BD - A - Despesas'!$BU$15:$BY$500,5,0),0)</f>
        <v>0</v>
      </c>
      <c r="P61" s="24">
        <f>IFERROR(VLOOKUP(Tabela32[[#This Row],[Conta]],'BD - A - Despesas'!$CD$15:$CH$500,5,0),0)</f>
        <v>0</v>
      </c>
      <c r="Q61" s="24">
        <f>IFERROR(VLOOKUP(Tabela32[[#This Row],[Conta]],'BD - A - Despesas'!$CM$15:$CQ$500,5,0),0)</f>
        <v>0</v>
      </c>
      <c r="R61" s="24">
        <f>IFERROR(VLOOKUP(Tabela32[[#This Row],[Conta]],'BD - A - Despesas'!$CV$15:$CZ$500,5,0),0)</f>
        <v>0</v>
      </c>
      <c r="S61"/>
    </row>
    <row r="62" spans="3:19">
      <c r="C62" s="79" t="s">
        <v>347</v>
      </c>
      <c r="D62" s="80" t="s">
        <v>330</v>
      </c>
      <c r="E62" s="85">
        <v>331452</v>
      </c>
      <c r="F62" s="79" t="s">
        <v>299</v>
      </c>
      <c r="G62" s="14">
        <f>IFERROR(VLOOKUP(Tabela32[[#This Row],[Conta]],'BD - A - Despesas'!$A$15:$E$500,5,0),0)</f>
        <v>251.28</v>
      </c>
      <c r="H62" s="24">
        <f>IFERROR(VLOOKUP(Tabela32[[#This Row],[Conta]],'BD - A - Despesas'!$J$15:$N$500,5,0),0)</f>
        <v>0</v>
      </c>
      <c r="I62" s="24">
        <f>IFERROR(VLOOKUP(Tabela32[[#This Row],[Conta]],'BD - A - Despesas'!$S$15:$W$500,5,0),0)</f>
        <v>0</v>
      </c>
      <c r="J62" s="24">
        <f>IFERROR(VLOOKUP(Tabela32[[#This Row],[Conta]],'BD - A - Despesas'!$AB$15:$AF$500,5,0),0)</f>
        <v>0</v>
      </c>
      <c r="K62" s="24">
        <f>IFERROR(VLOOKUP(Tabela32[[#This Row],[Conta]],'BD - A - Despesas'!$AK$15:$AO$500,5,0),0)</f>
        <v>0</v>
      </c>
      <c r="L62" s="24">
        <f>IFERROR(VLOOKUP(Tabela32[[#This Row],[Conta]],'BD - A - Despesas'!$AT$15:$AX$500,5,0),0)</f>
        <v>0</v>
      </c>
      <c r="M62" s="24">
        <f>IFERROR(VLOOKUP(Tabela32[[#This Row],[Conta]],'BD - A - Despesas'!$BC$15:$BG$500,5,0),0)</f>
        <v>0</v>
      </c>
      <c r="N62" s="24">
        <f>IFERROR(VLOOKUP(Tabela32[[#This Row],[Conta]],'BD - A - Despesas'!$BL$15:$BP$500,5,0),0)</f>
        <v>0</v>
      </c>
      <c r="O62" s="24">
        <f>IFERROR(VLOOKUP(Tabela32[[#This Row],[Conta]],'BD - A - Despesas'!$BU$15:$BY$500,5,0),0)</f>
        <v>0</v>
      </c>
      <c r="P62" s="24">
        <f>IFERROR(VLOOKUP(Tabela32[[#This Row],[Conta]],'BD - A - Despesas'!$CD$15:$CH$500,5,0),0)</f>
        <v>0</v>
      </c>
      <c r="Q62" s="24">
        <f>IFERROR(VLOOKUP(Tabela32[[#This Row],[Conta]],'BD - A - Despesas'!$CM$15:$CQ$500,5,0),0)</f>
        <v>0</v>
      </c>
      <c r="R62" s="24">
        <f>IFERROR(VLOOKUP(Tabela32[[#This Row],[Conta]],'BD - A - Despesas'!$CV$15:$CZ$500,5,0),0)</f>
        <v>0</v>
      </c>
      <c r="S62"/>
    </row>
    <row r="63" spans="3:19">
      <c r="C63" s="79" t="s">
        <v>347</v>
      </c>
      <c r="D63" s="80" t="s">
        <v>330</v>
      </c>
      <c r="E63" s="100">
        <v>331453</v>
      </c>
      <c r="F63" s="79" t="s">
        <v>300</v>
      </c>
      <c r="G63" s="12">
        <f>IFERROR(VLOOKUP(Tabela32[[#This Row],[Conta]],'BD - A - Despesas'!$A$15:$E$500,5,0),0)</f>
        <v>0</v>
      </c>
      <c r="H63" s="24">
        <f>IFERROR(VLOOKUP(Tabela32[[#This Row],[Conta]],'BD - A - Despesas'!$J$15:$N$500,5,0),0)</f>
        <v>0</v>
      </c>
      <c r="I63" s="24">
        <f>IFERROR(VLOOKUP(Tabela32[[#This Row],[Conta]],'BD - A - Despesas'!$S$15:$W$500,5,0),0)</f>
        <v>0</v>
      </c>
      <c r="J63" s="24">
        <f>IFERROR(VLOOKUP(Tabela32[[#This Row],[Conta]],'BD - A - Despesas'!$AB$15:$AF$500,5,0),0)</f>
        <v>0</v>
      </c>
      <c r="K63" s="24">
        <f>IFERROR(VLOOKUP(Tabela32[[#This Row],[Conta]],'BD - A - Despesas'!$AK$15:$AO$500,5,0),0)</f>
        <v>0</v>
      </c>
      <c r="L63" s="24">
        <f>IFERROR(VLOOKUP(Tabela32[[#This Row],[Conta]],'BD - A - Despesas'!$AT$15:$AX$500,5,0),0)</f>
        <v>0</v>
      </c>
      <c r="M63" s="24">
        <f>IFERROR(VLOOKUP(Tabela32[[#This Row],[Conta]],'BD - A - Despesas'!$BC$15:$BG$500,5,0),0)</f>
        <v>0</v>
      </c>
      <c r="N63" s="24">
        <f>IFERROR(VLOOKUP(Tabela32[[#This Row],[Conta]],'BD - A - Despesas'!$BL$15:$BP$500,5,0),0)</f>
        <v>0</v>
      </c>
      <c r="O63" s="24">
        <f>IFERROR(VLOOKUP(Tabela32[[#This Row],[Conta]],'BD - A - Despesas'!$BU$15:$BY$500,5,0),0)</f>
        <v>0</v>
      </c>
      <c r="P63" s="24">
        <f>IFERROR(VLOOKUP(Tabela32[[#This Row],[Conta]],'BD - A - Despesas'!$CD$15:$CH$500,5,0),0)</f>
        <v>0</v>
      </c>
      <c r="Q63" s="24">
        <f>IFERROR(VLOOKUP(Tabela32[[#This Row],[Conta]],'BD - A - Despesas'!$CM$15:$CQ$500,5,0),0)</f>
        <v>0</v>
      </c>
      <c r="R63" s="24">
        <f>IFERROR(VLOOKUP(Tabela32[[#This Row],[Conta]],'BD - A - Despesas'!$CV$15:$CZ$500,5,0),0)</f>
        <v>0</v>
      </c>
      <c r="S63"/>
    </row>
    <row r="64" spans="3:19">
      <c r="C64" s="79" t="s">
        <v>347</v>
      </c>
      <c r="D64" s="80" t="s">
        <v>330</v>
      </c>
      <c r="E64" s="102">
        <v>331454</v>
      </c>
      <c r="F64" s="89" t="s">
        <v>301</v>
      </c>
      <c r="G64" s="12">
        <f>IFERROR(VLOOKUP(Tabela32[[#This Row],[Conta]],'BD - A - Despesas'!$A$15:$E$500,5,0),0)</f>
        <v>0</v>
      </c>
      <c r="H64" s="24">
        <f>IFERROR(VLOOKUP(Tabela32[[#This Row],[Conta]],'BD - A - Despesas'!$J$15:$N$500,5,0),0)</f>
        <v>0</v>
      </c>
      <c r="I64" s="24">
        <f>IFERROR(VLOOKUP(Tabela32[[#This Row],[Conta]],'BD - A - Despesas'!$S$15:$W$500,5,0),0)</f>
        <v>0</v>
      </c>
      <c r="J64" s="24">
        <f>IFERROR(VLOOKUP(Tabela32[[#This Row],[Conta]],'BD - A - Despesas'!$AB$15:$AF$500,5,0),0)</f>
        <v>0</v>
      </c>
      <c r="K64" s="24">
        <f>IFERROR(VLOOKUP(Tabela32[[#This Row],[Conta]],'BD - A - Despesas'!$AK$15:$AO$500,5,0),0)</f>
        <v>0</v>
      </c>
      <c r="L64" s="24">
        <f>IFERROR(VLOOKUP(Tabela32[[#This Row],[Conta]],'BD - A - Despesas'!$AT$15:$AX$500,5,0),0)</f>
        <v>0</v>
      </c>
      <c r="M64" s="24">
        <f>IFERROR(VLOOKUP(Tabela32[[#This Row],[Conta]],'BD - A - Despesas'!$BC$15:$BG$500,5,0),0)</f>
        <v>0</v>
      </c>
      <c r="N64" s="24">
        <f>IFERROR(VLOOKUP(Tabela32[[#This Row],[Conta]],'BD - A - Despesas'!$BL$15:$BP$500,5,0),0)</f>
        <v>0</v>
      </c>
      <c r="O64" s="24">
        <f>IFERROR(VLOOKUP(Tabela32[[#This Row],[Conta]],'BD - A - Despesas'!$BU$15:$BY$500,5,0),0)</f>
        <v>0</v>
      </c>
      <c r="P64" s="24">
        <f>IFERROR(VLOOKUP(Tabela32[[#This Row],[Conta]],'BD - A - Despesas'!$CD$15:$CH$500,5,0),0)</f>
        <v>0</v>
      </c>
      <c r="Q64" s="24">
        <f>IFERROR(VLOOKUP(Tabela32[[#This Row],[Conta]],'BD - A - Despesas'!$CM$15:$CQ$500,5,0),0)</f>
        <v>0</v>
      </c>
      <c r="R64" s="24">
        <f>IFERROR(VLOOKUP(Tabela32[[#This Row],[Conta]],'BD - A - Despesas'!$CV$15:$CZ$500,5,0),0)</f>
        <v>0</v>
      </c>
      <c r="S64"/>
    </row>
    <row r="65" spans="3:19">
      <c r="C65" s="79" t="s">
        <v>347</v>
      </c>
      <c r="D65" s="80" t="s">
        <v>339</v>
      </c>
      <c r="E65" s="30">
        <v>331501</v>
      </c>
      <c r="F65" s="89" t="s">
        <v>412</v>
      </c>
      <c r="G65" s="12">
        <f>IFERROR(VLOOKUP(Tabela32[[#This Row],[Conta]],'BD - A - Despesas'!$A$15:$E$500,5,0),0)</f>
        <v>0</v>
      </c>
      <c r="H65" s="24">
        <f>IFERROR(VLOOKUP(Tabela32[[#This Row],[Conta]],'BD - A - Despesas'!$J$15:$N$500,5,0),0)</f>
        <v>0</v>
      </c>
      <c r="I65" s="24">
        <f>IFERROR(VLOOKUP(Tabela32[[#This Row],[Conta]],'BD - A - Despesas'!$S$15:$W$500,5,0),0)</f>
        <v>0</v>
      </c>
      <c r="J65" s="24">
        <f>IFERROR(VLOOKUP(Tabela32[[#This Row],[Conta]],'BD - A - Despesas'!$AB$15:$AF$500,5,0),0)</f>
        <v>663.4</v>
      </c>
      <c r="K65" s="24">
        <f>IFERROR(VLOOKUP(Tabela32[[#This Row],[Conta]],'BD - A - Despesas'!$AK$15:$AO$500,5,0),0)</f>
        <v>0</v>
      </c>
      <c r="L65" s="24">
        <f>IFERROR(VLOOKUP(Tabela32[[#This Row],[Conta]],'BD - A - Despesas'!$AT$15:$AX$500,5,0),0)</f>
        <v>0</v>
      </c>
      <c r="M65" s="24">
        <f>IFERROR(VLOOKUP(Tabela32[[#This Row],[Conta]],'BD - A - Despesas'!$BC$15:$BG$500,5,0),0)</f>
        <v>0</v>
      </c>
      <c r="N65" s="24">
        <f>IFERROR(VLOOKUP(Tabela32[[#This Row],[Conta]],'BD - A - Despesas'!$BL$15:$BP$500,5,0),0)</f>
        <v>0</v>
      </c>
      <c r="O65" s="24">
        <f>IFERROR(VLOOKUP(Tabela32[[#This Row],[Conta]],'BD - A - Despesas'!$BU$15:$BY$500,5,0),0)</f>
        <v>0</v>
      </c>
      <c r="P65" s="24">
        <f>IFERROR(VLOOKUP(Tabela32[[#This Row],[Conta]],'BD - A - Despesas'!$CD$15:$CH$500,5,0),0)</f>
        <v>0</v>
      </c>
      <c r="Q65" s="24">
        <f>IFERROR(VLOOKUP(Tabela32[[#This Row],[Conta]],'BD - A - Despesas'!$CM$15:$CQ$500,5,0),0)</f>
        <v>0</v>
      </c>
      <c r="R65" s="24">
        <f>IFERROR(VLOOKUP(Tabela32[[#This Row],[Conta]],'BD - A - Despesas'!$CV$15:$CZ$500,5,0),0)</f>
        <v>0</v>
      </c>
      <c r="S65"/>
    </row>
    <row r="66" spans="3:19">
      <c r="C66" s="79" t="s">
        <v>347</v>
      </c>
      <c r="D66" s="80" t="s">
        <v>339</v>
      </c>
      <c r="E66" s="30">
        <v>331502</v>
      </c>
      <c r="F66" s="89" t="s">
        <v>413</v>
      </c>
      <c r="G66" s="12">
        <f>IFERROR(VLOOKUP(Tabela32[[#This Row],[Conta]],'BD - A - Despesas'!$A$15:$E$500,5,0),0)</f>
        <v>0</v>
      </c>
      <c r="H66" s="24">
        <f>IFERROR(VLOOKUP(Tabela32[[#This Row],[Conta]],'BD - A - Despesas'!$J$15:$N$500,5,0),0)</f>
        <v>0</v>
      </c>
      <c r="I66" s="24">
        <f>IFERROR(VLOOKUP(Tabela32[[#This Row],[Conta]],'BD - A - Despesas'!$S$15:$W$500,5,0),0)</f>
        <v>0</v>
      </c>
      <c r="J66" s="24">
        <f>IFERROR(VLOOKUP(Tabela32[[#This Row],[Conta]],'BD - A - Despesas'!$AB$15:$AF$500,5,0),0)</f>
        <v>0</v>
      </c>
      <c r="K66" s="24">
        <f>IFERROR(VLOOKUP(Tabela32[[#This Row],[Conta]],'BD - A - Despesas'!$AK$15:$AO$500,5,0),0)</f>
        <v>0</v>
      </c>
      <c r="L66" s="24">
        <f>IFERROR(VLOOKUP(Tabela32[[#This Row],[Conta]],'BD - A - Despesas'!$AT$15:$AX$500,5,0),0)</f>
        <v>0</v>
      </c>
      <c r="M66" s="24">
        <f>IFERROR(VLOOKUP(Tabela32[[#This Row],[Conta]],'BD - A - Despesas'!$BC$15:$BG$500,5,0),0)</f>
        <v>0</v>
      </c>
      <c r="N66" s="24">
        <f>IFERROR(VLOOKUP(Tabela32[[#This Row],[Conta]],'BD - A - Despesas'!$BL$15:$BP$500,5,0),0)</f>
        <v>0</v>
      </c>
      <c r="O66" s="24">
        <f>IFERROR(VLOOKUP(Tabela32[[#This Row],[Conta]],'BD - A - Despesas'!$BU$15:$BY$500,5,0),0)</f>
        <v>0</v>
      </c>
      <c r="P66" s="24">
        <f>IFERROR(VLOOKUP(Tabela32[[#This Row],[Conta]],'BD - A - Despesas'!$CD$15:$CH$500,5,0),0)</f>
        <v>0</v>
      </c>
      <c r="Q66" s="24">
        <f>IFERROR(VLOOKUP(Tabela32[[#This Row],[Conta]],'BD - A - Despesas'!$CM$15:$CQ$500,5,0),0)</f>
        <v>0</v>
      </c>
      <c r="R66" s="24">
        <f>IFERROR(VLOOKUP(Tabela32[[#This Row],[Conta]],'BD - A - Despesas'!$CV$15:$CZ$500,5,0),0)</f>
        <v>0</v>
      </c>
      <c r="S66"/>
    </row>
    <row r="67" spans="3:19">
      <c r="C67" s="79" t="s">
        <v>347</v>
      </c>
      <c r="D67" s="80" t="s">
        <v>339</v>
      </c>
      <c r="E67" s="100">
        <v>331503</v>
      </c>
      <c r="F67" s="91" t="s">
        <v>302</v>
      </c>
      <c r="G67" s="12">
        <f>IFERROR(VLOOKUP(Tabela32[[#This Row],[Conta]],'BD - A - Despesas'!$A$15:$E$500,5,0),0)</f>
        <v>0</v>
      </c>
      <c r="H67" s="24">
        <f>IFERROR(VLOOKUP(Tabela32[[#This Row],[Conta]],'BD - A - Despesas'!$J$15:$N$500,5,0),0)</f>
        <v>0</v>
      </c>
      <c r="I67" s="24">
        <f>IFERROR(VLOOKUP(Tabela32[[#This Row],[Conta]],'BD - A - Despesas'!$S$15:$W$500,5,0),0)</f>
        <v>0</v>
      </c>
      <c r="J67" s="24">
        <f>IFERROR(VLOOKUP(Tabela32[[#This Row],[Conta]],'BD - A - Despesas'!$AB$15:$AF$500,5,0),0)</f>
        <v>0</v>
      </c>
      <c r="K67" s="24">
        <f>IFERROR(VLOOKUP(Tabela32[[#This Row],[Conta]],'BD - A - Despesas'!$AK$15:$AO$500,5,0),0)</f>
        <v>0</v>
      </c>
      <c r="L67" s="24">
        <f>IFERROR(VLOOKUP(Tabela32[[#This Row],[Conta]],'BD - A - Despesas'!$AT$15:$AX$500,5,0),0)</f>
        <v>0</v>
      </c>
      <c r="M67" s="24">
        <f>IFERROR(VLOOKUP(Tabela32[[#This Row],[Conta]],'BD - A - Despesas'!$BC$15:$BG$500,5,0),0)</f>
        <v>0</v>
      </c>
      <c r="N67" s="24">
        <f>IFERROR(VLOOKUP(Tabela32[[#This Row],[Conta]],'BD - A - Despesas'!$BL$15:$BP$500,5,0),0)</f>
        <v>0</v>
      </c>
      <c r="O67" s="24">
        <f>IFERROR(VLOOKUP(Tabela32[[#This Row],[Conta]],'BD - A - Despesas'!$BU$15:$BY$500,5,0),0)</f>
        <v>0</v>
      </c>
      <c r="P67" s="24">
        <f>IFERROR(VLOOKUP(Tabela32[[#This Row],[Conta]],'BD - A - Despesas'!$CD$15:$CH$500,5,0),0)</f>
        <v>0</v>
      </c>
      <c r="Q67" s="24">
        <f>IFERROR(VLOOKUP(Tabela32[[#This Row],[Conta]],'BD - A - Despesas'!$CM$15:$CQ$500,5,0),0)</f>
        <v>0</v>
      </c>
      <c r="R67" s="24">
        <f>IFERROR(VLOOKUP(Tabela32[[#This Row],[Conta]],'BD - A - Despesas'!$CV$15:$CZ$500,5,0),0)</f>
        <v>0</v>
      </c>
      <c r="S67"/>
    </row>
    <row r="68" spans="3:19">
      <c r="C68" s="79" t="s">
        <v>347</v>
      </c>
      <c r="D68" s="80" t="s">
        <v>339</v>
      </c>
      <c r="E68" s="100">
        <v>331504</v>
      </c>
      <c r="F68" s="79" t="s">
        <v>303</v>
      </c>
      <c r="G68" s="12">
        <f>IFERROR(VLOOKUP(Tabela32[[#This Row],[Conta]],'BD - A - Despesas'!$A$15:$E$500,5,0),0)</f>
        <v>7860</v>
      </c>
      <c r="H68" s="24">
        <f>IFERROR(VLOOKUP(Tabela32[[#This Row],[Conta]],'BD - A - Despesas'!$J$15:$N$500,5,0),0)</f>
        <v>7084.5</v>
      </c>
      <c r="I68" s="24">
        <f>IFERROR(VLOOKUP(Tabela32[[#This Row],[Conta]],'BD - A - Despesas'!$S$15:$W$500,5,0),0)</f>
        <v>6053.6</v>
      </c>
      <c r="J68" s="24">
        <f>IFERROR(VLOOKUP(Tabela32[[#This Row],[Conta]],'BD - A - Despesas'!$AB$15:$AF$500,5,0),0)</f>
        <v>6770.9</v>
      </c>
      <c r="K68" s="24">
        <f>IFERROR(VLOOKUP(Tabela32[[#This Row],[Conta]],'BD - A - Despesas'!$AK$15:$AO$500,5,0),0)</f>
        <v>0</v>
      </c>
      <c r="L68" s="24">
        <f>IFERROR(VLOOKUP(Tabela32[[#This Row],[Conta]],'BD - A - Despesas'!$AT$15:$AX$500,5,0),0)</f>
        <v>0</v>
      </c>
      <c r="M68" s="24">
        <f>IFERROR(VLOOKUP(Tabela32[[#This Row],[Conta]],'BD - A - Despesas'!$BC$15:$BG$500,5,0),0)</f>
        <v>0</v>
      </c>
      <c r="N68" s="24">
        <f>IFERROR(VLOOKUP(Tabela32[[#This Row],[Conta]],'BD - A - Despesas'!$BL$15:$BP$500,5,0),0)</f>
        <v>0</v>
      </c>
      <c r="O68" s="24">
        <f>IFERROR(VLOOKUP(Tabela32[[#This Row],[Conta]],'BD - A - Despesas'!$BU$15:$BY$500,5,0),0)</f>
        <v>0</v>
      </c>
      <c r="P68" s="24">
        <f>IFERROR(VLOOKUP(Tabela32[[#This Row],[Conta]],'BD - A - Despesas'!$CD$15:$CH$500,5,0),0)</f>
        <v>0</v>
      </c>
      <c r="Q68" s="24">
        <f>IFERROR(VLOOKUP(Tabela32[[#This Row],[Conta]],'BD - A - Despesas'!$CM$15:$CQ$500,5,0),0)</f>
        <v>0</v>
      </c>
      <c r="R68" s="24">
        <f>IFERROR(VLOOKUP(Tabela32[[#This Row],[Conta]],'BD - A - Despesas'!$CV$15:$CZ$500,5,0),0)</f>
        <v>0</v>
      </c>
      <c r="S68"/>
    </row>
    <row r="69" spans="3:19">
      <c r="C69" s="79" t="s">
        <v>347</v>
      </c>
      <c r="D69" s="80" t="s">
        <v>341</v>
      </c>
      <c r="E69" s="100">
        <v>331601</v>
      </c>
      <c r="F69" s="79" t="s">
        <v>43</v>
      </c>
      <c r="G69" s="12">
        <f>IFERROR(VLOOKUP(Tabela32[[#This Row],[Conta]],'BD - A - Despesas'!$A$15:$E$500,5,0),0)</f>
        <v>0</v>
      </c>
      <c r="H69" s="24">
        <f>IFERROR(VLOOKUP(Tabela32[[#This Row],[Conta]],'BD - A - Despesas'!$J$15:$N$500,5,0),0)</f>
        <v>0</v>
      </c>
      <c r="I69" s="24">
        <f>IFERROR(VLOOKUP(Tabela32[[#This Row],[Conta]],'BD - A - Despesas'!$S$15:$W$500,5,0),0)</f>
        <v>0</v>
      </c>
      <c r="J69" s="24">
        <f>IFERROR(VLOOKUP(Tabela32[[#This Row],[Conta]],'BD - A - Despesas'!$AB$15:$AF$500,5,0),0)</f>
        <v>0</v>
      </c>
      <c r="K69" s="24">
        <f>IFERROR(VLOOKUP(Tabela32[[#This Row],[Conta]],'BD - A - Despesas'!$AK$15:$AO$500,5,0),0)</f>
        <v>0</v>
      </c>
      <c r="L69" s="24">
        <f>IFERROR(VLOOKUP(Tabela32[[#This Row],[Conta]],'BD - A - Despesas'!$AT$15:$AX$500,5,0),0)</f>
        <v>0</v>
      </c>
      <c r="M69" s="24">
        <f>IFERROR(VLOOKUP(Tabela32[[#This Row],[Conta]],'BD - A - Despesas'!$BC$15:$BG$500,5,0),0)</f>
        <v>0</v>
      </c>
      <c r="N69" s="24">
        <f>IFERROR(VLOOKUP(Tabela32[[#This Row],[Conta]],'BD - A - Despesas'!$BL$15:$BP$500,5,0),0)</f>
        <v>0</v>
      </c>
      <c r="O69" s="24">
        <f>IFERROR(VLOOKUP(Tabela32[[#This Row],[Conta]],'BD - A - Despesas'!$BU$15:$BY$500,5,0),0)</f>
        <v>0</v>
      </c>
      <c r="P69" s="24">
        <f>IFERROR(VLOOKUP(Tabela32[[#This Row],[Conta]],'BD - A - Despesas'!$CD$15:$CH$500,5,0),0)</f>
        <v>0</v>
      </c>
      <c r="Q69" s="24">
        <f>IFERROR(VLOOKUP(Tabela32[[#This Row],[Conta]],'BD - A - Despesas'!$CM$15:$CQ$500,5,0),0)</f>
        <v>0</v>
      </c>
      <c r="R69" s="24">
        <f>IFERROR(VLOOKUP(Tabela32[[#This Row],[Conta]],'BD - A - Despesas'!$CV$15:$CZ$500,5,0),0)</f>
        <v>0</v>
      </c>
      <c r="S69"/>
    </row>
    <row r="70" spans="3:19">
      <c r="C70" s="79" t="s">
        <v>347</v>
      </c>
      <c r="D70" s="80" t="s">
        <v>341</v>
      </c>
      <c r="E70" s="100">
        <v>331602</v>
      </c>
      <c r="F70" s="79" t="s">
        <v>44</v>
      </c>
      <c r="G70" s="12">
        <f>IFERROR(VLOOKUP(Tabela32[[#This Row],[Conta]],'BD - A - Despesas'!$A$15:$E$500,5,0),0)</f>
        <v>0</v>
      </c>
      <c r="H70" s="24">
        <f>IFERROR(VLOOKUP(Tabela32[[#This Row],[Conta]],'BD - A - Despesas'!$J$15:$N$500,5,0),0)</f>
        <v>0</v>
      </c>
      <c r="I70" s="24">
        <f>IFERROR(VLOOKUP(Tabela32[[#This Row],[Conta]],'BD - A - Despesas'!$S$15:$W$500,5,0),0)</f>
        <v>0</v>
      </c>
      <c r="J70" s="24">
        <f>IFERROR(VLOOKUP(Tabela32[[#This Row],[Conta]],'BD - A - Despesas'!$AB$15:$AF$500,5,0),0)</f>
        <v>0</v>
      </c>
      <c r="K70" s="24">
        <f>IFERROR(VLOOKUP(Tabela32[[#This Row],[Conta]],'BD - A - Despesas'!$AK$15:$AO$500,5,0),0)</f>
        <v>0</v>
      </c>
      <c r="L70" s="24">
        <f>IFERROR(VLOOKUP(Tabela32[[#This Row],[Conta]],'BD - A - Despesas'!$AT$15:$AX$500,5,0),0)</f>
        <v>0</v>
      </c>
      <c r="M70" s="24">
        <f>IFERROR(VLOOKUP(Tabela32[[#This Row],[Conta]],'BD - A - Despesas'!$BC$15:$BG$500,5,0),0)</f>
        <v>0</v>
      </c>
      <c r="N70" s="24">
        <f>IFERROR(VLOOKUP(Tabela32[[#This Row],[Conta]],'BD - A - Despesas'!$BL$15:$BP$500,5,0),0)</f>
        <v>0</v>
      </c>
      <c r="O70" s="24">
        <f>IFERROR(VLOOKUP(Tabela32[[#This Row],[Conta]],'BD - A - Despesas'!$BU$15:$BY$500,5,0),0)</f>
        <v>0</v>
      </c>
      <c r="P70" s="24">
        <f>IFERROR(VLOOKUP(Tabela32[[#This Row],[Conta]],'BD - A - Despesas'!$CD$15:$CH$500,5,0),0)</f>
        <v>0</v>
      </c>
      <c r="Q70" s="24">
        <f>IFERROR(VLOOKUP(Tabela32[[#This Row],[Conta]],'BD - A - Despesas'!$CM$15:$CQ$500,5,0),0)</f>
        <v>0</v>
      </c>
      <c r="R70" s="24">
        <f>IFERROR(VLOOKUP(Tabela32[[#This Row],[Conta]],'BD - A - Despesas'!$CV$15:$CZ$500,5,0),0)</f>
        <v>0</v>
      </c>
      <c r="S70"/>
    </row>
    <row r="71" spans="3:19">
      <c r="C71" s="79" t="s">
        <v>347</v>
      </c>
      <c r="D71" s="80" t="s">
        <v>341</v>
      </c>
      <c r="E71" s="100">
        <v>331603</v>
      </c>
      <c r="F71" s="79" t="s">
        <v>304</v>
      </c>
      <c r="G71" s="12">
        <f>IFERROR(VLOOKUP(Tabela32[[#This Row],[Conta]],'BD - A - Despesas'!$A$15:$E$500,5,0),0)</f>
        <v>0</v>
      </c>
      <c r="H71" s="24">
        <f>IFERROR(VLOOKUP(Tabela32[[#This Row],[Conta]],'BD - A - Despesas'!$J$15:$N$500,5,0),0)</f>
        <v>0</v>
      </c>
      <c r="I71" s="24">
        <f>IFERROR(VLOOKUP(Tabela32[[#This Row],[Conta]],'BD - A - Despesas'!$S$15:$W$500,5,0),0)</f>
        <v>0</v>
      </c>
      <c r="J71" s="24">
        <f>IFERROR(VLOOKUP(Tabela32[[#This Row],[Conta]],'BD - A - Despesas'!$AB$15:$AF$500,5,0),0)</f>
        <v>0</v>
      </c>
      <c r="K71" s="24">
        <f>IFERROR(VLOOKUP(Tabela32[[#This Row],[Conta]],'BD - A - Despesas'!$AK$15:$AO$500,5,0),0)</f>
        <v>0</v>
      </c>
      <c r="L71" s="24">
        <f>IFERROR(VLOOKUP(Tabela32[[#This Row],[Conta]],'BD - A - Despesas'!$AT$15:$AX$500,5,0),0)</f>
        <v>0</v>
      </c>
      <c r="M71" s="24">
        <f>IFERROR(VLOOKUP(Tabela32[[#This Row],[Conta]],'BD - A - Despesas'!$BC$15:$BG$500,5,0),0)</f>
        <v>0</v>
      </c>
      <c r="N71" s="24">
        <f>IFERROR(VLOOKUP(Tabela32[[#This Row],[Conta]],'BD - A - Despesas'!$BL$15:$BP$500,5,0),0)</f>
        <v>0</v>
      </c>
      <c r="O71" s="24">
        <f>IFERROR(VLOOKUP(Tabela32[[#This Row],[Conta]],'BD - A - Despesas'!$BU$15:$BY$500,5,0),0)</f>
        <v>0</v>
      </c>
      <c r="P71" s="24">
        <f>IFERROR(VLOOKUP(Tabela32[[#This Row],[Conta]],'BD - A - Despesas'!$CD$15:$CH$500,5,0),0)</f>
        <v>0</v>
      </c>
      <c r="Q71" s="24">
        <f>IFERROR(VLOOKUP(Tabela32[[#This Row],[Conta]],'BD - A - Despesas'!$CM$15:$CQ$500,5,0),0)</f>
        <v>0</v>
      </c>
      <c r="R71" s="24">
        <f>IFERROR(VLOOKUP(Tabela32[[#This Row],[Conta]],'BD - A - Despesas'!$CV$15:$CZ$500,5,0),0)</f>
        <v>0</v>
      </c>
      <c r="S71"/>
    </row>
    <row r="72" spans="3:19">
      <c r="C72" s="79" t="s">
        <v>347</v>
      </c>
      <c r="D72" s="80" t="s">
        <v>341</v>
      </c>
      <c r="E72" s="100">
        <v>331604</v>
      </c>
      <c r="F72" s="82" t="s">
        <v>305</v>
      </c>
      <c r="G72" s="12">
        <f>IFERROR(VLOOKUP(Tabela32[[#This Row],[Conta]],'BD - A - Despesas'!$A$15:$E$500,5,0),0)</f>
        <v>7400.84</v>
      </c>
      <c r="H72" s="24">
        <f>IFERROR(VLOOKUP(Tabela32[[#This Row],[Conta]],'BD - A - Despesas'!$J$15:$N$500,5,0),0)</f>
        <v>7716.1</v>
      </c>
      <c r="I72" s="24">
        <f>IFERROR(VLOOKUP(Tabela32[[#This Row],[Conta]],'BD - A - Despesas'!$S$15:$W$500,5,0),0)</f>
        <v>7716.1</v>
      </c>
      <c r="J72" s="24">
        <f>IFERROR(VLOOKUP(Tabela32[[#This Row],[Conta]],'BD - A - Despesas'!$AB$15:$AF$500,5,0),0)</f>
        <v>7716.1</v>
      </c>
      <c r="K72" s="24">
        <f>IFERROR(VLOOKUP(Tabela32[[#This Row],[Conta]],'BD - A - Despesas'!$AK$15:$AO$500,5,0),0)</f>
        <v>0</v>
      </c>
      <c r="L72" s="24">
        <f>IFERROR(VLOOKUP(Tabela32[[#This Row],[Conta]],'BD - A - Despesas'!$AT$15:$AX$500,5,0),0)</f>
        <v>0</v>
      </c>
      <c r="M72" s="24">
        <f>IFERROR(VLOOKUP(Tabela32[[#This Row],[Conta]],'BD - A - Despesas'!$BC$15:$BG$500,5,0),0)</f>
        <v>0</v>
      </c>
      <c r="N72" s="24">
        <f>IFERROR(VLOOKUP(Tabela32[[#This Row],[Conta]],'BD - A - Despesas'!$BL$15:$BP$500,5,0),0)</f>
        <v>0</v>
      </c>
      <c r="O72" s="24">
        <f>IFERROR(VLOOKUP(Tabela32[[#This Row],[Conta]],'BD - A - Despesas'!$BU$15:$BY$500,5,0),0)</f>
        <v>0</v>
      </c>
      <c r="P72" s="24">
        <f>IFERROR(VLOOKUP(Tabela32[[#This Row],[Conta]],'BD - A - Despesas'!$CD$15:$CH$500,5,0),0)</f>
        <v>0</v>
      </c>
      <c r="Q72" s="24">
        <f>IFERROR(VLOOKUP(Tabela32[[#This Row],[Conta]],'BD - A - Despesas'!$CM$15:$CQ$500,5,0),0)</f>
        <v>0</v>
      </c>
      <c r="R72" s="24">
        <f>IFERROR(VLOOKUP(Tabela32[[#This Row],[Conta]],'BD - A - Despesas'!$CV$15:$CZ$500,5,0),0)</f>
        <v>0</v>
      </c>
      <c r="S72"/>
    </row>
    <row r="73" spans="3:19">
      <c r="C73" s="79" t="s">
        <v>347</v>
      </c>
      <c r="D73" s="81" t="s">
        <v>338</v>
      </c>
      <c r="E73" s="30">
        <v>331799</v>
      </c>
      <c r="F73" s="82" t="s">
        <v>414</v>
      </c>
      <c r="G73" s="12">
        <f>IFERROR(VLOOKUP(Tabela32[[#This Row],[Conta]],'BD - A - Despesas'!$A$15:$E$500,5,0),0)</f>
        <v>0</v>
      </c>
      <c r="H73" s="24">
        <f>IFERROR(VLOOKUP(Tabela32[[#This Row],[Conta]],'BD - A - Despesas'!$J$15:$N$500,5,0),0)</f>
        <v>0</v>
      </c>
      <c r="I73" s="24">
        <f>IFERROR(VLOOKUP(Tabela32[[#This Row],[Conta]],'BD - A - Despesas'!$S$15:$W$500,5,0),0)</f>
        <v>0</v>
      </c>
      <c r="J73" s="24">
        <f>IFERROR(VLOOKUP(Tabela32[[#This Row],[Conta]],'BD - A - Despesas'!$AB$15:$AF$500,5,0),0)</f>
        <v>0</v>
      </c>
      <c r="K73" s="24">
        <f>IFERROR(VLOOKUP(Tabela32[[#This Row],[Conta]],'BD - A - Despesas'!$AK$15:$AO$500,5,0),0)</f>
        <v>0</v>
      </c>
      <c r="L73" s="24">
        <f>IFERROR(VLOOKUP(Tabela32[[#This Row],[Conta]],'BD - A - Despesas'!$AT$15:$AX$500,5,0),0)</f>
        <v>0</v>
      </c>
      <c r="M73" s="24">
        <f>IFERROR(VLOOKUP(Tabela32[[#This Row],[Conta]],'BD - A - Despesas'!$BC$15:$BG$500,5,0),0)</f>
        <v>0</v>
      </c>
      <c r="N73" s="24">
        <f>IFERROR(VLOOKUP(Tabela32[[#This Row],[Conta]],'BD - A - Despesas'!$BL$15:$BP$500,5,0),0)</f>
        <v>0</v>
      </c>
      <c r="O73" s="24">
        <f>IFERROR(VLOOKUP(Tabela32[[#This Row],[Conta]],'BD - A - Despesas'!$BU$15:$BY$500,5,0),0)</f>
        <v>0</v>
      </c>
      <c r="P73" s="24">
        <f>IFERROR(VLOOKUP(Tabela32[[#This Row],[Conta]],'BD - A - Despesas'!$CD$15:$CH$500,5,0),0)</f>
        <v>0</v>
      </c>
      <c r="Q73" s="24">
        <f>IFERROR(VLOOKUP(Tabela32[[#This Row],[Conta]],'BD - A - Despesas'!$CM$15:$CQ$500,5,0),0)</f>
        <v>0</v>
      </c>
      <c r="R73" s="24">
        <f>IFERROR(VLOOKUP(Tabela32[[#This Row],[Conta]],'BD - A - Despesas'!$CV$15:$CZ$500,5,0),0)</f>
        <v>0</v>
      </c>
      <c r="S73"/>
    </row>
    <row r="74" spans="3:19">
      <c r="C74" s="79" t="s">
        <v>347</v>
      </c>
      <c r="D74" s="80" t="s">
        <v>342</v>
      </c>
      <c r="E74" s="100">
        <v>331801</v>
      </c>
      <c r="F74" s="79" t="s">
        <v>306</v>
      </c>
      <c r="G74" s="12">
        <f>IFERROR(VLOOKUP(Tabela32[[#This Row],[Conta]],'BD - A - Despesas'!$A$15:$E$500,5,0),0)</f>
        <v>0</v>
      </c>
      <c r="H74" s="24">
        <f>IFERROR(VLOOKUP(Tabela32[[#This Row],[Conta]],'BD - A - Despesas'!$J$15:$N$500,5,0),0)</f>
        <v>0</v>
      </c>
      <c r="I74" s="24">
        <f>IFERROR(VLOOKUP(Tabela32[[#This Row],[Conta]],'BD - A - Despesas'!$S$15:$W$500,5,0),0)</f>
        <v>0</v>
      </c>
      <c r="J74" s="24">
        <f>IFERROR(VLOOKUP(Tabela32[[#This Row],[Conta]],'BD - A - Despesas'!$AB$15:$AF$500,5,0),0)</f>
        <v>0</v>
      </c>
      <c r="K74" s="24">
        <f>IFERROR(VLOOKUP(Tabela32[[#This Row],[Conta]],'BD - A - Despesas'!$AK$15:$AO$500,5,0),0)</f>
        <v>0</v>
      </c>
      <c r="L74" s="24">
        <f>IFERROR(VLOOKUP(Tabela32[[#This Row],[Conta]],'BD - A - Despesas'!$AT$15:$AX$500,5,0),0)</f>
        <v>0</v>
      </c>
      <c r="M74" s="24">
        <f>IFERROR(VLOOKUP(Tabela32[[#This Row],[Conta]],'BD - A - Despesas'!$BC$15:$BG$500,5,0),0)</f>
        <v>0</v>
      </c>
      <c r="N74" s="24">
        <f>IFERROR(VLOOKUP(Tabela32[[#This Row],[Conta]],'BD - A - Despesas'!$BL$15:$BP$500,5,0),0)</f>
        <v>0</v>
      </c>
      <c r="O74" s="24">
        <f>IFERROR(VLOOKUP(Tabela32[[#This Row],[Conta]],'BD - A - Despesas'!$BU$15:$BY$500,5,0),0)</f>
        <v>0</v>
      </c>
      <c r="P74" s="24">
        <f>IFERROR(VLOOKUP(Tabela32[[#This Row],[Conta]],'BD - A - Despesas'!$CD$15:$CH$500,5,0),0)</f>
        <v>0</v>
      </c>
      <c r="Q74" s="24">
        <f>IFERROR(VLOOKUP(Tabela32[[#This Row],[Conta]],'BD - A - Despesas'!$CM$15:$CQ$500,5,0),0)</f>
        <v>0</v>
      </c>
      <c r="R74" s="24">
        <f>IFERROR(VLOOKUP(Tabela32[[#This Row],[Conta]],'BD - A - Despesas'!$CV$15:$CZ$500,5,0),0)</f>
        <v>0</v>
      </c>
      <c r="S74"/>
    </row>
    <row r="75" spans="3:19">
      <c r="C75" s="79" t="s">
        <v>347</v>
      </c>
      <c r="D75" s="80" t="s">
        <v>342</v>
      </c>
      <c r="E75" s="30">
        <v>331803</v>
      </c>
      <c r="F75" s="79" t="s">
        <v>415</v>
      </c>
      <c r="G75" s="12">
        <f>IFERROR(VLOOKUP(Tabela32[[#This Row],[Conta]],'BD - A - Despesas'!$A$15:$E$500,5,0),0)</f>
        <v>0</v>
      </c>
      <c r="H75" s="24">
        <f>IFERROR(VLOOKUP(Tabela32[[#This Row],[Conta]],'BD - A - Despesas'!$J$15:$N$500,5,0),0)</f>
        <v>0</v>
      </c>
      <c r="I75" s="24">
        <f>IFERROR(VLOOKUP(Tabela32[[#This Row],[Conta]],'BD - A - Despesas'!$S$15:$W$500,5,0),0)</f>
        <v>0</v>
      </c>
      <c r="J75" s="24">
        <f>IFERROR(VLOOKUP(Tabela32[[#This Row],[Conta]],'BD - A - Despesas'!$AB$15:$AF$500,5,0),0)</f>
        <v>0</v>
      </c>
      <c r="K75" s="24">
        <f>IFERROR(VLOOKUP(Tabela32[[#This Row],[Conta]],'BD - A - Despesas'!$AK$15:$AO$500,5,0),0)</f>
        <v>0</v>
      </c>
      <c r="L75" s="24">
        <f>IFERROR(VLOOKUP(Tabela32[[#This Row],[Conta]],'BD - A - Despesas'!$AT$15:$AX$500,5,0),0)</f>
        <v>0</v>
      </c>
      <c r="M75" s="24">
        <f>IFERROR(VLOOKUP(Tabela32[[#This Row],[Conta]],'BD - A - Despesas'!$BC$15:$BG$500,5,0),0)</f>
        <v>0</v>
      </c>
      <c r="N75" s="24">
        <f>IFERROR(VLOOKUP(Tabela32[[#This Row],[Conta]],'BD - A - Despesas'!$BL$15:$BP$500,5,0),0)</f>
        <v>0</v>
      </c>
      <c r="O75" s="24">
        <f>IFERROR(VLOOKUP(Tabela32[[#This Row],[Conta]],'BD - A - Despesas'!$BU$15:$BY$500,5,0),0)</f>
        <v>0</v>
      </c>
      <c r="P75" s="24">
        <f>IFERROR(VLOOKUP(Tabela32[[#This Row],[Conta]],'BD - A - Despesas'!$CD$15:$CH$500,5,0),0)</f>
        <v>0</v>
      </c>
      <c r="Q75" s="24">
        <f>IFERROR(VLOOKUP(Tabela32[[#This Row],[Conta]],'BD - A - Despesas'!$CM$15:$CQ$500,5,0),0)</f>
        <v>0</v>
      </c>
      <c r="R75" s="24">
        <f>IFERROR(VLOOKUP(Tabela32[[#This Row],[Conta]],'BD - A - Despesas'!$CV$15:$CZ$500,5,0),0)</f>
        <v>0</v>
      </c>
      <c r="S75"/>
    </row>
    <row r="76" spans="3:19">
      <c r="C76" s="79" t="s">
        <v>347</v>
      </c>
      <c r="D76" s="80" t="s">
        <v>342</v>
      </c>
      <c r="E76" s="30">
        <v>331807</v>
      </c>
      <c r="F76" s="79" t="s">
        <v>458</v>
      </c>
      <c r="G76" s="12">
        <f>IFERROR(VLOOKUP(Tabela32[[#This Row],[Conta]],'BD - A - Despesas'!$A$15:$E$500,5,0),0)</f>
        <v>0</v>
      </c>
      <c r="H76" s="24">
        <f>IFERROR(VLOOKUP(Tabela32[[#This Row],[Conta]],'BD - A - Despesas'!$J$15:$N$500,5,0),0)</f>
        <v>0</v>
      </c>
      <c r="I76" s="24">
        <f>IFERROR(VLOOKUP(Tabela32[[#This Row],[Conta]],'BD - A - Despesas'!$S$15:$W$500,5,0),0)</f>
        <v>0</v>
      </c>
      <c r="J76" s="24">
        <f>IFERROR(VLOOKUP(Tabela32[[#This Row],[Conta]],'BD - A - Despesas'!$AB$15:$AF$500,5,0),0)</f>
        <v>0</v>
      </c>
      <c r="K76" s="24">
        <f>IFERROR(VLOOKUP(Tabela32[[#This Row],[Conta]],'BD - A - Despesas'!$AK$15:$AO$500,5,0),0)</f>
        <v>0</v>
      </c>
      <c r="L76" s="24">
        <f>IFERROR(VLOOKUP(Tabela32[[#This Row],[Conta]],'BD - A - Despesas'!$AT$15:$AX$500,5,0),0)</f>
        <v>0</v>
      </c>
      <c r="M76" s="24">
        <f>IFERROR(VLOOKUP(Tabela32[[#This Row],[Conta]],'BD - A - Despesas'!$BC$15:$BG$500,5,0),0)</f>
        <v>0</v>
      </c>
      <c r="N76" s="24">
        <f>IFERROR(VLOOKUP(Tabela32[[#This Row],[Conta]],'BD - A - Despesas'!$BL$15:$BP$500,5,0),0)</f>
        <v>0</v>
      </c>
      <c r="O76" s="24">
        <f>IFERROR(VLOOKUP(Tabela32[[#This Row],[Conta]],'BD - A - Despesas'!$BU$15:$BY$500,5,0),0)</f>
        <v>0</v>
      </c>
      <c r="P76" s="24">
        <f>IFERROR(VLOOKUP(Tabela32[[#This Row],[Conta]],'BD - A - Despesas'!$CD$15:$CH$500,5,0),0)</f>
        <v>0</v>
      </c>
      <c r="Q76" s="24">
        <f>IFERROR(VLOOKUP(Tabela32[[#This Row],[Conta]],'BD - A - Despesas'!$CM$15:$CQ$500,5,0),0)</f>
        <v>0</v>
      </c>
      <c r="R76" s="24">
        <f>IFERROR(VLOOKUP(Tabela32[[#This Row],[Conta]],'BD - A - Despesas'!$CV$15:$CZ$500,5,0),0)</f>
        <v>0</v>
      </c>
      <c r="S76"/>
    </row>
    <row r="77" spans="3:19">
      <c r="C77" s="79" t="s">
        <v>347</v>
      </c>
      <c r="D77" s="80" t="s">
        <v>342</v>
      </c>
      <c r="E77" s="100">
        <v>331810</v>
      </c>
      <c r="F77" s="83" t="s">
        <v>307</v>
      </c>
      <c r="G77" s="12">
        <f>IFERROR(VLOOKUP(Tabela32[[#This Row],[Conta]],'BD - A - Despesas'!$A$15:$E$500,5,0),0)</f>
        <v>0</v>
      </c>
      <c r="H77" s="24">
        <f>IFERROR(VLOOKUP(Tabela32[[#This Row],[Conta]],'BD - A - Despesas'!$J$15:$N$500,5,0),0)</f>
        <v>0</v>
      </c>
      <c r="I77" s="24">
        <f>IFERROR(VLOOKUP(Tabela32[[#This Row],[Conta]],'BD - A - Despesas'!$S$15:$W$500,5,0),0)</f>
        <v>0</v>
      </c>
      <c r="J77" s="24">
        <f>IFERROR(VLOOKUP(Tabela32[[#This Row],[Conta]],'BD - A - Despesas'!$AB$15:$AF$500,5,0),0)</f>
        <v>0</v>
      </c>
      <c r="K77" s="24">
        <f>IFERROR(VLOOKUP(Tabela32[[#This Row],[Conta]],'BD - A - Despesas'!$AK$15:$AO$500,5,0),0)</f>
        <v>0</v>
      </c>
      <c r="L77" s="24">
        <f>IFERROR(VLOOKUP(Tabela32[[#This Row],[Conta]],'BD - A - Despesas'!$AT$15:$AX$500,5,0),0)</f>
        <v>0</v>
      </c>
      <c r="M77" s="24">
        <f>IFERROR(VLOOKUP(Tabela32[[#This Row],[Conta]],'BD - A - Despesas'!$BC$15:$BG$500,5,0),0)</f>
        <v>0</v>
      </c>
      <c r="N77" s="24">
        <f>IFERROR(VLOOKUP(Tabela32[[#This Row],[Conta]],'BD - A - Despesas'!$BL$15:$BP$500,5,0),0)</f>
        <v>0</v>
      </c>
      <c r="O77" s="24">
        <f>IFERROR(VLOOKUP(Tabela32[[#This Row],[Conta]],'BD - A - Despesas'!$BU$15:$BY$500,5,0),0)</f>
        <v>0</v>
      </c>
      <c r="P77" s="24">
        <f>IFERROR(VLOOKUP(Tabela32[[#This Row],[Conta]],'BD - A - Despesas'!$CD$15:$CH$500,5,0),0)</f>
        <v>0</v>
      </c>
      <c r="Q77" s="24">
        <f>IFERROR(VLOOKUP(Tabela32[[#This Row],[Conta]],'BD - A - Despesas'!$CM$15:$CQ$500,5,0),0)</f>
        <v>0</v>
      </c>
      <c r="R77" s="24">
        <f>IFERROR(VLOOKUP(Tabela32[[#This Row],[Conta]],'BD - A - Despesas'!$CV$15:$CZ$500,5,0),0)</f>
        <v>0</v>
      </c>
      <c r="S77"/>
    </row>
    <row r="78" spans="3:19">
      <c r="C78" s="79" t="s">
        <v>347</v>
      </c>
      <c r="D78" s="80" t="s">
        <v>342</v>
      </c>
      <c r="E78" s="100">
        <v>331811</v>
      </c>
      <c r="F78" s="82" t="s">
        <v>308</v>
      </c>
      <c r="G78" s="12">
        <f>IFERROR(VLOOKUP(Tabela32[[#This Row],[Conta]],'BD - A - Despesas'!$A$15:$E$500,5,0),0)</f>
        <v>0</v>
      </c>
      <c r="H78" s="24">
        <f>IFERROR(VLOOKUP(Tabela32[[#This Row],[Conta]],'BD - A - Despesas'!$J$15:$N$500,5,0),0)</f>
        <v>0</v>
      </c>
      <c r="I78" s="24">
        <f>IFERROR(VLOOKUP(Tabela32[[#This Row],[Conta]],'BD - A - Despesas'!$S$15:$W$500,5,0),0)</f>
        <v>0</v>
      </c>
      <c r="J78" s="24">
        <f>IFERROR(VLOOKUP(Tabela32[[#This Row],[Conta]],'BD - A - Despesas'!$AB$15:$AF$500,5,0),0)</f>
        <v>0</v>
      </c>
      <c r="K78" s="24">
        <f>IFERROR(VLOOKUP(Tabela32[[#This Row],[Conta]],'BD - A - Despesas'!$AK$15:$AO$500,5,0),0)</f>
        <v>0</v>
      </c>
      <c r="L78" s="24">
        <f>IFERROR(VLOOKUP(Tabela32[[#This Row],[Conta]],'BD - A - Despesas'!$AT$15:$AX$500,5,0),0)</f>
        <v>0</v>
      </c>
      <c r="M78" s="24">
        <f>IFERROR(VLOOKUP(Tabela32[[#This Row],[Conta]],'BD - A - Despesas'!$BC$15:$BG$500,5,0),0)</f>
        <v>0</v>
      </c>
      <c r="N78" s="24">
        <f>IFERROR(VLOOKUP(Tabela32[[#This Row],[Conta]],'BD - A - Despesas'!$BL$15:$BP$500,5,0),0)</f>
        <v>0</v>
      </c>
      <c r="O78" s="24">
        <f>IFERROR(VLOOKUP(Tabela32[[#This Row],[Conta]],'BD - A - Despesas'!$BU$15:$BY$500,5,0),0)</f>
        <v>0</v>
      </c>
      <c r="P78" s="24">
        <f>IFERROR(VLOOKUP(Tabela32[[#This Row],[Conta]],'BD - A - Despesas'!$CD$15:$CH$500,5,0),0)</f>
        <v>0</v>
      </c>
      <c r="Q78" s="24">
        <f>IFERROR(VLOOKUP(Tabela32[[#This Row],[Conta]],'BD - A - Despesas'!$CM$15:$CQ$500,5,0),0)</f>
        <v>0</v>
      </c>
      <c r="R78" s="24">
        <f>IFERROR(VLOOKUP(Tabela32[[#This Row],[Conta]],'BD - A - Despesas'!$CV$15:$CZ$500,5,0),0)</f>
        <v>0</v>
      </c>
      <c r="S78"/>
    </row>
    <row r="79" spans="3:19">
      <c r="C79" s="79" t="s">
        <v>347</v>
      </c>
      <c r="D79" s="80" t="s">
        <v>343</v>
      </c>
      <c r="E79" s="100">
        <v>332301</v>
      </c>
      <c r="F79" s="79" t="s">
        <v>446</v>
      </c>
      <c r="G79" s="12">
        <f>IFERROR(VLOOKUP(Tabela32[[#This Row],[Conta]],'BD - A - Despesas'!$A$15:$E$500,5,0),0)</f>
        <v>0</v>
      </c>
      <c r="H79" s="24">
        <f>IFERROR(VLOOKUP(Tabela32[[#This Row],[Conta]],'BD - A - Despesas'!$J$15:$N$500,5,0),0)</f>
        <v>0</v>
      </c>
      <c r="I79" s="24">
        <f>IFERROR(VLOOKUP(Tabela32[[#This Row],[Conta]],'BD - A - Despesas'!$S$15:$W$500,5,0),0)</f>
        <v>0</v>
      </c>
      <c r="J79" s="24">
        <f>IFERROR(VLOOKUP(Tabela32[[#This Row],[Conta]],'BD - A - Despesas'!$AB$15:$AF$500,5,0),0)</f>
        <v>0</v>
      </c>
      <c r="K79" s="24">
        <f>IFERROR(VLOOKUP(Tabela32[[#This Row],[Conta]],'BD - A - Despesas'!$AK$15:$AO$500,5,0),0)</f>
        <v>0</v>
      </c>
      <c r="L79" s="24">
        <f>IFERROR(VLOOKUP(Tabela32[[#This Row],[Conta]],'BD - A - Despesas'!$AT$15:$AX$500,5,0),0)</f>
        <v>0</v>
      </c>
      <c r="M79" s="24">
        <f>IFERROR(VLOOKUP(Tabela32[[#This Row],[Conta]],'BD - A - Despesas'!$BC$15:$BG$500,5,0),0)</f>
        <v>0</v>
      </c>
      <c r="N79" s="24">
        <f>IFERROR(VLOOKUP(Tabela32[[#This Row],[Conta]],'BD - A - Despesas'!$BL$15:$BP$500,5,0),0)</f>
        <v>0</v>
      </c>
      <c r="O79" s="24">
        <f>IFERROR(VLOOKUP(Tabela32[[#This Row],[Conta]],'BD - A - Despesas'!$BU$15:$BY$500,5,0),0)</f>
        <v>0</v>
      </c>
      <c r="P79" s="24">
        <f>IFERROR(VLOOKUP(Tabela32[[#This Row],[Conta]],'BD - A - Despesas'!$CD$15:$CH$500,5,0),0)</f>
        <v>0</v>
      </c>
      <c r="Q79" s="24">
        <f>IFERROR(VLOOKUP(Tabela32[[#This Row],[Conta]],'BD - A - Despesas'!$CM$15:$CQ$500,5,0),0)</f>
        <v>0</v>
      </c>
      <c r="R79" s="24">
        <f>IFERROR(VLOOKUP(Tabela32[[#This Row],[Conta]],'BD - A - Despesas'!$CV$15:$CZ$500,5,0),0)</f>
        <v>0</v>
      </c>
      <c r="S79"/>
    </row>
    <row r="80" spans="3:19">
      <c r="C80" s="79" t="s">
        <v>347</v>
      </c>
      <c r="D80" s="80" t="s">
        <v>343</v>
      </c>
      <c r="E80" s="100">
        <v>332302</v>
      </c>
      <c r="F80" s="79" t="s">
        <v>309</v>
      </c>
      <c r="G80" s="12">
        <f>IFERROR(VLOOKUP(Tabela32[[#This Row],[Conta]],'BD - A - Despesas'!$A$15:$E$500,5,0),0)</f>
        <v>0</v>
      </c>
      <c r="H80" s="24">
        <f>IFERROR(VLOOKUP(Tabela32[[#This Row],[Conta]],'BD - A - Despesas'!$J$15:$N$500,5,0),0)</f>
        <v>0</v>
      </c>
      <c r="I80" s="24">
        <f>IFERROR(VLOOKUP(Tabela32[[#This Row],[Conta]],'BD - A - Despesas'!$S$15:$W$500,5,0),0)</f>
        <v>0</v>
      </c>
      <c r="J80" s="24">
        <f>IFERROR(VLOOKUP(Tabela32[[#This Row],[Conta]],'BD - A - Despesas'!$AB$15:$AF$500,5,0),0)</f>
        <v>0</v>
      </c>
      <c r="K80" s="24">
        <f>IFERROR(VLOOKUP(Tabela32[[#This Row],[Conta]],'BD - A - Despesas'!$AK$15:$AO$500,5,0),0)</f>
        <v>0</v>
      </c>
      <c r="L80" s="24">
        <f>IFERROR(VLOOKUP(Tabela32[[#This Row],[Conta]],'BD - A - Despesas'!$AT$15:$AX$500,5,0),0)</f>
        <v>0</v>
      </c>
      <c r="M80" s="24">
        <f>IFERROR(VLOOKUP(Tabela32[[#This Row],[Conta]],'BD - A - Despesas'!$BC$15:$BG$500,5,0),0)</f>
        <v>0</v>
      </c>
      <c r="N80" s="24">
        <f>IFERROR(VLOOKUP(Tabela32[[#This Row],[Conta]],'BD - A - Despesas'!$BL$15:$BP$500,5,0),0)</f>
        <v>0</v>
      </c>
      <c r="O80" s="24">
        <f>IFERROR(VLOOKUP(Tabela32[[#This Row],[Conta]],'BD - A - Despesas'!$BU$15:$BY$500,5,0),0)</f>
        <v>0</v>
      </c>
      <c r="P80" s="24">
        <f>IFERROR(VLOOKUP(Tabela32[[#This Row],[Conta]],'BD - A - Despesas'!$CD$15:$CH$500,5,0),0)</f>
        <v>0</v>
      </c>
      <c r="Q80" s="24">
        <f>IFERROR(VLOOKUP(Tabela32[[#This Row],[Conta]],'BD - A - Despesas'!$CM$15:$CQ$500,5,0),0)</f>
        <v>0</v>
      </c>
      <c r="R80" s="24">
        <f>IFERROR(VLOOKUP(Tabela32[[#This Row],[Conta]],'BD - A - Despesas'!$CV$15:$CZ$500,5,0),0)</f>
        <v>0</v>
      </c>
      <c r="S80"/>
    </row>
    <row r="81" spans="3:19">
      <c r="C81" s="79" t="s">
        <v>347</v>
      </c>
      <c r="D81" s="80" t="s">
        <v>343</v>
      </c>
      <c r="E81" s="100">
        <v>332305</v>
      </c>
      <c r="F81" s="79" t="s">
        <v>310</v>
      </c>
      <c r="G81" s="12">
        <f>IFERROR(VLOOKUP(Tabela32[[#This Row],[Conta]],'BD - A - Despesas'!$A$15:$E$500,5,0),0)</f>
        <v>0</v>
      </c>
      <c r="H81" s="24">
        <f>IFERROR(VLOOKUP(Tabela32[[#This Row],[Conta]],'BD - A - Despesas'!$J$15:$N$500,5,0),0)</f>
        <v>1300</v>
      </c>
      <c r="I81" s="24">
        <f>IFERROR(VLOOKUP(Tabela32[[#This Row],[Conta]],'BD - A - Despesas'!$S$15:$W$500,5,0),0)</f>
        <v>2989</v>
      </c>
      <c r="J81" s="24">
        <f>IFERROR(VLOOKUP(Tabela32[[#This Row],[Conta]],'BD - A - Despesas'!$AB$15:$AF$500,5,0),0)</f>
        <v>0</v>
      </c>
      <c r="K81" s="24">
        <f>IFERROR(VLOOKUP(Tabela32[[#This Row],[Conta]],'BD - A - Despesas'!$AK$15:$AO$500,5,0),0)</f>
        <v>0</v>
      </c>
      <c r="L81" s="24">
        <f>IFERROR(VLOOKUP(Tabela32[[#This Row],[Conta]],'BD - A - Despesas'!$AT$15:$AX$500,5,0),0)</f>
        <v>0</v>
      </c>
      <c r="M81" s="24">
        <f>IFERROR(VLOOKUP(Tabela32[[#This Row],[Conta]],'BD - A - Despesas'!$BC$15:$BG$500,5,0),0)</f>
        <v>0</v>
      </c>
      <c r="N81" s="24">
        <f>IFERROR(VLOOKUP(Tabela32[[#This Row],[Conta]],'BD - A - Despesas'!$BL$15:$BP$500,5,0),0)</f>
        <v>0</v>
      </c>
      <c r="O81" s="24">
        <f>IFERROR(VLOOKUP(Tabela32[[#This Row],[Conta]],'BD - A - Despesas'!$BU$15:$BY$500,5,0),0)</f>
        <v>0</v>
      </c>
      <c r="P81" s="24">
        <f>IFERROR(VLOOKUP(Tabela32[[#This Row],[Conta]],'BD - A - Despesas'!$CD$15:$CH$500,5,0),0)</f>
        <v>0</v>
      </c>
      <c r="Q81" s="24">
        <f>IFERROR(VLOOKUP(Tabela32[[#This Row],[Conta]],'BD - A - Despesas'!$CM$15:$CQ$500,5,0),0)</f>
        <v>0</v>
      </c>
      <c r="R81" s="24">
        <f>IFERROR(VLOOKUP(Tabela32[[#This Row],[Conta]],'BD - A - Despesas'!$CV$15:$CZ$500,5,0),0)</f>
        <v>0</v>
      </c>
      <c r="S81"/>
    </row>
    <row r="82" spans="3:19">
      <c r="C82" s="79" t="s">
        <v>347</v>
      </c>
      <c r="D82" s="80" t="s">
        <v>343</v>
      </c>
      <c r="E82" s="30">
        <v>332306</v>
      </c>
      <c r="F82" s="79" t="s">
        <v>416</v>
      </c>
      <c r="G82" s="12">
        <f>IFERROR(VLOOKUP(Tabela32[[#This Row],[Conta]],'BD - A - Despesas'!$A$15:$E$500,5,0),0)</f>
        <v>0</v>
      </c>
      <c r="H82" s="24">
        <f>IFERROR(VLOOKUP(Tabela32[[#This Row],[Conta]],'BD - A - Despesas'!$J$15:$N$500,5,0),0)</f>
        <v>0</v>
      </c>
      <c r="I82" s="24">
        <f>IFERROR(VLOOKUP(Tabela32[[#This Row],[Conta]],'BD - A - Despesas'!$S$15:$W$500,5,0),0)</f>
        <v>0</v>
      </c>
      <c r="J82" s="24">
        <f>IFERROR(VLOOKUP(Tabela32[[#This Row],[Conta]],'BD - A - Despesas'!$AB$15:$AF$500,5,0),0)</f>
        <v>0</v>
      </c>
      <c r="K82" s="24">
        <f>IFERROR(VLOOKUP(Tabela32[[#This Row],[Conta]],'BD - A - Despesas'!$AK$15:$AO$500,5,0),0)</f>
        <v>0</v>
      </c>
      <c r="L82" s="24">
        <f>IFERROR(VLOOKUP(Tabela32[[#This Row],[Conta]],'BD - A - Despesas'!$AT$15:$AX$500,5,0),0)</f>
        <v>0</v>
      </c>
      <c r="M82" s="24">
        <f>IFERROR(VLOOKUP(Tabela32[[#This Row],[Conta]],'BD - A - Despesas'!$BC$15:$BG$500,5,0),0)</f>
        <v>0</v>
      </c>
      <c r="N82" s="24">
        <f>IFERROR(VLOOKUP(Tabela32[[#This Row],[Conta]],'BD - A - Despesas'!$BL$15:$BP$500,5,0),0)</f>
        <v>0</v>
      </c>
      <c r="O82" s="24">
        <f>IFERROR(VLOOKUP(Tabela32[[#This Row],[Conta]],'BD - A - Despesas'!$BU$15:$BY$500,5,0),0)</f>
        <v>0</v>
      </c>
      <c r="P82" s="24">
        <f>IFERROR(VLOOKUP(Tabela32[[#This Row],[Conta]],'BD - A - Despesas'!$CD$15:$CH$500,5,0),0)</f>
        <v>0</v>
      </c>
      <c r="Q82" s="24">
        <f>IFERROR(VLOOKUP(Tabela32[[#This Row],[Conta]],'BD - A - Despesas'!$CM$15:$CQ$500,5,0),0)</f>
        <v>0</v>
      </c>
      <c r="R82" s="24">
        <f>IFERROR(VLOOKUP(Tabela32[[#This Row],[Conta]],'BD - A - Despesas'!$CV$15:$CZ$500,5,0),0)</f>
        <v>0</v>
      </c>
      <c r="S82"/>
    </row>
    <row r="83" spans="3:19">
      <c r="C83" s="79" t="s">
        <v>347</v>
      </c>
      <c r="D83" s="80" t="s">
        <v>343</v>
      </c>
      <c r="E83" s="100">
        <v>332308</v>
      </c>
      <c r="F83" s="79" t="s">
        <v>311</v>
      </c>
      <c r="G83" s="12">
        <f>IFERROR(VLOOKUP(Tabela32[[#This Row],[Conta]],'BD - A - Despesas'!$A$15:$E$500,5,0),0)</f>
        <v>0</v>
      </c>
      <c r="H83" s="24">
        <f>IFERROR(VLOOKUP(Tabela32[[#This Row],[Conta]],'BD - A - Despesas'!$J$15:$N$500,5,0),0)</f>
        <v>0</v>
      </c>
      <c r="I83" s="24">
        <f>IFERROR(VLOOKUP(Tabela32[[#This Row],[Conta]],'BD - A - Despesas'!$S$15:$W$500,5,0),0)</f>
        <v>0</v>
      </c>
      <c r="J83" s="24">
        <f>IFERROR(VLOOKUP(Tabela32[[#This Row],[Conta]],'BD - A - Despesas'!$AB$15:$AF$500,5,0),0)</f>
        <v>0</v>
      </c>
      <c r="K83" s="24">
        <f>IFERROR(VLOOKUP(Tabela32[[#This Row],[Conta]],'BD - A - Despesas'!$AK$15:$AO$500,5,0),0)</f>
        <v>0</v>
      </c>
      <c r="L83" s="24">
        <f>IFERROR(VLOOKUP(Tabela32[[#This Row],[Conta]],'BD - A - Despesas'!$AT$15:$AX$500,5,0),0)</f>
        <v>0</v>
      </c>
      <c r="M83" s="24">
        <f>IFERROR(VLOOKUP(Tabela32[[#This Row],[Conta]],'BD - A - Despesas'!$BC$15:$BG$500,5,0),0)</f>
        <v>0</v>
      </c>
      <c r="N83" s="24">
        <f>IFERROR(VLOOKUP(Tabela32[[#This Row],[Conta]],'BD - A - Despesas'!$BL$15:$BP$500,5,0),0)</f>
        <v>0</v>
      </c>
      <c r="O83" s="24">
        <f>IFERROR(VLOOKUP(Tabela32[[#This Row],[Conta]],'BD - A - Despesas'!$BU$15:$BY$500,5,0),0)</f>
        <v>0</v>
      </c>
      <c r="P83" s="24">
        <f>IFERROR(VLOOKUP(Tabela32[[#This Row],[Conta]],'BD - A - Despesas'!$CD$15:$CH$500,5,0),0)</f>
        <v>0</v>
      </c>
      <c r="Q83" s="24">
        <f>IFERROR(VLOOKUP(Tabela32[[#This Row],[Conta]],'BD - A - Despesas'!$CM$15:$CQ$500,5,0),0)</f>
        <v>0</v>
      </c>
      <c r="R83" s="24">
        <f>IFERROR(VLOOKUP(Tabela32[[#This Row],[Conta]],'BD - A - Despesas'!$CV$15:$CZ$500,5,0),0)</f>
        <v>0</v>
      </c>
      <c r="S83"/>
    </row>
    <row r="84" spans="3:19">
      <c r="C84" s="79" t="s">
        <v>347</v>
      </c>
      <c r="D84" s="80" t="s">
        <v>343</v>
      </c>
      <c r="E84" s="100">
        <v>332310</v>
      </c>
      <c r="F84" s="79" t="s">
        <v>312</v>
      </c>
      <c r="G84" s="12">
        <f>IFERROR(VLOOKUP(Tabela32[[#This Row],[Conta]],'BD - A - Despesas'!$A$15:$E$500,5,0),0)</f>
        <v>0</v>
      </c>
      <c r="H84" s="24">
        <f>IFERROR(VLOOKUP(Tabela32[[#This Row],[Conta]],'BD - A - Despesas'!$J$15:$N$500,5,0),0)</f>
        <v>0</v>
      </c>
      <c r="I84" s="24">
        <f>IFERROR(VLOOKUP(Tabela32[[#This Row],[Conta]],'BD - A - Despesas'!$S$15:$W$500,5,0),0)</f>
        <v>0</v>
      </c>
      <c r="J84" s="24">
        <f>IFERROR(VLOOKUP(Tabela32[[#This Row],[Conta]],'BD - A - Despesas'!$AB$15:$AF$500,5,0),0)</f>
        <v>0</v>
      </c>
      <c r="K84" s="24">
        <f>IFERROR(VLOOKUP(Tabela32[[#This Row],[Conta]],'BD - A - Despesas'!$AK$15:$AO$500,5,0),0)</f>
        <v>0</v>
      </c>
      <c r="L84" s="24">
        <f>IFERROR(VLOOKUP(Tabela32[[#This Row],[Conta]],'BD - A - Despesas'!$AT$15:$AX$500,5,0),0)</f>
        <v>0</v>
      </c>
      <c r="M84" s="24">
        <f>IFERROR(VLOOKUP(Tabela32[[#This Row],[Conta]],'BD - A - Despesas'!$BC$15:$BG$500,5,0),0)</f>
        <v>0</v>
      </c>
      <c r="N84" s="24">
        <f>IFERROR(VLOOKUP(Tabela32[[#This Row],[Conta]],'BD - A - Despesas'!$BL$15:$BP$500,5,0),0)</f>
        <v>0</v>
      </c>
      <c r="O84" s="24">
        <f>IFERROR(VLOOKUP(Tabela32[[#This Row],[Conta]],'BD - A - Despesas'!$BU$15:$BY$500,5,0),0)</f>
        <v>0</v>
      </c>
      <c r="P84" s="24">
        <f>IFERROR(VLOOKUP(Tabela32[[#This Row],[Conta]],'BD - A - Despesas'!$CD$15:$CH$500,5,0),0)</f>
        <v>0</v>
      </c>
      <c r="Q84" s="24">
        <f>IFERROR(VLOOKUP(Tabela32[[#This Row],[Conta]],'BD - A - Despesas'!$CM$15:$CQ$500,5,0),0)</f>
        <v>0</v>
      </c>
      <c r="R84" s="24">
        <f>IFERROR(VLOOKUP(Tabela32[[#This Row],[Conta]],'BD - A - Despesas'!$CV$15:$CZ$500,5,0),0)</f>
        <v>0</v>
      </c>
      <c r="S84"/>
    </row>
    <row r="85" spans="3:19">
      <c r="C85" s="79" t="s">
        <v>347</v>
      </c>
      <c r="D85" s="80" t="s">
        <v>344</v>
      </c>
      <c r="E85" s="100">
        <v>332404</v>
      </c>
      <c r="F85" s="79" t="s">
        <v>313</v>
      </c>
      <c r="G85" s="12">
        <f>IFERROR(VLOOKUP(Tabela32[[#This Row],[Conta]],'BD - A - Despesas'!$A$15:$E$500,5,0),0)</f>
        <v>0</v>
      </c>
      <c r="H85" s="24">
        <f>IFERROR(VLOOKUP(Tabela32[[#This Row],[Conta]],'BD - A - Despesas'!$J$15:$N$500,5,0),0)</f>
        <v>0</v>
      </c>
      <c r="I85" s="24">
        <f>IFERROR(VLOOKUP(Tabela32[[#This Row],[Conta]],'BD - A - Despesas'!$S$15:$W$500,5,0),0)</f>
        <v>0</v>
      </c>
      <c r="J85" s="24">
        <f>IFERROR(VLOOKUP(Tabela32[[#This Row],[Conta]],'BD - A - Despesas'!$AB$15:$AF$500,5,0),0)</f>
        <v>0</v>
      </c>
      <c r="K85" s="24">
        <f>IFERROR(VLOOKUP(Tabela32[[#This Row],[Conta]],'BD - A - Despesas'!$AK$15:$AO$500,5,0),0)</f>
        <v>0</v>
      </c>
      <c r="L85" s="24">
        <f>IFERROR(VLOOKUP(Tabela32[[#This Row],[Conta]],'BD - A - Despesas'!$AT$15:$AX$500,5,0),0)</f>
        <v>0</v>
      </c>
      <c r="M85" s="24">
        <f>IFERROR(VLOOKUP(Tabela32[[#This Row],[Conta]],'BD - A - Despesas'!$BC$15:$BG$500,5,0),0)</f>
        <v>0</v>
      </c>
      <c r="N85" s="24">
        <f>IFERROR(VLOOKUP(Tabela32[[#This Row],[Conta]],'BD - A - Despesas'!$BL$15:$BP$500,5,0),0)</f>
        <v>0</v>
      </c>
      <c r="O85" s="24">
        <f>IFERROR(VLOOKUP(Tabela32[[#This Row],[Conta]],'BD - A - Despesas'!$BU$15:$BY$500,5,0),0)</f>
        <v>0</v>
      </c>
      <c r="P85" s="24">
        <f>IFERROR(VLOOKUP(Tabela32[[#This Row],[Conta]],'BD - A - Despesas'!$CD$15:$CH$500,5,0),0)</f>
        <v>0</v>
      </c>
      <c r="Q85" s="24">
        <f>IFERROR(VLOOKUP(Tabela32[[#This Row],[Conta]],'BD - A - Despesas'!$CM$15:$CQ$500,5,0),0)</f>
        <v>0</v>
      </c>
      <c r="R85" s="24">
        <f>IFERROR(VLOOKUP(Tabela32[[#This Row],[Conta]],'BD - A - Despesas'!$CV$15:$CZ$500,5,0),0)</f>
        <v>0</v>
      </c>
      <c r="S85"/>
    </row>
    <row r="86" spans="3:19">
      <c r="C86" s="79" t="s">
        <v>347</v>
      </c>
      <c r="D86" s="80" t="s">
        <v>344</v>
      </c>
      <c r="E86" s="100">
        <v>332405</v>
      </c>
      <c r="F86" s="79" t="s">
        <v>314</v>
      </c>
      <c r="G86" s="12">
        <f>IFERROR(VLOOKUP(Tabela32[[#This Row],[Conta]],'BD - A - Despesas'!$A$15:$E$500,5,0),0)</f>
        <v>0</v>
      </c>
      <c r="H86" s="24">
        <f>IFERROR(VLOOKUP(Tabela32[[#This Row],[Conta]],'BD - A - Despesas'!$J$15:$N$500,5,0),0)</f>
        <v>0</v>
      </c>
      <c r="I86" s="24">
        <f>IFERROR(VLOOKUP(Tabela32[[#This Row],[Conta]],'BD - A - Despesas'!$S$15:$W$500,5,0),0)</f>
        <v>0</v>
      </c>
      <c r="J86" s="24">
        <f>IFERROR(VLOOKUP(Tabela32[[#This Row],[Conta]],'BD - A - Despesas'!$AB$15:$AF$500,5,0),0)</f>
        <v>0</v>
      </c>
      <c r="K86" s="24">
        <f>IFERROR(VLOOKUP(Tabela32[[#This Row],[Conta]],'BD - A - Despesas'!$AK$15:$AO$500,5,0),0)</f>
        <v>0</v>
      </c>
      <c r="L86" s="24">
        <f>IFERROR(VLOOKUP(Tabela32[[#This Row],[Conta]],'BD - A - Despesas'!$AT$15:$AX$500,5,0),0)</f>
        <v>0</v>
      </c>
      <c r="M86" s="24">
        <f>IFERROR(VLOOKUP(Tabela32[[#This Row],[Conta]],'BD - A - Despesas'!$BC$15:$BG$500,5,0),0)</f>
        <v>0</v>
      </c>
      <c r="N86" s="24">
        <f>IFERROR(VLOOKUP(Tabela32[[#This Row],[Conta]],'BD - A - Despesas'!$BL$15:$BP$500,5,0),0)</f>
        <v>0</v>
      </c>
      <c r="O86" s="24">
        <f>IFERROR(VLOOKUP(Tabela32[[#This Row],[Conta]],'BD - A - Despesas'!$BU$15:$BY$500,5,0),0)</f>
        <v>0</v>
      </c>
      <c r="P86" s="24">
        <f>IFERROR(VLOOKUP(Tabela32[[#This Row],[Conta]],'BD - A - Despesas'!$CD$15:$CH$500,5,0),0)</f>
        <v>0</v>
      </c>
      <c r="Q86" s="24">
        <f>IFERROR(VLOOKUP(Tabela32[[#This Row],[Conta]],'BD - A - Despesas'!$CM$15:$CQ$500,5,0),0)</f>
        <v>0</v>
      </c>
      <c r="R86" s="24">
        <f>IFERROR(VLOOKUP(Tabela32[[#This Row],[Conta]],'BD - A - Despesas'!$CV$15:$CZ$500,5,0),0)</f>
        <v>0</v>
      </c>
      <c r="S86"/>
    </row>
    <row r="87" spans="3:19">
      <c r="C87" s="79" t="s">
        <v>347</v>
      </c>
      <c r="D87" s="80" t="s">
        <v>344</v>
      </c>
      <c r="E87" s="30">
        <v>332408</v>
      </c>
      <c r="F87" s="79" t="s">
        <v>417</v>
      </c>
      <c r="G87" s="12">
        <f>IFERROR(VLOOKUP(Tabela32[[#This Row],[Conta]],'BD - A - Despesas'!$A$15:$E$500,5,0),0)</f>
        <v>300</v>
      </c>
      <c r="H87" s="24">
        <f>IFERROR(VLOOKUP(Tabela32[[#This Row],[Conta]],'BD - A - Despesas'!$J$15:$N$500,5,0),0)</f>
        <v>0</v>
      </c>
      <c r="I87" s="24">
        <f>IFERROR(VLOOKUP(Tabela32[[#This Row],[Conta]],'BD - A - Despesas'!$S$15:$W$500,5,0),0)</f>
        <v>825</v>
      </c>
      <c r="J87" s="24">
        <f>IFERROR(VLOOKUP(Tabela32[[#This Row],[Conta]],'BD - A - Despesas'!$AB$15:$AF$500,5,0),0)</f>
        <v>0</v>
      </c>
      <c r="K87" s="24">
        <f>IFERROR(VLOOKUP(Tabela32[[#This Row],[Conta]],'BD - A - Despesas'!$AK$15:$AO$500,5,0),0)</f>
        <v>0</v>
      </c>
      <c r="L87" s="24">
        <f>IFERROR(VLOOKUP(Tabela32[[#This Row],[Conta]],'BD - A - Despesas'!$AT$15:$AX$500,5,0),0)</f>
        <v>0</v>
      </c>
      <c r="M87" s="24">
        <f>IFERROR(VLOOKUP(Tabela32[[#This Row],[Conta]],'BD - A - Despesas'!$BC$15:$BG$500,5,0),0)</f>
        <v>0</v>
      </c>
      <c r="N87" s="24">
        <f>IFERROR(VLOOKUP(Tabela32[[#This Row],[Conta]],'BD - A - Despesas'!$BL$15:$BP$500,5,0),0)</f>
        <v>0</v>
      </c>
      <c r="O87" s="24">
        <f>IFERROR(VLOOKUP(Tabela32[[#This Row],[Conta]],'BD - A - Despesas'!$BU$15:$BY$500,5,0),0)</f>
        <v>0</v>
      </c>
      <c r="P87" s="24">
        <f>IFERROR(VLOOKUP(Tabela32[[#This Row],[Conta]],'BD - A - Despesas'!$CD$15:$CH$500,5,0),0)</f>
        <v>0</v>
      </c>
      <c r="Q87" s="24">
        <f>IFERROR(VLOOKUP(Tabela32[[#This Row],[Conta]],'BD - A - Despesas'!$CM$15:$CQ$500,5,0),0)</f>
        <v>0</v>
      </c>
      <c r="R87" s="24">
        <f>IFERROR(VLOOKUP(Tabela32[[#This Row],[Conta]],'BD - A - Despesas'!$CV$15:$CZ$500,5,0),0)</f>
        <v>0</v>
      </c>
      <c r="S87"/>
    </row>
    <row r="88" spans="3:19">
      <c r="C88" s="79" t="s">
        <v>347</v>
      </c>
      <c r="D88" s="80" t="s">
        <v>344</v>
      </c>
      <c r="E88" s="101">
        <v>332409</v>
      </c>
      <c r="F88" s="79" t="s">
        <v>315</v>
      </c>
      <c r="G88" s="12">
        <f>IFERROR(VLOOKUP(Tabela32[[#This Row],[Conta]],'BD - A - Despesas'!$A$15:$E$500,5,0),0)</f>
        <v>0</v>
      </c>
      <c r="H88" s="24">
        <f>IFERROR(VLOOKUP(Tabela32[[#This Row],[Conta]],'BD - A - Despesas'!$J$15:$N$500,5,0),0)</f>
        <v>0</v>
      </c>
      <c r="I88" s="24">
        <f>IFERROR(VLOOKUP(Tabela32[[#This Row],[Conta]],'BD - A - Despesas'!$S$15:$W$500,5,0),0)</f>
        <v>0</v>
      </c>
      <c r="J88" s="24">
        <f>IFERROR(VLOOKUP(Tabela32[[#This Row],[Conta]],'BD - A - Despesas'!$AB$15:$AF$500,5,0),0)</f>
        <v>0</v>
      </c>
      <c r="K88" s="24">
        <f>IFERROR(VLOOKUP(Tabela32[[#This Row],[Conta]],'BD - A - Despesas'!$AK$15:$AO$500,5,0),0)</f>
        <v>0</v>
      </c>
      <c r="L88" s="24">
        <f>IFERROR(VLOOKUP(Tabela32[[#This Row],[Conta]],'BD - A - Despesas'!$AT$15:$AX$500,5,0),0)</f>
        <v>0</v>
      </c>
      <c r="M88" s="24">
        <f>IFERROR(VLOOKUP(Tabela32[[#This Row],[Conta]],'BD - A - Despesas'!$BC$15:$BG$500,5,0),0)</f>
        <v>0</v>
      </c>
      <c r="N88" s="24">
        <f>IFERROR(VLOOKUP(Tabela32[[#This Row],[Conta]],'BD - A - Despesas'!$BL$15:$BP$500,5,0),0)</f>
        <v>0</v>
      </c>
      <c r="O88" s="24">
        <f>IFERROR(VLOOKUP(Tabela32[[#This Row],[Conta]],'BD - A - Despesas'!$BU$15:$BY$500,5,0),0)</f>
        <v>0</v>
      </c>
      <c r="P88" s="24">
        <f>IFERROR(VLOOKUP(Tabela32[[#This Row],[Conta]],'BD - A - Despesas'!$CD$15:$CH$500,5,0),0)</f>
        <v>0</v>
      </c>
      <c r="Q88" s="24">
        <f>IFERROR(VLOOKUP(Tabela32[[#This Row],[Conta]],'BD - A - Despesas'!$CM$15:$CQ$500,5,0),0)</f>
        <v>0</v>
      </c>
      <c r="R88" s="24">
        <f>IFERROR(VLOOKUP(Tabela32[[#This Row],[Conta]],'BD - A - Despesas'!$CV$15:$CZ$500,5,0),0)</f>
        <v>0</v>
      </c>
      <c r="S88"/>
    </row>
    <row r="89" spans="3:19">
      <c r="C89" s="79" t="s">
        <v>347</v>
      </c>
      <c r="D89" s="80" t="s">
        <v>344</v>
      </c>
      <c r="E89" s="30">
        <v>332410</v>
      </c>
      <c r="F89" s="79" t="s">
        <v>418</v>
      </c>
      <c r="G89" s="12">
        <f>IFERROR(VLOOKUP(Tabela32[[#This Row],[Conta]],'BD - A - Despesas'!$A$15:$E$500,5,0),0)</f>
        <v>0</v>
      </c>
      <c r="H89" s="24">
        <f>IFERROR(VLOOKUP(Tabela32[[#This Row],[Conta]],'BD - A - Despesas'!$J$15:$N$500,5,0),0)</f>
        <v>0</v>
      </c>
      <c r="I89" s="24">
        <f>IFERROR(VLOOKUP(Tabela32[[#This Row],[Conta]],'BD - A - Despesas'!$S$15:$W$500,5,0),0)</f>
        <v>0</v>
      </c>
      <c r="J89" s="24">
        <f>IFERROR(VLOOKUP(Tabela32[[#This Row],[Conta]],'BD - A - Despesas'!$AB$15:$AF$500,5,0),0)</f>
        <v>0</v>
      </c>
      <c r="K89" s="24">
        <f>IFERROR(VLOOKUP(Tabela32[[#This Row],[Conta]],'BD - A - Despesas'!$AK$15:$AO$500,5,0),0)</f>
        <v>0</v>
      </c>
      <c r="L89" s="24">
        <f>IFERROR(VLOOKUP(Tabela32[[#This Row],[Conta]],'BD - A - Despesas'!$AT$15:$AX$500,5,0),0)</f>
        <v>0</v>
      </c>
      <c r="M89" s="24">
        <f>IFERROR(VLOOKUP(Tabela32[[#This Row],[Conta]],'BD - A - Despesas'!$BC$15:$BG$500,5,0),0)</f>
        <v>0</v>
      </c>
      <c r="N89" s="24">
        <f>IFERROR(VLOOKUP(Tabela32[[#This Row],[Conta]],'BD - A - Despesas'!$BL$15:$BP$500,5,0),0)</f>
        <v>0</v>
      </c>
      <c r="O89" s="24">
        <f>IFERROR(VLOOKUP(Tabela32[[#This Row],[Conta]],'BD - A - Despesas'!$BU$15:$BY$500,5,0),0)</f>
        <v>0</v>
      </c>
      <c r="P89" s="24">
        <f>IFERROR(VLOOKUP(Tabela32[[#This Row],[Conta]],'BD - A - Despesas'!$CD$15:$CH$500,5,0),0)</f>
        <v>0</v>
      </c>
      <c r="Q89" s="24">
        <f>IFERROR(VLOOKUP(Tabela32[[#This Row],[Conta]],'BD - A - Despesas'!$CM$15:$CQ$500,5,0),0)</f>
        <v>0</v>
      </c>
      <c r="R89" s="24">
        <f>IFERROR(VLOOKUP(Tabela32[[#This Row],[Conta]],'BD - A - Despesas'!$CV$15:$CZ$500,5,0),0)</f>
        <v>0</v>
      </c>
      <c r="S89"/>
    </row>
    <row r="90" spans="3:19">
      <c r="C90" s="79" t="s">
        <v>347</v>
      </c>
      <c r="D90" s="80" t="s">
        <v>344</v>
      </c>
      <c r="E90" s="85">
        <v>332412</v>
      </c>
      <c r="F90" s="79" t="s">
        <v>373</v>
      </c>
      <c r="G90" s="12">
        <f>IFERROR(VLOOKUP(Tabela32[[#This Row],[Conta]],'BD - A - Despesas'!$A$15:$E$500,5,0),0)</f>
        <v>0</v>
      </c>
      <c r="H90" s="24">
        <f>IFERROR(VLOOKUP(Tabela32[[#This Row],[Conta]],'BD - A - Despesas'!$J$15:$N$500,5,0),0)</f>
        <v>0</v>
      </c>
      <c r="I90" s="24">
        <f>IFERROR(VLOOKUP(Tabela32[[#This Row],[Conta]],'BD - A - Despesas'!$S$15:$W$500,5,0),0)</f>
        <v>0</v>
      </c>
      <c r="J90" s="24">
        <f>IFERROR(VLOOKUP(Tabela32[[#This Row],[Conta]],'BD - A - Despesas'!$AB$15:$AF$500,5,0),0)</f>
        <v>0</v>
      </c>
      <c r="K90" s="24">
        <f>IFERROR(VLOOKUP(Tabela32[[#This Row],[Conta]],'BD - A - Despesas'!$AK$15:$AO$500,5,0),0)</f>
        <v>0</v>
      </c>
      <c r="L90" s="24">
        <f>IFERROR(VLOOKUP(Tabela32[[#This Row],[Conta]],'BD - A - Despesas'!$AT$15:$AX$500,5,0),0)</f>
        <v>0</v>
      </c>
      <c r="M90" s="24">
        <f>IFERROR(VLOOKUP(Tabela32[[#This Row],[Conta]],'BD - A - Despesas'!$BC$15:$BG$500,5,0),0)</f>
        <v>0</v>
      </c>
      <c r="N90" s="24">
        <f>IFERROR(VLOOKUP(Tabela32[[#This Row],[Conta]],'BD - A - Despesas'!$BL$15:$BP$500,5,0),0)</f>
        <v>0</v>
      </c>
      <c r="O90" s="24">
        <f>IFERROR(VLOOKUP(Tabela32[[#This Row],[Conta]],'BD - A - Despesas'!$BU$15:$BY$500,5,0),0)</f>
        <v>0</v>
      </c>
      <c r="P90" s="24">
        <f>IFERROR(VLOOKUP(Tabela32[[#This Row],[Conta]],'BD - A - Despesas'!$CD$15:$CH$500,5,0),0)</f>
        <v>0</v>
      </c>
      <c r="Q90" s="24">
        <f>IFERROR(VLOOKUP(Tabela32[[#This Row],[Conta]],'BD - A - Despesas'!$CM$15:$CQ$500,5,0),0)</f>
        <v>0</v>
      </c>
      <c r="R90" s="24">
        <f>IFERROR(VLOOKUP(Tabela32[[#This Row],[Conta]],'BD - A - Despesas'!$CV$15:$CZ$500,5,0),0)</f>
        <v>0</v>
      </c>
      <c r="S90"/>
    </row>
    <row r="91" spans="3:19">
      <c r="C91" s="79" t="s">
        <v>347</v>
      </c>
      <c r="D91" s="80" t="s">
        <v>344</v>
      </c>
      <c r="E91" s="85">
        <v>332414</v>
      </c>
      <c r="F91" s="79" t="s">
        <v>316</v>
      </c>
      <c r="G91" s="12">
        <f>IFERROR(VLOOKUP(Tabela32[[#This Row],[Conta]],'BD - A - Despesas'!$A$15:$E$500,5,0),0)</f>
        <v>0</v>
      </c>
      <c r="H91" s="24">
        <f>IFERROR(VLOOKUP(Tabela32[[#This Row],[Conta]],'BD - A - Despesas'!$J$15:$N$500,5,0),0)</f>
        <v>0</v>
      </c>
      <c r="I91" s="24">
        <f>IFERROR(VLOOKUP(Tabela32[[#This Row],[Conta]],'BD - A - Despesas'!$S$15:$W$500,5,0),0)</f>
        <v>0</v>
      </c>
      <c r="J91" s="24">
        <f>IFERROR(VLOOKUP(Tabela32[[#This Row],[Conta]],'BD - A - Despesas'!$AB$15:$AF$500,5,0),0)</f>
        <v>0</v>
      </c>
      <c r="K91" s="24">
        <f>IFERROR(VLOOKUP(Tabela32[[#This Row],[Conta]],'BD - A - Despesas'!$AK$15:$AO$500,5,0),0)</f>
        <v>0</v>
      </c>
      <c r="L91" s="24">
        <f>IFERROR(VLOOKUP(Tabela32[[#This Row],[Conta]],'BD - A - Despesas'!$AT$15:$AX$500,5,0),0)</f>
        <v>0</v>
      </c>
      <c r="M91" s="24">
        <f>IFERROR(VLOOKUP(Tabela32[[#This Row],[Conta]],'BD - A - Despesas'!$BC$15:$BG$500,5,0),0)</f>
        <v>0</v>
      </c>
      <c r="N91" s="24">
        <f>IFERROR(VLOOKUP(Tabela32[[#This Row],[Conta]],'BD - A - Despesas'!$BL$15:$BP$500,5,0),0)</f>
        <v>0</v>
      </c>
      <c r="O91" s="24">
        <f>IFERROR(VLOOKUP(Tabela32[[#This Row],[Conta]],'BD - A - Despesas'!$BU$15:$BY$500,5,0),0)</f>
        <v>0</v>
      </c>
      <c r="P91" s="24">
        <f>IFERROR(VLOOKUP(Tabela32[[#This Row],[Conta]],'BD - A - Despesas'!$CD$15:$CH$500,5,0),0)</f>
        <v>0</v>
      </c>
      <c r="Q91" s="24">
        <f>IFERROR(VLOOKUP(Tabela32[[#This Row],[Conta]],'BD - A - Despesas'!$CM$15:$CQ$500,5,0),0)</f>
        <v>0</v>
      </c>
      <c r="R91" s="24">
        <f>IFERROR(VLOOKUP(Tabela32[[#This Row],[Conta]],'BD - A - Despesas'!$CV$15:$CZ$500,5,0),0)</f>
        <v>0</v>
      </c>
      <c r="S91"/>
    </row>
    <row r="92" spans="3:19">
      <c r="C92" s="79" t="s">
        <v>347</v>
      </c>
      <c r="D92" s="80" t="s">
        <v>344</v>
      </c>
      <c r="E92" s="85">
        <v>332415</v>
      </c>
      <c r="F92" s="79" t="s">
        <v>317</v>
      </c>
      <c r="G92" s="12">
        <f>IFERROR(VLOOKUP(Tabela32[[#This Row],[Conta]],'BD - A - Despesas'!$A$15:$E$500,5,0),0)</f>
        <v>0</v>
      </c>
      <c r="H92" s="24">
        <f>IFERROR(VLOOKUP(Tabela32[[#This Row],[Conta]],'BD - A - Despesas'!$J$15:$N$500,5,0),0)</f>
        <v>0</v>
      </c>
      <c r="I92" s="24">
        <f>IFERROR(VLOOKUP(Tabela32[[#This Row],[Conta]],'BD - A - Despesas'!$S$15:$W$500,5,0),0)</f>
        <v>0</v>
      </c>
      <c r="J92" s="24">
        <f>IFERROR(VLOOKUP(Tabela32[[#This Row],[Conta]],'BD - A - Despesas'!$AB$15:$AF$500,5,0),0)</f>
        <v>0</v>
      </c>
      <c r="K92" s="24">
        <f>IFERROR(VLOOKUP(Tabela32[[#This Row],[Conta]],'BD - A - Despesas'!$AK$15:$AO$500,5,0),0)</f>
        <v>0</v>
      </c>
      <c r="L92" s="24">
        <f>IFERROR(VLOOKUP(Tabela32[[#This Row],[Conta]],'BD - A - Despesas'!$AT$15:$AX$500,5,0),0)</f>
        <v>0</v>
      </c>
      <c r="M92" s="24">
        <f>IFERROR(VLOOKUP(Tabela32[[#This Row],[Conta]],'BD - A - Despesas'!$BC$15:$BG$500,5,0),0)</f>
        <v>0</v>
      </c>
      <c r="N92" s="24">
        <f>IFERROR(VLOOKUP(Tabela32[[#This Row],[Conta]],'BD - A - Despesas'!$BL$15:$BP$500,5,0),0)</f>
        <v>0</v>
      </c>
      <c r="O92" s="24">
        <f>IFERROR(VLOOKUP(Tabela32[[#This Row],[Conta]],'BD - A - Despesas'!$BU$15:$BY$500,5,0),0)</f>
        <v>0</v>
      </c>
      <c r="P92" s="24">
        <f>IFERROR(VLOOKUP(Tabela32[[#This Row],[Conta]],'BD - A - Despesas'!$CD$15:$CH$500,5,0),0)</f>
        <v>0</v>
      </c>
      <c r="Q92" s="24">
        <f>IFERROR(VLOOKUP(Tabela32[[#This Row],[Conta]],'BD - A - Despesas'!$CM$15:$CQ$500,5,0),0)</f>
        <v>0</v>
      </c>
      <c r="R92" s="24">
        <f>IFERROR(VLOOKUP(Tabela32[[#This Row],[Conta]],'BD - A - Despesas'!$CV$15:$CZ$500,5,0),0)</f>
        <v>0</v>
      </c>
      <c r="S92"/>
    </row>
    <row r="93" spans="3:19">
      <c r="C93" s="79" t="s">
        <v>347</v>
      </c>
      <c r="D93" s="80" t="s">
        <v>344</v>
      </c>
      <c r="E93" s="85">
        <v>332416</v>
      </c>
      <c r="F93" s="79" t="s">
        <v>318</v>
      </c>
      <c r="G93" s="12">
        <f>IFERROR(VLOOKUP(Tabela32[[#This Row],[Conta]],'BD - A - Despesas'!$A$15:$E$500,5,0),0)</f>
        <v>0</v>
      </c>
      <c r="H93" s="24">
        <f>IFERROR(VLOOKUP(Tabela32[[#This Row],[Conta]],'BD - A - Despesas'!$J$15:$N$500,5,0),0)</f>
        <v>0</v>
      </c>
      <c r="I93" s="24">
        <f>IFERROR(VLOOKUP(Tabela32[[#This Row],[Conta]],'BD - A - Despesas'!$S$15:$W$500,5,0),0)</f>
        <v>0</v>
      </c>
      <c r="J93" s="24">
        <f>IFERROR(VLOOKUP(Tabela32[[#This Row],[Conta]],'BD - A - Despesas'!$AB$15:$AF$500,5,0),0)</f>
        <v>0</v>
      </c>
      <c r="K93" s="24">
        <f>IFERROR(VLOOKUP(Tabela32[[#This Row],[Conta]],'BD - A - Despesas'!$AK$15:$AO$500,5,0),0)</f>
        <v>0</v>
      </c>
      <c r="L93" s="24">
        <f>IFERROR(VLOOKUP(Tabela32[[#This Row],[Conta]],'BD - A - Despesas'!$AT$15:$AX$500,5,0),0)</f>
        <v>0</v>
      </c>
      <c r="M93" s="24">
        <f>IFERROR(VLOOKUP(Tabela32[[#This Row],[Conta]],'BD - A - Despesas'!$BC$15:$BG$500,5,0),0)</f>
        <v>0</v>
      </c>
      <c r="N93" s="24">
        <f>IFERROR(VLOOKUP(Tabela32[[#This Row],[Conta]],'BD - A - Despesas'!$BL$15:$BP$500,5,0),0)</f>
        <v>0</v>
      </c>
      <c r="O93" s="24">
        <f>IFERROR(VLOOKUP(Tabela32[[#This Row],[Conta]],'BD - A - Despesas'!$BU$15:$BY$500,5,0),0)</f>
        <v>0</v>
      </c>
      <c r="P93" s="24">
        <f>IFERROR(VLOOKUP(Tabela32[[#This Row],[Conta]],'BD - A - Despesas'!$CD$15:$CH$500,5,0),0)</f>
        <v>0</v>
      </c>
      <c r="Q93" s="24">
        <f>IFERROR(VLOOKUP(Tabela32[[#This Row],[Conta]],'BD - A - Despesas'!$CM$15:$CQ$500,5,0),0)</f>
        <v>0</v>
      </c>
      <c r="R93" s="24">
        <f>IFERROR(VLOOKUP(Tabela32[[#This Row],[Conta]],'BD - A - Despesas'!$CV$15:$CZ$500,5,0),0)</f>
        <v>0</v>
      </c>
      <c r="S93"/>
    </row>
    <row r="94" spans="3:19">
      <c r="C94" s="79" t="s">
        <v>347</v>
      </c>
      <c r="D94" s="80" t="s">
        <v>344</v>
      </c>
      <c r="E94" s="101">
        <v>332490</v>
      </c>
      <c r="F94" s="79" t="s">
        <v>319</v>
      </c>
      <c r="G94" s="12">
        <f>IFERROR(VLOOKUP(Tabela32[[#This Row],[Conta]],'BD - A - Despesas'!$A$15:$E$500,5,0),0)</f>
        <v>0</v>
      </c>
      <c r="H94" s="24">
        <f>IFERROR(VLOOKUP(Tabela32[[#This Row],[Conta]],'BD - A - Despesas'!$J$15:$N$500,5,0),0)</f>
        <v>0</v>
      </c>
      <c r="I94" s="24">
        <f>IFERROR(VLOOKUP(Tabela32[[#This Row],[Conta]],'BD - A - Despesas'!$S$15:$W$500,5,0),0)</f>
        <v>0</v>
      </c>
      <c r="J94" s="24">
        <f>IFERROR(VLOOKUP(Tabela32[[#This Row],[Conta]],'BD - A - Despesas'!$AB$15:$AF$500,5,0),0)</f>
        <v>0</v>
      </c>
      <c r="K94" s="24">
        <f>IFERROR(VLOOKUP(Tabela32[[#This Row],[Conta]],'BD - A - Despesas'!$AK$15:$AO$500,5,0),0)</f>
        <v>0</v>
      </c>
      <c r="L94" s="24">
        <f>IFERROR(VLOOKUP(Tabela32[[#This Row],[Conta]],'BD - A - Despesas'!$AT$15:$AX$500,5,0),0)</f>
        <v>0</v>
      </c>
      <c r="M94" s="24">
        <f>IFERROR(VLOOKUP(Tabela32[[#This Row],[Conta]],'BD - A - Despesas'!$BC$15:$BG$500,5,0),0)</f>
        <v>0</v>
      </c>
      <c r="N94" s="24">
        <f>IFERROR(VLOOKUP(Tabela32[[#This Row],[Conta]],'BD - A - Despesas'!$BL$15:$BP$500,5,0),0)</f>
        <v>0</v>
      </c>
      <c r="O94" s="24">
        <f>IFERROR(VLOOKUP(Tabela32[[#This Row],[Conta]],'BD - A - Despesas'!$BU$15:$BY$500,5,0),0)</f>
        <v>0</v>
      </c>
      <c r="P94" s="24">
        <f>IFERROR(VLOOKUP(Tabela32[[#This Row],[Conta]],'BD - A - Despesas'!$CD$15:$CH$500,5,0),0)</f>
        <v>0</v>
      </c>
      <c r="Q94" s="24">
        <f>IFERROR(VLOOKUP(Tabela32[[#This Row],[Conta]],'BD - A - Despesas'!$CM$15:$CQ$500,5,0),0)</f>
        <v>0</v>
      </c>
      <c r="R94" s="24">
        <f>IFERROR(VLOOKUP(Tabela32[[#This Row],[Conta]],'BD - A - Despesas'!$CV$15:$CZ$500,5,0),0)</f>
        <v>0</v>
      </c>
      <c r="S94"/>
    </row>
    <row r="95" spans="3:19">
      <c r="C95" s="79" t="s">
        <v>347</v>
      </c>
      <c r="D95" s="80" t="s">
        <v>335</v>
      </c>
      <c r="E95" s="101">
        <v>332501</v>
      </c>
      <c r="F95" s="79" t="s">
        <v>320</v>
      </c>
      <c r="G95" s="12">
        <f>IFERROR(VLOOKUP(Tabela32[[#This Row],[Conta]],'BD - A - Despesas'!$A$15:$E$500,5,0),0)</f>
        <v>0</v>
      </c>
      <c r="H95" s="24">
        <f>IFERROR(VLOOKUP(Tabela32[[#This Row],[Conta]],'BD - A - Despesas'!$J$15:$N$500,5,0),0)</f>
        <v>0</v>
      </c>
      <c r="I95" s="24">
        <f>IFERROR(VLOOKUP(Tabela32[[#This Row],[Conta]],'BD - A - Despesas'!$S$15:$W$500,5,0),0)</f>
        <v>0</v>
      </c>
      <c r="J95" s="24">
        <f>IFERROR(VLOOKUP(Tabela32[[#This Row],[Conta]],'BD - A - Despesas'!$AB$15:$AF$500,5,0),0)</f>
        <v>0</v>
      </c>
      <c r="K95" s="24">
        <f>IFERROR(VLOOKUP(Tabela32[[#This Row],[Conta]],'BD - A - Despesas'!$AK$15:$AO$500,5,0),0)</f>
        <v>0</v>
      </c>
      <c r="L95" s="24">
        <f>IFERROR(VLOOKUP(Tabela32[[#This Row],[Conta]],'BD - A - Despesas'!$AT$15:$AX$500,5,0),0)</f>
        <v>0</v>
      </c>
      <c r="M95" s="24">
        <f>IFERROR(VLOOKUP(Tabela32[[#This Row],[Conta]],'BD - A - Despesas'!$BC$15:$BG$500,5,0),0)</f>
        <v>0</v>
      </c>
      <c r="N95" s="24">
        <f>IFERROR(VLOOKUP(Tabela32[[#This Row],[Conta]],'BD - A - Despesas'!$BL$15:$BP$500,5,0),0)</f>
        <v>0</v>
      </c>
      <c r="O95" s="24">
        <f>IFERROR(VLOOKUP(Tabela32[[#This Row],[Conta]],'BD - A - Despesas'!$BU$15:$BY$500,5,0),0)</f>
        <v>0</v>
      </c>
      <c r="P95" s="24">
        <f>IFERROR(VLOOKUP(Tabela32[[#This Row],[Conta]],'BD - A - Despesas'!$CD$15:$CH$500,5,0),0)</f>
        <v>0</v>
      </c>
      <c r="Q95" s="24">
        <f>IFERROR(VLOOKUP(Tabela32[[#This Row],[Conta]],'BD - A - Despesas'!$CM$15:$CQ$500,5,0),0)</f>
        <v>0</v>
      </c>
      <c r="R95" s="24">
        <f>IFERROR(VLOOKUP(Tabela32[[#This Row],[Conta]],'BD - A - Despesas'!$CV$15:$CZ$500,5,0),0)</f>
        <v>0</v>
      </c>
      <c r="S95"/>
    </row>
    <row r="96" spans="3:19">
      <c r="C96" s="79" t="s">
        <v>347</v>
      </c>
      <c r="D96" s="80" t="s">
        <v>335</v>
      </c>
      <c r="E96" s="85">
        <v>332502</v>
      </c>
      <c r="F96" s="79" t="s">
        <v>321</v>
      </c>
      <c r="G96" s="12">
        <f>IFERROR(VLOOKUP(Tabela32[[#This Row],[Conta]],'BD - A - Despesas'!$A$15:$E$500,5,0),0)</f>
        <v>0</v>
      </c>
      <c r="H96" s="24">
        <f>IFERROR(VLOOKUP(Tabela32[[#This Row],[Conta]],'BD - A - Despesas'!$J$15:$N$500,5,0),0)</f>
        <v>0</v>
      </c>
      <c r="I96" s="24">
        <f>IFERROR(VLOOKUP(Tabela32[[#This Row],[Conta]],'BD - A - Despesas'!$S$15:$W$500,5,0),0)</f>
        <v>0</v>
      </c>
      <c r="J96" s="24">
        <f>IFERROR(VLOOKUP(Tabela32[[#This Row],[Conta]],'BD - A - Despesas'!$AB$15:$AF$500,5,0),0)</f>
        <v>0</v>
      </c>
      <c r="K96" s="24">
        <f>IFERROR(VLOOKUP(Tabela32[[#This Row],[Conta]],'BD - A - Despesas'!$AK$15:$AO$500,5,0),0)</f>
        <v>0</v>
      </c>
      <c r="L96" s="24">
        <f>IFERROR(VLOOKUP(Tabela32[[#This Row],[Conta]],'BD - A - Despesas'!$AT$15:$AX$500,5,0),0)</f>
        <v>0</v>
      </c>
      <c r="M96" s="24">
        <f>IFERROR(VLOOKUP(Tabela32[[#This Row],[Conta]],'BD - A - Despesas'!$BC$15:$BG$500,5,0),0)</f>
        <v>0</v>
      </c>
      <c r="N96" s="24">
        <f>IFERROR(VLOOKUP(Tabela32[[#This Row],[Conta]],'BD - A - Despesas'!$BL$15:$BP$500,5,0),0)</f>
        <v>0</v>
      </c>
      <c r="O96" s="24">
        <f>IFERROR(VLOOKUP(Tabela32[[#This Row],[Conta]],'BD - A - Despesas'!$BU$15:$BY$500,5,0),0)</f>
        <v>0</v>
      </c>
      <c r="P96" s="24">
        <f>IFERROR(VLOOKUP(Tabela32[[#This Row],[Conta]],'BD - A - Despesas'!$CD$15:$CH$500,5,0),0)</f>
        <v>0</v>
      </c>
      <c r="Q96" s="24">
        <f>IFERROR(VLOOKUP(Tabela32[[#This Row],[Conta]],'BD - A - Despesas'!$CM$15:$CQ$500,5,0),0)</f>
        <v>0</v>
      </c>
      <c r="R96" s="24">
        <f>IFERROR(VLOOKUP(Tabela32[[#This Row],[Conta]],'BD - A - Despesas'!$CV$15:$CZ$500,5,0),0)</f>
        <v>0</v>
      </c>
      <c r="S96"/>
    </row>
    <row r="97" spans="3:19">
      <c r="C97" s="79" t="s">
        <v>347</v>
      </c>
      <c r="D97" s="80" t="s">
        <v>335</v>
      </c>
      <c r="E97" s="85">
        <v>332503</v>
      </c>
      <c r="F97" s="79" t="s">
        <v>322</v>
      </c>
      <c r="G97" s="12">
        <f>IFERROR(VLOOKUP(Tabela32[[#This Row],[Conta]],'BD - A - Despesas'!$A$15:$E$500,5,0),0)</f>
        <v>0</v>
      </c>
      <c r="H97" s="24">
        <f>IFERROR(VLOOKUP(Tabela32[[#This Row],[Conta]],'BD - A - Despesas'!$J$15:$N$500,5,0),0)</f>
        <v>0</v>
      </c>
      <c r="I97" s="24">
        <f>IFERROR(VLOOKUP(Tabela32[[#This Row],[Conta]],'BD - A - Despesas'!$S$15:$W$500,5,0),0)</f>
        <v>0</v>
      </c>
      <c r="J97" s="24">
        <f>IFERROR(VLOOKUP(Tabela32[[#This Row],[Conta]],'BD - A - Despesas'!$AB$15:$AF$500,5,0),0)</f>
        <v>0</v>
      </c>
      <c r="K97" s="24">
        <f>IFERROR(VLOOKUP(Tabela32[[#This Row],[Conta]],'BD - A - Despesas'!$AK$15:$AO$500,5,0),0)</f>
        <v>0</v>
      </c>
      <c r="L97" s="24">
        <f>IFERROR(VLOOKUP(Tabela32[[#This Row],[Conta]],'BD - A - Despesas'!$AT$15:$AX$500,5,0),0)</f>
        <v>0</v>
      </c>
      <c r="M97" s="24">
        <f>IFERROR(VLOOKUP(Tabela32[[#This Row],[Conta]],'BD - A - Despesas'!$BC$15:$BG$500,5,0),0)</f>
        <v>0</v>
      </c>
      <c r="N97" s="24">
        <f>IFERROR(VLOOKUP(Tabela32[[#This Row],[Conta]],'BD - A - Despesas'!$BL$15:$BP$500,5,0),0)</f>
        <v>0</v>
      </c>
      <c r="O97" s="24">
        <f>IFERROR(VLOOKUP(Tabela32[[#This Row],[Conta]],'BD - A - Despesas'!$BU$15:$BY$500,5,0),0)</f>
        <v>0</v>
      </c>
      <c r="P97" s="24">
        <f>IFERROR(VLOOKUP(Tabela32[[#This Row],[Conta]],'BD - A - Despesas'!$CD$15:$CH$500,5,0),0)</f>
        <v>0</v>
      </c>
      <c r="Q97" s="24">
        <f>IFERROR(VLOOKUP(Tabela32[[#This Row],[Conta]],'BD - A - Despesas'!$CM$15:$CQ$500,5,0),0)</f>
        <v>0</v>
      </c>
      <c r="R97" s="24">
        <f>IFERROR(VLOOKUP(Tabela32[[#This Row],[Conta]],'BD - A - Despesas'!$CV$15:$CZ$500,5,0),0)</f>
        <v>0</v>
      </c>
      <c r="S97"/>
    </row>
    <row r="98" spans="3:19">
      <c r="C98" s="79" t="s">
        <v>347</v>
      </c>
      <c r="D98" s="80" t="s">
        <v>335</v>
      </c>
      <c r="E98" s="30">
        <v>332505</v>
      </c>
      <c r="F98" s="79" t="s">
        <v>419</v>
      </c>
      <c r="G98" s="12">
        <f>IFERROR(VLOOKUP(Tabela32[[#This Row],[Conta]],'BD - A - Despesas'!$A$15:$E$500,5,0),0)</f>
        <v>0</v>
      </c>
      <c r="H98" s="24">
        <f>IFERROR(VLOOKUP(Tabela32[[#This Row],[Conta]],'BD - A - Despesas'!$J$15:$N$500,5,0),0)</f>
        <v>0</v>
      </c>
      <c r="I98" s="24">
        <f>IFERROR(VLOOKUP(Tabela32[[#This Row],[Conta]],'BD - A - Despesas'!$S$15:$W$500,5,0),0)</f>
        <v>0</v>
      </c>
      <c r="J98" s="24">
        <f>IFERROR(VLOOKUP(Tabela32[[#This Row],[Conta]],'BD - A - Despesas'!$AB$15:$AF$500,5,0),0)</f>
        <v>0</v>
      </c>
      <c r="K98" s="24">
        <f>IFERROR(VLOOKUP(Tabela32[[#This Row],[Conta]],'BD - A - Despesas'!$AK$15:$AO$500,5,0),0)</f>
        <v>0</v>
      </c>
      <c r="L98" s="24">
        <f>IFERROR(VLOOKUP(Tabela32[[#This Row],[Conta]],'BD - A - Despesas'!$AT$15:$AX$500,5,0),0)</f>
        <v>0</v>
      </c>
      <c r="M98" s="24">
        <f>IFERROR(VLOOKUP(Tabela32[[#This Row],[Conta]],'BD - A - Despesas'!$BC$15:$BG$500,5,0),0)</f>
        <v>0</v>
      </c>
      <c r="N98" s="24">
        <f>IFERROR(VLOOKUP(Tabela32[[#This Row],[Conta]],'BD - A - Despesas'!$BL$15:$BP$500,5,0),0)</f>
        <v>0</v>
      </c>
      <c r="O98" s="24">
        <f>IFERROR(VLOOKUP(Tabela32[[#This Row],[Conta]],'BD - A - Despesas'!$BU$15:$BY$500,5,0),0)</f>
        <v>0</v>
      </c>
      <c r="P98" s="24">
        <f>IFERROR(VLOOKUP(Tabela32[[#This Row],[Conta]],'BD - A - Despesas'!$CD$15:$CH$500,5,0),0)</f>
        <v>0</v>
      </c>
      <c r="Q98" s="24">
        <f>IFERROR(VLOOKUP(Tabela32[[#This Row],[Conta]],'BD - A - Despesas'!$CM$15:$CQ$500,5,0),0)</f>
        <v>0</v>
      </c>
      <c r="R98" s="24">
        <f>IFERROR(VLOOKUP(Tabela32[[#This Row],[Conta]],'BD - A - Despesas'!$CV$15:$CZ$500,5,0),0)</f>
        <v>0</v>
      </c>
      <c r="S98"/>
    </row>
    <row r="99" spans="3:19">
      <c r="C99" s="79" t="s">
        <v>347</v>
      </c>
      <c r="D99" s="80" t="s">
        <v>335</v>
      </c>
      <c r="E99" s="85">
        <v>332508</v>
      </c>
      <c r="F99" s="79" t="s">
        <v>374</v>
      </c>
      <c r="G99" s="12">
        <f>IFERROR(VLOOKUP(Tabela32[[#This Row],[Conta]],'BD - A - Despesas'!$A$15:$E$500,5,0),0)</f>
        <v>0</v>
      </c>
      <c r="H99" s="24">
        <f>IFERROR(VLOOKUP(Tabela32[[#This Row],[Conta]],'BD - A - Despesas'!$J$15:$N$500,5,0),0)</f>
        <v>0</v>
      </c>
      <c r="I99" s="24">
        <f>IFERROR(VLOOKUP(Tabela32[[#This Row],[Conta]],'BD - A - Despesas'!$S$15:$W$500,5,0),0)</f>
        <v>0</v>
      </c>
      <c r="J99" s="24">
        <f>IFERROR(VLOOKUP(Tabela32[[#This Row],[Conta]],'BD - A - Despesas'!$AB$15:$AF$500,5,0),0)</f>
        <v>0</v>
      </c>
      <c r="K99" s="24">
        <f>IFERROR(VLOOKUP(Tabela32[[#This Row],[Conta]],'BD - A - Despesas'!$AK$15:$AO$500,5,0),0)</f>
        <v>0</v>
      </c>
      <c r="L99" s="24">
        <f>IFERROR(VLOOKUP(Tabela32[[#This Row],[Conta]],'BD - A - Despesas'!$AT$15:$AX$500,5,0),0)</f>
        <v>0</v>
      </c>
      <c r="M99" s="24">
        <f>IFERROR(VLOOKUP(Tabela32[[#This Row],[Conta]],'BD - A - Despesas'!$BC$15:$BG$500,5,0),0)</f>
        <v>0</v>
      </c>
      <c r="N99" s="24">
        <f>IFERROR(VLOOKUP(Tabela32[[#This Row],[Conta]],'BD - A - Despesas'!$BL$15:$BP$500,5,0),0)</f>
        <v>0</v>
      </c>
      <c r="O99" s="24">
        <f>IFERROR(VLOOKUP(Tabela32[[#This Row],[Conta]],'BD - A - Despesas'!$BU$15:$BY$500,5,0),0)</f>
        <v>0</v>
      </c>
      <c r="P99" s="24">
        <f>IFERROR(VLOOKUP(Tabela32[[#This Row],[Conta]],'BD - A - Despesas'!$CD$15:$CH$500,5,0),0)</f>
        <v>0</v>
      </c>
      <c r="Q99" s="24">
        <f>IFERROR(VLOOKUP(Tabela32[[#This Row],[Conta]],'BD - A - Despesas'!$CM$15:$CQ$500,5,0),0)</f>
        <v>0</v>
      </c>
      <c r="R99" s="24">
        <f>IFERROR(VLOOKUP(Tabela32[[#This Row],[Conta]],'BD - A - Despesas'!$CV$15:$CZ$500,5,0),0)</f>
        <v>0</v>
      </c>
      <c r="S99"/>
    </row>
    <row r="100" spans="3:19">
      <c r="C100" s="79" t="s">
        <v>347</v>
      </c>
      <c r="D100" s="80" t="s">
        <v>335</v>
      </c>
      <c r="E100" s="85">
        <v>332509</v>
      </c>
      <c r="F100" s="79" t="s">
        <v>323</v>
      </c>
      <c r="G100" s="12">
        <f>IFERROR(VLOOKUP(Tabela32[[#This Row],[Conta]],'BD - A - Despesas'!$A$15:$E$500,5,0),0)</f>
        <v>0</v>
      </c>
      <c r="H100" s="24">
        <f>IFERROR(VLOOKUP(Tabela32[[#This Row],[Conta]],'BD - A - Despesas'!$J$15:$N$500,5,0),0)</f>
        <v>0</v>
      </c>
      <c r="I100" s="24">
        <f>IFERROR(VLOOKUP(Tabela32[[#This Row],[Conta]],'BD - A - Despesas'!$S$15:$W$500,5,0),0)</f>
        <v>0</v>
      </c>
      <c r="J100" s="24">
        <f>IFERROR(VLOOKUP(Tabela32[[#This Row],[Conta]],'BD - A - Despesas'!$AB$15:$AF$500,5,0),0)</f>
        <v>0</v>
      </c>
      <c r="K100" s="24">
        <f>IFERROR(VLOOKUP(Tabela32[[#This Row],[Conta]],'BD - A - Despesas'!$AK$15:$AO$500,5,0),0)</f>
        <v>0</v>
      </c>
      <c r="L100" s="24">
        <f>IFERROR(VLOOKUP(Tabela32[[#This Row],[Conta]],'BD - A - Despesas'!$AT$15:$AX$500,5,0),0)</f>
        <v>0</v>
      </c>
      <c r="M100" s="24">
        <f>IFERROR(VLOOKUP(Tabela32[[#This Row],[Conta]],'BD - A - Despesas'!$BC$15:$BG$500,5,0),0)</f>
        <v>0</v>
      </c>
      <c r="N100" s="24">
        <f>IFERROR(VLOOKUP(Tabela32[[#This Row],[Conta]],'BD - A - Despesas'!$BL$15:$BP$500,5,0),0)</f>
        <v>0</v>
      </c>
      <c r="O100" s="24">
        <f>IFERROR(VLOOKUP(Tabela32[[#This Row],[Conta]],'BD - A - Despesas'!$BU$15:$BY$500,5,0),0)</f>
        <v>0</v>
      </c>
      <c r="P100" s="24">
        <f>IFERROR(VLOOKUP(Tabela32[[#This Row],[Conta]],'BD - A - Despesas'!$CD$15:$CH$500,5,0),0)</f>
        <v>0</v>
      </c>
      <c r="Q100" s="24">
        <f>IFERROR(VLOOKUP(Tabela32[[#This Row],[Conta]],'BD - A - Despesas'!$CM$15:$CQ$500,5,0),0)</f>
        <v>0</v>
      </c>
      <c r="R100" s="24">
        <f>IFERROR(VLOOKUP(Tabela32[[#This Row],[Conta]],'BD - A - Despesas'!$CV$15:$CZ$500,5,0),0)</f>
        <v>0</v>
      </c>
      <c r="S100"/>
    </row>
    <row r="101" spans="3:19">
      <c r="C101" s="79" t="s">
        <v>347</v>
      </c>
      <c r="D101" s="80" t="s">
        <v>335</v>
      </c>
      <c r="E101" s="85">
        <v>332510</v>
      </c>
      <c r="F101" s="82" t="s">
        <v>324</v>
      </c>
      <c r="G101" s="12">
        <f>IFERROR(VLOOKUP(Tabela32[[#This Row],[Conta]],'BD - A - Despesas'!$A$15:$E$500,5,0),0)</f>
        <v>0</v>
      </c>
      <c r="H101" s="24">
        <f>IFERROR(VLOOKUP(Tabela32[[#This Row],[Conta]],'BD - A - Despesas'!$J$15:$N$500,5,0),0)</f>
        <v>0</v>
      </c>
      <c r="I101" s="24">
        <f>IFERROR(VLOOKUP(Tabela32[[#This Row],[Conta]],'BD - A - Despesas'!$S$15:$W$500,5,0),0)</f>
        <v>0</v>
      </c>
      <c r="J101" s="24">
        <f>IFERROR(VLOOKUP(Tabela32[[#This Row],[Conta]],'BD - A - Despesas'!$AB$15:$AF$500,5,0),0)</f>
        <v>0</v>
      </c>
      <c r="K101" s="24">
        <f>IFERROR(VLOOKUP(Tabela32[[#This Row],[Conta]],'BD - A - Despesas'!$AK$15:$AO$500,5,0),0)</f>
        <v>0</v>
      </c>
      <c r="L101" s="24">
        <f>IFERROR(VLOOKUP(Tabela32[[#This Row],[Conta]],'BD - A - Despesas'!$AT$15:$AX$500,5,0),0)</f>
        <v>0</v>
      </c>
      <c r="M101" s="24">
        <f>IFERROR(VLOOKUP(Tabela32[[#This Row],[Conta]],'BD - A - Despesas'!$BC$15:$BG$500,5,0),0)</f>
        <v>0</v>
      </c>
      <c r="N101" s="24">
        <f>IFERROR(VLOOKUP(Tabela32[[#This Row],[Conta]],'BD - A - Despesas'!$BL$15:$BP$500,5,0),0)</f>
        <v>0</v>
      </c>
      <c r="O101" s="24">
        <f>IFERROR(VLOOKUP(Tabela32[[#This Row],[Conta]],'BD - A - Despesas'!$BU$15:$BY$500,5,0),0)</f>
        <v>0</v>
      </c>
      <c r="P101" s="24">
        <f>IFERROR(VLOOKUP(Tabela32[[#This Row],[Conta]],'BD - A - Despesas'!$CD$15:$CH$500,5,0),0)</f>
        <v>0</v>
      </c>
      <c r="Q101" s="24">
        <f>IFERROR(VLOOKUP(Tabela32[[#This Row],[Conta]],'BD - A - Despesas'!$CM$15:$CQ$500,5,0),0)</f>
        <v>0</v>
      </c>
      <c r="R101" s="24">
        <f>IFERROR(VLOOKUP(Tabela32[[#This Row],[Conta]],'BD - A - Despesas'!$CV$15:$CZ$500,5,0),0)</f>
        <v>0</v>
      </c>
      <c r="S101"/>
    </row>
    <row r="102" spans="3:19">
      <c r="C102" s="79" t="s">
        <v>347</v>
      </c>
      <c r="D102" s="80" t="s">
        <v>335</v>
      </c>
      <c r="E102" s="85">
        <v>332590</v>
      </c>
      <c r="F102" s="82" t="s">
        <v>325</v>
      </c>
      <c r="G102" s="12">
        <f>IFERROR(VLOOKUP(Tabela32[[#This Row],[Conta]],'BD - A - Despesas'!$A$15:$E$500,5,0),0)</f>
        <v>0</v>
      </c>
      <c r="H102" s="24">
        <f>IFERROR(VLOOKUP(Tabela32[[#This Row],[Conta]],'BD - A - Despesas'!$J$15:$N$500,5,0),0)</f>
        <v>0</v>
      </c>
      <c r="I102" s="24">
        <f>IFERROR(VLOOKUP(Tabela32[[#This Row],[Conta]],'BD - A - Despesas'!$S$15:$W$500,5,0),0)</f>
        <v>0</v>
      </c>
      <c r="J102" s="24">
        <f>IFERROR(VLOOKUP(Tabela32[[#This Row],[Conta]],'BD - A - Despesas'!$AB$15:$AF$500,5,0),0)</f>
        <v>0</v>
      </c>
      <c r="K102" s="24">
        <f>IFERROR(VLOOKUP(Tabela32[[#This Row],[Conta]],'BD - A - Despesas'!$AK$15:$AO$500,5,0),0)</f>
        <v>0</v>
      </c>
      <c r="L102" s="24">
        <f>IFERROR(VLOOKUP(Tabela32[[#This Row],[Conta]],'BD - A - Despesas'!$AT$15:$AX$500,5,0),0)</f>
        <v>0</v>
      </c>
      <c r="M102" s="24">
        <f>IFERROR(VLOOKUP(Tabela32[[#This Row],[Conta]],'BD - A - Despesas'!$BC$15:$BG$500,5,0),0)</f>
        <v>0</v>
      </c>
      <c r="N102" s="24">
        <f>IFERROR(VLOOKUP(Tabela32[[#This Row],[Conta]],'BD - A - Despesas'!$BL$15:$BP$500,5,0),0)</f>
        <v>0</v>
      </c>
      <c r="O102" s="24">
        <f>IFERROR(VLOOKUP(Tabela32[[#This Row],[Conta]],'BD - A - Despesas'!$BU$15:$BY$500,5,0),0)</f>
        <v>0</v>
      </c>
      <c r="P102" s="24">
        <f>IFERROR(VLOOKUP(Tabela32[[#This Row],[Conta]],'BD - A - Despesas'!$CD$15:$CH$500,5,0),0)</f>
        <v>0</v>
      </c>
      <c r="Q102" s="24">
        <f>IFERROR(VLOOKUP(Tabela32[[#This Row],[Conta]],'BD - A - Despesas'!$CM$15:$CQ$500,5,0),0)</f>
        <v>0</v>
      </c>
      <c r="R102" s="24">
        <f>IFERROR(VLOOKUP(Tabela32[[#This Row],[Conta]],'BD - A - Despesas'!$CV$15:$CZ$500,5,0),0)</f>
        <v>0</v>
      </c>
      <c r="S102"/>
    </row>
    <row r="103" spans="3:19">
      <c r="C103" s="79" t="s">
        <v>347</v>
      </c>
      <c r="D103" s="80" t="s">
        <v>336</v>
      </c>
      <c r="E103" s="100">
        <v>332602</v>
      </c>
      <c r="F103" s="79" t="s">
        <v>326</v>
      </c>
      <c r="G103" s="12">
        <f>IFERROR(VLOOKUP(Tabela32[[#This Row],[Conta]],'BD - A - Despesas'!$A$15:$E$500,5,0),0)</f>
        <v>0</v>
      </c>
      <c r="H103" s="24">
        <f>IFERROR(VLOOKUP(Tabela32[[#This Row],[Conta]],'BD - A - Despesas'!$J$15:$N$500,5,0),0)</f>
        <v>0</v>
      </c>
      <c r="I103" s="24">
        <f>IFERROR(VLOOKUP(Tabela32[[#This Row],[Conta]],'BD - A - Despesas'!$S$15:$W$500,5,0),0)</f>
        <v>0</v>
      </c>
      <c r="J103" s="24">
        <f>IFERROR(VLOOKUP(Tabela32[[#This Row],[Conta]],'BD - A - Despesas'!$AB$15:$AF$500,5,0),0)</f>
        <v>0</v>
      </c>
      <c r="K103" s="24">
        <f>IFERROR(VLOOKUP(Tabela32[[#This Row],[Conta]],'BD - A - Despesas'!$AK$15:$AO$500,5,0),0)</f>
        <v>0</v>
      </c>
      <c r="L103" s="24">
        <f>IFERROR(VLOOKUP(Tabela32[[#This Row],[Conta]],'BD - A - Despesas'!$AT$15:$AX$500,5,0),0)</f>
        <v>0</v>
      </c>
      <c r="M103" s="24">
        <f>IFERROR(VLOOKUP(Tabela32[[#This Row],[Conta]],'BD - A - Despesas'!$BC$15:$BG$500,5,0),0)</f>
        <v>0</v>
      </c>
      <c r="N103" s="24">
        <f>IFERROR(VLOOKUP(Tabela32[[#This Row],[Conta]],'BD - A - Despesas'!$BL$15:$BP$500,5,0),0)</f>
        <v>0</v>
      </c>
      <c r="O103" s="24">
        <f>IFERROR(VLOOKUP(Tabela32[[#This Row],[Conta]],'BD - A - Despesas'!$BU$15:$BY$500,5,0),0)</f>
        <v>0</v>
      </c>
      <c r="P103" s="24">
        <f>IFERROR(VLOOKUP(Tabela32[[#This Row],[Conta]],'BD - A - Despesas'!$CD$15:$CH$500,5,0),0)</f>
        <v>0</v>
      </c>
      <c r="Q103" s="24">
        <f>IFERROR(VLOOKUP(Tabela32[[#This Row],[Conta]],'BD - A - Despesas'!$CM$15:$CQ$500,5,0),0)</f>
        <v>0</v>
      </c>
      <c r="R103" s="24">
        <f>IFERROR(VLOOKUP(Tabela32[[#This Row],[Conta]],'BD - A - Despesas'!$CV$15:$CZ$500,5,0),0)</f>
        <v>0</v>
      </c>
      <c r="S103"/>
    </row>
    <row r="104" spans="3:19">
      <c r="C104" s="79" t="s">
        <v>347</v>
      </c>
      <c r="D104" s="80" t="s">
        <v>336</v>
      </c>
      <c r="E104" s="85">
        <v>332604</v>
      </c>
      <c r="F104" s="79" t="s">
        <v>375</v>
      </c>
      <c r="G104" s="12">
        <f>IFERROR(VLOOKUP(Tabela32[[#This Row],[Conta]],'BD - A - Despesas'!$A$15:$E$500,5,0),0)</f>
        <v>0</v>
      </c>
      <c r="H104" s="24">
        <f>IFERROR(VLOOKUP(Tabela32[[#This Row],[Conta]],'BD - A - Despesas'!$J$15:$N$500,5,0),0)</f>
        <v>0</v>
      </c>
      <c r="I104" s="24">
        <f>IFERROR(VLOOKUP(Tabela32[[#This Row],[Conta]],'BD - A - Despesas'!$S$15:$W$500,5,0),0)</f>
        <v>0</v>
      </c>
      <c r="J104" s="24">
        <f>IFERROR(VLOOKUP(Tabela32[[#This Row],[Conta]],'BD - A - Despesas'!$AB$15:$AF$500,5,0),0)</f>
        <v>0</v>
      </c>
      <c r="K104" s="24">
        <f>IFERROR(VLOOKUP(Tabela32[[#This Row],[Conta]],'BD - A - Despesas'!$AK$15:$AO$500,5,0),0)</f>
        <v>0</v>
      </c>
      <c r="L104" s="24">
        <f>IFERROR(VLOOKUP(Tabela32[[#This Row],[Conta]],'BD - A - Despesas'!$AT$15:$AX$500,5,0),0)</f>
        <v>0</v>
      </c>
      <c r="M104" s="24">
        <f>IFERROR(VLOOKUP(Tabela32[[#This Row],[Conta]],'BD - A - Despesas'!$BC$15:$BG$500,5,0),0)</f>
        <v>0</v>
      </c>
      <c r="N104" s="24">
        <f>IFERROR(VLOOKUP(Tabela32[[#This Row],[Conta]],'BD - A - Despesas'!$BL$15:$BP$500,5,0),0)</f>
        <v>0</v>
      </c>
      <c r="O104" s="24">
        <f>IFERROR(VLOOKUP(Tabela32[[#This Row],[Conta]],'BD - A - Despesas'!$BU$15:$BY$500,5,0),0)</f>
        <v>0</v>
      </c>
      <c r="P104" s="24">
        <f>IFERROR(VLOOKUP(Tabela32[[#This Row],[Conta]],'BD - A - Despesas'!$CD$15:$CH$500,5,0),0)</f>
        <v>0</v>
      </c>
      <c r="Q104" s="24">
        <f>IFERROR(VLOOKUP(Tabela32[[#This Row],[Conta]],'BD - A - Despesas'!$CM$15:$CQ$500,5,0),0)</f>
        <v>0</v>
      </c>
      <c r="R104" s="24">
        <f>IFERROR(VLOOKUP(Tabela32[[#This Row],[Conta]],'BD - A - Despesas'!$CV$15:$CZ$500,5,0),0)</f>
        <v>0</v>
      </c>
      <c r="S104"/>
    </row>
    <row r="105" spans="3:19">
      <c r="C105" s="79" t="s">
        <v>349</v>
      </c>
      <c r="D105" s="80" t="s">
        <v>38</v>
      </c>
      <c r="E105" s="100">
        <v>332908</v>
      </c>
      <c r="F105" s="79" t="s">
        <v>327</v>
      </c>
      <c r="G105" s="12">
        <f>IFERROR(VLOOKUP(Tabela32[[#This Row],[Conta]],'BD - A - Despesas'!$A$15:$E$500,5,0),0)</f>
        <v>0</v>
      </c>
      <c r="H105" s="24">
        <f>IFERROR(VLOOKUP(Tabela32[[#This Row],[Conta]],'BD - A - Despesas'!$J$15:$N$500,5,0),0)</f>
        <v>0</v>
      </c>
      <c r="I105" s="24">
        <f>IFERROR(VLOOKUP(Tabela32[[#This Row],[Conta]],'BD - A - Despesas'!$S$15:$W$500,5,0),0)</f>
        <v>0</v>
      </c>
      <c r="J105" s="24">
        <f>IFERROR(VLOOKUP(Tabela32[[#This Row],[Conta]],'BD - A - Despesas'!$AB$15:$AF$500,5,0),0)</f>
        <v>0</v>
      </c>
      <c r="K105" s="24">
        <f>IFERROR(VLOOKUP(Tabela32[[#This Row],[Conta]],'BD - A - Despesas'!$AK$15:$AO$500,5,0),0)</f>
        <v>0</v>
      </c>
      <c r="L105" s="24">
        <f>IFERROR(VLOOKUP(Tabela32[[#This Row],[Conta]],'BD - A - Despesas'!$AT$15:$AX$500,5,0),0)</f>
        <v>0</v>
      </c>
      <c r="M105" s="24">
        <f>IFERROR(VLOOKUP(Tabela32[[#This Row],[Conta]],'BD - A - Despesas'!$BC$15:$BG$500,5,0),0)</f>
        <v>0</v>
      </c>
      <c r="N105" s="24">
        <f>IFERROR(VLOOKUP(Tabela32[[#This Row],[Conta]],'BD - A - Despesas'!$BL$15:$BP$500,5,0),0)</f>
        <v>0</v>
      </c>
      <c r="O105" s="24">
        <f>IFERROR(VLOOKUP(Tabela32[[#This Row],[Conta]],'BD - A - Despesas'!$BU$15:$BY$500,5,0),0)</f>
        <v>0</v>
      </c>
      <c r="P105" s="24">
        <f>IFERROR(VLOOKUP(Tabela32[[#This Row],[Conta]],'BD - A - Despesas'!$CD$15:$CH$500,5,0),0)</f>
        <v>0</v>
      </c>
      <c r="Q105" s="24">
        <f>IFERROR(VLOOKUP(Tabela32[[#This Row],[Conta]],'BD - A - Despesas'!$CM$15:$CQ$500,5,0),0)</f>
        <v>0</v>
      </c>
      <c r="R105" s="24">
        <f>IFERROR(VLOOKUP(Tabela32[[#This Row],[Conta]],'BD - A - Despesas'!$CV$15:$CZ$500,5,0),0)</f>
        <v>0</v>
      </c>
      <c r="S105"/>
    </row>
    <row r="106" spans="3:19">
      <c r="C106" s="79" t="s">
        <v>347</v>
      </c>
      <c r="D106" s="80" t="s">
        <v>377</v>
      </c>
      <c r="E106" s="100">
        <v>332909</v>
      </c>
      <c r="F106" s="79" t="s">
        <v>555</v>
      </c>
      <c r="G106" s="12">
        <f>IFERROR(VLOOKUP(Tabela32[[#This Row],[Conta]],'BD - A - Despesas'!$A$15:$E$500,5,0),0)</f>
        <v>0</v>
      </c>
      <c r="H106" s="24">
        <f>IFERROR(VLOOKUP(Tabela32[[#This Row],[Conta]],'BD - A - Despesas'!$J$15:$N$500,5,0),0)</f>
        <v>0</v>
      </c>
      <c r="I106" s="24">
        <f>IFERROR(VLOOKUP(Tabela32[[#This Row],[Conta]],'BD - A - Despesas'!$S$15:$W$500,5,0),0)</f>
        <v>0</v>
      </c>
      <c r="J106" s="24">
        <f>IFERROR(VLOOKUP(Tabela32[[#This Row],[Conta]],'BD - A - Despesas'!$AB$15:$AF$500,5,0),0)</f>
        <v>0</v>
      </c>
      <c r="K106" s="24">
        <f>IFERROR(VLOOKUP(Tabela32[[#This Row],[Conta]],'BD - A - Despesas'!$AK$15:$AO$500,5,0),0)</f>
        <v>0</v>
      </c>
      <c r="L106" s="24">
        <f>IFERROR(VLOOKUP(Tabela32[[#This Row],[Conta]],'BD - A - Despesas'!$AT$15:$AX$500,5,0),0)</f>
        <v>0</v>
      </c>
      <c r="M106" s="24">
        <f>IFERROR(VLOOKUP(Tabela32[[#This Row],[Conta]],'BD - A - Despesas'!$BC$15:$BG$500,5,0),0)</f>
        <v>0</v>
      </c>
      <c r="N106" s="24">
        <f>IFERROR(VLOOKUP(Tabela32[[#This Row],[Conta]],'BD - A - Despesas'!$BL$15:$BP$500,5,0),0)</f>
        <v>0</v>
      </c>
      <c r="O106" s="24">
        <f>IFERROR(VLOOKUP(Tabela32[[#This Row],[Conta]],'BD - A - Despesas'!$BU$15:$BY$500,5,0),0)</f>
        <v>0</v>
      </c>
      <c r="P106" s="24">
        <f>IFERROR(VLOOKUP(Tabela32[[#This Row],[Conta]],'BD - A - Despesas'!$CD$15:$CH$500,5,0),0)</f>
        <v>0</v>
      </c>
      <c r="Q106" s="24">
        <f>IFERROR(VLOOKUP(Tabela32[[#This Row],[Conta]],'BD - A - Despesas'!$CM$15:$CQ$500,5,0),0)</f>
        <v>0</v>
      </c>
      <c r="R106" s="24">
        <f>IFERROR(VLOOKUP(Tabela32[[#This Row],[Conta]],'BD - A - Despesas'!$CV$15:$CZ$500,5,0),0)</f>
        <v>0</v>
      </c>
      <c r="S106"/>
    </row>
    <row r="107" spans="3:19">
      <c r="C107" s="79" t="s">
        <v>349</v>
      </c>
      <c r="D107" s="80" t="s">
        <v>38</v>
      </c>
      <c r="E107" s="100">
        <v>332990</v>
      </c>
      <c r="F107" s="82" t="s">
        <v>328</v>
      </c>
      <c r="G107" s="12">
        <f>IFERROR(VLOOKUP(Tabela32[[#This Row],[Conta]],'BD - A - Despesas'!$A$15:$E$500,5,0),0)</f>
        <v>0</v>
      </c>
      <c r="H107" s="24">
        <f>IFERROR(VLOOKUP(Tabela32[[#This Row],[Conta]],'BD - A - Despesas'!$J$15:$N$500,5,0),0)</f>
        <v>0</v>
      </c>
      <c r="I107" s="24">
        <f>IFERROR(VLOOKUP(Tabela32[[#This Row],[Conta]],'BD - A - Despesas'!$S$15:$W$500,5,0),0)</f>
        <v>0</v>
      </c>
      <c r="J107" s="24">
        <f>IFERROR(VLOOKUP(Tabela32[[#This Row],[Conta]],'BD - A - Despesas'!$AB$15:$AF$500,5,0),0)</f>
        <v>0</v>
      </c>
      <c r="K107" s="24">
        <f>IFERROR(VLOOKUP(Tabela32[[#This Row],[Conta]],'BD - A - Despesas'!$AK$15:$AO$500,5,0),0)</f>
        <v>0</v>
      </c>
      <c r="L107" s="24">
        <f>IFERROR(VLOOKUP(Tabela32[[#This Row],[Conta]],'BD - A - Despesas'!$AT$15:$AX$500,5,0),0)</f>
        <v>0</v>
      </c>
      <c r="M107" s="24">
        <f>IFERROR(VLOOKUP(Tabela32[[#This Row],[Conta]],'BD - A - Despesas'!$BC$15:$BG$500,5,0),0)</f>
        <v>0</v>
      </c>
      <c r="N107" s="24">
        <f>IFERROR(VLOOKUP(Tabela32[[#This Row],[Conta]],'BD - A - Despesas'!$BL$15:$BP$500,5,0),0)</f>
        <v>0</v>
      </c>
      <c r="O107" s="24">
        <f>IFERROR(VLOOKUP(Tabela32[[#This Row],[Conta]],'BD - A - Despesas'!$BU$15:$BY$500,5,0),0)</f>
        <v>0</v>
      </c>
      <c r="P107" s="24">
        <f>IFERROR(VLOOKUP(Tabela32[[#This Row],[Conta]],'BD - A - Despesas'!$CD$15:$CH$500,5,0),0)</f>
        <v>0</v>
      </c>
      <c r="Q107" s="24">
        <f>IFERROR(VLOOKUP(Tabela32[[#This Row],[Conta]],'BD - A - Despesas'!$CM$15:$CQ$500,5,0),0)</f>
        <v>0</v>
      </c>
      <c r="R107" s="24">
        <f>IFERROR(VLOOKUP(Tabela32[[#This Row],[Conta]],'BD - A - Despesas'!$CV$15:$CZ$500,5,0),0)</f>
        <v>0</v>
      </c>
      <c r="S107"/>
    </row>
    <row r="108" spans="3:19">
      <c r="C108" s="79" t="s">
        <v>420</v>
      </c>
      <c r="D108" s="80" t="s">
        <v>127</v>
      </c>
      <c r="E108" s="100">
        <v>333104</v>
      </c>
      <c r="F108" s="82" t="s">
        <v>206</v>
      </c>
      <c r="G108" s="12">
        <f>IFERROR(VLOOKUP(Tabela32[[#This Row],[Conta]],'BD - A - Despesas'!$A$15:$E$500,5,0),0)</f>
        <v>0</v>
      </c>
      <c r="H108" s="24">
        <f>IFERROR(VLOOKUP(Tabela32[[#This Row],[Conta]],'BD - A - Despesas'!$J$15:$N$500,5,0),0)</f>
        <v>0</v>
      </c>
      <c r="I108" s="24">
        <f>IFERROR(VLOOKUP(Tabela32[[#This Row],[Conta]],'BD - A - Despesas'!$S$15:$W$500,5,0),0)</f>
        <v>0</v>
      </c>
      <c r="J108" s="24">
        <f>IFERROR(VLOOKUP(Tabela32[[#This Row],[Conta]],'BD - A - Despesas'!$AB$15:$AF$500,5,0),0)</f>
        <v>0</v>
      </c>
      <c r="K108" s="24">
        <f>IFERROR(VLOOKUP(Tabela32[[#This Row],[Conta]],'BD - A - Despesas'!$AK$15:$AO$500,5,0),0)</f>
        <v>0</v>
      </c>
      <c r="L108" s="24">
        <f>IFERROR(VLOOKUP(Tabela32[[#This Row],[Conta]],'BD - A - Despesas'!$AT$15:$AX$500,5,0),0)</f>
        <v>0</v>
      </c>
      <c r="M108" s="24">
        <f>IFERROR(VLOOKUP(Tabela32[[#This Row],[Conta]],'BD - A - Despesas'!$BC$15:$BG$500,5,0),0)</f>
        <v>0</v>
      </c>
      <c r="N108" s="24">
        <f>IFERROR(VLOOKUP(Tabela32[[#This Row],[Conta]],'BD - A - Despesas'!$BL$15:$BP$500,5,0),0)</f>
        <v>0</v>
      </c>
      <c r="O108" s="24">
        <f>IFERROR(VLOOKUP(Tabela32[[#This Row],[Conta]],'BD - A - Despesas'!$BU$15:$BY$500,5,0),0)</f>
        <v>0</v>
      </c>
      <c r="P108" s="24">
        <f>IFERROR(VLOOKUP(Tabela32[[#This Row],[Conta]],'BD - A - Despesas'!$CD$15:$CH$500,5,0),0)</f>
        <v>0</v>
      </c>
      <c r="Q108" s="24">
        <f>IFERROR(VLOOKUP(Tabela32[[#This Row],[Conta]],'BD - A - Despesas'!$CM$15:$CQ$500,5,0),0)</f>
        <v>0</v>
      </c>
      <c r="R108" s="24">
        <f>IFERROR(VLOOKUP(Tabela32[[#This Row],[Conta]],'BD - A - Despesas'!$CV$15:$CZ$500,5,0),0)</f>
        <v>0</v>
      </c>
      <c r="S108"/>
    </row>
    <row r="109" spans="3:19">
      <c r="C109" s="79" t="s">
        <v>347</v>
      </c>
      <c r="D109" s="80" t="s">
        <v>345</v>
      </c>
      <c r="E109" s="85">
        <v>333290</v>
      </c>
      <c r="F109" s="79" t="s">
        <v>329</v>
      </c>
      <c r="G109" s="12">
        <f>IFERROR(VLOOKUP(Tabela32[[#This Row],[Conta]],'BD - A - Despesas'!$A$15:$E$500,5,0),0)</f>
        <v>0</v>
      </c>
      <c r="H109" s="24">
        <f>IFERROR(VLOOKUP(Tabela32[[#This Row],[Conta]],'BD - A - Despesas'!$J$15:$N$500,5,0),0)</f>
        <v>0</v>
      </c>
      <c r="I109" s="24">
        <f>IFERROR(VLOOKUP(Tabela32[[#This Row],[Conta]],'BD - A - Despesas'!$S$15:$W$500,5,0),0)</f>
        <v>0</v>
      </c>
      <c r="J109" s="24">
        <f>IFERROR(VLOOKUP(Tabela32[[#This Row],[Conta]],'BD - A - Despesas'!$AB$15:$AF$500,5,0),0)</f>
        <v>0</v>
      </c>
      <c r="K109" s="24">
        <f>IFERROR(VLOOKUP(Tabela32[[#This Row],[Conta]],'BD - A - Despesas'!$AK$15:$AO$500,5,0),0)</f>
        <v>0</v>
      </c>
      <c r="L109" s="24">
        <f>IFERROR(VLOOKUP(Tabela32[[#This Row],[Conta]],'BD - A - Despesas'!$AT$15:$AX$500,5,0),0)</f>
        <v>0</v>
      </c>
      <c r="M109" s="24">
        <f>IFERROR(VLOOKUP(Tabela32[[#This Row],[Conta]],'BD - A - Despesas'!$BC$15:$BG$500,5,0),0)</f>
        <v>0</v>
      </c>
      <c r="N109" s="24">
        <f>IFERROR(VLOOKUP(Tabela32[[#This Row],[Conta]],'BD - A - Despesas'!$BL$15:$BP$500,5,0),0)</f>
        <v>0</v>
      </c>
      <c r="O109" s="24">
        <f>IFERROR(VLOOKUP(Tabela32[[#This Row],[Conta]],'BD - A - Despesas'!$BU$15:$BY$500,5,0),0)</f>
        <v>0</v>
      </c>
      <c r="P109" s="24">
        <f>IFERROR(VLOOKUP(Tabela32[[#This Row],[Conta]],'BD - A - Despesas'!$CD$15:$CH$500,5,0),0)</f>
        <v>0</v>
      </c>
      <c r="Q109" s="24">
        <f>IFERROR(VLOOKUP(Tabela32[[#This Row],[Conta]],'BD - A - Despesas'!$CM$15:$CQ$500,5,0),0)</f>
        <v>0</v>
      </c>
      <c r="R109" s="24">
        <f>IFERROR(VLOOKUP(Tabela32[[#This Row],[Conta]],'BD - A - Despesas'!$CV$15:$CZ$500,5,0),0)</f>
        <v>0</v>
      </c>
      <c r="S109"/>
    </row>
    <row r="110" spans="3:19">
      <c r="C110" s="84" t="s">
        <v>384</v>
      </c>
      <c r="D110" s="80" t="s">
        <v>377</v>
      </c>
      <c r="E110" s="85">
        <v>333291</v>
      </c>
      <c r="F110" s="86" t="s">
        <v>376</v>
      </c>
      <c r="G110" s="12">
        <f>IFERROR(VLOOKUP(Tabela32[[#This Row],[Conta]],'BD - A - Despesas'!$A$15:$E$500,5,0),0)</f>
        <v>0</v>
      </c>
      <c r="H110" s="24">
        <f>IFERROR(VLOOKUP(Tabela32[[#This Row],[Conta]],'BD - A - Despesas'!$J$15:$N$500,5,0),0)</f>
        <v>0</v>
      </c>
      <c r="I110" s="24">
        <f>IFERROR(VLOOKUP(Tabela32[[#This Row],[Conta]],'BD - A - Despesas'!$S$15:$W$500,5,0),0)</f>
        <v>0</v>
      </c>
      <c r="J110" s="24">
        <f>IFERROR(VLOOKUP(Tabela32[[#This Row],[Conta]],'BD - A - Despesas'!$AB$15:$AF$500,5,0),0)</f>
        <v>0</v>
      </c>
      <c r="K110" s="24">
        <f>IFERROR(VLOOKUP(Tabela32[[#This Row],[Conta]],'BD - A - Despesas'!$AK$15:$AO$500,5,0),0)</f>
        <v>0</v>
      </c>
      <c r="L110" s="24">
        <f>IFERROR(VLOOKUP(Tabela32[[#This Row],[Conta]],'BD - A - Despesas'!$AT$15:$AX$500,5,0),0)</f>
        <v>0</v>
      </c>
      <c r="M110" s="24">
        <f>IFERROR(VLOOKUP(Tabela32[[#This Row],[Conta]],'BD - A - Despesas'!$BC$15:$BG$500,5,0),0)</f>
        <v>0</v>
      </c>
      <c r="N110" s="24">
        <f>IFERROR(VLOOKUP(Tabela32[[#This Row],[Conta]],'BD - A - Despesas'!$BL$15:$BP$500,5,0),0)</f>
        <v>0</v>
      </c>
      <c r="O110" s="24">
        <f>IFERROR(VLOOKUP(Tabela32[[#This Row],[Conta]],'BD - A - Despesas'!$BU$15:$BY$500,5,0),0)</f>
        <v>0</v>
      </c>
      <c r="P110" s="24">
        <f>IFERROR(VLOOKUP(Tabela32[[#This Row],[Conta]],'BD - A - Despesas'!$CD$15:$CH$500,5,0),0)</f>
        <v>0</v>
      </c>
      <c r="Q110" s="24">
        <f>IFERROR(VLOOKUP(Tabela32[[#This Row],[Conta]],'BD - A - Despesas'!$CM$15:$CQ$500,5,0),0)</f>
        <v>0</v>
      </c>
      <c r="R110" s="24">
        <f>IFERROR(VLOOKUP(Tabela32[[#This Row],[Conta]],'BD - A - Despesas'!$CV$15:$CZ$500,5,0),0)</f>
        <v>0</v>
      </c>
      <c r="S110"/>
    </row>
    <row r="111" spans="3:19">
      <c r="C111" s="79"/>
      <c r="D111" s="92"/>
      <c r="E111" s="100"/>
      <c r="F111" s="79"/>
      <c r="G111" s="12">
        <f>IFERROR(VLOOKUP(Tabela32[[#This Row],[Conta]],'BD - A - Despesas'!$A$15:$E$500,5,0),0)</f>
        <v>0</v>
      </c>
      <c r="H111" s="24">
        <f>IFERROR(VLOOKUP(Tabela32[[#This Row],[Conta]],'BD - A - Despesas'!$J$15:$N$500,5,0),0)</f>
        <v>0</v>
      </c>
      <c r="I111" s="24">
        <f>IFERROR(VLOOKUP(Tabela32[[#This Row],[Conta]],'BD - A - Despesas'!$S$15:$W$500,5,0),0)</f>
        <v>0</v>
      </c>
      <c r="J111" s="24">
        <f>IFERROR(VLOOKUP(Tabela32[[#This Row],[Conta]],'BD - A - Despesas'!$AB$15:$AF$500,5,0),0)</f>
        <v>0</v>
      </c>
      <c r="K111" s="24">
        <f>IFERROR(VLOOKUP(Tabela32[[#This Row],[Conta]],'BD - A - Despesas'!$AK$15:$AO$500,5,0),0)</f>
        <v>0</v>
      </c>
      <c r="L111" s="24">
        <f>IFERROR(VLOOKUP(Tabela32[[#This Row],[Conta]],'BD - A - Despesas'!$AT$15:$AX$500,5,0),0)</f>
        <v>0</v>
      </c>
      <c r="M111" s="24">
        <f>IFERROR(VLOOKUP(Tabela32[[#This Row],[Conta]],'BD - A - Despesas'!$BC$15:$BG$500,5,0),0)</f>
        <v>0</v>
      </c>
      <c r="N111" s="24">
        <f>IFERROR(VLOOKUP(Tabela32[[#This Row],[Conta]],'BD - A - Despesas'!$BL$15:$BP$500,5,0),0)</f>
        <v>0</v>
      </c>
      <c r="O111" s="24">
        <f>IFERROR(VLOOKUP(Tabela32[[#This Row],[Conta]],'BD - A - Despesas'!$BU$15:$BY$500,5,0),0)</f>
        <v>0</v>
      </c>
      <c r="P111" s="24">
        <f>IFERROR(VLOOKUP(Tabela32[[#This Row],[Conta]],'BD - A - Despesas'!$CD$15:$CH$500,5,0),0)</f>
        <v>0</v>
      </c>
      <c r="Q111" s="24">
        <f>IFERROR(VLOOKUP(Tabela32[[#This Row],[Conta]],'BD - A - Despesas'!$CM$15:$CQ$500,5,0),0)</f>
        <v>0</v>
      </c>
      <c r="R111" s="24">
        <f>IFERROR(VLOOKUP(Tabela32[[#This Row],[Conta]],'BD - A - Despesas'!$CV$15:$CZ$500,5,0),0)</f>
        <v>0</v>
      </c>
      <c r="S111"/>
    </row>
    <row r="112" spans="3:19">
      <c r="C112" s="79"/>
      <c r="D112" s="92"/>
      <c r="E112" s="100"/>
      <c r="F112" s="79"/>
      <c r="G112" s="12">
        <f>IFERROR(VLOOKUP(Tabela32[[#This Row],[Conta]],'BD - A - Despesas'!$A$15:$E$500,5,0),0)</f>
        <v>0</v>
      </c>
      <c r="H112" s="24">
        <f>IFERROR(VLOOKUP(Tabela32[[#This Row],[Conta]],'BD - A - Despesas'!$J$15:$N$500,5,0),0)</f>
        <v>0</v>
      </c>
      <c r="I112" s="24">
        <f>IFERROR(VLOOKUP(Tabela32[[#This Row],[Conta]],'BD - A - Despesas'!$S$15:$W$500,5,0),0)</f>
        <v>0</v>
      </c>
      <c r="J112" s="24">
        <f>IFERROR(VLOOKUP(Tabela32[[#This Row],[Conta]],'BD - A - Despesas'!$AB$15:$AF$500,5,0),0)</f>
        <v>0</v>
      </c>
      <c r="K112" s="24">
        <f>IFERROR(VLOOKUP(Tabela32[[#This Row],[Conta]],'BD - A - Despesas'!$AK$15:$AO$500,5,0),0)</f>
        <v>0</v>
      </c>
      <c r="L112" s="24">
        <f>IFERROR(VLOOKUP(Tabela32[[#This Row],[Conta]],'BD - A - Despesas'!$AT$15:$AX$500,5,0),0)</f>
        <v>0</v>
      </c>
      <c r="M112" s="24">
        <f>IFERROR(VLOOKUP(Tabela32[[#This Row],[Conta]],'BD - A - Despesas'!$BC$15:$BG$500,5,0),0)</f>
        <v>0</v>
      </c>
      <c r="N112" s="24">
        <f>IFERROR(VLOOKUP(Tabela32[[#This Row],[Conta]],'BD - A - Despesas'!$BL$15:$BP$500,5,0),0)</f>
        <v>0</v>
      </c>
      <c r="O112" s="24">
        <f>IFERROR(VLOOKUP(Tabela32[[#This Row],[Conta]],'BD - A - Despesas'!$BU$15:$BY$500,5,0),0)</f>
        <v>0</v>
      </c>
      <c r="P112" s="24">
        <f>IFERROR(VLOOKUP(Tabela32[[#This Row],[Conta]],'BD - A - Despesas'!$CD$15:$CH$500,5,0),0)</f>
        <v>0</v>
      </c>
      <c r="Q112" s="24">
        <f>IFERROR(VLOOKUP(Tabela32[[#This Row],[Conta]],'BD - A - Despesas'!$CM$15:$CQ$500,5,0),0)</f>
        <v>0</v>
      </c>
      <c r="R112" s="24">
        <f>IFERROR(VLOOKUP(Tabela32[[#This Row],[Conta]],'BD - A - Despesas'!$CV$15:$CZ$500,5,0),0)</f>
        <v>0</v>
      </c>
      <c r="S112"/>
    </row>
    <row r="113" spans="3:19">
      <c r="C113" s="79"/>
      <c r="D113" s="92"/>
      <c r="E113" s="85"/>
      <c r="F113" s="79"/>
      <c r="G113" s="12">
        <f>IFERROR(VLOOKUP(Tabela32[[#This Row],[Conta]],'BD - A - Despesas'!$A$15:$E$500,5,0),0)</f>
        <v>0</v>
      </c>
      <c r="H113" s="24">
        <f>IFERROR(VLOOKUP(Tabela32[[#This Row],[Conta]],'BD - A - Despesas'!$J$15:$N$500,5,0),0)</f>
        <v>0</v>
      </c>
      <c r="I113" s="24">
        <f>IFERROR(VLOOKUP(Tabela32[[#This Row],[Conta]],'BD - A - Despesas'!$S$15:$W$500,5,0),0)</f>
        <v>0</v>
      </c>
      <c r="J113" s="24">
        <f>IFERROR(VLOOKUP(Tabela32[[#This Row],[Conta]],'BD - A - Despesas'!$AB$15:$AF$500,5,0),0)</f>
        <v>0</v>
      </c>
      <c r="K113" s="24">
        <f>IFERROR(VLOOKUP(Tabela32[[#This Row],[Conta]],'BD - A - Despesas'!$AK$15:$AO$500,5,0),0)</f>
        <v>0</v>
      </c>
      <c r="L113" s="24">
        <f>IFERROR(VLOOKUP(Tabela32[[#This Row],[Conta]],'BD - A - Despesas'!$AT$15:$AX$500,5,0),0)</f>
        <v>0</v>
      </c>
      <c r="M113" s="24">
        <f>IFERROR(VLOOKUP(Tabela32[[#This Row],[Conta]],'BD - A - Despesas'!$BC$15:$BG$500,5,0),0)</f>
        <v>0</v>
      </c>
      <c r="N113" s="24">
        <f>IFERROR(VLOOKUP(Tabela32[[#This Row],[Conta]],'BD - A - Despesas'!$BL$15:$BP$500,5,0),0)</f>
        <v>0</v>
      </c>
      <c r="O113" s="24">
        <f>IFERROR(VLOOKUP(Tabela32[[#This Row],[Conta]],'BD - A - Despesas'!$BU$15:$BY$500,5,0),0)</f>
        <v>0</v>
      </c>
      <c r="P113" s="24">
        <f>IFERROR(VLOOKUP(Tabela32[[#This Row],[Conta]],'BD - A - Despesas'!$CD$15:$CH$500,5,0),0)</f>
        <v>0</v>
      </c>
      <c r="Q113" s="24">
        <f>IFERROR(VLOOKUP(Tabela32[[#This Row],[Conta]],'BD - A - Despesas'!$CM$15:$CQ$500,5,0),0)</f>
        <v>0</v>
      </c>
      <c r="R113" s="24">
        <f>IFERROR(VLOOKUP(Tabela32[[#This Row],[Conta]],'BD - A - Despesas'!$CV$15:$CZ$500,5,0),0)</f>
        <v>0</v>
      </c>
      <c r="S113"/>
    </row>
    <row r="114" spans="3:19">
      <c r="C114" s="79"/>
      <c r="D114" s="92"/>
      <c r="E114" s="85"/>
      <c r="F114" s="79"/>
      <c r="G114" s="12">
        <f>IFERROR(VLOOKUP(Tabela32[[#This Row],[Conta]],'BD - A - Despesas'!$A$15:$E$500,5,0),0)</f>
        <v>0</v>
      </c>
      <c r="H114" s="24">
        <f>IFERROR(VLOOKUP(Tabela32[[#This Row],[Conta]],'BD - A - Despesas'!$J$15:$N$500,5,0),0)</f>
        <v>0</v>
      </c>
      <c r="I114" s="24">
        <f>IFERROR(VLOOKUP(Tabela32[[#This Row],[Conta]],'BD - A - Despesas'!$S$15:$W$500,5,0),0)</f>
        <v>0</v>
      </c>
      <c r="J114" s="24">
        <f>IFERROR(VLOOKUP(Tabela32[[#This Row],[Conta]],'BD - A - Despesas'!$AB$15:$AF$500,5,0),0)</f>
        <v>0</v>
      </c>
      <c r="K114" s="24">
        <f>IFERROR(VLOOKUP(Tabela32[[#This Row],[Conta]],'BD - A - Despesas'!$AK$15:$AO$500,5,0),0)</f>
        <v>0</v>
      </c>
      <c r="L114" s="24">
        <f>IFERROR(VLOOKUP(Tabela32[[#This Row],[Conta]],'BD - A - Despesas'!$AT$15:$AX$500,5,0),0)</f>
        <v>0</v>
      </c>
      <c r="M114" s="24">
        <f>IFERROR(VLOOKUP(Tabela32[[#This Row],[Conta]],'BD - A - Despesas'!$BC$15:$BG$500,5,0),0)</f>
        <v>0</v>
      </c>
      <c r="N114" s="24">
        <f>IFERROR(VLOOKUP(Tabela32[[#This Row],[Conta]],'BD - A - Despesas'!$BL$15:$BP$500,5,0),0)</f>
        <v>0</v>
      </c>
      <c r="O114" s="24">
        <f>IFERROR(VLOOKUP(Tabela32[[#This Row],[Conta]],'BD - A - Despesas'!$BU$15:$BY$500,5,0),0)</f>
        <v>0</v>
      </c>
      <c r="P114" s="24">
        <f>IFERROR(VLOOKUP(Tabela32[[#This Row],[Conta]],'BD - A - Despesas'!$CD$15:$CH$500,5,0),0)</f>
        <v>0</v>
      </c>
      <c r="Q114" s="24">
        <f>IFERROR(VLOOKUP(Tabela32[[#This Row],[Conta]],'BD - A - Despesas'!$CM$15:$CQ$500,5,0),0)</f>
        <v>0</v>
      </c>
      <c r="R114" s="24">
        <f>IFERROR(VLOOKUP(Tabela32[[#This Row],[Conta]],'BD - A - Despesas'!$CV$15:$CZ$500,5,0),0)</f>
        <v>0</v>
      </c>
      <c r="S114"/>
    </row>
    <row r="115" spans="3:19">
      <c r="C115" s="79"/>
      <c r="D115" s="92"/>
      <c r="E115" s="85"/>
      <c r="F115" s="79"/>
      <c r="G115" s="12">
        <f>IFERROR(VLOOKUP(Tabela32[[#This Row],[Conta]],'BD - A - Despesas'!$A$15:$E$500,5,0),0)</f>
        <v>0</v>
      </c>
      <c r="H115" s="24">
        <f>IFERROR(VLOOKUP(Tabela32[[#This Row],[Conta]],'BD - A - Despesas'!$J$15:$N$500,5,0),0)</f>
        <v>0</v>
      </c>
      <c r="I115" s="24">
        <f>IFERROR(VLOOKUP(Tabela32[[#This Row],[Conta]],'BD - A - Despesas'!$S$15:$W$500,5,0),0)</f>
        <v>0</v>
      </c>
      <c r="J115" s="24">
        <f>IFERROR(VLOOKUP(Tabela32[[#This Row],[Conta]],'BD - A - Despesas'!$AB$15:$AF$500,5,0),0)</f>
        <v>0</v>
      </c>
      <c r="K115" s="24">
        <f>IFERROR(VLOOKUP(Tabela32[[#This Row],[Conta]],'BD - A - Despesas'!$AK$15:$AO$500,5,0),0)</f>
        <v>0</v>
      </c>
      <c r="L115" s="24">
        <f>IFERROR(VLOOKUP(Tabela32[[#This Row],[Conta]],'BD - A - Despesas'!$AT$15:$AX$500,5,0),0)</f>
        <v>0</v>
      </c>
      <c r="M115" s="24">
        <f>IFERROR(VLOOKUP(Tabela32[[#This Row],[Conta]],'BD - A - Despesas'!$BC$15:$BG$500,5,0),0)</f>
        <v>0</v>
      </c>
      <c r="N115" s="24">
        <f>IFERROR(VLOOKUP(Tabela32[[#This Row],[Conta]],'BD - A - Despesas'!$BL$15:$BP$500,5,0),0)</f>
        <v>0</v>
      </c>
      <c r="O115" s="24">
        <f>IFERROR(VLOOKUP(Tabela32[[#This Row],[Conta]],'BD - A - Despesas'!$BU$15:$BY$500,5,0),0)</f>
        <v>0</v>
      </c>
      <c r="P115" s="24">
        <f>IFERROR(VLOOKUP(Tabela32[[#This Row],[Conta]],'BD - A - Despesas'!$CD$15:$CH$500,5,0),0)</f>
        <v>0</v>
      </c>
      <c r="Q115" s="24">
        <f>IFERROR(VLOOKUP(Tabela32[[#This Row],[Conta]],'BD - A - Despesas'!$CM$15:$CQ$500,5,0),0)</f>
        <v>0</v>
      </c>
      <c r="R115" s="24">
        <f>IFERROR(VLOOKUP(Tabela32[[#This Row],[Conta]],'BD - A - Despesas'!$CV$15:$CZ$500,5,0),0)</f>
        <v>0</v>
      </c>
      <c r="S115"/>
    </row>
    <row r="116" spans="3:19">
      <c r="C116" s="79"/>
      <c r="D116" s="92"/>
      <c r="E116" s="85"/>
      <c r="F116" s="79"/>
      <c r="G116" s="12">
        <f>IFERROR(VLOOKUP(Tabela32[[#This Row],[Conta]],'BD - A - Despesas'!$A$15:$E$500,5,0),0)</f>
        <v>0</v>
      </c>
      <c r="H116" s="24">
        <f>IFERROR(VLOOKUP(Tabela32[[#This Row],[Conta]],'BD - A - Despesas'!$J$15:$N$500,5,0),0)</f>
        <v>0</v>
      </c>
      <c r="I116" s="24">
        <f>IFERROR(VLOOKUP(Tabela32[[#This Row],[Conta]],'BD - A - Despesas'!$S$15:$W$500,5,0),0)</f>
        <v>0</v>
      </c>
      <c r="J116" s="24">
        <f>IFERROR(VLOOKUP(Tabela32[[#This Row],[Conta]],'BD - A - Despesas'!$AB$15:$AF$500,5,0),0)</f>
        <v>0</v>
      </c>
      <c r="K116" s="24">
        <f>IFERROR(VLOOKUP(Tabela32[[#This Row],[Conta]],'BD - A - Despesas'!$AK$15:$AO$500,5,0),0)</f>
        <v>0</v>
      </c>
      <c r="L116" s="24">
        <f>IFERROR(VLOOKUP(Tabela32[[#This Row],[Conta]],'BD - A - Despesas'!$AT$15:$AX$500,5,0),0)</f>
        <v>0</v>
      </c>
      <c r="M116" s="24">
        <f>IFERROR(VLOOKUP(Tabela32[[#This Row],[Conta]],'BD - A - Despesas'!$BC$15:$BG$500,5,0),0)</f>
        <v>0</v>
      </c>
      <c r="N116" s="24">
        <f>IFERROR(VLOOKUP(Tabela32[[#This Row],[Conta]],'BD - A - Despesas'!$BL$15:$BP$500,5,0),0)</f>
        <v>0</v>
      </c>
      <c r="O116" s="24">
        <f>IFERROR(VLOOKUP(Tabela32[[#This Row],[Conta]],'BD - A - Despesas'!$BU$15:$BY$500,5,0),0)</f>
        <v>0</v>
      </c>
      <c r="P116" s="24">
        <f>IFERROR(VLOOKUP(Tabela32[[#This Row],[Conta]],'BD - A - Despesas'!$CD$15:$CH$500,5,0),0)</f>
        <v>0</v>
      </c>
      <c r="Q116" s="24">
        <f>IFERROR(VLOOKUP(Tabela32[[#This Row],[Conta]],'BD - A - Despesas'!$CM$15:$CQ$500,5,0),0)</f>
        <v>0</v>
      </c>
      <c r="R116" s="24">
        <f>IFERROR(VLOOKUP(Tabela32[[#This Row],[Conta]],'BD - A - Despesas'!$CV$15:$CZ$500,5,0),0)</f>
        <v>0</v>
      </c>
      <c r="S116"/>
    </row>
    <row r="117" spans="3:19">
      <c r="C117" s="79"/>
      <c r="D117" s="92"/>
      <c r="E117" s="85"/>
      <c r="F117" s="79"/>
      <c r="G117" s="12">
        <f>IFERROR(VLOOKUP(Tabela32[[#This Row],[Conta]],'BD - A - Despesas'!$A$15:$E$500,5,0),0)</f>
        <v>0</v>
      </c>
      <c r="H117" s="24">
        <f>IFERROR(VLOOKUP(Tabela32[[#This Row],[Conta]],'BD - A - Despesas'!$J$15:$N$500,5,0),0)</f>
        <v>0</v>
      </c>
      <c r="I117" s="24">
        <f>IFERROR(VLOOKUP(Tabela32[[#This Row],[Conta]],'BD - A - Despesas'!$S$15:$W$500,5,0),0)</f>
        <v>0</v>
      </c>
      <c r="J117" s="24">
        <f>IFERROR(VLOOKUP(Tabela32[[#This Row],[Conta]],'BD - A - Despesas'!$AB$15:$AF$500,5,0),0)</f>
        <v>0</v>
      </c>
      <c r="K117" s="24">
        <f>IFERROR(VLOOKUP(Tabela32[[#This Row],[Conta]],'BD - A - Despesas'!$AK$15:$AO$500,5,0),0)</f>
        <v>0</v>
      </c>
      <c r="L117" s="24">
        <f>IFERROR(VLOOKUP(Tabela32[[#This Row],[Conta]],'BD - A - Despesas'!$AT$15:$AX$500,5,0),0)</f>
        <v>0</v>
      </c>
      <c r="M117" s="24">
        <f>IFERROR(VLOOKUP(Tabela32[[#This Row],[Conta]],'BD - A - Despesas'!$BC$15:$BG$500,5,0),0)</f>
        <v>0</v>
      </c>
      <c r="N117" s="24">
        <f>IFERROR(VLOOKUP(Tabela32[[#This Row],[Conta]],'BD - A - Despesas'!$BL$15:$BP$500,5,0),0)</f>
        <v>0</v>
      </c>
      <c r="O117" s="24">
        <f>IFERROR(VLOOKUP(Tabela32[[#This Row],[Conta]],'BD - A - Despesas'!$BU$15:$BY$500,5,0),0)</f>
        <v>0</v>
      </c>
      <c r="P117" s="24">
        <f>IFERROR(VLOOKUP(Tabela32[[#This Row],[Conta]],'BD - A - Despesas'!$CD$15:$CH$500,5,0),0)</f>
        <v>0</v>
      </c>
      <c r="Q117" s="24">
        <f>IFERROR(VLOOKUP(Tabela32[[#This Row],[Conta]],'BD - A - Despesas'!$CM$15:$CQ$500,5,0),0)</f>
        <v>0</v>
      </c>
      <c r="R117" s="24">
        <f>IFERROR(VLOOKUP(Tabela32[[#This Row],[Conta]],'BD - A - Despesas'!$CV$15:$CZ$500,5,0),0)</f>
        <v>0</v>
      </c>
      <c r="S117"/>
    </row>
    <row r="118" spans="3:19">
      <c r="C118" s="79"/>
      <c r="D118" s="92"/>
      <c r="E118" s="85"/>
      <c r="F118" s="79"/>
      <c r="G118" s="12">
        <f>IFERROR(VLOOKUP(Tabela32[[#This Row],[Conta]],'BD - A - Despesas'!$A$15:$E$500,5,0),0)</f>
        <v>0</v>
      </c>
      <c r="H118" s="24">
        <f>IFERROR(VLOOKUP(Tabela32[[#This Row],[Conta]],'BD - A - Despesas'!$J$15:$N$500,5,0),0)</f>
        <v>0</v>
      </c>
      <c r="I118" s="24">
        <f>IFERROR(VLOOKUP(Tabela32[[#This Row],[Conta]],'BD - A - Despesas'!$S$15:$W$500,5,0),0)</f>
        <v>0</v>
      </c>
      <c r="J118" s="24">
        <f>IFERROR(VLOOKUP(Tabela32[[#This Row],[Conta]],'BD - A - Despesas'!$AB$15:$AF$500,5,0),0)</f>
        <v>0</v>
      </c>
      <c r="K118" s="24">
        <f>IFERROR(VLOOKUP(Tabela32[[#This Row],[Conta]],'BD - A - Despesas'!$AK$15:$AO$500,5,0),0)</f>
        <v>0</v>
      </c>
      <c r="L118" s="24">
        <f>IFERROR(VLOOKUP(Tabela32[[#This Row],[Conta]],'BD - A - Despesas'!$AT$15:$AX$500,5,0),0)</f>
        <v>0</v>
      </c>
      <c r="M118" s="24">
        <f>IFERROR(VLOOKUP(Tabela32[[#This Row],[Conta]],'BD - A - Despesas'!$BC$15:$BG$500,5,0),0)</f>
        <v>0</v>
      </c>
      <c r="N118" s="24">
        <f>IFERROR(VLOOKUP(Tabela32[[#This Row],[Conta]],'BD - A - Despesas'!$BL$15:$BP$500,5,0),0)</f>
        <v>0</v>
      </c>
      <c r="O118" s="24">
        <f>IFERROR(VLOOKUP(Tabela32[[#This Row],[Conta]],'BD - A - Despesas'!$BU$15:$BY$500,5,0),0)</f>
        <v>0</v>
      </c>
      <c r="P118" s="24">
        <f>IFERROR(VLOOKUP(Tabela32[[#This Row],[Conta]],'BD - A - Despesas'!$CD$15:$CH$500,5,0),0)</f>
        <v>0</v>
      </c>
      <c r="Q118" s="24">
        <f>IFERROR(VLOOKUP(Tabela32[[#This Row],[Conta]],'BD - A - Despesas'!$CM$15:$CQ$500,5,0),0)</f>
        <v>0</v>
      </c>
      <c r="R118" s="24">
        <f>IFERROR(VLOOKUP(Tabela32[[#This Row],[Conta]],'BD - A - Despesas'!$CV$15:$CZ$500,5,0),0)</f>
        <v>0</v>
      </c>
      <c r="S118"/>
    </row>
    <row r="119" spans="3:19">
      <c r="C119" s="79"/>
      <c r="D119" s="92"/>
      <c r="E119" s="101"/>
      <c r="F119" s="79"/>
      <c r="G119" s="12">
        <f>IFERROR(VLOOKUP(Tabela32[[#This Row],[Conta]],'BD - A - Despesas'!$A$15:$E$500,5,0),0)</f>
        <v>0</v>
      </c>
      <c r="H119" s="24">
        <f>IFERROR(VLOOKUP(Tabela32[[#This Row],[Conta]],'BD - A - Despesas'!$J$15:$N$500,5,0),0)</f>
        <v>0</v>
      </c>
      <c r="I119" s="24">
        <f>IFERROR(VLOOKUP(Tabela32[[#This Row],[Conta]],'BD - A - Despesas'!$S$15:$W$500,5,0),0)</f>
        <v>0</v>
      </c>
      <c r="J119" s="24">
        <f>IFERROR(VLOOKUP(Tabela32[[#This Row],[Conta]],'BD - A - Despesas'!$AB$15:$AF$500,5,0),0)</f>
        <v>0</v>
      </c>
      <c r="K119" s="24">
        <f>IFERROR(VLOOKUP(Tabela32[[#This Row],[Conta]],'BD - A - Despesas'!$AK$15:$AO$500,5,0),0)</f>
        <v>0</v>
      </c>
      <c r="L119" s="24">
        <f>IFERROR(VLOOKUP(Tabela32[[#This Row],[Conta]],'BD - A - Despesas'!$AT$15:$AX$500,5,0),0)</f>
        <v>0</v>
      </c>
      <c r="M119" s="24">
        <f>IFERROR(VLOOKUP(Tabela32[[#This Row],[Conta]],'BD - A - Despesas'!$BC$15:$BG$500,5,0),0)</f>
        <v>0</v>
      </c>
      <c r="N119" s="24">
        <f>IFERROR(VLOOKUP(Tabela32[[#This Row],[Conta]],'BD - A - Despesas'!$BL$15:$BP$500,5,0),0)</f>
        <v>0</v>
      </c>
      <c r="O119" s="24">
        <f>IFERROR(VLOOKUP(Tabela32[[#This Row],[Conta]],'BD - A - Despesas'!$BU$15:$BY$500,5,0),0)</f>
        <v>0</v>
      </c>
      <c r="P119" s="24">
        <f>IFERROR(VLOOKUP(Tabela32[[#This Row],[Conta]],'BD - A - Despesas'!$CD$15:$CH$500,5,0),0)</f>
        <v>0</v>
      </c>
      <c r="Q119" s="24">
        <f>IFERROR(VLOOKUP(Tabela32[[#This Row],[Conta]],'BD - A - Despesas'!$CM$15:$CQ$500,5,0),0)</f>
        <v>0</v>
      </c>
      <c r="R119" s="24">
        <f>IFERROR(VLOOKUP(Tabela32[[#This Row],[Conta]],'BD - A - Despesas'!$CV$15:$CZ$500,5,0),0)</f>
        <v>0</v>
      </c>
      <c r="S119"/>
    </row>
    <row r="120" spans="3:19">
      <c r="C120" s="79"/>
      <c r="D120" s="92"/>
      <c r="E120" s="100"/>
      <c r="F120" s="79"/>
      <c r="G120" s="12">
        <f>IFERROR(VLOOKUP(Tabela32[[#This Row],[Conta]],'BD - A - Despesas'!$A$15:$E$500,5,0),0)</f>
        <v>0</v>
      </c>
      <c r="H120" s="24">
        <f>IFERROR(VLOOKUP(Tabela32[[#This Row],[Conta]],'BD - A - Despesas'!$J$15:$N$500,5,0),0)</f>
        <v>0</v>
      </c>
      <c r="I120" s="24">
        <f>IFERROR(VLOOKUP(Tabela32[[#This Row],[Conta]],'BD - A - Despesas'!$S$15:$W$500,5,0),0)</f>
        <v>0</v>
      </c>
      <c r="J120" s="24">
        <f>IFERROR(VLOOKUP(Tabela32[[#This Row],[Conta]],'BD - A - Despesas'!$AB$15:$AF$500,5,0),0)</f>
        <v>0</v>
      </c>
      <c r="K120" s="24">
        <f>IFERROR(VLOOKUP(Tabela32[[#This Row],[Conta]],'BD - A - Despesas'!$AK$15:$AO$500,5,0),0)</f>
        <v>0</v>
      </c>
      <c r="L120" s="24">
        <f>IFERROR(VLOOKUP(Tabela32[[#This Row],[Conta]],'BD - A - Despesas'!$AT$15:$AX$500,5,0),0)</f>
        <v>0</v>
      </c>
      <c r="M120" s="24">
        <f>IFERROR(VLOOKUP(Tabela32[[#This Row],[Conta]],'BD - A - Despesas'!$BC$15:$BG$500,5,0),0)</f>
        <v>0</v>
      </c>
      <c r="N120" s="24">
        <f>IFERROR(VLOOKUP(Tabela32[[#This Row],[Conta]],'BD - A - Despesas'!$BL$15:$BP$500,5,0),0)</f>
        <v>0</v>
      </c>
      <c r="O120" s="24">
        <f>IFERROR(VLOOKUP(Tabela32[[#This Row],[Conta]],'BD - A - Despesas'!$BU$15:$BY$500,5,0),0)</f>
        <v>0</v>
      </c>
      <c r="P120" s="24">
        <f>IFERROR(VLOOKUP(Tabela32[[#This Row],[Conta]],'BD - A - Despesas'!$CD$15:$CH$500,5,0),0)</f>
        <v>0</v>
      </c>
      <c r="Q120" s="24">
        <f>IFERROR(VLOOKUP(Tabela32[[#This Row],[Conta]],'BD - A - Despesas'!$CM$15:$CQ$500,5,0),0)</f>
        <v>0</v>
      </c>
      <c r="R120" s="24">
        <f>IFERROR(VLOOKUP(Tabela32[[#This Row],[Conta]],'BD - A - Despesas'!$CV$15:$CZ$500,5,0),0)</f>
        <v>0</v>
      </c>
      <c r="S120"/>
    </row>
    <row r="121" spans="3:19">
      <c r="C121" s="79"/>
      <c r="D121" s="92"/>
      <c r="E121" s="100"/>
      <c r="F121" s="79"/>
      <c r="G121" s="13">
        <f>IFERROR(VLOOKUP(Tabela32[[#This Row],[Conta]],'BD - A - Despesas'!$A$15:$E$500,5,0),0)</f>
        <v>0</v>
      </c>
      <c r="H121" s="24">
        <f>IFERROR(VLOOKUP(Tabela32[[#This Row],[Conta]],'BD - A - Despesas'!$J$15:$N$500,5,0),0)</f>
        <v>0</v>
      </c>
      <c r="I121" s="24">
        <f>IFERROR(VLOOKUP(Tabela32[[#This Row],[Conta]],'BD - A - Despesas'!$S$15:$W$500,5,0),0)</f>
        <v>0</v>
      </c>
      <c r="J121" s="24">
        <f>IFERROR(VLOOKUP(Tabela32[[#This Row],[Conta]],'BD - A - Despesas'!$AB$15:$AF$500,5,0),0)</f>
        <v>0</v>
      </c>
      <c r="K121" s="24">
        <f>IFERROR(VLOOKUP(Tabela32[[#This Row],[Conta]],'BD - A - Despesas'!$AK$15:$AO$500,5,0),0)</f>
        <v>0</v>
      </c>
      <c r="L121" s="24">
        <f>IFERROR(VLOOKUP(Tabela32[[#This Row],[Conta]],'BD - A - Despesas'!$AT$15:$AX$500,5,0),0)</f>
        <v>0</v>
      </c>
      <c r="M121" s="24">
        <f>IFERROR(VLOOKUP(Tabela32[[#This Row],[Conta]],'BD - A - Despesas'!$BC$15:$BG$500,5,0),0)</f>
        <v>0</v>
      </c>
      <c r="N121" s="24">
        <f>IFERROR(VLOOKUP(Tabela32[[#This Row],[Conta]],'BD - A - Despesas'!$BL$15:$BP$500,5,0),0)</f>
        <v>0</v>
      </c>
      <c r="O121" s="24">
        <f>IFERROR(VLOOKUP(Tabela32[[#This Row],[Conta]],'BD - A - Despesas'!$BU$15:$BY$500,5,0),0)</f>
        <v>0</v>
      </c>
      <c r="P121" s="24">
        <f>IFERROR(VLOOKUP(Tabela32[[#This Row],[Conta]],'BD - A - Despesas'!$CD$15:$CH$500,5,0),0)</f>
        <v>0</v>
      </c>
      <c r="Q121" s="24">
        <f>IFERROR(VLOOKUP(Tabela32[[#This Row],[Conta]],'BD - A - Despesas'!$CM$15:$CQ$500,5,0),0)</f>
        <v>0</v>
      </c>
      <c r="R121" s="24">
        <f>IFERROR(VLOOKUP(Tabela32[[#This Row],[Conta]],'BD - A - Despesas'!$CV$15:$CZ$500,5,0),0)</f>
        <v>0</v>
      </c>
      <c r="S121"/>
    </row>
    <row r="122" spans="3:19">
      <c r="C122" s="79"/>
      <c r="D122" s="92"/>
      <c r="E122" s="85"/>
      <c r="F122" s="82"/>
      <c r="G122" s="12">
        <f>IFERROR(VLOOKUP(Tabela32[[#This Row],[Conta]],'BD - A - Despesas'!$A$15:$E$500,5,0),0)</f>
        <v>0</v>
      </c>
      <c r="H122" s="24">
        <f>IFERROR(VLOOKUP(Tabela32[[#This Row],[Conta]],'BD - A - Despesas'!$J$15:$N$500,5,0),0)</f>
        <v>0</v>
      </c>
      <c r="I122" s="24">
        <f>IFERROR(VLOOKUP(Tabela32[[#This Row],[Conta]],'BD - A - Despesas'!$S$15:$W$500,5,0),0)</f>
        <v>0</v>
      </c>
      <c r="J122" s="24">
        <f>IFERROR(VLOOKUP(Tabela32[[#This Row],[Conta]],'BD - A - Despesas'!$AB$15:$AF$500,5,0),0)</f>
        <v>0</v>
      </c>
      <c r="K122" s="24">
        <f>IFERROR(VLOOKUP(Tabela32[[#This Row],[Conta]],'BD - A - Despesas'!$AK$15:$AO$500,5,0),0)</f>
        <v>0</v>
      </c>
      <c r="L122" s="24">
        <f>IFERROR(VLOOKUP(Tabela32[[#This Row],[Conta]],'BD - A - Despesas'!$AT$15:$AX$500,5,0),0)</f>
        <v>0</v>
      </c>
      <c r="M122" s="24">
        <f>IFERROR(VLOOKUP(Tabela32[[#This Row],[Conta]],'BD - A - Despesas'!$BC$15:$BG$500,5,0),0)</f>
        <v>0</v>
      </c>
      <c r="N122" s="24">
        <f>IFERROR(VLOOKUP(Tabela32[[#This Row],[Conta]],'BD - A - Despesas'!$BL$15:$BP$500,5,0),0)</f>
        <v>0</v>
      </c>
      <c r="O122" s="24">
        <f>IFERROR(VLOOKUP(Tabela32[[#This Row],[Conta]],'BD - A - Despesas'!$BU$15:$BY$500,5,0),0)</f>
        <v>0</v>
      </c>
      <c r="P122" s="24">
        <f>IFERROR(VLOOKUP(Tabela32[[#This Row],[Conta]],'BD - A - Despesas'!$CD$15:$CH$500,5,0),0)</f>
        <v>0</v>
      </c>
      <c r="Q122" s="24">
        <f>IFERROR(VLOOKUP(Tabela32[[#This Row],[Conta]],'BD - A - Despesas'!$CM$15:$CQ$500,5,0),0)</f>
        <v>0</v>
      </c>
      <c r="R122" s="24">
        <f>IFERROR(VLOOKUP(Tabela32[[#This Row],[Conta]],'BD - A - Despesas'!$CV$15:$CZ$500,5,0),0)</f>
        <v>0</v>
      </c>
      <c r="S122"/>
    </row>
    <row r="123" spans="3:19">
      <c r="C123" s="79"/>
      <c r="D123" s="92"/>
      <c r="E123" s="100"/>
      <c r="F123" s="79"/>
      <c r="G123" s="12">
        <f>IFERROR(VLOOKUP(Tabela32[[#This Row],[Conta]],'BD - A - Despesas'!$A$15:$E$500,5,0),0)</f>
        <v>0</v>
      </c>
      <c r="H123" s="24">
        <f>IFERROR(VLOOKUP(Tabela32[[#This Row],[Conta]],'BD - A - Despesas'!$J$15:$N$500,5,0),0)</f>
        <v>0</v>
      </c>
      <c r="I123" s="24">
        <f>IFERROR(VLOOKUP(Tabela32[[#This Row],[Conta]],'BD - A - Despesas'!$S$15:$W$500,5,0),0)</f>
        <v>0</v>
      </c>
      <c r="J123" s="24">
        <f>IFERROR(VLOOKUP(Tabela32[[#This Row],[Conta]],'BD - A - Despesas'!$AB$15:$AF$500,5,0),0)</f>
        <v>0</v>
      </c>
      <c r="K123" s="24">
        <f>IFERROR(VLOOKUP(Tabela32[[#This Row],[Conta]],'BD - A - Despesas'!$AK$15:$AO$500,5,0),0)</f>
        <v>0</v>
      </c>
      <c r="L123" s="24">
        <f>IFERROR(VLOOKUP(Tabela32[[#This Row],[Conta]],'BD - A - Despesas'!$AT$15:$AX$500,5,0),0)</f>
        <v>0</v>
      </c>
      <c r="M123" s="24">
        <f>IFERROR(VLOOKUP(Tabela32[[#This Row],[Conta]],'BD - A - Despesas'!$BC$15:$BG$500,5,0),0)</f>
        <v>0</v>
      </c>
      <c r="N123" s="24">
        <f>IFERROR(VLOOKUP(Tabela32[[#This Row],[Conta]],'BD - A - Despesas'!$BL$15:$BP$500,5,0),0)</f>
        <v>0</v>
      </c>
      <c r="O123" s="24">
        <f>IFERROR(VLOOKUP(Tabela32[[#This Row],[Conta]],'BD - A - Despesas'!$BU$15:$BY$500,5,0),0)</f>
        <v>0</v>
      </c>
      <c r="P123" s="24">
        <f>IFERROR(VLOOKUP(Tabela32[[#This Row],[Conta]],'BD - A - Despesas'!$CD$15:$CH$500,5,0),0)</f>
        <v>0</v>
      </c>
      <c r="Q123" s="24">
        <f>IFERROR(VLOOKUP(Tabela32[[#This Row],[Conta]],'BD - A - Despesas'!$CM$15:$CQ$500,5,0),0)</f>
        <v>0</v>
      </c>
      <c r="R123" s="24">
        <f>IFERROR(VLOOKUP(Tabela32[[#This Row],[Conta]],'BD - A - Despesas'!$CV$15:$CZ$500,5,0),0)</f>
        <v>0</v>
      </c>
      <c r="S123"/>
    </row>
    <row r="124" spans="3:19">
      <c r="C124" s="79"/>
      <c r="D124" s="92"/>
      <c r="E124" s="100"/>
      <c r="F124" s="79"/>
      <c r="G124" s="12">
        <f>IFERROR(VLOOKUP(Tabela32[[#This Row],[Conta]],'BD - A - Despesas'!$A$15:$E$500,5,0),0)</f>
        <v>0</v>
      </c>
      <c r="H124" s="24">
        <f>IFERROR(VLOOKUP(Tabela32[[#This Row],[Conta]],'BD - A - Despesas'!$J$15:$N$500,5,0),0)</f>
        <v>0</v>
      </c>
      <c r="I124" s="24">
        <f>IFERROR(VLOOKUP(Tabela32[[#This Row],[Conta]],'BD - A - Despesas'!$S$15:$W$500,5,0),0)</f>
        <v>0</v>
      </c>
      <c r="J124" s="24">
        <f>IFERROR(VLOOKUP(Tabela32[[#This Row],[Conta]],'BD - A - Despesas'!$AB$15:$AF$500,5,0),0)</f>
        <v>0</v>
      </c>
      <c r="K124" s="24">
        <f>IFERROR(VLOOKUP(Tabela32[[#This Row],[Conta]],'BD - A - Despesas'!$AK$15:$AO$500,5,0),0)</f>
        <v>0</v>
      </c>
      <c r="L124" s="24">
        <f>IFERROR(VLOOKUP(Tabela32[[#This Row],[Conta]],'BD - A - Despesas'!$AT$15:$AX$500,5,0),0)</f>
        <v>0</v>
      </c>
      <c r="M124" s="24">
        <f>IFERROR(VLOOKUP(Tabela32[[#This Row],[Conta]],'BD - A - Despesas'!$BC$15:$BG$500,5,0),0)</f>
        <v>0</v>
      </c>
      <c r="N124" s="24">
        <f>IFERROR(VLOOKUP(Tabela32[[#This Row],[Conta]],'BD - A - Despesas'!$BL$15:$BP$500,5,0),0)</f>
        <v>0</v>
      </c>
      <c r="O124" s="24">
        <f>IFERROR(VLOOKUP(Tabela32[[#This Row],[Conta]],'BD - A - Despesas'!$BU$15:$BY$500,5,0),0)</f>
        <v>0</v>
      </c>
      <c r="P124" s="24">
        <f>IFERROR(VLOOKUP(Tabela32[[#This Row],[Conta]],'BD - A - Despesas'!$CD$15:$CH$500,5,0),0)</f>
        <v>0</v>
      </c>
      <c r="Q124" s="24">
        <f>IFERROR(VLOOKUP(Tabela32[[#This Row],[Conta]],'BD - A - Despesas'!$CM$15:$CQ$500,5,0),0)</f>
        <v>0</v>
      </c>
      <c r="R124" s="24">
        <f>IFERROR(VLOOKUP(Tabela32[[#This Row],[Conta]],'BD - A - Despesas'!$CV$15:$CZ$500,5,0),0)</f>
        <v>0</v>
      </c>
      <c r="S124"/>
    </row>
    <row r="125" spans="3:19">
      <c r="C125" s="79"/>
      <c r="D125" s="92"/>
      <c r="E125" s="100"/>
      <c r="F125" s="79"/>
      <c r="G125" s="12">
        <f>IFERROR(VLOOKUP(Tabela32[[#This Row],[Conta]],'BD - A - Despesas'!$A$15:$E$500,5,0),0)</f>
        <v>0</v>
      </c>
      <c r="H125" s="24">
        <f>IFERROR(VLOOKUP(Tabela32[[#This Row],[Conta]],'BD - A - Despesas'!$J$15:$N$500,5,0),0)</f>
        <v>0</v>
      </c>
      <c r="I125" s="24">
        <f>IFERROR(VLOOKUP(Tabela32[[#This Row],[Conta]],'BD - A - Despesas'!$S$15:$W$500,5,0),0)</f>
        <v>0</v>
      </c>
      <c r="J125" s="24">
        <f>IFERROR(VLOOKUP(Tabela32[[#This Row],[Conta]],'BD - A - Despesas'!$AB$15:$AF$500,5,0),0)</f>
        <v>0</v>
      </c>
      <c r="K125" s="24">
        <f>IFERROR(VLOOKUP(Tabela32[[#This Row],[Conta]],'BD - A - Despesas'!$AK$15:$AO$500,5,0),0)</f>
        <v>0</v>
      </c>
      <c r="L125" s="24">
        <f>IFERROR(VLOOKUP(Tabela32[[#This Row],[Conta]],'BD - A - Despesas'!$AT$15:$AX$500,5,0),0)</f>
        <v>0</v>
      </c>
      <c r="M125" s="24">
        <f>IFERROR(VLOOKUP(Tabela32[[#This Row],[Conta]],'BD - A - Despesas'!$BC$15:$BG$500,5,0),0)</f>
        <v>0</v>
      </c>
      <c r="N125" s="24">
        <f>IFERROR(VLOOKUP(Tabela32[[#This Row],[Conta]],'BD - A - Despesas'!$BL$15:$BP$500,5,0),0)</f>
        <v>0</v>
      </c>
      <c r="O125" s="24">
        <f>IFERROR(VLOOKUP(Tabela32[[#This Row],[Conta]],'BD - A - Despesas'!$BU$15:$BY$500,5,0),0)</f>
        <v>0</v>
      </c>
      <c r="P125" s="24">
        <f>IFERROR(VLOOKUP(Tabela32[[#This Row],[Conta]],'BD - A - Despesas'!$CD$15:$CH$500,5,0),0)</f>
        <v>0</v>
      </c>
      <c r="Q125" s="24">
        <f>IFERROR(VLOOKUP(Tabela32[[#This Row],[Conta]],'BD - A - Despesas'!$CM$15:$CQ$500,5,0),0)</f>
        <v>0</v>
      </c>
      <c r="R125" s="24">
        <f>IFERROR(VLOOKUP(Tabela32[[#This Row],[Conta]],'BD - A - Despesas'!$CV$15:$CZ$500,5,0),0)</f>
        <v>0</v>
      </c>
      <c r="S125"/>
    </row>
    <row r="126" spans="3:19">
      <c r="C126" s="79"/>
      <c r="D126" s="92"/>
      <c r="E126" s="100"/>
      <c r="F126" s="79"/>
      <c r="G126" s="12">
        <f>IFERROR(VLOOKUP(Tabela32[[#This Row],[Conta]],'BD - A - Despesas'!$A$15:$E$500,5,0),0)</f>
        <v>0</v>
      </c>
      <c r="H126" s="24">
        <f>IFERROR(VLOOKUP(Tabela32[[#This Row],[Conta]],'BD - A - Despesas'!$J$15:$N$500,5,0),0)</f>
        <v>0</v>
      </c>
      <c r="I126" s="24">
        <f>IFERROR(VLOOKUP(Tabela32[[#This Row],[Conta]],'BD - A - Despesas'!$S$15:$W$500,5,0),0)</f>
        <v>0</v>
      </c>
      <c r="J126" s="24">
        <f>IFERROR(VLOOKUP(Tabela32[[#This Row],[Conta]],'BD - A - Despesas'!$AB$15:$AF$500,5,0),0)</f>
        <v>0</v>
      </c>
      <c r="K126" s="24">
        <f>IFERROR(VLOOKUP(Tabela32[[#This Row],[Conta]],'BD - A - Despesas'!$AK$15:$AO$500,5,0),0)</f>
        <v>0</v>
      </c>
      <c r="L126" s="24">
        <f>IFERROR(VLOOKUP(Tabela32[[#This Row],[Conta]],'BD - A - Despesas'!$AT$15:$AX$500,5,0),0)</f>
        <v>0</v>
      </c>
      <c r="M126" s="24">
        <f>IFERROR(VLOOKUP(Tabela32[[#This Row],[Conta]],'BD - A - Despesas'!$BC$15:$BG$500,5,0),0)</f>
        <v>0</v>
      </c>
      <c r="N126" s="24">
        <f>IFERROR(VLOOKUP(Tabela32[[#This Row],[Conta]],'BD - A - Despesas'!$BL$15:$BP$500,5,0),0)</f>
        <v>0</v>
      </c>
      <c r="O126" s="24">
        <f>IFERROR(VLOOKUP(Tabela32[[#This Row],[Conta]],'BD - A - Despesas'!$BU$15:$BY$500,5,0),0)</f>
        <v>0</v>
      </c>
      <c r="P126" s="24">
        <f>IFERROR(VLOOKUP(Tabela32[[#This Row],[Conta]],'BD - A - Despesas'!$CD$15:$CH$500,5,0),0)</f>
        <v>0</v>
      </c>
      <c r="Q126" s="24">
        <f>IFERROR(VLOOKUP(Tabela32[[#This Row],[Conta]],'BD - A - Despesas'!$CM$15:$CQ$500,5,0),0)</f>
        <v>0</v>
      </c>
      <c r="R126" s="24">
        <f>IFERROR(VLOOKUP(Tabela32[[#This Row],[Conta]],'BD - A - Despesas'!$CV$15:$CZ$500,5,0),0)</f>
        <v>0</v>
      </c>
      <c r="S126"/>
    </row>
    <row r="127" spans="3:19">
      <c r="C127" s="79"/>
      <c r="D127" s="92"/>
      <c r="E127" s="100"/>
      <c r="F127" s="79"/>
      <c r="G127" s="12">
        <f>IFERROR(VLOOKUP(Tabela32[[#This Row],[Conta]],'BD - A - Despesas'!$A$15:$E$500,5,0),0)</f>
        <v>0</v>
      </c>
      <c r="H127" s="24">
        <f>IFERROR(VLOOKUP(Tabela32[[#This Row],[Conta]],'BD - A - Despesas'!$J$15:$N$500,5,0),0)</f>
        <v>0</v>
      </c>
      <c r="I127" s="24" t="s">
        <v>459</v>
      </c>
      <c r="J127" s="24" t="s">
        <v>459</v>
      </c>
      <c r="K127" s="24" t="s">
        <v>459</v>
      </c>
      <c r="L127" s="24" t="s">
        <v>459</v>
      </c>
      <c r="M127" s="24" t="s">
        <v>459</v>
      </c>
      <c r="N127" s="24" t="s">
        <v>459</v>
      </c>
      <c r="O127" s="24" t="s">
        <v>459</v>
      </c>
      <c r="P127" s="24">
        <f>IFERROR(VLOOKUP(Tabela32[[#This Row],[Conta]],'BD - A - Despesas'!$CD$15:$CH$500,5,0),0)</f>
        <v>0</v>
      </c>
      <c r="Q127" s="24">
        <f>IFERROR(VLOOKUP(Tabela32[[#This Row],[Conta]],'BD - A - Despesas'!$CM$15:$CQ$500,5,0),0)</f>
        <v>0</v>
      </c>
      <c r="R127" s="24">
        <f>IFERROR(VLOOKUP(Tabela32[[#This Row],[Conta]],'BD - A - Despesas'!$CV$15:$CZ$500,5,0),0)</f>
        <v>0</v>
      </c>
      <c r="S127"/>
    </row>
    <row r="128" spans="3:19">
      <c r="C128" s="79"/>
      <c r="D128" s="92"/>
      <c r="E128" s="100"/>
      <c r="F128" s="79"/>
      <c r="G128" s="13">
        <f>IFERROR(VLOOKUP(Tabela32[[#This Row],[Conta]],'BD - A - Despesas'!$A$15:$E$500,5,0),0)</f>
        <v>0</v>
      </c>
      <c r="H128" s="24">
        <f>IFERROR(VLOOKUP(Tabela32[[#This Row],[Conta]],'BD - A - Despesas'!$J$15:$N$500,5,0),0)</f>
        <v>0</v>
      </c>
      <c r="I128" s="24">
        <f>IFERROR(VLOOKUP(Tabela32[[#This Row],[Conta]],'BD - A - Despesas'!$S$15:$W$500,5,0),0)</f>
        <v>0</v>
      </c>
      <c r="J128" s="24">
        <f>IFERROR(VLOOKUP(Tabela32[[#This Row],[Conta]],'BD - A - Despesas'!$AB$15:$AF$500,5,0),0)</f>
        <v>0</v>
      </c>
      <c r="K128" s="24">
        <f>IFERROR(VLOOKUP(Tabela32[[#This Row],[Conta]],'BD - A - Despesas'!$AK$15:$AO$500,5,0),0)</f>
        <v>0</v>
      </c>
      <c r="L128" s="24">
        <f>IFERROR(VLOOKUP(Tabela32[[#This Row],[Conta]],'BD - A - Despesas'!$AT$15:$AX$500,5,0),0)</f>
        <v>0</v>
      </c>
      <c r="M128" s="24">
        <f>IFERROR(VLOOKUP(Tabela32[[#This Row],[Conta]],'BD - A - Despesas'!$BC$15:$BG$500,5,0),0)</f>
        <v>0</v>
      </c>
      <c r="N128" s="24">
        <f>IFERROR(VLOOKUP(Tabela32[[#This Row],[Conta]],'BD - A - Despesas'!$BL$15:$BP$500,5,0),0)</f>
        <v>0</v>
      </c>
      <c r="O128" s="24">
        <f>IFERROR(VLOOKUP(Tabela32[[#This Row],[Conta]],'BD - A - Despesas'!$BU$15:$BY$500,5,0),0)</f>
        <v>0</v>
      </c>
      <c r="P128" s="24">
        <f>IFERROR(VLOOKUP(Tabela32[[#This Row],[Conta]],'BD - A - Despesas'!$CD$15:$CH$500,5,0),0)</f>
        <v>0</v>
      </c>
      <c r="Q128" s="24">
        <f>IFERROR(VLOOKUP(Tabela32[[#This Row],[Conta]],'BD - A - Despesas'!$CM$15:$CQ$500,5,0),0)</f>
        <v>0</v>
      </c>
      <c r="R128" s="24">
        <f>IFERROR(VLOOKUP(Tabela32[[#This Row],[Conta]],'BD - A - Despesas'!$CV$15:$CZ$500,5,0),0)</f>
        <v>0</v>
      </c>
      <c r="S128"/>
    </row>
    <row r="129" spans="3:19">
      <c r="C129" s="79"/>
      <c r="D129" s="92"/>
      <c r="E129" s="100"/>
      <c r="F129" s="79"/>
      <c r="G129" s="13">
        <f>IFERROR(VLOOKUP(Tabela32[[#This Row],[Conta]],'BD - A - Despesas'!$A$15:$E$500,5,0),0)</f>
        <v>0</v>
      </c>
      <c r="H129" s="24">
        <f>IFERROR(VLOOKUP(Tabela32[[#This Row],[Conta]],'BD - A - Despesas'!$J$15:$N$500,5,0),0)</f>
        <v>0</v>
      </c>
      <c r="I129" s="24">
        <f>IFERROR(VLOOKUP(Tabela32[[#This Row],[Conta]],'BD - A - Despesas'!$S$15:$W$500,5,0),0)</f>
        <v>0</v>
      </c>
      <c r="J129" s="24">
        <f>IFERROR(VLOOKUP(Tabela32[[#This Row],[Conta]],'BD - A - Despesas'!$AB$15:$AF$500,5,0),0)</f>
        <v>0</v>
      </c>
      <c r="K129" s="24">
        <f>IFERROR(VLOOKUP(Tabela32[[#This Row],[Conta]],'BD - A - Despesas'!$AK$15:$AO$500,5,0),0)</f>
        <v>0</v>
      </c>
      <c r="L129" s="24">
        <f>IFERROR(VLOOKUP(Tabela32[[#This Row],[Conta]],'BD - A - Despesas'!$AT$15:$AX$500,5,0),0)</f>
        <v>0</v>
      </c>
      <c r="M129" s="24">
        <f>IFERROR(VLOOKUP(Tabela32[[#This Row],[Conta]],'BD - A - Despesas'!$BC$15:$BG$500,5,0),0)</f>
        <v>0</v>
      </c>
      <c r="N129" s="24">
        <f>IFERROR(VLOOKUP(Tabela32[[#This Row],[Conta]],'BD - A - Despesas'!$BL$15:$BP$500,5,0),0)</f>
        <v>0</v>
      </c>
      <c r="O129" s="24">
        <f>IFERROR(VLOOKUP(Tabela32[[#This Row],[Conta]],'BD - A - Despesas'!$BU$15:$BY$500,5,0),0)</f>
        <v>0</v>
      </c>
      <c r="P129" s="24">
        <f>IFERROR(VLOOKUP(Tabela32[[#This Row],[Conta]],'BD - A - Despesas'!$CD$15:$CH$500,5,0),0)</f>
        <v>0</v>
      </c>
      <c r="Q129" s="24">
        <f>IFERROR(VLOOKUP(Tabela32[[#This Row],[Conta]],'BD - A - Despesas'!$CM$15:$CQ$500,5,0),0)</f>
        <v>0</v>
      </c>
      <c r="R129" s="24">
        <f>IFERROR(VLOOKUP(Tabela32[[#This Row],[Conta]],'BD - A - Despesas'!$CV$15:$CZ$500,5,0),0)</f>
        <v>0</v>
      </c>
      <c r="S129"/>
    </row>
    <row r="130" spans="3:19">
      <c r="C130" s="79"/>
      <c r="D130" s="92"/>
      <c r="E130" s="100"/>
      <c r="F130" s="79"/>
      <c r="G130" s="12">
        <f>IFERROR(VLOOKUP(Tabela32[[#This Row],[Conta]],'BD - A - Despesas'!$A$15:$E$500,5,0),0)</f>
        <v>0</v>
      </c>
      <c r="H130" s="24">
        <f>IFERROR(VLOOKUP(Tabela32[[#This Row],[Conta]],'BD - A - Despesas'!$J$15:$N$500,5,0),0)</f>
        <v>0</v>
      </c>
      <c r="I130" s="24">
        <f>IFERROR(VLOOKUP(Tabela32[[#This Row],[Conta]],'BD - A - Despesas'!$S$15:$W$500,5,0),0)</f>
        <v>0</v>
      </c>
      <c r="J130" s="24">
        <f>IFERROR(VLOOKUP(Tabela32[[#This Row],[Conta]],'BD - A - Despesas'!$AB$15:$AF$500,5,0),0)</f>
        <v>0</v>
      </c>
      <c r="K130" s="24">
        <f>IFERROR(VLOOKUP(Tabela32[[#This Row],[Conta]],'BD - A - Despesas'!$AK$15:$AO$500,5,0),0)</f>
        <v>0</v>
      </c>
      <c r="L130" s="24">
        <f>IFERROR(VLOOKUP(Tabela32[[#This Row],[Conta]],'BD - A - Despesas'!$AT$15:$AX$500,5,0),0)</f>
        <v>0</v>
      </c>
      <c r="M130" s="24">
        <f>IFERROR(VLOOKUP(Tabela32[[#This Row],[Conta]],'BD - A - Despesas'!$BC$15:$BG$500,5,0),0)</f>
        <v>0</v>
      </c>
      <c r="N130" s="24">
        <f>IFERROR(VLOOKUP(Tabela32[[#This Row],[Conta]],'BD - A - Despesas'!$BL$15:$BP$500,5,0),0)</f>
        <v>0</v>
      </c>
      <c r="O130" s="24">
        <f>IFERROR(VLOOKUP(Tabela32[[#This Row],[Conta]],'BD - A - Despesas'!$BU$15:$BY$500,5,0),0)</f>
        <v>0</v>
      </c>
      <c r="P130" s="24">
        <f>IFERROR(VLOOKUP(Tabela32[[#This Row],[Conta]],'BD - A - Despesas'!$CD$15:$CH$500,5,0),0)</f>
        <v>0</v>
      </c>
      <c r="Q130" s="24">
        <f>IFERROR(VLOOKUP(Tabela32[[#This Row],[Conta]],'BD - A - Despesas'!$CM$15:$CQ$500,5,0),0)</f>
        <v>0</v>
      </c>
      <c r="R130" s="24">
        <f>IFERROR(VLOOKUP(Tabela32[[#This Row],[Conta]],'BD - A - Despesas'!$CV$15:$CZ$500,5,0),0)</f>
        <v>0</v>
      </c>
      <c r="S130"/>
    </row>
    <row r="131" spans="3:19">
      <c r="C131" s="79"/>
      <c r="D131" s="93"/>
      <c r="E131" s="100"/>
      <c r="F131" s="94"/>
      <c r="G131" s="22">
        <f>IFERROR(VLOOKUP(Tabela32[[#This Row],[Conta]],'BD - A - Despesas'!$A$15:$E$500,5,0),0)</f>
        <v>0</v>
      </c>
      <c r="H131" s="24">
        <f>IFERROR(VLOOKUP(Tabela32[[#This Row],[Conta]],'BD - A - Despesas'!$J$15:$N$500,5,0),0)</f>
        <v>0</v>
      </c>
      <c r="I131" s="24">
        <f>IFERROR(VLOOKUP(Tabela32[[#This Row],[Conta]],'BD - A - Despesas'!$S$15:$W$500,5,0),0)</f>
        <v>0</v>
      </c>
      <c r="J131" s="24">
        <f>IFERROR(VLOOKUP(Tabela32[[#This Row],[Conta]],'BD - A - Despesas'!$AB$15:$AF$500,5,0),0)</f>
        <v>0</v>
      </c>
      <c r="K131" s="24">
        <f>IFERROR(VLOOKUP(Tabela32[[#This Row],[Conta]],'BD - A - Despesas'!$AK$15:$AO$500,5,0),0)</f>
        <v>0</v>
      </c>
      <c r="L131" s="24">
        <f>IFERROR(VLOOKUP(Tabela32[[#This Row],[Conta]],'BD - A - Despesas'!$AT$15:$AX$500,5,0),0)</f>
        <v>0</v>
      </c>
      <c r="M131" s="24">
        <f>IFERROR(VLOOKUP(Tabela32[[#This Row],[Conta]],'BD - A - Despesas'!$BC$15:$BG$500,5,0),0)</f>
        <v>0</v>
      </c>
      <c r="N131" s="24">
        <f>IFERROR(VLOOKUP(Tabela32[[#This Row],[Conta]],'BD - A - Despesas'!$BL$15:$BP$500,5,0),0)</f>
        <v>0</v>
      </c>
      <c r="O131" s="24">
        <f>IFERROR(VLOOKUP(Tabela32[[#This Row],[Conta]],'BD - A - Despesas'!$BU$15:$BY$500,5,0),0)</f>
        <v>0</v>
      </c>
      <c r="P131" s="24">
        <f>IFERROR(VLOOKUP(Tabela32[[#This Row],[Conta]],'BD - A - Despesas'!$CD$15:$CH$500,5,0),0)</f>
        <v>0</v>
      </c>
      <c r="Q131" s="24">
        <f>IFERROR(VLOOKUP(Tabela32[[#This Row],[Conta]],'BD - A - Despesas'!$CM$15:$CQ$500,5,0),0)</f>
        <v>0</v>
      </c>
      <c r="R131" s="24">
        <f>IFERROR(VLOOKUP(Tabela32[[#This Row],[Conta]],'BD - A - Despesas'!$CV$15:$CZ$500,5,0),0)</f>
        <v>0</v>
      </c>
      <c r="S131"/>
    </row>
    <row r="132" spans="3:19">
      <c r="C132" s="79"/>
      <c r="D132" s="79"/>
      <c r="E132" s="85"/>
      <c r="F132" s="94" t="s">
        <v>9</v>
      </c>
      <c r="G132" s="16">
        <f t="shared" ref="G132:R132" si="0">SUM(G3:G131)</f>
        <v>65806.84</v>
      </c>
      <c r="H132" s="16">
        <f t="shared" si="0"/>
        <v>77120.270000000019</v>
      </c>
      <c r="I132" s="16">
        <f t="shared" si="0"/>
        <v>85013.670000000013</v>
      </c>
      <c r="J132" s="16">
        <f t="shared" si="0"/>
        <v>75300.670000000013</v>
      </c>
      <c r="K132" s="16">
        <f t="shared" si="0"/>
        <v>0</v>
      </c>
      <c r="L132" s="16">
        <f t="shared" si="0"/>
        <v>0</v>
      </c>
      <c r="M132" s="16">
        <f t="shared" si="0"/>
        <v>0</v>
      </c>
      <c r="N132" s="16">
        <f t="shared" si="0"/>
        <v>0</v>
      </c>
      <c r="O132" s="16">
        <f t="shared" si="0"/>
        <v>0</v>
      </c>
      <c r="P132" s="16">
        <f t="shared" si="0"/>
        <v>0</v>
      </c>
      <c r="Q132" s="16">
        <f t="shared" si="0"/>
        <v>0</v>
      </c>
      <c r="R132" s="16">
        <f t="shared" si="0"/>
        <v>0</v>
      </c>
      <c r="S132"/>
    </row>
    <row r="133" spans="3:19">
      <c r="C133" s="79"/>
      <c r="D133" s="79"/>
      <c r="E133" s="85"/>
      <c r="F133" s="94" t="s">
        <v>4</v>
      </c>
      <c r="G133" s="16">
        <f>'MVTO A'!G$78+'MVTO A'!G$79+'MVTO A'!G$129</f>
        <v>65806.84</v>
      </c>
      <c r="H133" s="16">
        <f>'MVTO A'!H$78+'MVTO A'!H$79+'MVTO A'!H$129</f>
        <v>77120.27</v>
      </c>
      <c r="I133" s="16">
        <f>'MVTO A'!I$78+'MVTO A'!I$79+'MVTO A'!I$129</f>
        <v>85013.67</v>
      </c>
      <c r="J133" s="16">
        <f>'MVTO A'!J$78+'MVTO A'!J$79+'MVTO A'!J$129</f>
        <v>75300.67</v>
      </c>
      <c r="K133" s="16">
        <f>'MVTO A'!K$78+'MVTO A'!K$79+'MVTO A'!K$129</f>
        <v>0</v>
      </c>
      <c r="L133" s="16">
        <f>'MVTO A'!L$78+'MVTO A'!L$79+'MVTO A'!L$129</f>
        <v>0</v>
      </c>
      <c r="M133" s="16">
        <f>'MVTO A'!M$78+'MVTO A'!M$79+'MVTO A'!M$129</f>
        <v>0</v>
      </c>
      <c r="N133" s="16">
        <f>'MVTO A'!N$78+'MVTO A'!N$79+'MVTO A'!N$129</f>
        <v>0</v>
      </c>
      <c r="O133" s="16">
        <f>'MVTO A'!O$78+'MVTO A'!O$79+'MVTO A'!O$129</f>
        <v>0</v>
      </c>
      <c r="P133" s="16">
        <f>'MVTO A'!P$78+'MVTO A'!P$79+'MVTO A'!P$129</f>
        <v>0</v>
      </c>
      <c r="Q133" s="16">
        <f>'MVTO A'!Q$78+'MVTO A'!Q$79+'MVTO A'!Q$129</f>
        <v>0</v>
      </c>
      <c r="R133" s="16">
        <f>'MVTO A'!R$78+'MVTO A'!R$79+'MVTO A'!R$129</f>
        <v>0</v>
      </c>
      <c r="S133" s="8"/>
    </row>
    <row r="134" spans="3:19" ht="15" thickBot="1">
      <c r="C134" s="95"/>
      <c r="D134" s="95"/>
      <c r="E134" s="103"/>
      <c r="F134" s="96" t="s">
        <v>10</v>
      </c>
      <c r="G134" s="17">
        <f t="shared" ref="G134:O134" si="1">G132-G133</f>
        <v>0</v>
      </c>
      <c r="H134" s="17">
        <f t="shared" si="1"/>
        <v>0</v>
      </c>
      <c r="I134" s="17">
        <f t="shared" si="1"/>
        <v>0</v>
      </c>
      <c r="J134" s="17">
        <f t="shared" si="1"/>
        <v>0</v>
      </c>
      <c r="K134" s="17">
        <f t="shared" si="1"/>
        <v>0</v>
      </c>
      <c r="L134" s="17">
        <f t="shared" si="1"/>
        <v>0</v>
      </c>
      <c r="M134" s="17">
        <f t="shared" si="1"/>
        <v>0</v>
      </c>
      <c r="N134" s="17">
        <f t="shared" si="1"/>
        <v>0</v>
      </c>
      <c r="O134" s="17">
        <f t="shared" si="1"/>
        <v>0</v>
      </c>
      <c r="P134" s="24">
        <f>IFERROR(VLOOKUP(Tabela32[[#This Row],[Conta]],'BD - A - Despesas'!$CD$15:$CH$500,5,0),0)</f>
        <v>0</v>
      </c>
      <c r="Q134" s="24">
        <f>IFERROR(VLOOKUP(Tabela32[[#This Row],[Conta]],'BD - A - Despesas'!$CM$15:$CQ$500,5,0),0)</f>
        <v>0</v>
      </c>
      <c r="R134" s="17">
        <f>R132-R133</f>
        <v>0</v>
      </c>
      <c r="S134"/>
    </row>
    <row r="135" spans="3:19">
      <c r="G135" s="32"/>
    </row>
    <row r="136" spans="3:19">
      <c r="G136" s="122"/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useFirstPageNumber="1" horizontalDpi="300" verticalDpi="30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2:DD156"/>
  <sheetViews>
    <sheetView showGridLines="0" topLeftCell="Y1" workbookViewId="0">
      <selection activeCell="AG28" sqref="AG28"/>
    </sheetView>
  </sheetViews>
  <sheetFormatPr defaultColWidth="9.33203125" defaultRowHeight="14.4"/>
  <cols>
    <col min="1" max="1" width="9.5546875" customWidth="1"/>
    <col min="2" max="2" width="41.6640625" style="108" customWidth="1"/>
    <col min="3" max="3" width="13.6640625" style="109" customWidth="1"/>
    <col min="4" max="4" width="14.44140625" style="109" bestFit="1" customWidth="1"/>
    <col min="5" max="5" width="14.44140625" style="109" customWidth="1"/>
    <col min="6" max="6" width="38.6640625" style="109" customWidth="1"/>
    <col min="7" max="8" width="14.44140625" style="109" bestFit="1" customWidth="1"/>
    <col min="9" max="9" width="2.88671875" style="113" customWidth="1"/>
    <col min="10" max="10" width="8.6640625" style="108" customWidth="1"/>
    <col min="11" max="11" width="41.6640625" style="108" customWidth="1"/>
    <col min="12" max="12" width="16.6640625" style="109" customWidth="1"/>
    <col min="13" max="13" width="14.44140625" style="109" bestFit="1" customWidth="1"/>
    <col min="14" max="14" width="8.6640625" style="108" customWidth="1"/>
    <col min="15" max="15" width="41.6640625" style="108" customWidth="1"/>
    <col min="16" max="16" width="16.6640625" style="109" customWidth="1"/>
    <col min="17" max="17" width="14.44140625" style="109" bestFit="1" customWidth="1"/>
    <col min="18" max="18" width="2.88671875" style="113" customWidth="1"/>
    <col min="19" max="19" width="8.6640625" style="108" customWidth="1"/>
    <col min="20" max="20" width="41.6640625" style="108" customWidth="1"/>
    <col min="21" max="21" width="16.6640625" style="109" customWidth="1"/>
    <col min="22" max="22" width="14.44140625" style="109" bestFit="1" customWidth="1"/>
    <col min="23" max="23" width="8.6640625" style="108" customWidth="1"/>
    <col min="24" max="24" width="41.6640625" style="108" customWidth="1"/>
    <col min="25" max="25" width="16.6640625" style="109" customWidth="1"/>
    <col min="26" max="26" width="14.44140625" style="109" bestFit="1" customWidth="1"/>
    <col min="27" max="27" width="2.88671875" style="113" customWidth="1"/>
    <col min="29" max="29" width="22" customWidth="1"/>
    <col min="30" max="30" width="13.44140625" customWidth="1"/>
    <col min="31" max="31" width="13.6640625" customWidth="1"/>
    <col min="33" max="33" width="46.109375" bestFit="1" customWidth="1"/>
    <col min="34" max="34" width="11.88671875" bestFit="1" customWidth="1"/>
    <col min="35" max="35" width="11.33203125" customWidth="1"/>
    <col min="36" max="36" width="2.88671875" style="113" customWidth="1"/>
    <col min="38" max="38" width="34.88671875" customWidth="1"/>
    <col min="39" max="39" width="11.88671875" customWidth="1"/>
    <col min="40" max="40" width="13.33203125" bestFit="1" customWidth="1"/>
    <col min="42" max="42" width="40.33203125" customWidth="1"/>
    <col min="43" max="43" width="13.33203125" bestFit="1" customWidth="1"/>
    <col min="44" max="44" width="11.88671875" customWidth="1"/>
    <col min="45" max="45" width="2.88671875" style="113" customWidth="1"/>
    <col min="47" max="47" width="31" customWidth="1"/>
    <col min="48" max="48" width="13" customWidth="1"/>
    <col min="49" max="49" width="13.6640625" customWidth="1"/>
    <col min="51" max="51" width="39.44140625" customWidth="1"/>
    <col min="52" max="53" width="11.44140625" customWidth="1"/>
    <col min="54" max="54" width="2.88671875" style="113" customWidth="1"/>
    <col min="56" max="56" width="19.33203125" customWidth="1"/>
    <col min="57" max="57" width="11.109375" customWidth="1"/>
    <col min="58" max="58" width="13.6640625" customWidth="1"/>
    <col min="60" max="60" width="30" customWidth="1"/>
    <col min="61" max="61" width="14.33203125" customWidth="1"/>
    <col min="62" max="62" width="11.6640625" customWidth="1"/>
    <col min="63" max="63" width="2.88671875" style="113" customWidth="1"/>
    <col min="66" max="66" width="11.33203125" bestFit="1" customWidth="1"/>
    <col min="67" max="67" width="13.6640625" customWidth="1"/>
    <col min="69" max="69" width="66.6640625" bestFit="1" customWidth="1"/>
    <col min="70" max="70" width="11.44140625" customWidth="1"/>
    <col min="71" max="71" width="11.33203125" bestFit="1" customWidth="1"/>
    <col min="72" max="72" width="2.88671875" style="113" customWidth="1"/>
    <col min="75" max="75" width="13.44140625" customWidth="1"/>
    <col min="76" max="76" width="12.88671875" bestFit="1" customWidth="1"/>
    <col min="78" max="78" width="68.5546875" bestFit="1" customWidth="1"/>
    <col min="79" max="79" width="12" customWidth="1"/>
    <col min="80" max="80" width="11.6640625" bestFit="1" customWidth="1"/>
    <col min="81" max="81" width="2.88671875" style="113" customWidth="1"/>
    <col min="84" max="84" width="13.109375" bestFit="1" customWidth="1"/>
    <col min="85" max="85" width="11.6640625" bestFit="1" customWidth="1"/>
    <col min="88" max="88" width="11.6640625" bestFit="1" customWidth="1"/>
    <col min="89" max="89" width="12" bestFit="1" customWidth="1"/>
    <col min="90" max="90" width="2.88671875" style="113" customWidth="1"/>
    <col min="93" max="93" width="10.44140625" customWidth="1"/>
    <col min="94" max="94" width="11.6640625" bestFit="1" customWidth="1"/>
    <col min="97" max="97" width="11.6640625" bestFit="1" customWidth="1"/>
    <col min="98" max="98" width="15.109375" customWidth="1"/>
    <col min="99" max="99" width="2.88671875" style="113" customWidth="1"/>
    <col min="101" max="101" width="9.6640625" customWidth="1"/>
    <col min="102" max="102" width="10.44140625" customWidth="1"/>
    <col min="103" max="103" width="19.5546875" customWidth="1"/>
    <col min="105" max="105" width="44.33203125" customWidth="1"/>
    <col min="106" max="106" width="11.6640625" bestFit="1" customWidth="1"/>
    <col min="107" max="107" width="10.5546875" bestFit="1" customWidth="1"/>
  </cols>
  <sheetData>
    <row r="2" spans="1:107">
      <c r="A2" s="403" t="s">
        <v>659</v>
      </c>
      <c r="B2" s="406"/>
      <c r="C2" s="404" t="s">
        <v>658</v>
      </c>
      <c r="J2" s="403" t="s">
        <v>659</v>
      </c>
      <c r="K2" s="406"/>
      <c r="L2" s="404" t="s">
        <v>658</v>
      </c>
      <c r="S2" s="439" t="s">
        <v>919</v>
      </c>
      <c r="T2" s="438"/>
      <c r="U2" s="440" t="s">
        <v>1049</v>
      </c>
      <c r="V2" s="438"/>
      <c r="AB2" s="470" t="s">
        <v>1103</v>
      </c>
      <c r="AC2" s="469"/>
      <c r="AD2" s="471" t="s">
        <v>1108</v>
      </c>
      <c r="AE2" s="469"/>
      <c r="AF2" s="166"/>
      <c r="AK2" s="168" t="s">
        <v>467</v>
      </c>
      <c r="AL2" s="166"/>
      <c r="AM2" s="169" t="s">
        <v>515</v>
      </c>
      <c r="AN2" s="166"/>
      <c r="AO2" s="166"/>
      <c r="AT2" s="168" t="s">
        <v>467</v>
      </c>
      <c r="AU2" s="166"/>
      <c r="AV2" s="169" t="s">
        <v>518</v>
      </c>
      <c r="AW2" s="166"/>
      <c r="AX2" s="166"/>
      <c r="BC2" s="168" t="s">
        <v>467</v>
      </c>
      <c r="BD2" s="166"/>
      <c r="BE2" s="169" t="s">
        <v>521</v>
      </c>
      <c r="BF2" s="166"/>
      <c r="BG2" s="166"/>
      <c r="BL2" s="168" t="s">
        <v>467</v>
      </c>
      <c r="BM2" s="166"/>
      <c r="BN2" s="169" t="s">
        <v>522</v>
      </c>
      <c r="BO2" s="166"/>
      <c r="BP2" s="166"/>
      <c r="BU2" s="168" t="s">
        <v>467</v>
      </c>
      <c r="BV2" s="166"/>
      <c r="BW2" s="169" t="s">
        <v>523</v>
      </c>
      <c r="BX2" s="166"/>
      <c r="BY2" s="166"/>
      <c r="CD2" s="325" t="s">
        <v>536</v>
      </c>
      <c r="CE2" s="329"/>
      <c r="CF2" s="326" t="s">
        <v>548</v>
      </c>
      <c r="CG2" s="329"/>
      <c r="CM2" s="325" t="s">
        <v>536</v>
      </c>
      <c r="CN2" s="329"/>
      <c r="CO2" s="326" t="s">
        <v>549</v>
      </c>
      <c r="CP2" s="329"/>
      <c r="CV2" s="338" t="s">
        <v>552</v>
      </c>
      <c r="CW2" s="337"/>
      <c r="CX2" s="340" t="s">
        <v>556</v>
      </c>
      <c r="CY2" s="337"/>
    </row>
    <row r="5" spans="1:107">
      <c r="A5" t="s">
        <v>657</v>
      </c>
      <c r="J5" s="128" t="s">
        <v>858</v>
      </c>
      <c r="S5" s="439" t="s">
        <v>920</v>
      </c>
      <c r="T5" s="438"/>
      <c r="U5" s="438"/>
      <c r="AB5" s="470" t="s">
        <v>1107</v>
      </c>
      <c r="AC5" s="469"/>
      <c r="AD5" s="469"/>
      <c r="AE5" s="469"/>
      <c r="AF5" s="166"/>
      <c r="AK5" s="321" t="s">
        <v>470</v>
      </c>
      <c r="AL5" s="323"/>
      <c r="AM5" s="323"/>
      <c r="AN5" s="323"/>
      <c r="AO5" s="323"/>
      <c r="AT5" s="168" t="s">
        <v>471</v>
      </c>
      <c r="AU5" s="166"/>
      <c r="AV5" s="166"/>
      <c r="AW5" s="166"/>
      <c r="AX5" s="166"/>
      <c r="BC5" s="168" t="s">
        <v>480</v>
      </c>
      <c r="BD5" s="166"/>
      <c r="BE5" s="166"/>
      <c r="BF5" s="166"/>
      <c r="BG5" s="166"/>
      <c r="BL5" s="168" t="s">
        <v>482</v>
      </c>
      <c r="BM5" s="166"/>
      <c r="BN5" s="166"/>
      <c r="BO5" s="166"/>
      <c r="BP5" s="166"/>
      <c r="BU5" s="168" t="s">
        <v>485</v>
      </c>
      <c r="BV5" s="166"/>
      <c r="BW5" s="166"/>
      <c r="BX5" s="166"/>
      <c r="BY5" s="166"/>
      <c r="CD5" s="325" t="s">
        <v>537</v>
      </c>
      <c r="CE5" s="329"/>
      <c r="CM5" s="325" t="s">
        <v>539</v>
      </c>
      <c r="CN5" s="329"/>
      <c r="CV5" s="338" t="s">
        <v>557</v>
      </c>
      <c r="CW5" s="337"/>
      <c r="CX5" s="337"/>
      <c r="CY5" s="337"/>
      <c r="CZ5" s="337"/>
    </row>
    <row r="6" spans="1:107">
      <c r="A6" t="s">
        <v>393</v>
      </c>
      <c r="J6" s="108" t="s">
        <v>393</v>
      </c>
      <c r="S6" s="108" t="s">
        <v>393</v>
      </c>
      <c r="AB6" s="168" t="s">
        <v>393</v>
      </c>
      <c r="AC6" s="166"/>
      <c r="AD6" s="166"/>
      <c r="AE6" s="166"/>
      <c r="AF6" s="166"/>
      <c r="AK6" s="168" t="s">
        <v>393</v>
      </c>
      <c r="AL6" s="166"/>
      <c r="AM6" s="166"/>
      <c r="AN6" s="166"/>
      <c r="AO6" s="166"/>
      <c r="AT6" s="168" t="s">
        <v>393</v>
      </c>
      <c r="AU6" s="166"/>
      <c r="AV6" s="166"/>
      <c r="AW6" s="166"/>
      <c r="AX6" s="166"/>
      <c r="BC6" s="168" t="s">
        <v>393</v>
      </c>
      <c r="BD6" s="166"/>
      <c r="BE6" s="166"/>
      <c r="BF6" s="166"/>
      <c r="BG6" s="166"/>
      <c r="BL6" s="168" t="s">
        <v>393</v>
      </c>
      <c r="BM6" s="166"/>
      <c r="BN6" s="166"/>
      <c r="BO6" s="166"/>
      <c r="BP6" s="166"/>
      <c r="BU6" s="168" t="s">
        <v>393</v>
      </c>
      <c r="BV6" s="166"/>
      <c r="BW6" s="166"/>
      <c r="BX6" s="166"/>
      <c r="BY6" s="166"/>
      <c r="CD6" s="325" t="s">
        <v>538</v>
      </c>
      <c r="CE6" s="329"/>
      <c r="CM6" s="325" t="s">
        <v>538</v>
      </c>
      <c r="CN6" s="329"/>
      <c r="CV6" s="338" t="s">
        <v>538</v>
      </c>
      <c r="CW6" s="337"/>
      <c r="CX6" s="337"/>
      <c r="CY6" s="337"/>
      <c r="CZ6" s="337"/>
    </row>
    <row r="7" spans="1:107">
      <c r="A7" s="108" t="s">
        <v>450</v>
      </c>
      <c r="J7" s="108" t="s">
        <v>450</v>
      </c>
      <c r="S7" s="108" t="s">
        <v>450</v>
      </c>
      <c r="AB7" s="168" t="s">
        <v>450</v>
      </c>
      <c r="AC7" s="166"/>
      <c r="AD7" s="166"/>
      <c r="AE7" s="166"/>
      <c r="AF7" s="166"/>
      <c r="AK7" s="168" t="s">
        <v>450</v>
      </c>
      <c r="AL7" s="166"/>
      <c r="AM7" s="166"/>
      <c r="AN7" s="166"/>
      <c r="AO7" s="166"/>
      <c r="AT7" s="168" t="s">
        <v>450</v>
      </c>
      <c r="AU7" s="166"/>
      <c r="AV7" s="166"/>
      <c r="AW7" s="166"/>
      <c r="AX7" s="166"/>
      <c r="BC7" s="168" t="s">
        <v>450</v>
      </c>
      <c r="BD7" s="166"/>
      <c r="BE7" s="166"/>
      <c r="BF7" s="166"/>
      <c r="BG7" s="166"/>
      <c r="BL7" s="168" t="s">
        <v>450</v>
      </c>
      <c r="BM7" s="166"/>
      <c r="BN7" s="166"/>
      <c r="BO7" s="166"/>
      <c r="BP7" s="166"/>
      <c r="BU7" s="168" t="s">
        <v>450</v>
      </c>
      <c r="BV7" s="166"/>
      <c r="BW7" s="166"/>
      <c r="BX7" s="166"/>
      <c r="BY7" s="166"/>
      <c r="CD7" s="325" t="s">
        <v>450</v>
      </c>
      <c r="CE7" s="329"/>
      <c r="CM7" s="325" t="s">
        <v>450</v>
      </c>
      <c r="CN7" s="329"/>
      <c r="CV7" s="338" t="s">
        <v>450</v>
      </c>
      <c r="CW7" s="337"/>
      <c r="CX7" s="337"/>
      <c r="CY7" s="337"/>
      <c r="CZ7" s="337"/>
    </row>
    <row r="10" spans="1:107">
      <c r="A10" s="324" t="s">
        <v>583</v>
      </c>
      <c r="J10" s="324" t="s">
        <v>583</v>
      </c>
      <c r="S10" s="324" t="s">
        <v>583</v>
      </c>
      <c r="AB10" s="324" t="s">
        <v>583</v>
      </c>
      <c r="AC10" s="108"/>
      <c r="AK10" s="324" t="s">
        <v>583</v>
      </c>
      <c r="AL10" s="108"/>
      <c r="AN10" s="124"/>
      <c r="AT10" s="324" t="s">
        <v>583</v>
      </c>
      <c r="AU10" s="108"/>
      <c r="BC10" s="324" t="s">
        <v>583</v>
      </c>
      <c r="BD10" s="108"/>
      <c r="BL10" s="324" t="s">
        <v>583</v>
      </c>
      <c r="BM10" s="108"/>
      <c r="BU10" s="324" t="s">
        <v>583</v>
      </c>
      <c r="CD10" s="324" t="s">
        <v>583</v>
      </c>
      <c r="CM10" s="324" t="s">
        <v>583</v>
      </c>
      <c r="CV10" s="324" t="s">
        <v>583</v>
      </c>
    </row>
    <row r="11" spans="1:107">
      <c r="D11" s="109">
        <f>D14-'MVTO A'!G192</f>
        <v>0</v>
      </c>
      <c r="G11" s="109">
        <f>G14-'MVTO A'!G193</f>
        <v>0</v>
      </c>
      <c r="AQ11" s="140"/>
      <c r="AR11" s="140"/>
    </row>
    <row r="13" spans="1:107">
      <c r="A13" s="112" t="s">
        <v>1</v>
      </c>
      <c r="B13" s="110" t="s">
        <v>72</v>
      </c>
      <c r="C13" s="111" t="s">
        <v>395</v>
      </c>
      <c r="D13" s="111" t="s">
        <v>30</v>
      </c>
      <c r="E13" s="112" t="s">
        <v>1</v>
      </c>
      <c r="F13" s="110" t="s">
        <v>72</v>
      </c>
      <c r="G13" s="111" t="s">
        <v>27</v>
      </c>
      <c r="H13" s="111" t="s">
        <v>396</v>
      </c>
      <c r="J13" s="110" t="s">
        <v>1</v>
      </c>
      <c r="K13" s="110" t="s">
        <v>72</v>
      </c>
      <c r="L13" s="111" t="s">
        <v>395</v>
      </c>
      <c r="M13" s="111" t="s">
        <v>30</v>
      </c>
      <c r="N13" s="110" t="s">
        <v>1</v>
      </c>
      <c r="O13" s="110" t="s">
        <v>72</v>
      </c>
      <c r="P13" s="111" t="s">
        <v>27</v>
      </c>
      <c r="Q13" s="111" t="s">
        <v>396</v>
      </c>
      <c r="S13" s="110" t="s">
        <v>1</v>
      </c>
      <c r="T13" s="110" t="s">
        <v>72</v>
      </c>
      <c r="U13" s="111" t="s">
        <v>395</v>
      </c>
      <c r="V13" s="111" t="s">
        <v>30</v>
      </c>
      <c r="W13" s="110" t="s">
        <v>1</v>
      </c>
      <c r="X13" s="110" t="s">
        <v>72</v>
      </c>
      <c r="Y13" s="111" t="s">
        <v>27</v>
      </c>
      <c r="Z13" s="111" t="s">
        <v>396</v>
      </c>
      <c r="AB13" s="110" t="s">
        <v>1</v>
      </c>
      <c r="AC13" s="110" t="s">
        <v>72</v>
      </c>
      <c r="AD13" s="111" t="s">
        <v>395</v>
      </c>
      <c r="AE13" s="111" t="s">
        <v>30</v>
      </c>
      <c r="AF13" s="110" t="s">
        <v>1</v>
      </c>
      <c r="AG13" s="110" t="s">
        <v>72</v>
      </c>
      <c r="AH13" s="111" t="s">
        <v>27</v>
      </c>
      <c r="AI13" s="111" t="s">
        <v>396</v>
      </c>
      <c r="AK13" s="110" t="s">
        <v>1</v>
      </c>
      <c r="AL13" s="110" t="s">
        <v>72</v>
      </c>
      <c r="AM13" s="111" t="s">
        <v>395</v>
      </c>
      <c r="AN13" s="111" t="s">
        <v>30</v>
      </c>
      <c r="AO13" s="110" t="s">
        <v>1</v>
      </c>
      <c r="AP13" s="110" t="s">
        <v>72</v>
      </c>
      <c r="AQ13" s="111" t="s">
        <v>27</v>
      </c>
      <c r="AR13" s="111" t="s">
        <v>396</v>
      </c>
      <c r="AT13" s="110" t="s">
        <v>1</v>
      </c>
      <c r="AU13" s="110" t="s">
        <v>72</v>
      </c>
      <c r="AV13" s="111" t="s">
        <v>395</v>
      </c>
      <c r="AW13" s="111" t="s">
        <v>30</v>
      </c>
      <c r="AX13" s="110" t="s">
        <v>1</v>
      </c>
      <c r="AY13" s="110" t="s">
        <v>72</v>
      </c>
      <c r="AZ13" s="111" t="s">
        <v>27</v>
      </c>
      <c r="BA13" s="111" t="s">
        <v>396</v>
      </c>
      <c r="BC13" s="110" t="s">
        <v>1</v>
      </c>
      <c r="BD13" s="110" t="s">
        <v>72</v>
      </c>
      <c r="BE13" s="111" t="s">
        <v>395</v>
      </c>
      <c r="BF13" s="111" t="s">
        <v>30</v>
      </c>
      <c r="BG13" s="110" t="s">
        <v>1</v>
      </c>
      <c r="BH13" s="110" t="s">
        <v>72</v>
      </c>
      <c r="BI13" s="111" t="s">
        <v>27</v>
      </c>
      <c r="BJ13" s="111" t="s">
        <v>396</v>
      </c>
      <c r="BL13" s="110" t="s">
        <v>1</v>
      </c>
      <c r="BM13" s="110" t="s">
        <v>72</v>
      </c>
      <c r="BN13" s="111" t="s">
        <v>395</v>
      </c>
      <c r="BO13" s="111" t="s">
        <v>30</v>
      </c>
      <c r="BP13" s="110" t="s">
        <v>1</v>
      </c>
      <c r="BQ13" s="110" t="s">
        <v>72</v>
      </c>
      <c r="BR13" s="111" t="s">
        <v>27</v>
      </c>
      <c r="BS13" s="111" t="s">
        <v>396</v>
      </c>
      <c r="BU13" s="110" t="s">
        <v>1</v>
      </c>
      <c r="BV13" s="110" t="s">
        <v>72</v>
      </c>
      <c r="BW13" s="111" t="s">
        <v>395</v>
      </c>
      <c r="BX13" s="111" t="s">
        <v>30</v>
      </c>
      <c r="BY13" s="110" t="s">
        <v>1</v>
      </c>
      <c r="BZ13" s="110" t="s">
        <v>72</v>
      </c>
      <c r="CA13" s="111" t="s">
        <v>27</v>
      </c>
      <c r="CB13" s="111" t="s">
        <v>396</v>
      </c>
      <c r="CD13" s="105" t="s">
        <v>1</v>
      </c>
      <c r="CE13" s="110" t="s">
        <v>72</v>
      </c>
      <c r="CF13" s="111" t="s">
        <v>395</v>
      </c>
      <c r="CG13" s="72" t="s">
        <v>30</v>
      </c>
      <c r="CH13" s="110" t="s">
        <v>1</v>
      </c>
      <c r="CI13" s="110" t="s">
        <v>72</v>
      </c>
      <c r="CJ13" s="111" t="s">
        <v>27</v>
      </c>
      <c r="CK13" s="111" t="s">
        <v>396</v>
      </c>
      <c r="CM13" s="110" t="s">
        <v>1</v>
      </c>
      <c r="CN13" s="110" t="s">
        <v>72</v>
      </c>
      <c r="CO13" s="111" t="s">
        <v>395</v>
      </c>
      <c r="CP13" s="111" t="s">
        <v>30</v>
      </c>
      <c r="CQ13" s="110" t="s">
        <v>1</v>
      </c>
      <c r="CR13" s="110" t="s">
        <v>72</v>
      </c>
      <c r="CS13" s="111" t="s">
        <v>27</v>
      </c>
      <c r="CT13" s="111" t="s">
        <v>396</v>
      </c>
      <c r="CV13" s="342" t="s">
        <v>1</v>
      </c>
      <c r="CW13" s="342" t="s">
        <v>72</v>
      </c>
      <c r="CX13" s="343" t="s">
        <v>395</v>
      </c>
      <c r="CY13" s="343" t="s">
        <v>30</v>
      </c>
      <c r="CZ13" s="342" t="s">
        <v>1</v>
      </c>
      <c r="DA13" s="342" t="s">
        <v>72</v>
      </c>
      <c r="DB13" s="343" t="s">
        <v>27</v>
      </c>
      <c r="DC13" s="343" t="s">
        <v>396</v>
      </c>
    </row>
    <row r="14" spans="1:107">
      <c r="C14" s="404">
        <v>313112.02</v>
      </c>
      <c r="D14" s="109">
        <f>SUBTOTAL(9,D15:D500)</f>
        <v>4391783.13</v>
      </c>
      <c r="G14" s="109">
        <f>SUBTOTAL(9,G15:G500)</f>
        <v>3602658.2000000007</v>
      </c>
      <c r="H14" s="405">
        <v>1102236.95</v>
      </c>
      <c r="L14" s="404">
        <v>1102236.95</v>
      </c>
      <c r="M14" s="109">
        <f>SUBTOTAL(9,M15:M500)</f>
        <v>3454302.7700000005</v>
      </c>
      <c r="P14" s="109">
        <f>SUBTOTAL(9,P15:P500)</f>
        <v>3549657.89</v>
      </c>
      <c r="Q14" s="404">
        <v>1006881.83</v>
      </c>
      <c r="U14" s="440">
        <v>1006881.83</v>
      </c>
      <c r="V14" s="109">
        <f>SUBTOTAL(9,V15:V500)</f>
        <v>3815781.1100000003</v>
      </c>
      <c r="Y14" s="109">
        <f>SUBTOTAL(9,Y15:Y500)</f>
        <v>4665729.9299999988</v>
      </c>
      <c r="Z14" s="440">
        <v>156933.01</v>
      </c>
      <c r="AD14" s="471">
        <v>156933.01</v>
      </c>
      <c r="AE14" s="109">
        <v>3343230.73</v>
      </c>
      <c r="AH14" s="471">
        <v>3517696</v>
      </c>
      <c r="AI14" s="471">
        <v>-17532.259999999998</v>
      </c>
      <c r="AM14" s="405"/>
      <c r="AN14" s="109"/>
      <c r="AQ14" s="109"/>
      <c r="AR14" s="405"/>
      <c r="AT14" s="110"/>
      <c r="AU14" s="110"/>
      <c r="AV14" s="405"/>
      <c r="AW14" s="109"/>
      <c r="AX14" s="110"/>
      <c r="AY14" s="110"/>
      <c r="AZ14" s="124"/>
      <c r="BA14" s="405"/>
      <c r="BE14" s="404"/>
      <c r="BF14" s="109"/>
      <c r="BI14" s="109"/>
      <c r="BJ14" s="400"/>
      <c r="BN14" s="404"/>
      <c r="BO14" s="109"/>
      <c r="BR14" s="172"/>
      <c r="BS14" s="405"/>
      <c r="BW14" s="404"/>
      <c r="BX14" s="109"/>
      <c r="CA14" s="172"/>
      <c r="CB14" s="404"/>
      <c r="CF14" s="404"/>
      <c r="CG14" s="326"/>
      <c r="CJ14" s="326"/>
      <c r="CK14" s="404"/>
      <c r="CO14" s="404"/>
      <c r="CP14" s="326"/>
      <c r="CS14" s="326"/>
      <c r="CT14" s="405"/>
      <c r="CV14" s="338"/>
      <c r="CW14" s="338"/>
      <c r="CX14" s="405"/>
      <c r="CY14" s="340"/>
      <c r="DB14" s="326"/>
      <c r="DC14" s="404"/>
    </row>
    <row r="15" spans="1:107">
      <c r="A15" s="402">
        <v>112301</v>
      </c>
      <c r="B15" s="401" t="s">
        <v>83</v>
      </c>
      <c r="C15" s="405">
        <v>0</v>
      </c>
      <c r="D15" s="405">
        <v>1019795.3</v>
      </c>
      <c r="E15" s="402">
        <v>211101</v>
      </c>
      <c r="F15" s="401" t="s">
        <v>132</v>
      </c>
      <c r="G15" s="405">
        <v>2783.37</v>
      </c>
      <c r="H15" s="111"/>
      <c r="J15" s="402">
        <v>112116</v>
      </c>
      <c r="K15" s="401" t="s">
        <v>577</v>
      </c>
      <c r="L15" s="405">
        <v>0</v>
      </c>
      <c r="M15" s="405">
        <v>233582.64</v>
      </c>
      <c r="N15" s="406">
        <v>211102</v>
      </c>
      <c r="O15" s="403" t="s">
        <v>133</v>
      </c>
      <c r="P15" s="404">
        <v>118737.07</v>
      </c>
      <c r="Q15" s="111"/>
      <c r="S15" s="443">
        <v>112116</v>
      </c>
      <c r="T15" s="442" t="s">
        <v>577</v>
      </c>
      <c r="U15" s="441">
        <v>0</v>
      </c>
      <c r="V15" s="441">
        <v>249621.86</v>
      </c>
      <c r="W15" s="438">
        <v>211101</v>
      </c>
      <c r="X15" s="439" t="s">
        <v>132</v>
      </c>
      <c r="Y15" s="440">
        <v>460</v>
      </c>
      <c r="Z15" s="126"/>
      <c r="AB15" s="474">
        <v>112301</v>
      </c>
      <c r="AC15" s="472" t="s">
        <v>83</v>
      </c>
      <c r="AD15" s="473">
        <v>0</v>
      </c>
      <c r="AE15" s="473">
        <v>882567.41</v>
      </c>
      <c r="AF15" s="474">
        <v>211102</v>
      </c>
      <c r="AG15" s="472" t="s">
        <v>133</v>
      </c>
      <c r="AH15" s="473">
        <v>104620.99</v>
      </c>
      <c r="AI15" s="172"/>
      <c r="AK15" s="402"/>
      <c r="AL15" s="401"/>
      <c r="AM15" s="172"/>
      <c r="AN15" s="405"/>
      <c r="AO15" s="402"/>
      <c r="AP15" s="401"/>
      <c r="AQ15" s="405"/>
      <c r="AR15" s="172"/>
      <c r="AT15" s="402"/>
      <c r="AU15" s="401"/>
      <c r="AV15" s="172"/>
      <c r="AW15" s="405"/>
      <c r="AX15" s="402"/>
      <c r="AY15" s="401"/>
      <c r="AZ15" s="405"/>
      <c r="BA15" s="172"/>
      <c r="BC15" s="402"/>
      <c r="BD15" s="401"/>
      <c r="BE15" s="172"/>
      <c r="BF15" s="399"/>
      <c r="BH15" s="108"/>
      <c r="BI15" s="400"/>
      <c r="BJ15" s="169"/>
      <c r="BL15" s="402"/>
      <c r="BM15" s="401"/>
      <c r="BN15" s="172"/>
      <c r="BO15" s="405"/>
      <c r="BP15" s="402"/>
      <c r="BQ15" s="401"/>
      <c r="BR15" s="405"/>
      <c r="BS15" s="172"/>
      <c r="BU15" s="402"/>
      <c r="BV15" s="401"/>
      <c r="BW15" s="172"/>
      <c r="BX15" s="405"/>
      <c r="BY15" s="402"/>
      <c r="BZ15" s="401"/>
      <c r="CA15" s="405"/>
      <c r="CB15" s="172"/>
      <c r="CD15" s="402"/>
      <c r="CE15" s="401"/>
      <c r="CF15" s="328"/>
      <c r="CG15" s="405"/>
      <c r="CH15" s="402"/>
      <c r="CI15" s="401"/>
      <c r="CJ15" s="405"/>
      <c r="CM15" s="402"/>
      <c r="CN15" s="401"/>
      <c r="CO15" s="328"/>
      <c r="CP15" s="405"/>
      <c r="CQ15" s="406"/>
      <c r="CR15" s="403"/>
      <c r="CS15" s="404"/>
      <c r="CV15" s="402"/>
      <c r="CW15" s="401"/>
      <c r="CX15" s="343"/>
      <c r="CY15" s="405"/>
      <c r="CZ15" s="406"/>
      <c r="DA15" s="403"/>
      <c r="DB15" s="404"/>
      <c r="DC15" s="340"/>
    </row>
    <row r="16" spans="1:107">
      <c r="A16" s="406">
        <v>112302</v>
      </c>
      <c r="B16" s="403" t="s">
        <v>84</v>
      </c>
      <c r="C16" s="404">
        <v>0</v>
      </c>
      <c r="D16" s="404">
        <v>1104055.99</v>
      </c>
      <c r="E16" s="406">
        <v>211102</v>
      </c>
      <c r="F16" s="403" t="s">
        <v>133</v>
      </c>
      <c r="G16" s="404">
        <v>175994.31</v>
      </c>
      <c r="J16" s="406">
        <v>112118</v>
      </c>
      <c r="K16" s="403" t="s">
        <v>451</v>
      </c>
      <c r="L16" s="404">
        <v>0</v>
      </c>
      <c r="M16" s="404">
        <v>185954.55</v>
      </c>
      <c r="N16" s="402">
        <v>211103</v>
      </c>
      <c r="O16" s="401" t="s">
        <v>134</v>
      </c>
      <c r="P16" s="405">
        <v>7084.5</v>
      </c>
      <c r="S16" s="438">
        <v>112118</v>
      </c>
      <c r="T16" s="439" t="s">
        <v>451</v>
      </c>
      <c r="U16" s="440">
        <v>0</v>
      </c>
      <c r="V16" s="440">
        <v>208795.25</v>
      </c>
      <c r="W16" s="443">
        <v>211102</v>
      </c>
      <c r="X16" s="442" t="s">
        <v>133</v>
      </c>
      <c r="Y16" s="441">
        <v>138599.09</v>
      </c>
      <c r="Z16" s="124"/>
      <c r="AB16" s="469">
        <v>112302</v>
      </c>
      <c r="AC16" s="470" t="s">
        <v>84</v>
      </c>
      <c r="AD16" s="471">
        <v>0</v>
      </c>
      <c r="AE16" s="471">
        <v>947228.35</v>
      </c>
      <c r="AF16" s="469">
        <v>211103</v>
      </c>
      <c r="AG16" s="470" t="s">
        <v>134</v>
      </c>
      <c r="AH16" s="471">
        <v>7434.3</v>
      </c>
      <c r="AI16" s="169"/>
      <c r="AK16" s="406"/>
      <c r="AL16" s="403"/>
      <c r="AM16" s="169"/>
      <c r="AN16" s="404"/>
      <c r="AO16" s="406"/>
      <c r="AP16" s="403"/>
      <c r="AQ16" s="404"/>
      <c r="AR16" s="169"/>
      <c r="AT16" s="406"/>
      <c r="AU16" s="403"/>
      <c r="AV16" s="169"/>
      <c r="AW16" s="404"/>
      <c r="AX16" s="406"/>
      <c r="AY16" s="403"/>
      <c r="AZ16" s="404"/>
      <c r="BA16" s="169"/>
      <c r="BC16" s="406"/>
      <c r="BD16" s="403"/>
      <c r="BE16" s="169"/>
      <c r="BF16" s="400"/>
      <c r="BG16" s="112"/>
      <c r="BH16" s="110"/>
      <c r="BI16" s="399"/>
      <c r="BJ16" s="172"/>
      <c r="BL16" s="406"/>
      <c r="BM16" s="403"/>
      <c r="BN16" s="169"/>
      <c r="BO16" s="404"/>
      <c r="BP16" s="406"/>
      <c r="BQ16" s="403"/>
      <c r="BR16" s="404"/>
      <c r="BS16" s="169"/>
      <c r="BU16" s="406"/>
      <c r="BV16" s="403"/>
      <c r="BW16" s="169"/>
      <c r="BX16" s="404"/>
      <c r="BY16" s="406"/>
      <c r="BZ16" s="403"/>
      <c r="CA16" s="404"/>
      <c r="CB16" s="169"/>
      <c r="CD16" s="406"/>
      <c r="CE16" s="403"/>
      <c r="CF16" s="326"/>
      <c r="CG16" s="404"/>
      <c r="CH16" s="406"/>
      <c r="CI16" s="403"/>
      <c r="CJ16" s="404"/>
      <c r="CM16" s="406"/>
      <c r="CN16" s="403"/>
      <c r="CO16" s="326"/>
      <c r="CP16" s="404"/>
      <c r="CQ16" s="402"/>
      <c r="CR16" s="401"/>
      <c r="CS16" s="405"/>
      <c r="CV16" s="406"/>
      <c r="CW16" s="403"/>
      <c r="CX16" s="340"/>
      <c r="CY16" s="404"/>
      <c r="CZ16" s="402"/>
      <c r="DA16" s="401"/>
      <c r="DB16" s="405"/>
      <c r="DC16" s="343"/>
    </row>
    <row r="17" spans="1:107">
      <c r="A17" s="402">
        <v>112304</v>
      </c>
      <c r="B17" s="401" t="s">
        <v>86</v>
      </c>
      <c r="C17" s="405">
        <v>0</v>
      </c>
      <c r="D17" s="405">
        <v>59131.39</v>
      </c>
      <c r="E17" s="402">
        <v>211103</v>
      </c>
      <c r="F17" s="401" t="s">
        <v>134</v>
      </c>
      <c r="G17" s="405">
        <v>8111.28</v>
      </c>
      <c r="H17" s="111"/>
      <c r="J17" s="402">
        <v>112301</v>
      </c>
      <c r="K17" s="401" t="s">
        <v>83</v>
      </c>
      <c r="L17" s="405">
        <v>0</v>
      </c>
      <c r="M17" s="405">
        <v>901444.92</v>
      </c>
      <c r="N17" s="406">
        <v>211104</v>
      </c>
      <c r="O17" s="403" t="s">
        <v>135</v>
      </c>
      <c r="P17" s="404">
        <v>66840.94</v>
      </c>
      <c r="Q17" s="111"/>
      <c r="S17" s="443">
        <v>112301</v>
      </c>
      <c r="T17" s="442" t="s">
        <v>83</v>
      </c>
      <c r="U17" s="441">
        <v>0</v>
      </c>
      <c r="V17" s="441">
        <v>944749.24</v>
      </c>
      <c r="W17" s="438">
        <v>211103</v>
      </c>
      <c r="X17" s="439" t="s">
        <v>134</v>
      </c>
      <c r="Y17" s="440">
        <v>6878.6</v>
      </c>
      <c r="Z17" s="126"/>
      <c r="AB17" s="474">
        <v>112304</v>
      </c>
      <c r="AC17" s="472" t="s">
        <v>86</v>
      </c>
      <c r="AD17" s="473">
        <v>0</v>
      </c>
      <c r="AE17" s="473">
        <v>46816.74</v>
      </c>
      <c r="AF17" s="474">
        <v>211104</v>
      </c>
      <c r="AG17" s="472" t="s">
        <v>135</v>
      </c>
      <c r="AH17" s="473">
        <v>66789.97</v>
      </c>
      <c r="AI17" s="172"/>
      <c r="AK17" s="402"/>
      <c r="AL17" s="401"/>
      <c r="AM17" s="172"/>
      <c r="AN17" s="405"/>
      <c r="AO17" s="402"/>
      <c r="AP17" s="401"/>
      <c r="AQ17" s="405"/>
      <c r="AR17" s="172"/>
      <c r="AT17" s="402"/>
      <c r="AU17" s="401"/>
      <c r="AV17" s="172"/>
      <c r="AW17" s="405"/>
      <c r="AX17" s="402"/>
      <c r="AY17" s="401"/>
      <c r="AZ17" s="405"/>
      <c r="BA17" s="172"/>
      <c r="BC17" s="402"/>
      <c r="BD17" s="401"/>
      <c r="BE17" s="172"/>
      <c r="BF17" s="399"/>
      <c r="BH17" s="108"/>
      <c r="BI17" s="400"/>
      <c r="BJ17" s="169"/>
      <c r="BL17" s="402"/>
      <c r="BM17" s="401"/>
      <c r="BN17" s="172"/>
      <c r="BO17" s="405"/>
      <c r="BP17" s="402"/>
      <c r="BQ17" s="401"/>
      <c r="BR17" s="405"/>
      <c r="BS17" s="172"/>
      <c r="BU17" s="402"/>
      <c r="BV17" s="401"/>
      <c r="BW17" s="172"/>
      <c r="BX17" s="405"/>
      <c r="BY17" s="402"/>
      <c r="BZ17" s="401"/>
      <c r="CA17" s="405"/>
      <c r="CB17" s="172"/>
      <c r="CD17" s="402"/>
      <c r="CE17" s="401"/>
      <c r="CF17" s="328"/>
      <c r="CG17" s="405"/>
      <c r="CH17" s="402"/>
      <c r="CI17" s="401"/>
      <c r="CJ17" s="405"/>
      <c r="CM17" s="402"/>
      <c r="CN17" s="401"/>
      <c r="CO17" s="328"/>
      <c r="CP17" s="405"/>
      <c r="CQ17" s="406"/>
      <c r="CR17" s="403"/>
      <c r="CS17" s="404"/>
      <c r="CV17" s="402"/>
      <c r="CW17" s="401"/>
      <c r="CX17" s="343"/>
      <c r="CY17" s="405"/>
      <c r="CZ17" s="406"/>
      <c r="DA17" s="403"/>
      <c r="DB17" s="404"/>
      <c r="DC17" s="340"/>
    </row>
    <row r="18" spans="1:107">
      <c r="A18" s="406">
        <v>112306</v>
      </c>
      <c r="B18" s="403" t="s">
        <v>87</v>
      </c>
      <c r="C18" s="404">
        <v>0</v>
      </c>
      <c r="D18" s="404">
        <v>114064.36</v>
      </c>
      <c r="E18" s="406">
        <v>211104</v>
      </c>
      <c r="F18" s="403" t="s">
        <v>135</v>
      </c>
      <c r="G18" s="404">
        <v>55011.49</v>
      </c>
      <c r="J18" s="406">
        <v>112302</v>
      </c>
      <c r="K18" s="403" t="s">
        <v>84</v>
      </c>
      <c r="L18" s="404">
        <v>0</v>
      </c>
      <c r="M18" s="404">
        <v>1004049.89</v>
      </c>
      <c r="N18" s="402">
        <v>212106</v>
      </c>
      <c r="O18" s="401" t="s">
        <v>139</v>
      </c>
      <c r="P18" s="405">
        <v>7158.06</v>
      </c>
      <c r="S18" s="438">
        <v>112302</v>
      </c>
      <c r="T18" s="439" t="s">
        <v>84</v>
      </c>
      <c r="U18" s="440">
        <v>0</v>
      </c>
      <c r="V18" s="440">
        <v>994757.72</v>
      </c>
      <c r="W18" s="443">
        <v>211104</v>
      </c>
      <c r="X18" s="442" t="s">
        <v>135</v>
      </c>
      <c r="Y18" s="441">
        <v>71834.259999999995</v>
      </c>
      <c r="Z18" s="124"/>
      <c r="AB18" s="469">
        <v>112306</v>
      </c>
      <c r="AC18" s="470" t="s">
        <v>87</v>
      </c>
      <c r="AD18" s="471">
        <v>0</v>
      </c>
      <c r="AE18" s="471">
        <v>80965.179999999993</v>
      </c>
      <c r="AF18" s="469">
        <v>211201</v>
      </c>
      <c r="AG18" s="470" t="s">
        <v>136</v>
      </c>
      <c r="AH18" s="471">
        <v>7836.26</v>
      </c>
      <c r="AI18" s="169"/>
      <c r="AK18" s="406"/>
      <c r="AL18" s="403"/>
      <c r="AM18" s="169"/>
      <c r="AN18" s="404"/>
      <c r="AO18" s="406"/>
      <c r="AP18" s="403"/>
      <c r="AQ18" s="404"/>
      <c r="AR18" s="169"/>
      <c r="AT18" s="406"/>
      <c r="AU18" s="403"/>
      <c r="AV18" s="169"/>
      <c r="AW18" s="404"/>
      <c r="AX18" s="406"/>
      <c r="AY18" s="403"/>
      <c r="AZ18" s="404"/>
      <c r="BA18" s="169"/>
      <c r="BC18" s="406"/>
      <c r="BD18" s="403"/>
      <c r="BE18" s="169"/>
      <c r="BF18" s="400"/>
      <c r="BG18" s="112"/>
      <c r="BH18" s="110"/>
      <c r="BI18" s="399"/>
      <c r="BJ18" s="172"/>
      <c r="BL18" s="406"/>
      <c r="BM18" s="403"/>
      <c r="BN18" s="169"/>
      <c r="BO18" s="404"/>
      <c r="BP18" s="406"/>
      <c r="BQ18" s="403"/>
      <c r="BR18" s="404"/>
      <c r="BS18" s="169"/>
      <c r="BU18" s="406"/>
      <c r="BV18" s="403"/>
      <c r="BW18" s="169"/>
      <c r="BX18" s="404"/>
      <c r="BY18" s="406"/>
      <c r="BZ18" s="403"/>
      <c r="CA18" s="404"/>
      <c r="CB18" s="169"/>
      <c r="CD18" s="406"/>
      <c r="CE18" s="403"/>
      <c r="CF18" s="326"/>
      <c r="CG18" s="404"/>
      <c r="CH18" s="406"/>
      <c r="CI18" s="403"/>
      <c r="CJ18" s="404"/>
      <c r="CM18" s="406"/>
      <c r="CN18" s="403"/>
      <c r="CO18" s="326"/>
      <c r="CP18" s="404"/>
      <c r="CQ18" s="402"/>
      <c r="CR18" s="401"/>
      <c r="CS18" s="405"/>
      <c r="CV18" s="406"/>
      <c r="CW18" s="403"/>
      <c r="CX18" s="340"/>
      <c r="CY18" s="404"/>
      <c r="CZ18" s="402"/>
      <c r="DA18" s="401"/>
      <c r="DB18" s="405"/>
      <c r="DC18" s="343"/>
    </row>
    <row r="19" spans="1:107">
      <c r="A19" s="402">
        <v>112401</v>
      </c>
      <c r="B19" s="401" t="s">
        <v>89</v>
      </c>
      <c r="C19" s="405">
        <v>0</v>
      </c>
      <c r="D19" s="405">
        <v>374468.65</v>
      </c>
      <c r="E19" s="402">
        <v>212106</v>
      </c>
      <c r="F19" s="401" t="s">
        <v>139</v>
      </c>
      <c r="G19" s="405">
        <v>15417.9</v>
      </c>
      <c r="H19" s="111"/>
      <c r="J19" s="402">
        <v>112303</v>
      </c>
      <c r="K19" s="401" t="s">
        <v>85</v>
      </c>
      <c r="L19" s="405">
        <v>0</v>
      </c>
      <c r="M19" s="405">
        <v>120</v>
      </c>
      <c r="N19" s="406">
        <v>212199</v>
      </c>
      <c r="O19" s="403" t="s">
        <v>140</v>
      </c>
      <c r="P19" s="404">
        <v>530768.31999999995</v>
      </c>
      <c r="Q19" s="111"/>
      <c r="S19" s="443">
        <v>112304</v>
      </c>
      <c r="T19" s="442" t="s">
        <v>86</v>
      </c>
      <c r="U19" s="441">
        <v>0</v>
      </c>
      <c r="V19" s="441">
        <v>44470.38</v>
      </c>
      <c r="W19" s="438">
        <v>212102</v>
      </c>
      <c r="X19" s="439" t="s">
        <v>138</v>
      </c>
      <c r="Y19" s="440">
        <v>2588.85</v>
      </c>
      <c r="Z19" s="126"/>
      <c r="AB19" s="474">
        <v>112401</v>
      </c>
      <c r="AC19" s="472" t="s">
        <v>89</v>
      </c>
      <c r="AD19" s="473">
        <v>0</v>
      </c>
      <c r="AE19" s="473">
        <v>276504.23</v>
      </c>
      <c r="AF19" s="474">
        <v>212102</v>
      </c>
      <c r="AG19" s="472" t="s">
        <v>138</v>
      </c>
      <c r="AH19" s="473">
        <v>55734.559999999998</v>
      </c>
      <c r="AI19" s="172"/>
      <c r="AK19" s="402"/>
      <c r="AL19" s="401"/>
      <c r="AM19" s="172"/>
      <c r="AN19" s="405"/>
      <c r="AO19" s="402"/>
      <c r="AP19" s="401"/>
      <c r="AQ19" s="405"/>
      <c r="AR19" s="172"/>
      <c r="AT19" s="402"/>
      <c r="AU19" s="401"/>
      <c r="AV19" s="172"/>
      <c r="AW19" s="405"/>
      <c r="AX19" s="402"/>
      <c r="AY19" s="401"/>
      <c r="AZ19" s="405"/>
      <c r="BA19" s="172"/>
      <c r="BC19" s="402"/>
      <c r="BD19" s="401"/>
      <c r="BE19" s="172"/>
      <c r="BF19" s="399"/>
      <c r="BH19" s="108"/>
      <c r="BI19" s="400"/>
      <c r="BJ19" s="169"/>
      <c r="BL19" s="402"/>
      <c r="BM19" s="401"/>
      <c r="BN19" s="172"/>
      <c r="BO19" s="405"/>
      <c r="BP19" s="402"/>
      <c r="BQ19" s="401"/>
      <c r="BR19" s="405"/>
      <c r="BS19" s="172"/>
      <c r="BU19" s="402"/>
      <c r="BV19" s="401"/>
      <c r="BW19" s="172"/>
      <c r="BX19" s="405"/>
      <c r="BY19" s="402"/>
      <c r="BZ19" s="401"/>
      <c r="CA19" s="405"/>
      <c r="CB19" s="172"/>
      <c r="CD19" s="402"/>
      <c r="CE19" s="401"/>
      <c r="CF19" s="328"/>
      <c r="CG19" s="405"/>
      <c r="CH19" s="402"/>
      <c r="CI19" s="401"/>
      <c r="CJ19" s="405"/>
      <c r="CM19" s="402"/>
      <c r="CN19" s="401"/>
      <c r="CO19" s="328"/>
      <c r="CP19" s="405"/>
      <c r="CQ19" s="406"/>
      <c r="CR19" s="403"/>
      <c r="CS19" s="404"/>
      <c r="CV19" s="402"/>
      <c r="CW19" s="401"/>
      <c r="CX19" s="343"/>
      <c r="CY19" s="405"/>
      <c r="CZ19" s="406"/>
      <c r="DA19" s="403"/>
      <c r="DB19" s="404"/>
      <c r="DC19" s="340"/>
    </row>
    <row r="20" spans="1:107">
      <c r="A20" s="406">
        <v>122601</v>
      </c>
      <c r="B20" s="403" t="s">
        <v>109</v>
      </c>
      <c r="C20" s="404">
        <v>0</v>
      </c>
      <c r="D20" s="404">
        <v>425948</v>
      </c>
      <c r="E20" s="406">
        <v>212199</v>
      </c>
      <c r="F20" s="403" t="s">
        <v>140</v>
      </c>
      <c r="G20" s="404">
        <v>506639.84</v>
      </c>
      <c r="J20" s="406">
        <v>112304</v>
      </c>
      <c r="K20" s="403" t="s">
        <v>86</v>
      </c>
      <c r="L20" s="404">
        <v>0</v>
      </c>
      <c r="M20" s="404">
        <v>44902.58</v>
      </c>
      <c r="N20" s="402">
        <v>214119</v>
      </c>
      <c r="O20" s="401" t="s">
        <v>158</v>
      </c>
      <c r="P20" s="405">
        <v>26.13</v>
      </c>
      <c r="S20" s="438">
        <v>112306</v>
      </c>
      <c r="T20" s="439" t="s">
        <v>87</v>
      </c>
      <c r="U20" s="440">
        <v>0</v>
      </c>
      <c r="V20" s="440">
        <v>90047.33</v>
      </c>
      <c r="W20" s="443">
        <v>212199</v>
      </c>
      <c r="X20" s="442" t="s">
        <v>140</v>
      </c>
      <c r="Y20" s="441">
        <v>507968.56</v>
      </c>
      <c r="Z20" s="124"/>
      <c r="AB20" s="469">
        <v>259198</v>
      </c>
      <c r="AC20" s="470" t="s">
        <v>1106</v>
      </c>
      <c r="AD20" s="471">
        <v>0</v>
      </c>
      <c r="AE20" s="471">
        <v>164000</v>
      </c>
      <c r="AF20" s="469">
        <v>212106</v>
      </c>
      <c r="AG20" s="470" t="s">
        <v>139</v>
      </c>
      <c r="AH20" s="471">
        <v>9094.82</v>
      </c>
      <c r="AI20" s="169"/>
      <c r="AK20" s="406"/>
      <c r="AL20" s="403"/>
      <c r="AM20" s="169"/>
      <c r="AN20" s="404"/>
      <c r="AO20" s="406"/>
      <c r="AP20" s="403"/>
      <c r="AQ20" s="404"/>
      <c r="AR20" s="169"/>
      <c r="AT20" s="406"/>
      <c r="AU20" s="403"/>
      <c r="AV20" s="169"/>
      <c r="AW20" s="404"/>
      <c r="AX20" s="406"/>
      <c r="AY20" s="403"/>
      <c r="AZ20" s="404"/>
      <c r="BA20" s="169"/>
      <c r="BC20" s="406"/>
      <c r="BD20" s="403"/>
      <c r="BE20" s="169"/>
      <c r="BF20" s="400"/>
      <c r="BG20" s="112"/>
      <c r="BH20" s="110"/>
      <c r="BI20" s="399"/>
      <c r="BJ20" s="172"/>
      <c r="BL20" s="406"/>
      <c r="BM20" s="403"/>
      <c r="BN20" s="169"/>
      <c r="BO20" s="404"/>
      <c r="BP20" s="406"/>
      <c r="BQ20" s="403"/>
      <c r="BR20" s="404"/>
      <c r="BS20" s="169"/>
      <c r="BU20" s="406"/>
      <c r="BV20" s="403"/>
      <c r="BW20" s="169"/>
      <c r="BX20" s="404"/>
      <c r="BY20" s="406"/>
      <c r="BZ20" s="403"/>
      <c r="CA20" s="404"/>
      <c r="CB20" s="169"/>
      <c r="CD20" s="406"/>
      <c r="CE20" s="403"/>
      <c r="CF20" s="326"/>
      <c r="CG20" s="404"/>
      <c r="CH20" s="406"/>
      <c r="CI20" s="403"/>
      <c r="CJ20" s="404"/>
      <c r="CM20" s="406"/>
      <c r="CN20" s="403"/>
      <c r="CO20" s="326"/>
      <c r="CP20" s="404"/>
      <c r="CQ20" s="402"/>
      <c r="CR20" s="401"/>
      <c r="CS20" s="405"/>
      <c r="CV20" s="406"/>
      <c r="CW20" s="403"/>
      <c r="CX20" s="340"/>
      <c r="CY20" s="404"/>
      <c r="CZ20" s="402"/>
      <c r="DA20" s="401"/>
      <c r="DB20" s="405"/>
      <c r="DC20" s="343"/>
    </row>
    <row r="21" spans="1:107">
      <c r="A21" s="402">
        <v>313110</v>
      </c>
      <c r="B21" s="401" t="s">
        <v>120</v>
      </c>
      <c r="C21" s="405">
        <v>0</v>
      </c>
      <c r="D21" s="405">
        <v>8.08</v>
      </c>
      <c r="E21" s="402">
        <v>212299</v>
      </c>
      <c r="F21" s="401" t="s">
        <v>142</v>
      </c>
      <c r="G21" s="405">
        <v>246494.48</v>
      </c>
      <c r="H21" s="111"/>
      <c r="J21" s="402">
        <v>112306</v>
      </c>
      <c r="K21" s="401" t="s">
        <v>87</v>
      </c>
      <c r="L21" s="405">
        <v>0</v>
      </c>
      <c r="M21" s="405">
        <v>91838.31</v>
      </c>
      <c r="N21" s="406">
        <v>214198</v>
      </c>
      <c r="O21" s="403" t="s">
        <v>161</v>
      </c>
      <c r="P21" s="404">
        <v>147868.13</v>
      </c>
      <c r="Q21" s="111"/>
      <c r="S21" s="443">
        <v>112401</v>
      </c>
      <c r="T21" s="442" t="s">
        <v>89</v>
      </c>
      <c r="U21" s="441">
        <v>0</v>
      </c>
      <c r="V21" s="441">
        <v>313717.84000000003</v>
      </c>
      <c r="W21" s="438">
        <v>215101</v>
      </c>
      <c r="X21" s="439" t="s">
        <v>165</v>
      </c>
      <c r="Y21" s="440">
        <v>6300.81</v>
      </c>
      <c r="Z21" s="126"/>
      <c r="AB21" s="474">
        <v>331814</v>
      </c>
      <c r="AC21" s="472" t="s">
        <v>183</v>
      </c>
      <c r="AD21" s="473">
        <v>0</v>
      </c>
      <c r="AE21" s="473">
        <v>1.1599999999999999</v>
      </c>
      <c r="AF21" s="474">
        <v>212199</v>
      </c>
      <c r="AG21" s="472" t="s">
        <v>140</v>
      </c>
      <c r="AH21" s="473">
        <v>430142.1</v>
      </c>
      <c r="AI21" s="172"/>
      <c r="AK21" s="402"/>
      <c r="AL21" s="401"/>
      <c r="AM21" s="172"/>
      <c r="AN21" s="405"/>
      <c r="AO21" s="402"/>
      <c r="AP21" s="401"/>
      <c r="AQ21" s="405"/>
      <c r="AR21" s="172"/>
      <c r="AT21" s="402"/>
      <c r="AU21" s="401"/>
      <c r="AV21" s="172"/>
      <c r="AW21" s="405"/>
      <c r="AX21" s="402"/>
      <c r="AY21" s="401"/>
      <c r="AZ21" s="405"/>
      <c r="BA21" s="172"/>
      <c r="BC21" s="402"/>
      <c r="BD21" s="401"/>
      <c r="BE21" s="172"/>
      <c r="BF21" s="399"/>
      <c r="BH21" s="108"/>
      <c r="BI21" s="400"/>
      <c r="BJ21" s="169"/>
      <c r="BL21" s="402"/>
      <c r="BM21" s="401"/>
      <c r="BN21" s="172"/>
      <c r="BO21" s="405"/>
      <c r="BP21" s="402"/>
      <c r="BQ21" s="401"/>
      <c r="BR21" s="405"/>
      <c r="BS21" s="172"/>
      <c r="BU21" s="402"/>
      <c r="BV21" s="401"/>
      <c r="BW21" s="172"/>
      <c r="BX21" s="405"/>
      <c r="BY21" s="402"/>
      <c r="BZ21" s="401"/>
      <c r="CA21" s="405"/>
      <c r="CB21" s="172"/>
      <c r="CD21" s="402"/>
      <c r="CE21" s="401"/>
      <c r="CF21" s="328"/>
      <c r="CG21" s="405"/>
      <c r="CH21" s="402"/>
      <c r="CI21" s="401"/>
      <c r="CJ21" s="405"/>
      <c r="CM21" s="402"/>
      <c r="CN21" s="401"/>
      <c r="CO21" s="328"/>
      <c r="CP21" s="405"/>
      <c r="CQ21" s="406"/>
      <c r="CR21" s="403"/>
      <c r="CS21" s="404"/>
      <c r="CV21" s="402"/>
      <c r="CW21" s="401"/>
      <c r="CX21" s="343"/>
      <c r="CY21" s="405"/>
      <c r="CZ21" s="406"/>
      <c r="DA21" s="403"/>
      <c r="DB21" s="404"/>
      <c r="DC21" s="340"/>
    </row>
    <row r="22" spans="1:107">
      <c r="A22" s="406">
        <v>331849</v>
      </c>
      <c r="B22" s="403" t="s">
        <v>124</v>
      </c>
      <c r="C22" s="404">
        <v>0</v>
      </c>
      <c r="D22" s="404">
        <v>0.95</v>
      </c>
      <c r="E22" s="406">
        <v>214119</v>
      </c>
      <c r="F22" s="403" t="s">
        <v>158</v>
      </c>
      <c r="G22" s="404">
        <v>456.63</v>
      </c>
      <c r="J22" s="406">
        <v>112401</v>
      </c>
      <c r="K22" s="403" t="s">
        <v>89</v>
      </c>
      <c r="L22" s="404">
        <v>0</v>
      </c>
      <c r="M22" s="404">
        <v>285144.92</v>
      </c>
      <c r="N22" s="402">
        <v>214199</v>
      </c>
      <c r="O22" s="401" t="s">
        <v>162</v>
      </c>
      <c r="P22" s="405">
        <v>1071.08</v>
      </c>
      <c r="S22" s="438">
        <v>112402</v>
      </c>
      <c r="T22" s="439" t="s">
        <v>90</v>
      </c>
      <c r="U22" s="440">
        <v>0</v>
      </c>
      <c r="V22" s="440">
        <v>517727.64</v>
      </c>
      <c r="W22" s="443">
        <v>215109</v>
      </c>
      <c r="X22" s="442" t="s">
        <v>168</v>
      </c>
      <c r="Y22" s="441">
        <v>16.940000000000001</v>
      </c>
      <c r="Z22" s="124"/>
      <c r="AB22" s="469">
        <v>331849</v>
      </c>
      <c r="AC22" s="470" t="s">
        <v>124</v>
      </c>
      <c r="AD22" s="471">
        <v>0</v>
      </c>
      <c r="AE22" s="471">
        <v>1.01</v>
      </c>
      <c r="AF22" s="469">
        <v>214119</v>
      </c>
      <c r="AG22" s="470" t="s">
        <v>158</v>
      </c>
      <c r="AH22" s="471">
        <v>111.29</v>
      </c>
      <c r="AI22" s="169"/>
      <c r="AK22" s="406"/>
      <c r="AL22" s="403"/>
      <c r="AM22" s="169"/>
      <c r="AN22" s="404"/>
      <c r="AO22" s="406"/>
      <c r="AP22" s="403"/>
      <c r="AQ22" s="404"/>
      <c r="AR22" s="169"/>
      <c r="AT22" s="406"/>
      <c r="AU22" s="403"/>
      <c r="AV22" s="169"/>
      <c r="AW22" s="404"/>
      <c r="AX22" s="406"/>
      <c r="AY22" s="403"/>
      <c r="AZ22" s="404"/>
      <c r="BA22" s="169"/>
      <c r="BC22" s="406"/>
      <c r="BD22" s="403"/>
      <c r="BE22" s="169"/>
      <c r="BF22" s="400"/>
      <c r="BG22" s="112"/>
      <c r="BH22" s="110"/>
      <c r="BI22" s="399"/>
      <c r="BJ22" s="172"/>
      <c r="BL22" s="406"/>
      <c r="BM22" s="403"/>
      <c r="BN22" s="169"/>
      <c r="BO22" s="404"/>
      <c r="BP22" s="406"/>
      <c r="BQ22" s="403"/>
      <c r="BR22" s="404"/>
      <c r="BS22" s="169"/>
      <c r="BU22" s="406"/>
      <c r="BV22" s="403"/>
      <c r="BW22" s="169"/>
      <c r="BX22" s="404"/>
      <c r="BY22" s="406"/>
      <c r="BZ22" s="403"/>
      <c r="CA22" s="404"/>
      <c r="CB22" s="169"/>
      <c r="CD22" s="406"/>
      <c r="CE22" s="403"/>
      <c r="CF22" s="326"/>
      <c r="CG22" s="404"/>
      <c r="CH22" s="406"/>
      <c r="CI22" s="403"/>
      <c r="CJ22" s="404"/>
      <c r="CM22" s="406"/>
      <c r="CN22" s="403"/>
      <c r="CO22" s="326"/>
      <c r="CP22" s="404"/>
      <c r="CQ22" s="402"/>
      <c r="CR22" s="401"/>
      <c r="CS22" s="405"/>
      <c r="CV22" s="406"/>
      <c r="CW22" s="403"/>
      <c r="CX22" s="340"/>
      <c r="CY22" s="404"/>
      <c r="CZ22" s="402"/>
      <c r="DA22" s="401"/>
      <c r="DB22" s="405"/>
      <c r="DC22" s="343"/>
    </row>
    <row r="23" spans="1:107">
      <c r="A23" s="406">
        <v>112116</v>
      </c>
      <c r="B23" s="401" t="s">
        <v>577</v>
      </c>
      <c r="C23" s="405">
        <v>0</v>
      </c>
      <c r="D23" s="405">
        <v>272619.67</v>
      </c>
      <c r="E23" s="402">
        <v>214198</v>
      </c>
      <c r="F23" s="401" t="s">
        <v>161</v>
      </c>
      <c r="G23" s="405">
        <v>154831.74</v>
      </c>
      <c r="H23" s="111"/>
      <c r="J23" s="402">
        <v>112402</v>
      </c>
      <c r="K23" s="401" t="s">
        <v>90</v>
      </c>
      <c r="L23" s="405">
        <v>0</v>
      </c>
      <c r="M23" s="405">
        <v>418770.45</v>
      </c>
      <c r="N23" s="406">
        <v>215390</v>
      </c>
      <c r="O23" s="403" t="s">
        <v>174</v>
      </c>
      <c r="P23" s="404">
        <v>10147.01</v>
      </c>
      <c r="Q23" s="111"/>
      <c r="S23" s="443">
        <v>112405</v>
      </c>
      <c r="T23" s="442" t="s">
        <v>91</v>
      </c>
      <c r="U23" s="441">
        <v>0</v>
      </c>
      <c r="V23" s="441">
        <v>72348.23</v>
      </c>
      <c r="W23" s="438">
        <v>215302</v>
      </c>
      <c r="X23" s="439" t="s">
        <v>170</v>
      </c>
      <c r="Y23" s="440">
        <v>166.98</v>
      </c>
      <c r="Z23" s="126"/>
      <c r="AB23" s="474">
        <v>112112</v>
      </c>
      <c r="AC23" s="472" t="s">
        <v>80</v>
      </c>
      <c r="AD23" s="473">
        <v>0</v>
      </c>
      <c r="AE23" s="473">
        <v>239585.32</v>
      </c>
      <c r="AF23" s="474">
        <v>214197</v>
      </c>
      <c r="AG23" s="472" t="s">
        <v>160</v>
      </c>
      <c r="AH23" s="473">
        <v>119232.27</v>
      </c>
      <c r="AI23" s="172"/>
      <c r="AK23" s="402"/>
      <c r="AL23" s="401"/>
      <c r="AM23" s="172"/>
      <c r="AN23" s="405"/>
      <c r="AO23" s="402"/>
      <c r="AP23" s="401"/>
      <c r="AQ23" s="405"/>
      <c r="AR23" s="172"/>
      <c r="AT23" s="402"/>
      <c r="AU23" s="401"/>
      <c r="AV23" s="172"/>
      <c r="AW23" s="405"/>
      <c r="AX23" s="402"/>
      <c r="AY23" s="401"/>
      <c r="AZ23" s="405"/>
      <c r="BA23" s="172"/>
      <c r="BC23" s="402"/>
      <c r="BD23" s="401"/>
      <c r="BE23" s="172"/>
      <c r="BF23" s="399"/>
      <c r="BH23" s="108"/>
      <c r="BI23" s="400"/>
      <c r="BJ23" s="169"/>
      <c r="BL23" s="402"/>
      <c r="BM23" s="401"/>
      <c r="BN23" s="172"/>
      <c r="BO23" s="405"/>
      <c r="BP23" s="402"/>
      <c r="BQ23" s="401"/>
      <c r="BR23" s="405"/>
      <c r="BS23" s="172"/>
      <c r="BU23" s="402"/>
      <c r="BV23" s="401"/>
      <c r="BW23" s="172"/>
      <c r="BX23" s="405"/>
      <c r="BY23" s="402"/>
      <c r="BZ23" s="401"/>
      <c r="CA23" s="405"/>
      <c r="CB23" s="172"/>
      <c r="CD23" s="402"/>
      <c r="CE23" s="401"/>
      <c r="CF23" s="328"/>
      <c r="CG23" s="405"/>
      <c r="CH23" s="402"/>
      <c r="CI23" s="401"/>
      <c r="CJ23" s="405"/>
      <c r="CM23" s="402"/>
      <c r="CN23" s="401"/>
      <c r="CO23" s="328"/>
      <c r="CP23" s="405"/>
      <c r="CQ23" s="406"/>
      <c r="CR23" s="403"/>
      <c r="CS23" s="404"/>
      <c r="CV23" s="402"/>
      <c r="CW23" s="401"/>
      <c r="CX23" s="343"/>
      <c r="CY23" s="405"/>
      <c r="CZ23" s="406"/>
      <c r="DA23" s="403"/>
      <c r="DB23" s="404"/>
      <c r="DC23" s="340"/>
    </row>
    <row r="24" spans="1:107">
      <c r="A24" s="406">
        <v>112118</v>
      </c>
      <c r="B24" s="403" t="s">
        <v>451</v>
      </c>
      <c r="C24" s="404">
        <v>0</v>
      </c>
      <c r="D24" s="404">
        <v>230404.64</v>
      </c>
      <c r="E24" s="406">
        <v>215101</v>
      </c>
      <c r="F24" s="403" t="s">
        <v>165</v>
      </c>
      <c r="G24" s="404">
        <v>2684.07</v>
      </c>
      <c r="J24" s="406">
        <v>112405</v>
      </c>
      <c r="K24" s="403" t="s">
        <v>91</v>
      </c>
      <c r="L24" s="404">
        <v>0</v>
      </c>
      <c r="M24" s="404">
        <v>73001.72</v>
      </c>
      <c r="N24" s="402">
        <v>215391</v>
      </c>
      <c r="O24" s="401" t="s">
        <v>175</v>
      </c>
      <c r="P24" s="405">
        <v>13900</v>
      </c>
      <c r="S24" s="438">
        <v>114796</v>
      </c>
      <c r="T24" s="439" t="s">
        <v>103</v>
      </c>
      <c r="U24" s="440">
        <v>0</v>
      </c>
      <c r="V24" s="440">
        <v>21701.73</v>
      </c>
      <c r="W24" s="443">
        <v>215390</v>
      </c>
      <c r="X24" s="442" t="s">
        <v>174</v>
      </c>
      <c r="Y24" s="441">
        <v>6067.27</v>
      </c>
      <c r="Z24" s="124"/>
      <c r="AB24" s="469">
        <v>112118</v>
      </c>
      <c r="AC24" s="470" t="s">
        <v>451</v>
      </c>
      <c r="AD24" s="471">
        <v>0</v>
      </c>
      <c r="AE24" s="471">
        <v>164338.74</v>
      </c>
      <c r="AF24" s="469">
        <v>214198</v>
      </c>
      <c r="AG24" s="470" t="s">
        <v>161</v>
      </c>
      <c r="AH24" s="471">
        <v>129090.2</v>
      </c>
      <c r="AI24" s="169"/>
      <c r="AK24" s="406"/>
      <c r="AL24" s="403"/>
      <c r="AM24" s="169"/>
      <c r="AN24" s="404"/>
      <c r="AO24" s="406"/>
      <c r="AP24" s="403"/>
      <c r="AQ24" s="404"/>
      <c r="AR24" s="169"/>
      <c r="AT24" s="406"/>
      <c r="AU24" s="403"/>
      <c r="AV24" s="169"/>
      <c r="AW24" s="404"/>
      <c r="AX24" s="406"/>
      <c r="AY24" s="403"/>
      <c r="AZ24" s="404"/>
      <c r="BA24" s="169"/>
      <c r="BC24" s="406"/>
      <c r="BD24" s="403"/>
      <c r="BE24" s="169"/>
      <c r="BF24" s="400"/>
      <c r="BG24" s="112"/>
      <c r="BH24" s="110"/>
      <c r="BI24" s="399"/>
      <c r="BJ24" s="172"/>
      <c r="BL24" s="406"/>
      <c r="BM24" s="403"/>
      <c r="BN24" s="169"/>
      <c r="BO24" s="404"/>
      <c r="BP24" s="406"/>
      <c r="BQ24" s="403"/>
      <c r="BR24" s="404"/>
      <c r="BS24" s="169"/>
      <c r="BU24" s="406"/>
      <c r="BV24" s="403"/>
      <c r="BW24" s="169"/>
      <c r="BX24" s="404"/>
      <c r="BY24" s="406"/>
      <c r="BZ24" s="403"/>
      <c r="CA24" s="404"/>
      <c r="CB24" s="169"/>
      <c r="CD24" s="406"/>
      <c r="CE24" s="403"/>
      <c r="CF24" s="326"/>
      <c r="CG24" s="404"/>
      <c r="CH24" s="406"/>
      <c r="CI24" s="403"/>
      <c r="CJ24" s="404"/>
      <c r="CM24" s="406"/>
      <c r="CN24" s="403"/>
      <c r="CO24" s="326"/>
      <c r="CP24" s="404"/>
      <c r="CQ24" s="402"/>
      <c r="CR24" s="401"/>
      <c r="CS24" s="405"/>
      <c r="CV24" s="406"/>
      <c r="CW24" s="403"/>
      <c r="CX24" s="340"/>
      <c r="CY24" s="404"/>
      <c r="CZ24" s="402"/>
      <c r="DA24" s="401"/>
      <c r="DB24" s="405"/>
      <c r="DC24" s="343"/>
    </row>
    <row r="25" spans="1:107">
      <c r="A25" s="402">
        <v>112402</v>
      </c>
      <c r="B25" s="401" t="s">
        <v>90</v>
      </c>
      <c r="C25" s="405">
        <v>0</v>
      </c>
      <c r="D25" s="405">
        <v>531214.1</v>
      </c>
      <c r="E25" s="402">
        <v>215110</v>
      </c>
      <c r="F25" s="401" t="s">
        <v>169</v>
      </c>
      <c r="G25" s="405">
        <v>162.51</v>
      </c>
      <c r="H25" s="111"/>
      <c r="J25" s="402">
        <v>114796</v>
      </c>
      <c r="K25" s="401" t="s">
        <v>103</v>
      </c>
      <c r="L25" s="405">
        <v>0</v>
      </c>
      <c r="M25" s="405">
        <v>12404.57</v>
      </c>
      <c r="N25" s="406">
        <v>218101</v>
      </c>
      <c r="O25" s="403" t="s">
        <v>453</v>
      </c>
      <c r="P25" s="404">
        <v>78655.17</v>
      </c>
      <c r="Q25" s="111"/>
      <c r="S25" s="443">
        <v>331848</v>
      </c>
      <c r="T25" s="442" t="s">
        <v>184</v>
      </c>
      <c r="U25" s="441">
        <v>0</v>
      </c>
      <c r="V25" s="441">
        <v>0.31</v>
      </c>
      <c r="W25" s="438">
        <v>215391</v>
      </c>
      <c r="X25" s="439" t="s">
        <v>175</v>
      </c>
      <c r="Y25" s="440">
        <v>15600</v>
      </c>
      <c r="Z25" s="126"/>
      <c r="AB25" s="474">
        <v>112402</v>
      </c>
      <c r="AC25" s="472" t="s">
        <v>90</v>
      </c>
      <c r="AD25" s="473">
        <v>0</v>
      </c>
      <c r="AE25" s="473">
        <v>420733.09</v>
      </c>
      <c r="AF25" s="474">
        <v>215390</v>
      </c>
      <c r="AG25" s="472" t="s">
        <v>174</v>
      </c>
      <c r="AH25" s="473">
        <v>7266.86</v>
      </c>
      <c r="AI25" s="172"/>
      <c r="AK25" s="402"/>
      <c r="AL25" s="401"/>
      <c r="AM25" s="172"/>
      <c r="AN25" s="405"/>
      <c r="AO25" s="402"/>
      <c r="AP25" s="401"/>
      <c r="AQ25" s="405"/>
      <c r="AR25" s="172"/>
      <c r="AT25" s="402"/>
      <c r="AU25" s="401"/>
      <c r="AV25" s="172"/>
      <c r="AW25" s="405"/>
      <c r="AX25" s="402"/>
      <c r="AY25" s="401"/>
      <c r="AZ25" s="405"/>
      <c r="BA25" s="172"/>
      <c r="BC25" s="402"/>
      <c r="BD25" s="401"/>
      <c r="BE25" s="172"/>
      <c r="BF25" s="399"/>
      <c r="BH25" s="108"/>
      <c r="BI25" s="400"/>
      <c r="BJ25" s="169"/>
      <c r="BL25" s="402"/>
      <c r="BM25" s="401"/>
      <c r="BN25" s="172"/>
      <c r="BO25" s="405"/>
      <c r="BP25" s="402"/>
      <c r="BQ25" s="401"/>
      <c r="BR25" s="405"/>
      <c r="BS25" s="172"/>
      <c r="BU25" s="402"/>
      <c r="BV25" s="401"/>
      <c r="BW25" s="172"/>
      <c r="BX25" s="405"/>
      <c r="BY25" s="402"/>
      <c r="BZ25" s="401"/>
      <c r="CA25" s="405"/>
      <c r="CB25" s="172"/>
      <c r="CD25" s="402"/>
      <c r="CE25" s="401"/>
      <c r="CF25" s="328"/>
      <c r="CG25" s="405"/>
      <c r="CH25" s="402"/>
      <c r="CI25" s="401"/>
      <c r="CJ25" s="405"/>
      <c r="CM25" s="402"/>
      <c r="CN25" s="401"/>
      <c r="CO25" s="328"/>
      <c r="CP25" s="405"/>
      <c r="CQ25" s="406"/>
      <c r="CR25" s="403"/>
      <c r="CS25" s="404"/>
      <c r="CV25" s="402"/>
      <c r="CW25" s="401"/>
      <c r="CX25" s="343"/>
      <c r="CY25" s="405"/>
      <c r="CZ25" s="406"/>
      <c r="DA25" s="403"/>
      <c r="DB25" s="404"/>
      <c r="DC25" s="340"/>
    </row>
    <row r="26" spans="1:107">
      <c r="A26" s="406">
        <v>112405</v>
      </c>
      <c r="B26" s="403" t="s">
        <v>91</v>
      </c>
      <c r="C26" s="404">
        <v>0</v>
      </c>
      <c r="D26" s="404">
        <v>85753.99</v>
      </c>
      <c r="E26" s="406">
        <v>215390</v>
      </c>
      <c r="F26" s="403" t="s">
        <v>174</v>
      </c>
      <c r="G26" s="404">
        <v>7354.58</v>
      </c>
      <c r="J26" s="406">
        <v>331848</v>
      </c>
      <c r="K26" s="403" t="s">
        <v>184</v>
      </c>
      <c r="L26" s="404">
        <v>0</v>
      </c>
      <c r="M26" s="404">
        <v>0.12</v>
      </c>
      <c r="N26" s="402">
        <v>331814</v>
      </c>
      <c r="O26" s="401" t="s">
        <v>183</v>
      </c>
      <c r="P26" s="405">
        <v>923.95</v>
      </c>
      <c r="S26" s="438">
        <v>331849</v>
      </c>
      <c r="T26" s="439" t="s">
        <v>124</v>
      </c>
      <c r="U26" s="440">
        <v>0</v>
      </c>
      <c r="V26" s="440">
        <v>0.8</v>
      </c>
      <c r="W26" s="443">
        <v>218101</v>
      </c>
      <c r="X26" s="442" t="s">
        <v>453</v>
      </c>
      <c r="Y26" s="441">
        <v>76778.080000000002</v>
      </c>
      <c r="Z26" s="124"/>
      <c r="AB26" s="469">
        <v>112405</v>
      </c>
      <c r="AC26" s="470" t="s">
        <v>91</v>
      </c>
      <c r="AD26" s="471">
        <v>0</v>
      </c>
      <c r="AE26" s="471">
        <v>73083.009999999995</v>
      </c>
      <c r="AF26" s="469">
        <v>215391</v>
      </c>
      <c r="AG26" s="470" t="s">
        <v>175</v>
      </c>
      <c r="AH26" s="471">
        <v>21539</v>
      </c>
      <c r="AI26" s="169"/>
      <c r="AK26" s="406"/>
      <c r="AL26" s="403"/>
      <c r="AM26" s="169"/>
      <c r="AN26" s="404"/>
      <c r="AO26" s="406"/>
      <c r="AP26" s="403"/>
      <c r="AQ26" s="404"/>
      <c r="AR26" s="169"/>
      <c r="AT26" s="406"/>
      <c r="AU26" s="403"/>
      <c r="AV26" s="169"/>
      <c r="AW26" s="404"/>
      <c r="AX26" s="406"/>
      <c r="AY26" s="403"/>
      <c r="AZ26" s="404"/>
      <c r="BA26" s="169"/>
      <c r="BC26" s="406"/>
      <c r="BD26" s="403"/>
      <c r="BE26" s="169"/>
      <c r="BF26" s="400"/>
      <c r="BG26" s="112"/>
      <c r="BH26" s="110"/>
      <c r="BI26" s="399"/>
      <c r="BJ26" s="172"/>
      <c r="BL26" s="406"/>
      <c r="BM26" s="403"/>
      <c r="BN26" s="169"/>
      <c r="BO26" s="404"/>
      <c r="BP26" s="406"/>
      <c r="BQ26" s="403"/>
      <c r="BR26" s="404"/>
      <c r="BS26" s="169"/>
      <c r="BU26" s="406"/>
      <c r="BV26" s="403"/>
      <c r="BW26" s="169"/>
      <c r="BX26" s="404"/>
      <c r="BY26" s="406"/>
      <c r="BZ26" s="403"/>
      <c r="CA26" s="404"/>
      <c r="CB26" s="169"/>
      <c r="CD26" s="406"/>
      <c r="CE26" s="403"/>
      <c r="CF26" s="326"/>
      <c r="CG26" s="404"/>
      <c r="CH26" s="406"/>
      <c r="CI26" s="403"/>
      <c r="CJ26" s="404"/>
      <c r="CM26" s="406"/>
      <c r="CN26" s="403"/>
      <c r="CO26" s="326"/>
      <c r="CP26" s="404"/>
      <c r="CQ26" s="402"/>
      <c r="CR26" s="401"/>
      <c r="CS26" s="405"/>
      <c r="CV26" s="406"/>
      <c r="CW26" s="403"/>
      <c r="CX26" s="340"/>
      <c r="CY26" s="404"/>
      <c r="CZ26" s="402"/>
      <c r="DA26" s="401"/>
      <c r="DB26" s="405"/>
      <c r="DC26" s="343"/>
    </row>
    <row r="27" spans="1:107">
      <c r="A27" s="402">
        <v>331848</v>
      </c>
      <c r="B27" s="401" t="s">
        <v>184</v>
      </c>
      <c r="C27" s="405">
        <v>0</v>
      </c>
      <c r="D27" s="405">
        <v>0.16</v>
      </c>
      <c r="E27" s="402">
        <v>215391</v>
      </c>
      <c r="F27" s="401" t="s">
        <v>175</v>
      </c>
      <c r="G27" s="405">
        <v>18040</v>
      </c>
      <c r="H27" s="111"/>
      <c r="J27" s="402">
        <v>331849</v>
      </c>
      <c r="K27" s="401" t="s">
        <v>124</v>
      </c>
      <c r="L27" s="405">
        <v>0</v>
      </c>
      <c r="M27" s="405">
        <v>0.68</v>
      </c>
      <c r="N27" s="406">
        <v>331848</v>
      </c>
      <c r="O27" s="403" t="s">
        <v>184</v>
      </c>
      <c r="P27" s="404">
        <v>0.82</v>
      </c>
      <c r="Q27" s="111"/>
      <c r="S27" s="443">
        <v>313110</v>
      </c>
      <c r="T27" s="442" t="s">
        <v>120</v>
      </c>
      <c r="U27" s="441">
        <v>0</v>
      </c>
      <c r="V27" s="441">
        <v>1435.73</v>
      </c>
      <c r="W27" s="438">
        <v>226201</v>
      </c>
      <c r="X27" s="439" t="s">
        <v>181</v>
      </c>
      <c r="Y27" s="440">
        <v>2987785</v>
      </c>
      <c r="Z27" s="126"/>
      <c r="AB27" s="474">
        <v>213206</v>
      </c>
      <c r="AC27" s="472" t="s">
        <v>112</v>
      </c>
      <c r="AD27" s="473">
        <v>0</v>
      </c>
      <c r="AE27" s="473">
        <v>5697.6</v>
      </c>
      <c r="AF27" s="474">
        <v>218101</v>
      </c>
      <c r="AG27" s="472" t="s">
        <v>453</v>
      </c>
      <c r="AH27" s="473">
        <v>89546.1</v>
      </c>
      <c r="AI27" s="172"/>
      <c r="AK27" s="402"/>
      <c r="AL27" s="401"/>
      <c r="AM27" s="172"/>
      <c r="AN27" s="405"/>
      <c r="AO27" s="402"/>
      <c r="AP27" s="401"/>
      <c r="AQ27" s="405"/>
      <c r="AR27" s="172"/>
      <c r="AT27" s="402"/>
      <c r="AU27" s="401"/>
      <c r="AV27" s="172"/>
      <c r="AW27" s="405"/>
      <c r="AX27" s="402"/>
      <c r="AY27" s="401"/>
      <c r="AZ27" s="405"/>
      <c r="BA27" s="172"/>
      <c r="BC27" s="402"/>
      <c r="BD27" s="401"/>
      <c r="BE27" s="172"/>
      <c r="BF27" s="399"/>
      <c r="BH27" s="108"/>
      <c r="BI27" s="400"/>
      <c r="BJ27" s="169"/>
      <c r="BL27" s="402"/>
      <c r="BM27" s="401"/>
      <c r="BN27" s="172"/>
      <c r="BO27" s="405"/>
      <c r="BP27" s="402"/>
      <c r="BQ27" s="401"/>
      <c r="BR27" s="405"/>
      <c r="BS27" s="172"/>
      <c r="BU27" s="402"/>
      <c r="BV27" s="401"/>
      <c r="BW27" s="172"/>
      <c r="BX27" s="405"/>
      <c r="BY27" s="402"/>
      <c r="BZ27" s="401"/>
      <c r="CA27" s="405"/>
      <c r="CB27" s="172"/>
      <c r="CD27" s="402"/>
      <c r="CE27" s="401"/>
      <c r="CF27" s="328"/>
      <c r="CG27" s="405"/>
      <c r="CH27" s="402"/>
      <c r="CI27" s="401"/>
      <c r="CJ27" s="405"/>
      <c r="CM27" s="402"/>
      <c r="CN27" s="401"/>
      <c r="CO27" s="328"/>
      <c r="CP27" s="405"/>
      <c r="CQ27" s="406"/>
      <c r="CR27" s="403"/>
      <c r="CS27" s="404"/>
      <c r="CV27" s="402"/>
      <c r="CW27" s="401"/>
      <c r="CX27" s="343"/>
      <c r="CY27" s="405"/>
      <c r="CZ27" s="406"/>
      <c r="DA27" s="403"/>
      <c r="DB27" s="404"/>
      <c r="DC27" s="340"/>
    </row>
    <row r="28" spans="1:107">
      <c r="A28" s="406">
        <v>112502</v>
      </c>
      <c r="B28" s="403" t="s">
        <v>93</v>
      </c>
      <c r="C28" s="404">
        <v>0</v>
      </c>
      <c r="D28" s="404">
        <v>5870.68</v>
      </c>
      <c r="E28" s="406">
        <v>218101</v>
      </c>
      <c r="F28" s="403" t="s">
        <v>453</v>
      </c>
      <c r="G28" s="404">
        <v>70000</v>
      </c>
      <c r="J28" s="406">
        <v>112502</v>
      </c>
      <c r="K28" s="403" t="s">
        <v>93</v>
      </c>
      <c r="L28" s="404">
        <v>0</v>
      </c>
      <c r="M28" s="404">
        <v>4097.49</v>
      </c>
      <c r="N28" s="402">
        <v>331849</v>
      </c>
      <c r="O28" s="401" t="s">
        <v>124</v>
      </c>
      <c r="P28" s="405">
        <v>235.21</v>
      </c>
      <c r="S28" s="438">
        <v>112502</v>
      </c>
      <c r="T28" s="439" t="s">
        <v>93</v>
      </c>
      <c r="U28" s="440">
        <v>0</v>
      </c>
      <c r="V28" s="440">
        <v>7395.17</v>
      </c>
      <c r="W28" s="443">
        <v>331814</v>
      </c>
      <c r="X28" s="442" t="s">
        <v>183</v>
      </c>
      <c r="Y28" s="441">
        <v>1054.8599999999999</v>
      </c>
      <c r="Z28" s="124"/>
      <c r="AB28" s="469">
        <v>331848</v>
      </c>
      <c r="AC28" s="470" t="s">
        <v>184</v>
      </c>
      <c r="AD28" s="471">
        <v>0</v>
      </c>
      <c r="AE28" s="471">
        <v>0.37</v>
      </c>
      <c r="AF28" s="475">
        <v>259198</v>
      </c>
      <c r="AG28" s="470" t="s">
        <v>1106</v>
      </c>
      <c r="AH28" s="471">
        <v>1804661</v>
      </c>
      <c r="AI28" s="169"/>
      <c r="AK28" s="406"/>
      <c r="AL28" s="403"/>
      <c r="AM28" s="169"/>
      <c r="AN28" s="404"/>
      <c r="AO28" s="406"/>
      <c r="AP28" s="403"/>
      <c r="AQ28" s="404"/>
      <c r="AR28" s="169"/>
      <c r="AT28" s="406"/>
      <c r="AU28" s="403"/>
      <c r="AV28" s="169"/>
      <c r="AW28" s="404"/>
      <c r="AX28" s="406"/>
      <c r="AY28" s="403"/>
      <c r="AZ28" s="404"/>
      <c r="BA28" s="169"/>
      <c r="BC28" s="406"/>
      <c r="BD28" s="403"/>
      <c r="BE28" s="169"/>
      <c r="BF28" s="400"/>
      <c r="BG28" s="112"/>
      <c r="BH28" s="110"/>
      <c r="BI28" s="399"/>
      <c r="BJ28" s="172"/>
      <c r="BL28" s="406"/>
      <c r="BM28" s="403"/>
      <c r="BN28" s="169"/>
      <c r="BO28" s="404"/>
      <c r="BP28" s="406"/>
      <c r="BQ28" s="403"/>
      <c r="BR28" s="404"/>
      <c r="BS28" s="169"/>
      <c r="BU28" s="406"/>
      <c r="BV28" s="403"/>
      <c r="BW28" s="169"/>
      <c r="BX28" s="404"/>
      <c r="BY28" s="406"/>
      <c r="BZ28" s="403"/>
      <c r="CA28" s="404"/>
      <c r="CB28" s="169"/>
      <c r="CD28" s="406"/>
      <c r="CE28" s="403"/>
      <c r="CF28" s="326"/>
      <c r="CG28" s="404"/>
      <c r="CH28" s="406"/>
      <c r="CI28" s="403"/>
      <c r="CJ28" s="404"/>
      <c r="CM28" s="406"/>
      <c r="CN28" s="403"/>
      <c r="CO28" s="326"/>
      <c r="CP28" s="404"/>
      <c r="CQ28" s="402"/>
      <c r="CR28" s="401"/>
      <c r="CS28" s="405"/>
      <c r="CV28" s="406"/>
      <c r="CW28" s="403"/>
      <c r="CX28" s="340"/>
      <c r="CY28" s="404"/>
      <c r="CZ28" s="402"/>
      <c r="DA28" s="401"/>
      <c r="DB28" s="405"/>
      <c r="DC28" s="343"/>
    </row>
    <row r="29" spans="1:107">
      <c r="A29" s="402">
        <v>112505</v>
      </c>
      <c r="B29" s="401" t="s">
        <v>95</v>
      </c>
      <c r="C29" s="405">
        <v>0</v>
      </c>
      <c r="D29" s="405">
        <v>3225.76</v>
      </c>
      <c r="E29" s="402">
        <v>226201</v>
      </c>
      <c r="F29" s="401" t="s">
        <v>181</v>
      </c>
      <c r="G29" s="405">
        <v>1674325</v>
      </c>
      <c r="H29" s="111"/>
      <c r="J29" s="402">
        <v>112505</v>
      </c>
      <c r="K29" s="401" t="s">
        <v>95</v>
      </c>
      <c r="L29" s="405">
        <v>0</v>
      </c>
      <c r="M29" s="405">
        <v>1977.07</v>
      </c>
      <c r="N29" s="406">
        <v>331850</v>
      </c>
      <c r="O29" s="403" t="s">
        <v>185</v>
      </c>
      <c r="P29" s="404">
        <v>12262.35</v>
      </c>
      <c r="Q29" s="111"/>
      <c r="S29" s="443">
        <v>112505</v>
      </c>
      <c r="T29" s="442" t="s">
        <v>95</v>
      </c>
      <c r="U29" s="441">
        <v>0</v>
      </c>
      <c r="V29" s="441">
        <v>4833</v>
      </c>
      <c r="W29" s="438">
        <v>331848</v>
      </c>
      <c r="X29" s="439" t="s">
        <v>184</v>
      </c>
      <c r="Y29" s="440">
        <v>1.45</v>
      </c>
      <c r="Z29" s="126"/>
      <c r="AB29" s="474">
        <v>112116</v>
      </c>
      <c r="AC29" s="472" t="s">
        <v>577</v>
      </c>
      <c r="AD29" s="473">
        <v>0</v>
      </c>
      <c r="AE29" s="473">
        <v>14889.37</v>
      </c>
      <c r="AF29" s="474">
        <v>331814</v>
      </c>
      <c r="AG29" s="472" t="s">
        <v>183</v>
      </c>
      <c r="AH29" s="473">
        <v>1028.94</v>
      </c>
      <c r="AI29" s="172"/>
      <c r="AK29" s="402"/>
      <c r="AL29" s="401"/>
      <c r="AM29" s="172"/>
      <c r="AN29" s="405"/>
      <c r="AO29" s="402"/>
      <c r="AP29" s="401"/>
      <c r="AQ29" s="405"/>
      <c r="AR29" s="172"/>
      <c r="AT29" s="402"/>
      <c r="AU29" s="401"/>
      <c r="AV29" s="172"/>
      <c r="AW29" s="405"/>
      <c r="AX29" s="402"/>
      <c r="AY29" s="401"/>
      <c r="AZ29" s="405"/>
      <c r="BA29" s="172"/>
      <c r="BC29" s="402"/>
      <c r="BD29" s="401"/>
      <c r="BE29" s="172"/>
      <c r="BF29" s="399"/>
      <c r="BH29" s="108"/>
      <c r="BI29" s="400"/>
      <c r="BJ29" s="169"/>
      <c r="BL29" s="402"/>
      <c r="BM29" s="401"/>
      <c r="BN29" s="172"/>
      <c r="BO29" s="405"/>
      <c r="BP29" s="402"/>
      <c r="BQ29" s="401"/>
      <c r="BR29" s="405"/>
      <c r="BS29" s="172"/>
      <c r="BU29" s="402"/>
      <c r="BV29" s="401"/>
      <c r="BW29" s="172"/>
      <c r="BX29" s="405"/>
      <c r="BY29" s="402"/>
      <c r="BZ29" s="401"/>
      <c r="CA29" s="405"/>
      <c r="CB29" s="172"/>
      <c r="CD29" s="402"/>
      <c r="CE29" s="401"/>
      <c r="CF29" s="328"/>
      <c r="CG29" s="405"/>
      <c r="CH29" s="402"/>
      <c r="CI29" s="401"/>
      <c r="CJ29" s="405"/>
      <c r="CM29" s="402"/>
      <c r="CN29" s="401"/>
      <c r="CO29" s="328"/>
      <c r="CP29" s="405"/>
      <c r="CQ29" s="406"/>
      <c r="CR29" s="403"/>
      <c r="CS29" s="404"/>
      <c r="CV29" s="402"/>
      <c r="CW29" s="401"/>
      <c r="CX29" s="343"/>
      <c r="CY29" s="405"/>
      <c r="CZ29" s="406"/>
      <c r="DA29" s="403"/>
      <c r="DB29" s="404"/>
      <c r="DC29" s="340"/>
    </row>
    <row r="30" spans="1:107">
      <c r="A30" s="406">
        <v>112512</v>
      </c>
      <c r="B30" s="403" t="s">
        <v>99</v>
      </c>
      <c r="C30" s="404">
        <v>0</v>
      </c>
      <c r="D30" s="404">
        <v>1531.35</v>
      </c>
      <c r="E30" s="406">
        <v>331814</v>
      </c>
      <c r="F30" s="403" t="s">
        <v>183</v>
      </c>
      <c r="G30" s="404">
        <v>985.97</v>
      </c>
      <c r="J30" s="406">
        <v>112512</v>
      </c>
      <c r="K30" s="403" t="s">
        <v>99</v>
      </c>
      <c r="L30" s="404">
        <v>0</v>
      </c>
      <c r="M30" s="404">
        <v>1008.26</v>
      </c>
      <c r="N30" s="402">
        <v>331851</v>
      </c>
      <c r="O30" s="401" t="s">
        <v>186</v>
      </c>
      <c r="P30" s="405">
        <v>1653.93</v>
      </c>
      <c r="S30" s="438">
        <v>112512</v>
      </c>
      <c r="T30" s="439" t="s">
        <v>99</v>
      </c>
      <c r="U30" s="440">
        <v>0</v>
      </c>
      <c r="V30" s="440">
        <v>1727.24</v>
      </c>
      <c r="W30" s="443">
        <v>331849</v>
      </c>
      <c r="X30" s="442" t="s">
        <v>124</v>
      </c>
      <c r="Y30" s="441">
        <v>117.16</v>
      </c>
      <c r="Z30" s="124"/>
      <c r="AB30" s="469">
        <v>112502</v>
      </c>
      <c r="AC30" s="470" t="s">
        <v>93</v>
      </c>
      <c r="AD30" s="471">
        <v>0</v>
      </c>
      <c r="AE30" s="471">
        <v>5273.4</v>
      </c>
      <c r="AF30" s="469">
        <v>331849</v>
      </c>
      <c r="AG30" s="470" t="s">
        <v>124</v>
      </c>
      <c r="AH30" s="471">
        <v>21.15</v>
      </c>
      <c r="AI30" s="169"/>
      <c r="AK30" s="406"/>
      <c r="AL30" s="403"/>
      <c r="AM30" s="169"/>
      <c r="AN30" s="404"/>
      <c r="AO30" s="406"/>
      <c r="AP30" s="403"/>
      <c r="AQ30" s="404"/>
      <c r="AR30" s="169"/>
      <c r="AT30" s="406"/>
      <c r="AU30" s="403"/>
      <c r="AV30" s="169"/>
      <c r="AW30" s="404"/>
      <c r="AX30" s="406"/>
      <c r="AY30" s="403"/>
      <c r="AZ30" s="404"/>
      <c r="BA30" s="169"/>
      <c r="BC30" s="406"/>
      <c r="BD30" s="403"/>
      <c r="BE30" s="169"/>
      <c r="BF30" s="400"/>
      <c r="BG30" s="112"/>
      <c r="BH30" s="110"/>
      <c r="BI30" s="399"/>
      <c r="BJ30" s="172"/>
      <c r="BL30" s="406"/>
      <c r="BM30" s="403"/>
      <c r="BN30" s="169"/>
      <c r="BO30" s="404"/>
      <c r="BP30" s="406"/>
      <c r="BQ30" s="403"/>
      <c r="BR30" s="404"/>
      <c r="BS30" s="169"/>
      <c r="BU30" s="406"/>
      <c r="BV30" s="403"/>
      <c r="BW30" s="169"/>
      <c r="BX30" s="404"/>
      <c r="BY30" s="406"/>
      <c r="BZ30" s="403"/>
      <c r="CA30" s="404"/>
      <c r="CB30" s="169"/>
      <c r="CD30" s="406"/>
      <c r="CE30" s="403"/>
      <c r="CF30" s="326"/>
      <c r="CG30" s="404"/>
      <c r="CH30" s="406"/>
      <c r="CI30" s="403"/>
      <c r="CJ30" s="404"/>
      <c r="CM30" s="406"/>
      <c r="CN30" s="403"/>
      <c r="CO30" s="326"/>
      <c r="CP30" s="404"/>
      <c r="CQ30" s="402"/>
      <c r="CR30" s="401"/>
      <c r="CS30" s="405"/>
      <c r="CV30" s="406"/>
      <c r="CW30" s="403"/>
      <c r="CX30" s="340"/>
      <c r="CY30" s="404"/>
      <c r="CZ30" s="402"/>
      <c r="DA30" s="401"/>
      <c r="DB30" s="405"/>
      <c r="DC30" s="343"/>
    </row>
    <row r="31" spans="1:107">
      <c r="A31" s="402">
        <v>114796</v>
      </c>
      <c r="B31" s="401" t="s">
        <v>103</v>
      </c>
      <c r="C31" s="405">
        <v>0</v>
      </c>
      <c r="D31" s="405">
        <v>4773.84</v>
      </c>
      <c r="E31" s="402">
        <v>331849</v>
      </c>
      <c r="F31" s="401" t="s">
        <v>124</v>
      </c>
      <c r="G31" s="405">
        <v>260.75</v>
      </c>
      <c r="H31" s="111"/>
      <c r="J31" s="402">
        <v>313110</v>
      </c>
      <c r="K31" s="401" t="s">
        <v>120</v>
      </c>
      <c r="L31" s="405">
        <v>0</v>
      </c>
      <c r="M31" s="405">
        <v>1322</v>
      </c>
      <c r="N31" s="406">
        <v>331852</v>
      </c>
      <c r="O31" s="403" t="s">
        <v>187</v>
      </c>
      <c r="P31" s="404">
        <v>14059.89</v>
      </c>
      <c r="Q31" s="111"/>
      <c r="S31" s="443">
        <v>112513</v>
      </c>
      <c r="T31" s="442" t="s">
        <v>100</v>
      </c>
      <c r="U31" s="441">
        <v>0</v>
      </c>
      <c r="V31" s="441">
        <v>1115.1199999999999</v>
      </c>
      <c r="W31" s="438">
        <v>331850</v>
      </c>
      <c r="X31" s="439" t="s">
        <v>185</v>
      </c>
      <c r="Y31" s="440">
        <v>12832.7</v>
      </c>
      <c r="Z31" s="126"/>
      <c r="AB31" s="474">
        <v>112505</v>
      </c>
      <c r="AC31" s="472" t="s">
        <v>95</v>
      </c>
      <c r="AD31" s="473">
        <v>0</v>
      </c>
      <c r="AE31" s="473">
        <v>2868.28</v>
      </c>
      <c r="AF31" s="474">
        <v>331850</v>
      </c>
      <c r="AG31" s="472" t="s">
        <v>185</v>
      </c>
      <c r="AH31" s="473">
        <v>11995.93</v>
      </c>
      <c r="AI31" s="172"/>
      <c r="AK31" s="402"/>
      <c r="AL31" s="401"/>
      <c r="AM31" s="172"/>
      <c r="AN31" s="405"/>
      <c r="AO31" s="402"/>
      <c r="AP31" s="401"/>
      <c r="AQ31" s="405"/>
      <c r="AR31" s="172"/>
      <c r="AT31" s="402"/>
      <c r="AU31" s="401"/>
      <c r="AV31" s="172"/>
      <c r="AW31" s="405"/>
      <c r="AX31" s="402"/>
      <c r="AY31" s="401"/>
      <c r="AZ31" s="405"/>
      <c r="BA31" s="172"/>
      <c r="BC31" s="402"/>
      <c r="BD31" s="401"/>
      <c r="BE31" s="172"/>
      <c r="BF31" s="399"/>
      <c r="BH31" s="108"/>
      <c r="BI31" s="400"/>
      <c r="BJ31" s="169"/>
      <c r="BL31" s="402"/>
      <c r="BM31" s="401"/>
      <c r="BN31" s="172"/>
      <c r="BO31" s="405"/>
      <c r="BP31" s="402"/>
      <c r="BQ31" s="401"/>
      <c r="BR31" s="405"/>
      <c r="BS31" s="172"/>
      <c r="BU31" s="402"/>
      <c r="BV31" s="401"/>
      <c r="BW31" s="172"/>
      <c r="BX31" s="405"/>
      <c r="BY31" s="402"/>
      <c r="BZ31" s="401"/>
      <c r="CA31" s="405"/>
      <c r="CB31" s="172"/>
      <c r="CD31" s="402"/>
      <c r="CE31" s="401"/>
      <c r="CF31" s="328"/>
      <c r="CG31" s="405"/>
      <c r="CH31" s="402"/>
      <c r="CI31" s="401"/>
      <c r="CJ31" s="405"/>
      <c r="CM31" s="402"/>
      <c r="CN31" s="401"/>
      <c r="CO31" s="328"/>
      <c r="CP31" s="405"/>
      <c r="CQ31" s="406"/>
      <c r="CR31" s="403"/>
      <c r="CS31" s="404"/>
      <c r="CV31" s="402"/>
      <c r="CW31" s="401"/>
      <c r="CX31" s="343"/>
      <c r="CY31" s="405"/>
      <c r="CZ31" s="406"/>
      <c r="DA31" s="403"/>
      <c r="DB31" s="404"/>
      <c r="DC31" s="340"/>
    </row>
    <row r="32" spans="1:107">
      <c r="A32" s="406">
        <v>213206</v>
      </c>
      <c r="B32" s="403" t="s">
        <v>112</v>
      </c>
      <c r="C32" s="404">
        <v>0</v>
      </c>
      <c r="D32" s="404">
        <v>7936.96</v>
      </c>
      <c r="E32" s="406">
        <v>331850</v>
      </c>
      <c r="F32" s="403" t="s">
        <v>185</v>
      </c>
      <c r="G32" s="404">
        <v>13869.35</v>
      </c>
      <c r="J32" s="406">
        <v>112112</v>
      </c>
      <c r="K32" s="403" t="s">
        <v>80</v>
      </c>
      <c r="L32" s="404">
        <v>0</v>
      </c>
      <c r="M32" s="404">
        <v>173341.7</v>
      </c>
      <c r="N32" s="402">
        <v>331853</v>
      </c>
      <c r="O32" s="401" t="s">
        <v>188</v>
      </c>
      <c r="P32" s="405">
        <v>2850.46</v>
      </c>
      <c r="S32" s="438">
        <v>112103</v>
      </c>
      <c r="T32" s="439" t="s">
        <v>79</v>
      </c>
      <c r="U32" s="440">
        <v>0</v>
      </c>
      <c r="V32" s="440">
        <v>11552.97</v>
      </c>
      <c r="W32" s="443">
        <v>331851</v>
      </c>
      <c r="X32" s="442" t="s">
        <v>186</v>
      </c>
      <c r="Y32" s="441">
        <v>1819.05</v>
      </c>
      <c r="Z32" s="124"/>
      <c r="AB32" s="469">
        <v>112512</v>
      </c>
      <c r="AC32" s="470" t="s">
        <v>99</v>
      </c>
      <c r="AD32" s="471">
        <v>0</v>
      </c>
      <c r="AE32" s="471">
        <v>1428.61</v>
      </c>
      <c r="AF32" s="469">
        <v>331851</v>
      </c>
      <c r="AG32" s="470" t="s">
        <v>186</v>
      </c>
      <c r="AH32" s="471">
        <v>1603.79</v>
      </c>
      <c r="AI32" s="169"/>
      <c r="AK32" s="406"/>
      <c r="AL32" s="403"/>
      <c r="AM32" s="169"/>
      <c r="AN32" s="404"/>
      <c r="AO32" s="406"/>
      <c r="AP32" s="403"/>
      <c r="AQ32" s="404"/>
      <c r="AR32" s="169"/>
      <c r="AT32" s="406"/>
      <c r="AU32" s="403"/>
      <c r="AV32" s="169"/>
      <c r="AW32" s="404"/>
      <c r="AX32" s="406"/>
      <c r="AY32" s="403"/>
      <c r="AZ32" s="404"/>
      <c r="BA32" s="169"/>
      <c r="BC32" s="406"/>
      <c r="BD32" s="403"/>
      <c r="BE32" s="169"/>
      <c r="BF32" s="400"/>
      <c r="BG32" s="112"/>
      <c r="BH32" s="110"/>
      <c r="BI32" s="399"/>
      <c r="BJ32" s="172"/>
      <c r="BL32" s="406"/>
      <c r="BM32" s="403"/>
      <c r="BN32" s="169"/>
      <c r="BO32" s="404"/>
      <c r="BP32" s="406"/>
      <c r="BQ32" s="403"/>
      <c r="BR32" s="404"/>
      <c r="BS32" s="169"/>
      <c r="BU32" s="406"/>
      <c r="BV32" s="403"/>
      <c r="BW32" s="169"/>
      <c r="BX32" s="404"/>
      <c r="BY32" s="406"/>
      <c r="BZ32" s="403"/>
      <c r="CA32" s="404"/>
      <c r="CB32" s="169"/>
      <c r="CD32" s="406"/>
      <c r="CE32" s="403"/>
      <c r="CF32" s="326"/>
      <c r="CG32" s="404"/>
      <c r="CH32" s="406"/>
      <c r="CI32" s="403"/>
      <c r="CJ32" s="404"/>
      <c r="CM32" s="406"/>
      <c r="CN32" s="403"/>
      <c r="CO32" s="326"/>
      <c r="CP32" s="404"/>
      <c r="CQ32" s="402"/>
      <c r="CR32" s="401"/>
      <c r="CS32" s="405"/>
      <c r="CV32" s="406"/>
      <c r="CW32" s="403"/>
      <c r="CX32" s="340"/>
      <c r="CY32" s="404"/>
      <c r="CZ32" s="402"/>
      <c r="DA32" s="401"/>
      <c r="DB32" s="405"/>
      <c r="DC32" s="343"/>
    </row>
    <row r="33" spans="1:107">
      <c r="A33" s="402">
        <v>112112</v>
      </c>
      <c r="B33" s="401" t="s">
        <v>80</v>
      </c>
      <c r="C33" s="405">
        <v>0</v>
      </c>
      <c r="D33" s="405">
        <v>148741.56</v>
      </c>
      <c r="E33" s="402">
        <v>331851</v>
      </c>
      <c r="F33" s="401" t="s">
        <v>186</v>
      </c>
      <c r="G33" s="405">
        <v>2172.29</v>
      </c>
      <c r="H33" s="111"/>
      <c r="J33" s="402">
        <v>213206</v>
      </c>
      <c r="K33" s="401" t="s">
        <v>112</v>
      </c>
      <c r="L33" s="405">
        <v>0</v>
      </c>
      <c r="M33" s="405">
        <v>7376.88</v>
      </c>
      <c r="N33" s="406">
        <v>331854</v>
      </c>
      <c r="O33" s="403" t="s">
        <v>189</v>
      </c>
      <c r="P33" s="404">
        <v>1.61</v>
      </c>
      <c r="Q33" s="111"/>
      <c r="S33" s="443">
        <v>112112</v>
      </c>
      <c r="T33" s="442" t="s">
        <v>80</v>
      </c>
      <c r="U33" s="441">
        <v>0</v>
      </c>
      <c r="V33" s="441">
        <v>187725.55</v>
      </c>
      <c r="W33" s="438">
        <v>331852</v>
      </c>
      <c r="X33" s="439" t="s">
        <v>187</v>
      </c>
      <c r="Y33" s="440">
        <v>13930.94</v>
      </c>
      <c r="Z33" s="126"/>
      <c r="AB33" s="474">
        <v>112513</v>
      </c>
      <c r="AC33" s="472" t="s">
        <v>100</v>
      </c>
      <c r="AD33" s="473">
        <v>0</v>
      </c>
      <c r="AE33" s="473">
        <v>459.47</v>
      </c>
      <c r="AF33" s="474">
        <v>331852</v>
      </c>
      <c r="AG33" s="472" t="s">
        <v>187</v>
      </c>
      <c r="AH33" s="473">
        <v>13252.45</v>
      </c>
      <c r="AI33" s="172"/>
      <c r="AK33" s="402"/>
      <c r="AL33" s="401"/>
      <c r="AM33" s="172"/>
      <c r="AN33" s="405"/>
      <c r="AO33" s="402"/>
      <c r="AP33" s="401"/>
      <c r="AQ33" s="405"/>
      <c r="AR33" s="172"/>
      <c r="AT33" s="402"/>
      <c r="AU33" s="401"/>
      <c r="AV33" s="172"/>
      <c r="AW33" s="405"/>
      <c r="AX33" s="402"/>
      <c r="AY33" s="401"/>
      <c r="AZ33" s="405"/>
      <c r="BA33" s="172"/>
      <c r="BC33" s="402"/>
      <c r="BD33" s="401"/>
      <c r="BE33" s="172"/>
      <c r="BF33" s="399"/>
      <c r="BH33" s="108"/>
      <c r="BI33" s="400"/>
      <c r="BJ33" s="169"/>
      <c r="BL33" s="402"/>
      <c r="BM33" s="401"/>
      <c r="BN33" s="172"/>
      <c r="BO33" s="405"/>
      <c r="BP33" s="402"/>
      <c r="BQ33" s="401"/>
      <c r="BR33" s="405"/>
      <c r="BS33" s="172"/>
      <c r="BU33" s="402"/>
      <c r="BV33" s="401"/>
      <c r="BW33" s="172"/>
      <c r="BX33" s="405"/>
      <c r="BY33" s="402"/>
      <c r="BZ33" s="401"/>
      <c r="CA33" s="405"/>
      <c r="CB33" s="172"/>
      <c r="CD33" s="402"/>
      <c r="CE33" s="401"/>
      <c r="CF33" s="328"/>
      <c r="CG33" s="405"/>
      <c r="CH33" s="402"/>
      <c r="CI33" s="401"/>
      <c r="CJ33" s="405"/>
      <c r="CM33" s="402"/>
      <c r="CN33" s="401"/>
      <c r="CO33" s="328"/>
      <c r="CP33" s="405"/>
      <c r="CQ33" s="406"/>
      <c r="CR33" s="403"/>
      <c r="CS33" s="404"/>
      <c r="CV33" s="402"/>
      <c r="CW33" s="401"/>
      <c r="CX33" s="343"/>
      <c r="CY33" s="405"/>
      <c r="CZ33" s="406"/>
      <c r="DA33" s="403"/>
      <c r="DB33" s="404"/>
      <c r="DC33" s="340"/>
    </row>
    <row r="34" spans="1:107">
      <c r="A34" s="406">
        <v>112303</v>
      </c>
      <c r="B34" s="403" t="s">
        <v>85</v>
      </c>
      <c r="C34" s="404">
        <v>0</v>
      </c>
      <c r="D34" s="404">
        <v>108.73</v>
      </c>
      <c r="E34" s="406">
        <v>331852</v>
      </c>
      <c r="F34" s="403" t="s">
        <v>187</v>
      </c>
      <c r="G34" s="404">
        <v>15449.6</v>
      </c>
      <c r="J34" s="406">
        <v>122601</v>
      </c>
      <c r="K34" s="403" t="s">
        <v>109</v>
      </c>
      <c r="L34" s="404">
        <v>0</v>
      </c>
      <c r="M34" s="404">
        <v>13900</v>
      </c>
      <c r="N34" s="402">
        <v>331855</v>
      </c>
      <c r="O34" s="401" t="s">
        <v>190</v>
      </c>
      <c r="P34" s="405">
        <v>686.99</v>
      </c>
      <c r="S34" s="438">
        <v>122601</v>
      </c>
      <c r="T34" s="439" t="s">
        <v>109</v>
      </c>
      <c r="U34" s="440">
        <v>0</v>
      </c>
      <c r="V34" s="440">
        <v>136600</v>
      </c>
      <c r="W34" s="443">
        <v>331853</v>
      </c>
      <c r="X34" s="442" t="s">
        <v>188</v>
      </c>
      <c r="Y34" s="441">
        <v>3519.49</v>
      </c>
      <c r="Z34" s="124"/>
      <c r="AB34" s="469">
        <v>114796</v>
      </c>
      <c r="AC34" s="470" t="s">
        <v>103</v>
      </c>
      <c r="AD34" s="471">
        <v>0</v>
      </c>
      <c r="AE34" s="471">
        <v>16268.44</v>
      </c>
      <c r="AF34" s="469">
        <v>331855</v>
      </c>
      <c r="AG34" s="470" t="s">
        <v>190</v>
      </c>
      <c r="AH34" s="471">
        <v>716.31</v>
      </c>
      <c r="AI34" s="169"/>
      <c r="AK34" s="406"/>
      <c r="AL34" s="403"/>
      <c r="AM34" s="169"/>
      <c r="AN34" s="404"/>
      <c r="AO34" s="406"/>
      <c r="AP34" s="403"/>
      <c r="AQ34" s="404"/>
      <c r="AR34" s="169"/>
      <c r="AT34" s="406"/>
      <c r="AU34" s="403"/>
      <c r="AV34" s="169"/>
      <c r="AW34" s="404"/>
      <c r="AX34" s="406"/>
      <c r="AY34" s="403"/>
      <c r="AZ34" s="404"/>
      <c r="BA34" s="169"/>
      <c r="BC34" s="406"/>
      <c r="BD34" s="403"/>
      <c r="BE34" s="169"/>
      <c r="BF34" s="400"/>
      <c r="BG34" s="112"/>
      <c r="BH34" s="110"/>
      <c r="BI34" s="399"/>
      <c r="BJ34" s="172"/>
      <c r="BL34" s="406"/>
      <c r="BM34" s="403"/>
      <c r="BN34" s="169"/>
      <c r="BO34" s="404"/>
      <c r="BP34" s="406"/>
      <c r="BQ34" s="403"/>
      <c r="BR34" s="404"/>
      <c r="BS34" s="169"/>
      <c r="BU34" s="406"/>
      <c r="BV34" s="403"/>
      <c r="BW34" s="169"/>
      <c r="BX34" s="404"/>
      <c r="BY34" s="406"/>
      <c r="BZ34" s="403"/>
      <c r="CA34" s="404"/>
      <c r="CB34" s="169"/>
      <c r="CD34" s="406"/>
      <c r="CE34" s="403"/>
      <c r="CF34" s="326"/>
      <c r="CG34" s="404"/>
      <c r="CH34" s="406"/>
      <c r="CI34" s="403"/>
      <c r="CJ34" s="404"/>
      <c r="CM34" s="406"/>
      <c r="CN34" s="403"/>
      <c r="CO34" s="326"/>
      <c r="CP34" s="404"/>
      <c r="CQ34" s="402"/>
      <c r="CR34" s="401"/>
      <c r="CS34" s="405"/>
      <c r="CV34" s="406"/>
      <c r="CW34" s="403"/>
      <c r="CX34" s="340"/>
      <c r="CY34" s="404"/>
      <c r="CZ34" s="402"/>
      <c r="DA34" s="401"/>
      <c r="DB34" s="405"/>
      <c r="DC34" s="343"/>
    </row>
    <row r="35" spans="1:107">
      <c r="A35" s="402">
        <v>112513</v>
      </c>
      <c r="B35" s="401" t="s">
        <v>100</v>
      </c>
      <c r="C35" s="405">
        <v>0</v>
      </c>
      <c r="D35" s="405">
        <v>278.99</v>
      </c>
      <c r="E35" s="402">
        <v>331855</v>
      </c>
      <c r="F35" s="401" t="s">
        <v>190</v>
      </c>
      <c r="G35" s="405">
        <v>904.73</v>
      </c>
      <c r="H35" s="111"/>
      <c r="J35" s="402">
        <v>215311</v>
      </c>
      <c r="K35" s="401" t="s">
        <v>390</v>
      </c>
      <c r="L35" s="405">
        <v>0</v>
      </c>
      <c r="M35" s="405">
        <v>64.02</v>
      </c>
      <c r="N35" s="406">
        <v>331859</v>
      </c>
      <c r="O35" s="403" t="s">
        <v>191</v>
      </c>
      <c r="P35" s="404">
        <v>1247.47</v>
      </c>
      <c r="Q35" s="111"/>
      <c r="S35" s="443">
        <v>213206</v>
      </c>
      <c r="T35" s="442" t="s">
        <v>112</v>
      </c>
      <c r="U35" s="441">
        <v>0</v>
      </c>
      <c r="V35" s="441">
        <v>5458</v>
      </c>
      <c r="W35" s="438">
        <v>331855</v>
      </c>
      <c r="X35" s="439" t="s">
        <v>190</v>
      </c>
      <c r="Y35" s="440">
        <v>680.41</v>
      </c>
      <c r="Z35" s="126"/>
      <c r="AB35" s="474">
        <v>333105</v>
      </c>
      <c r="AC35" s="472" t="s">
        <v>125</v>
      </c>
      <c r="AD35" s="473">
        <v>0</v>
      </c>
      <c r="AE35" s="473">
        <v>0.01</v>
      </c>
      <c r="AF35" s="474">
        <v>331859</v>
      </c>
      <c r="AG35" s="472" t="s">
        <v>191</v>
      </c>
      <c r="AH35" s="473">
        <v>1093.7</v>
      </c>
      <c r="AI35" s="172"/>
      <c r="AK35" s="402"/>
      <c r="AL35" s="401"/>
      <c r="AM35" s="172"/>
      <c r="AN35" s="405"/>
      <c r="AO35" s="402"/>
      <c r="AP35" s="401"/>
      <c r="AQ35" s="405"/>
      <c r="AR35" s="172"/>
      <c r="AT35" s="402"/>
      <c r="AU35" s="401"/>
      <c r="AV35" s="172"/>
      <c r="AW35" s="405"/>
      <c r="AX35" s="402"/>
      <c r="AY35" s="401"/>
      <c r="AZ35" s="405"/>
      <c r="BA35" s="172"/>
      <c r="BC35" s="402"/>
      <c r="BD35" s="401"/>
      <c r="BE35" s="172"/>
      <c r="BF35" s="399"/>
      <c r="BH35" s="108"/>
      <c r="BI35" s="400"/>
      <c r="BJ35" s="169"/>
      <c r="BL35" s="402"/>
      <c r="BM35" s="401"/>
      <c r="BN35" s="172"/>
      <c r="BO35" s="405"/>
      <c r="BP35" s="402"/>
      <c r="BQ35" s="401"/>
      <c r="BR35" s="405"/>
      <c r="BS35" s="172"/>
      <c r="BU35" s="402"/>
      <c r="BV35" s="401"/>
      <c r="BW35" s="172"/>
      <c r="BX35" s="405"/>
      <c r="BY35" s="402"/>
      <c r="BZ35" s="401"/>
      <c r="CA35" s="405"/>
      <c r="CB35" s="172"/>
      <c r="CD35" s="402"/>
      <c r="CE35" s="401"/>
      <c r="CF35" s="328"/>
      <c r="CG35" s="405"/>
      <c r="CH35" s="402"/>
      <c r="CI35" s="401"/>
      <c r="CJ35" s="405"/>
      <c r="CM35" s="402"/>
      <c r="CN35" s="401"/>
      <c r="CO35" s="328"/>
      <c r="CP35" s="405"/>
      <c r="CQ35" s="406"/>
      <c r="CR35" s="403"/>
      <c r="CS35" s="404"/>
      <c r="CV35" s="402"/>
      <c r="CW35" s="401"/>
      <c r="CX35" s="343"/>
      <c r="CY35" s="405"/>
      <c r="CZ35" s="406"/>
      <c r="DA35" s="403"/>
      <c r="DB35" s="404"/>
      <c r="DC35" s="340"/>
    </row>
    <row r="36" spans="1:107">
      <c r="A36" s="406">
        <v>112504</v>
      </c>
      <c r="B36" s="403" t="s">
        <v>519</v>
      </c>
      <c r="C36" s="404">
        <v>0</v>
      </c>
      <c r="D36" s="404">
        <v>462.58</v>
      </c>
      <c r="E36" s="406">
        <v>331859</v>
      </c>
      <c r="F36" s="403" t="s">
        <v>191</v>
      </c>
      <c r="G36" s="404">
        <v>1539.01</v>
      </c>
      <c r="J36"/>
      <c r="L36" s="124"/>
      <c r="M36" s="124"/>
      <c r="N36" s="402">
        <v>331860</v>
      </c>
      <c r="O36" s="401" t="s">
        <v>192</v>
      </c>
      <c r="P36" s="405">
        <v>456.73</v>
      </c>
      <c r="S36" s="406"/>
      <c r="T36" s="403"/>
      <c r="U36" s="124"/>
      <c r="V36" s="404"/>
      <c r="W36" s="443">
        <v>331859</v>
      </c>
      <c r="X36" s="442" t="s">
        <v>191</v>
      </c>
      <c r="Y36" s="441">
        <v>1220.3800000000001</v>
      </c>
      <c r="Z36" s="124"/>
      <c r="AB36" s="469">
        <v>313110</v>
      </c>
      <c r="AC36" s="470" t="s">
        <v>120</v>
      </c>
      <c r="AD36" s="471">
        <v>0</v>
      </c>
      <c r="AE36" s="471">
        <v>1.39</v>
      </c>
      <c r="AF36" s="469">
        <v>119103</v>
      </c>
      <c r="AG36" s="470" t="s">
        <v>130</v>
      </c>
      <c r="AH36" s="471">
        <v>93925.18</v>
      </c>
      <c r="AI36" s="169"/>
      <c r="AK36" s="366"/>
      <c r="AL36" s="363"/>
      <c r="AM36" s="322"/>
      <c r="AN36" s="362"/>
      <c r="AO36" s="406"/>
      <c r="AP36" s="403"/>
      <c r="AQ36" s="404"/>
      <c r="AR36" s="169"/>
      <c r="AT36" s="406"/>
      <c r="AU36" s="403"/>
      <c r="AV36" s="169"/>
      <c r="AW36" s="404"/>
      <c r="AX36" s="406"/>
      <c r="AY36" s="403"/>
      <c r="AZ36" s="404"/>
      <c r="BA36" s="169"/>
      <c r="BC36" s="406"/>
      <c r="BD36" s="403"/>
      <c r="BE36" s="169"/>
      <c r="BF36" s="400"/>
      <c r="BG36" s="112"/>
      <c r="BH36" s="110"/>
      <c r="BI36" s="399"/>
      <c r="BJ36" s="172"/>
      <c r="BL36" s="406"/>
      <c r="BM36" s="403"/>
      <c r="BN36" s="169"/>
      <c r="BO36" s="404"/>
      <c r="BP36" s="406"/>
      <c r="BQ36" s="403"/>
      <c r="BR36" s="404"/>
      <c r="BS36" s="169"/>
      <c r="BU36" s="406"/>
      <c r="BV36" s="403"/>
      <c r="BW36" s="169"/>
      <c r="BX36" s="404"/>
      <c r="BY36" s="406"/>
      <c r="BZ36" s="403"/>
      <c r="CA36" s="404"/>
      <c r="CB36" s="169"/>
      <c r="CD36" s="406"/>
      <c r="CE36" s="403"/>
      <c r="CF36" s="326"/>
      <c r="CG36" s="404"/>
      <c r="CH36" s="406"/>
      <c r="CI36" s="403"/>
      <c r="CJ36" s="404"/>
      <c r="CM36" s="406"/>
      <c r="CN36" s="403"/>
      <c r="CO36" s="326"/>
      <c r="CP36" s="404"/>
      <c r="CQ36" s="402"/>
      <c r="CR36" s="401"/>
      <c r="CS36" s="405"/>
      <c r="CV36" s="406"/>
      <c r="CW36" s="403"/>
      <c r="CX36" s="340"/>
      <c r="CY36" s="404"/>
      <c r="CZ36" s="402"/>
      <c r="DA36" s="401"/>
      <c r="DB36" s="405"/>
      <c r="DC36" s="343"/>
    </row>
    <row r="37" spans="1:107">
      <c r="A37" s="402">
        <v>117208</v>
      </c>
      <c r="B37" s="401" t="s">
        <v>105</v>
      </c>
      <c r="C37" s="405">
        <v>0</v>
      </c>
      <c r="D37" s="405">
        <v>75</v>
      </c>
      <c r="E37" s="402">
        <v>333104</v>
      </c>
      <c r="F37" s="401" t="s">
        <v>206</v>
      </c>
      <c r="G37" s="405">
        <v>70.010000000000005</v>
      </c>
      <c r="H37" s="111"/>
      <c r="J37" s="112"/>
      <c r="K37" s="110"/>
      <c r="L37" s="126"/>
      <c r="M37" s="126"/>
      <c r="N37" s="406">
        <v>331863</v>
      </c>
      <c r="O37" s="403" t="s">
        <v>195</v>
      </c>
      <c r="P37" s="404">
        <v>246.24</v>
      </c>
      <c r="Q37" s="111"/>
      <c r="S37" s="402"/>
      <c r="T37" s="401"/>
      <c r="U37" s="126"/>
      <c r="V37" s="405"/>
      <c r="W37" s="438">
        <v>331860</v>
      </c>
      <c r="X37" s="439" t="s">
        <v>192</v>
      </c>
      <c r="Y37" s="440">
        <v>454.23</v>
      </c>
      <c r="Z37" s="126"/>
      <c r="AB37" s="474">
        <v>112303</v>
      </c>
      <c r="AC37" s="472" t="s">
        <v>85</v>
      </c>
      <c r="AD37" s="473">
        <v>0</v>
      </c>
      <c r="AE37" s="473">
        <v>52.69</v>
      </c>
      <c r="AF37" s="474">
        <v>213106</v>
      </c>
      <c r="AG37" s="472" t="s">
        <v>145</v>
      </c>
      <c r="AH37" s="473">
        <v>85697.59</v>
      </c>
      <c r="AI37" s="172"/>
      <c r="AK37" s="171"/>
      <c r="AL37" s="171"/>
      <c r="AO37" s="402"/>
      <c r="AP37" s="401"/>
      <c r="AQ37" s="405"/>
      <c r="AR37" s="172"/>
      <c r="AT37" s="402"/>
      <c r="AU37" s="401"/>
      <c r="AV37" s="172"/>
      <c r="AW37" s="405"/>
      <c r="AX37" s="402"/>
      <c r="AY37" s="401"/>
      <c r="AZ37" s="405"/>
      <c r="BA37" s="172"/>
      <c r="BC37" s="402"/>
      <c r="BD37" s="401"/>
      <c r="BE37" s="172"/>
      <c r="BF37" s="399"/>
      <c r="BH37" s="108"/>
      <c r="BI37" s="400"/>
      <c r="BJ37" s="169"/>
      <c r="BP37" s="402"/>
      <c r="BQ37" s="401"/>
      <c r="BR37" s="405"/>
      <c r="BS37" s="172"/>
      <c r="BU37" s="402"/>
      <c r="BV37" s="401"/>
      <c r="BW37" s="172"/>
      <c r="BX37" s="405"/>
      <c r="BY37" s="402"/>
      <c r="BZ37" s="401"/>
      <c r="CA37" s="405"/>
      <c r="CB37" s="172"/>
      <c r="CD37" s="402"/>
      <c r="CE37" s="401"/>
      <c r="CF37" s="328"/>
      <c r="CG37" s="405"/>
      <c r="CH37" s="402"/>
      <c r="CI37" s="401"/>
      <c r="CJ37" s="405"/>
      <c r="CM37" s="402"/>
      <c r="CN37" s="401"/>
      <c r="CO37" s="328"/>
      <c r="CP37" s="405"/>
      <c r="CQ37" s="406"/>
      <c r="CR37" s="403"/>
      <c r="CS37" s="404"/>
      <c r="CV37" s="402"/>
      <c r="CW37" s="401"/>
      <c r="CX37" s="343"/>
      <c r="CY37" s="405"/>
      <c r="CZ37" s="406"/>
      <c r="DA37" s="403"/>
      <c r="DB37" s="404"/>
      <c r="DC37" s="340"/>
    </row>
    <row r="38" spans="1:107">
      <c r="A38" s="406">
        <v>215325</v>
      </c>
      <c r="B38" s="403" t="s">
        <v>466</v>
      </c>
      <c r="C38" s="404">
        <v>0</v>
      </c>
      <c r="D38" s="404">
        <v>1312.4</v>
      </c>
      <c r="E38" s="406">
        <v>331848</v>
      </c>
      <c r="F38" s="403" t="s">
        <v>184</v>
      </c>
      <c r="G38" s="404">
        <v>1.18</v>
      </c>
      <c r="J38"/>
      <c r="L38" s="124"/>
      <c r="M38" s="124"/>
      <c r="N38" s="402">
        <v>331866</v>
      </c>
      <c r="O38" s="401" t="s">
        <v>197</v>
      </c>
      <c r="P38" s="405">
        <v>84.94</v>
      </c>
      <c r="S38" s="406"/>
      <c r="T38" s="403"/>
      <c r="V38" s="404"/>
      <c r="W38" s="443">
        <v>333104</v>
      </c>
      <c r="X38" s="442" t="s">
        <v>206</v>
      </c>
      <c r="Y38" s="441">
        <v>10.09</v>
      </c>
      <c r="AB38" s="469">
        <v>117208</v>
      </c>
      <c r="AC38" s="470" t="s">
        <v>105</v>
      </c>
      <c r="AD38" s="471">
        <v>0</v>
      </c>
      <c r="AE38" s="471">
        <v>466.86</v>
      </c>
      <c r="AF38" s="469">
        <v>215101</v>
      </c>
      <c r="AG38" s="470" t="s">
        <v>165</v>
      </c>
      <c r="AH38" s="471">
        <v>1076.4000000000001</v>
      </c>
      <c r="AI38" s="169"/>
      <c r="AK38" s="168"/>
      <c r="AL38" s="168"/>
      <c r="AO38" s="406"/>
      <c r="AP38" s="403"/>
      <c r="AQ38" s="404"/>
      <c r="AR38" s="169"/>
      <c r="AT38" s="406"/>
      <c r="AU38" s="403"/>
      <c r="AV38" s="169"/>
      <c r="AW38" s="404"/>
      <c r="AX38" s="406"/>
      <c r="AY38" s="403"/>
      <c r="AZ38" s="404"/>
      <c r="BA38" s="169"/>
      <c r="BG38" s="112"/>
      <c r="BH38" s="110"/>
      <c r="BI38" s="399"/>
      <c r="BJ38" s="172"/>
      <c r="BP38" s="406"/>
      <c r="BQ38" s="403"/>
      <c r="BR38" s="404"/>
      <c r="BS38" s="169"/>
      <c r="BU38" s="406"/>
      <c r="BV38" s="403"/>
      <c r="BW38" s="169"/>
      <c r="BX38" s="404"/>
      <c r="BY38" s="406"/>
      <c r="BZ38" s="403"/>
      <c r="CA38" s="404"/>
      <c r="CB38" s="169"/>
      <c r="CD38" s="406"/>
      <c r="CE38" s="403"/>
      <c r="CF38" s="326"/>
      <c r="CG38" s="404"/>
      <c r="CH38" s="406"/>
      <c r="CI38" s="403"/>
      <c r="CJ38" s="404"/>
      <c r="CM38" s="406"/>
      <c r="CN38" s="403"/>
      <c r="CO38" s="326"/>
      <c r="CP38" s="404"/>
      <c r="CQ38" s="402"/>
      <c r="CR38" s="401"/>
      <c r="CS38" s="405"/>
      <c r="CZ38" s="402"/>
      <c r="DA38" s="401"/>
      <c r="DB38" s="405"/>
      <c r="DC38" s="343"/>
    </row>
    <row r="39" spans="1:107">
      <c r="A39" s="112"/>
      <c r="B39" s="110"/>
      <c r="C39" s="126"/>
      <c r="D39" s="126"/>
      <c r="E39" s="402">
        <v>331853</v>
      </c>
      <c r="F39" s="401" t="s">
        <v>188</v>
      </c>
      <c r="G39" s="405">
        <v>3611.95</v>
      </c>
      <c r="H39" s="111"/>
      <c r="J39" s="112"/>
      <c r="K39" s="110"/>
      <c r="L39" s="126"/>
      <c r="M39" s="126"/>
      <c r="N39" s="406">
        <v>331874</v>
      </c>
      <c r="O39" s="403" t="s">
        <v>201</v>
      </c>
      <c r="P39" s="404">
        <v>21.06</v>
      </c>
      <c r="Q39" s="111"/>
      <c r="S39" s="112"/>
      <c r="T39" s="110"/>
      <c r="U39" s="111"/>
      <c r="V39" s="111"/>
      <c r="W39" s="438">
        <v>212106</v>
      </c>
      <c r="X39" s="439" t="s">
        <v>139</v>
      </c>
      <c r="Y39" s="440">
        <v>2243.09</v>
      </c>
      <c r="Z39" s="111"/>
      <c r="AF39" s="474">
        <v>331848</v>
      </c>
      <c r="AG39" s="472" t="s">
        <v>184</v>
      </c>
      <c r="AH39" s="473">
        <v>1.95</v>
      </c>
      <c r="AI39" s="172"/>
      <c r="AK39" s="171"/>
      <c r="AL39" s="171"/>
      <c r="AO39" s="402"/>
      <c r="AP39" s="401"/>
      <c r="AQ39" s="405"/>
      <c r="AR39" s="172"/>
      <c r="AX39" s="402"/>
      <c r="AY39" s="401"/>
      <c r="AZ39" s="405"/>
      <c r="BA39" s="172"/>
      <c r="BH39" s="108"/>
      <c r="BI39" s="400"/>
      <c r="BJ39" s="169"/>
      <c r="BP39" s="402"/>
      <c r="BQ39" s="401"/>
      <c r="BR39" s="405"/>
      <c r="BS39" s="172"/>
      <c r="BY39" s="402"/>
      <c r="BZ39" s="401"/>
      <c r="CA39" s="405"/>
      <c r="CB39" s="172"/>
      <c r="CH39" s="402"/>
      <c r="CI39" s="401"/>
      <c r="CJ39" s="405"/>
      <c r="CM39" s="402"/>
      <c r="CN39" s="401"/>
      <c r="CO39" s="328"/>
      <c r="CP39" s="405"/>
      <c r="CQ39" s="406"/>
      <c r="CR39" s="403"/>
      <c r="CS39" s="404"/>
      <c r="CZ39" s="406"/>
      <c r="DA39" s="403"/>
      <c r="DB39" s="404"/>
      <c r="DC39" s="340"/>
    </row>
    <row r="40" spans="1:107">
      <c r="C40" s="124"/>
      <c r="D40" s="124"/>
      <c r="E40" s="406">
        <v>331860</v>
      </c>
      <c r="F40" s="403" t="s">
        <v>192</v>
      </c>
      <c r="G40" s="404">
        <v>538.45000000000005</v>
      </c>
      <c r="J40"/>
      <c r="L40" s="124"/>
      <c r="M40" s="124"/>
      <c r="N40" s="402">
        <v>119103</v>
      </c>
      <c r="O40" s="401" t="s">
        <v>130</v>
      </c>
      <c r="P40" s="405">
        <v>68015.199999999997</v>
      </c>
      <c r="S40"/>
      <c r="W40" s="443">
        <v>214119</v>
      </c>
      <c r="X40" s="442" t="s">
        <v>158</v>
      </c>
      <c r="Y40" s="441">
        <v>539.24</v>
      </c>
      <c r="AF40" s="469">
        <v>331853</v>
      </c>
      <c r="AG40" s="470" t="s">
        <v>188</v>
      </c>
      <c r="AH40" s="471">
        <v>2861.09</v>
      </c>
      <c r="AI40" s="169"/>
      <c r="AK40" s="168"/>
      <c r="AL40" s="168"/>
      <c r="AO40" s="406"/>
      <c r="AP40" s="403"/>
      <c r="AQ40" s="404"/>
      <c r="AR40" s="169"/>
      <c r="AX40" s="406"/>
      <c r="AY40" s="403"/>
      <c r="AZ40" s="404"/>
      <c r="BA40" s="169"/>
      <c r="BG40" s="112"/>
      <c r="BH40" s="110"/>
      <c r="BI40" s="399"/>
      <c r="BJ40" s="172"/>
      <c r="BP40" s="406"/>
      <c r="BQ40" s="403"/>
      <c r="BR40" s="404"/>
      <c r="BS40" s="169"/>
      <c r="BY40" s="406"/>
      <c r="BZ40" s="403"/>
      <c r="CA40" s="404"/>
      <c r="CB40" s="169"/>
      <c r="CH40" s="406"/>
      <c r="CI40" s="403"/>
      <c r="CJ40" s="404"/>
      <c r="CQ40" s="402"/>
      <c r="CR40" s="401"/>
      <c r="CS40" s="405"/>
      <c r="CZ40" s="402"/>
      <c r="DA40" s="401"/>
      <c r="DB40" s="405"/>
      <c r="DC40" s="343"/>
    </row>
    <row r="41" spans="1:107">
      <c r="A41" s="112"/>
      <c r="B41" s="110"/>
      <c r="C41" s="111"/>
      <c r="D41" s="111"/>
      <c r="E41" s="402">
        <v>212108</v>
      </c>
      <c r="F41" s="401" t="s">
        <v>475</v>
      </c>
      <c r="G41" s="405">
        <v>36156.04</v>
      </c>
      <c r="H41" s="111"/>
      <c r="J41" s="112"/>
      <c r="K41" s="110"/>
      <c r="L41" s="126"/>
      <c r="M41" s="126"/>
      <c r="N41" s="406">
        <v>212299</v>
      </c>
      <c r="O41" s="403" t="s">
        <v>142</v>
      </c>
      <c r="P41" s="404">
        <v>210755.06</v>
      </c>
      <c r="Q41" s="111"/>
      <c r="S41" s="112"/>
      <c r="T41" s="110"/>
      <c r="U41" s="111"/>
      <c r="V41" s="111"/>
      <c r="W41" s="438">
        <v>214198</v>
      </c>
      <c r="X41" s="439" t="s">
        <v>161</v>
      </c>
      <c r="Y41" s="440">
        <v>36293.699999999997</v>
      </c>
      <c r="Z41" s="111"/>
      <c r="AF41" s="474">
        <v>331860</v>
      </c>
      <c r="AG41" s="472" t="s">
        <v>192</v>
      </c>
      <c r="AH41" s="473">
        <v>458.86</v>
      </c>
      <c r="AI41" s="172"/>
      <c r="AK41" s="171"/>
      <c r="AL41" s="171"/>
      <c r="AO41" s="402"/>
      <c r="AP41" s="401"/>
      <c r="AQ41" s="405"/>
      <c r="AR41" s="172"/>
      <c r="AX41" s="402"/>
      <c r="AY41" s="401"/>
      <c r="AZ41" s="405"/>
      <c r="BA41" s="172"/>
      <c r="BH41" s="108"/>
      <c r="BI41" s="400"/>
      <c r="BJ41" s="169"/>
      <c r="BP41" s="402"/>
      <c r="BQ41" s="401"/>
      <c r="BR41" s="405"/>
      <c r="BS41" s="172"/>
      <c r="BY41" s="402"/>
      <c r="BZ41" s="401"/>
      <c r="CA41" s="405"/>
      <c r="CB41" s="172"/>
      <c r="CH41" s="402"/>
      <c r="CI41" s="401"/>
      <c r="CJ41" s="405"/>
      <c r="CQ41" s="406"/>
      <c r="CR41" s="403"/>
      <c r="CS41" s="404"/>
      <c r="CZ41" s="406"/>
      <c r="DA41" s="403"/>
      <c r="DB41" s="404"/>
      <c r="DC41" s="340"/>
    </row>
    <row r="42" spans="1:107">
      <c r="E42" s="406">
        <v>213106</v>
      </c>
      <c r="F42" s="403" t="s">
        <v>145</v>
      </c>
      <c r="G42" s="404">
        <v>87936.960000000006</v>
      </c>
      <c r="J42"/>
      <c r="N42" s="402">
        <v>215101</v>
      </c>
      <c r="O42" s="401" t="s">
        <v>165</v>
      </c>
      <c r="P42" s="405">
        <v>3194.83</v>
      </c>
      <c r="S42"/>
      <c r="W42" s="443">
        <v>331863</v>
      </c>
      <c r="X42" s="442" t="s">
        <v>195</v>
      </c>
      <c r="Y42" s="441">
        <v>394.97</v>
      </c>
      <c r="AF42" s="469">
        <v>333107</v>
      </c>
      <c r="AG42" s="470" t="s">
        <v>207</v>
      </c>
      <c r="AH42" s="471">
        <v>5422.29</v>
      </c>
      <c r="AI42" s="169"/>
      <c r="AK42" s="168"/>
      <c r="AL42" s="168"/>
      <c r="AO42" s="406"/>
      <c r="AP42" s="403"/>
      <c r="AQ42" s="404"/>
      <c r="AR42" s="169"/>
      <c r="AX42" s="406"/>
      <c r="AY42" s="403"/>
      <c r="AZ42" s="404"/>
      <c r="BA42" s="169"/>
      <c r="BG42" s="112"/>
      <c r="BH42" s="110"/>
      <c r="BI42" s="399"/>
      <c r="BJ42" s="172"/>
      <c r="BP42" s="406"/>
      <c r="BQ42" s="403"/>
      <c r="BR42" s="404"/>
      <c r="BS42" s="169"/>
      <c r="BY42" s="406"/>
      <c r="BZ42" s="403"/>
      <c r="CA42" s="404"/>
      <c r="CB42" s="169"/>
      <c r="CH42" s="406"/>
      <c r="CI42" s="403"/>
      <c r="CJ42" s="404"/>
      <c r="CQ42" s="402"/>
      <c r="CR42" s="401"/>
      <c r="CS42" s="405"/>
      <c r="CZ42" s="402"/>
      <c r="DA42" s="401"/>
      <c r="DB42" s="405"/>
      <c r="DC42" s="343"/>
    </row>
    <row r="43" spans="1:107">
      <c r="A43" s="112"/>
      <c r="B43" s="110"/>
      <c r="C43" s="111"/>
      <c r="D43" s="111"/>
      <c r="E43" s="402">
        <v>214102</v>
      </c>
      <c r="F43" s="401" t="s">
        <v>153</v>
      </c>
      <c r="G43" s="405">
        <v>1291.1199999999999</v>
      </c>
      <c r="H43" s="111"/>
      <c r="J43" s="112"/>
      <c r="K43" s="110"/>
      <c r="L43" s="111"/>
      <c r="M43" s="111"/>
      <c r="N43" s="406">
        <v>213106</v>
      </c>
      <c r="O43" s="403" t="s">
        <v>145</v>
      </c>
      <c r="P43" s="404">
        <v>87376.87</v>
      </c>
      <c r="Q43" s="111"/>
      <c r="S43" s="112"/>
      <c r="T43" s="110"/>
      <c r="U43" s="111"/>
      <c r="V43" s="111"/>
      <c r="W43" s="438">
        <v>331866</v>
      </c>
      <c r="X43" s="439" t="s">
        <v>197</v>
      </c>
      <c r="Y43" s="440">
        <v>182.87</v>
      </c>
      <c r="Z43" s="111"/>
      <c r="AF43" s="474">
        <v>212108</v>
      </c>
      <c r="AG43" s="472" t="s">
        <v>475</v>
      </c>
      <c r="AH43" s="473">
        <v>40481.949999999997</v>
      </c>
      <c r="AI43" s="172"/>
      <c r="AK43" s="171"/>
      <c r="AL43" s="171"/>
      <c r="AO43" s="402"/>
      <c r="AP43" s="401"/>
      <c r="AQ43" s="405"/>
      <c r="AR43" s="172"/>
      <c r="AX43" s="402"/>
      <c r="AY43" s="401"/>
      <c r="AZ43" s="405"/>
      <c r="BA43" s="172"/>
      <c r="BH43" s="108"/>
      <c r="BI43" s="400"/>
      <c r="BJ43" s="169"/>
      <c r="BP43" s="402"/>
      <c r="BQ43" s="401"/>
      <c r="BR43" s="405"/>
      <c r="BS43" s="172"/>
      <c r="BY43" s="402"/>
      <c r="BZ43" s="401"/>
      <c r="CA43" s="405"/>
      <c r="CB43" s="172"/>
      <c r="CH43" s="402"/>
      <c r="CI43" s="401"/>
      <c r="CJ43" s="405"/>
      <c r="CQ43" s="406"/>
      <c r="CR43" s="403"/>
      <c r="CS43" s="404"/>
      <c r="CZ43" s="406"/>
      <c r="DA43" s="403"/>
      <c r="DB43" s="404"/>
      <c r="DC43" s="340"/>
    </row>
    <row r="44" spans="1:107">
      <c r="E44" s="406">
        <v>214120</v>
      </c>
      <c r="F44" s="403" t="s">
        <v>159</v>
      </c>
      <c r="G44" s="404">
        <v>7.23</v>
      </c>
      <c r="J44"/>
      <c r="N44" s="402">
        <v>333107</v>
      </c>
      <c r="O44" s="401" t="s">
        <v>207</v>
      </c>
      <c r="P44" s="405">
        <v>6629.01</v>
      </c>
      <c r="S44"/>
      <c r="W44" s="443">
        <v>331874</v>
      </c>
      <c r="X44" s="442" t="s">
        <v>201</v>
      </c>
      <c r="Y44" s="441">
        <v>61</v>
      </c>
      <c r="AF44" s="469">
        <v>214102</v>
      </c>
      <c r="AG44" s="470" t="s">
        <v>153</v>
      </c>
      <c r="AH44" s="471">
        <v>1381.15</v>
      </c>
      <c r="AI44" s="169"/>
      <c r="AK44" s="168"/>
      <c r="AL44" s="168"/>
      <c r="AO44" s="406"/>
      <c r="AP44" s="403"/>
      <c r="AQ44" s="404"/>
      <c r="AR44" s="169"/>
      <c r="AX44" s="406"/>
      <c r="AY44" s="403"/>
      <c r="AZ44" s="404"/>
      <c r="BA44" s="369"/>
      <c r="BG44" s="112"/>
      <c r="BH44" s="110"/>
      <c r="BI44" s="399"/>
      <c r="BJ44" s="172"/>
      <c r="BP44" s="406"/>
      <c r="BQ44" s="403"/>
      <c r="BR44" s="404"/>
      <c r="BS44" s="169"/>
      <c r="BY44" s="406"/>
      <c r="BZ44" s="403"/>
      <c r="CA44" s="404"/>
      <c r="CB44" s="169"/>
      <c r="CH44" s="406"/>
      <c r="CI44" s="403"/>
      <c r="CJ44" s="404"/>
      <c r="CQ44" s="402"/>
      <c r="CR44" s="401"/>
      <c r="CS44" s="405"/>
      <c r="CZ44" s="402"/>
      <c r="DA44" s="401"/>
      <c r="DB44" s="405"/>
      <c r="DC44" s="343"/>
    </row>
    <row r="45" spans="1:107">
      <c r="A45" s="112"/>
      <c r="B45" s="110"/>
      <c r="C45" s="111"/>
      <c r="D45" s="111"/>
      <c r="E45" s="402">
        <v>215109</v>
      </c>
      <c r="F45" s="401" t="s">
        <v>168</v>
      </c>
      <c r="G45" s="405">
        <v>161.18</v>
      </c>
      <c r="H45" s="111"/>
      <c r="J45" s="112"/>
      <c r="K45" s="110"/>
      <c r="L45" s="111"/>
      <c r="M45" s="111"/>
      <c r="N45" s="406">
        <v>212108</v>
      </c>
      <c r="O45" s="403" t="s">
        <v>475</v>
      </c>
      <c r="P45" s="404">
        <v>35861.39</v>
      </c>
      <c r="Q45" s="111"/>
      <c r="S45" s="112"/>
      <c r="T45" s="110"/>
      <c r="U45" s="111"/>
      <c r="V45" s="111"/>
      <c r="W45" s="438">
        <v>331875</v>
      </c>
      <c r="X45" s="439" t="s">
        <v>202</v>
      </c>
      <c r="Y45" s="440">
        <v>30.29</v>
      </c>
      <c r="Z45" s="111"/>
      <c r="AF45" s="474">
        <v>214120</v>
      </c>
      <c r="AG45" s="472" t="s">
        <v>159</v>
      </c>
      <c r="AH45" s="473">
        <v>12.78</v>
      </c>
      <c r="AI45" s="172"/>
      <c r="AK45" s="171"/>
      <c r="AL45" s="171"/>
      <c r="AO45" s="402"/>
      <c r="AP45" s="401"/>
      <c r="AQ45" s="405"/>
      <c r="AR45" s="172"/>
      <c r="AX45" s="402"/>
      <c r="AY45" s="401"/>
      <c r="AZ45" s="405"/>
      <c r="BA45" s="172"/>
      <c r="BH45" s="108"/>
      <c r="BI45" s="400"/>
      <c r="BJ45" s="169"/>
      <c r="BP45" s="402"/>
      <c r="BQ45" s="401"/>
      <c r="BR45" s="405"/>
      <c r="BS45" s="172"/>
      <c r="BY45" s="402"/>
      <c r="BZ45" s="401"/>
      <c r="CA45" s="405"/>
      <c r="CB45" s="172"/>
      <c r="CH45" s="402"/>
      <c r="CI45" s="401"/>
      <c r="CJ45" s="405"/>
      <c r="CQ45" s="406"/>
      <c r="CR45" s="403"/>
      <c r="CS45" s="404"/>
      <c r="CZ45" s="406"/>
      <c r="DA45" s="403"/>
      <c r="DB45" s="404"/>
      <c r="DC45" s="340"/>
    </row>
    <row r="46" spans="1:107">
      <c r="E46" s="406">
        <v>331863</v>
      </c>
      <c r="F46" s="403" t="s">
        <v>195</v>
      </c>
      <c r="G46" s="404">
        <v>352.83</v>
      </c>
      <c r="J46"/>
      <c r="N46" s="402">
        <v>214102</v>
      </c>
      <c r="O46" s="401" t="s">
        <v>153</v>
      </c>
      <c r="P46" s="405">
        <v>1484.75</v>
      </c>
      <c r="S46"/>
      <c r="W46" s="443">
        <v>119103</v>
      </c>
      <c r="X46" s="442" t="s">
        <v>130</v>
      </c>
      <c r="Y46" s="441">
        <v>74543.98</v>
      </c>
      <c r="AF46" s="469">
        <v>212299</v>
      </c>
      <c r="AG46" s="470" t="s">
        <v>142</v>
      </c>
      <c r="AH46" s="471">
        <v>39106.19</v>
      </c>
      <c r="AI46" s="169"/>
      <c r="AK46" s="168"/>
      <c r="AL46" s="168"/>
      <c r="AO46" s="406"/>
      <c r="AP46" s="403"/>
      <c r="AQ46" s="404"/>
      <c r="AR46" s="169"/>
      <c r="AX46" s="406"/>
      <c r="AY46" s="403"/>
      <c r="AZ46" s="404"/>
      <c r="BA46" s="169"/>
      <c r="BG46" s="112"/>
      <c r="BH46" s="110"/>
      <c r="BI46" s="399"/>
      <c r="BJ46" s="172"/>
      <c r="BP46" s="406"/>
      <c r="BQ46" s="403"/>
      <c r="BR46" s="404"/>
      <c r="BS46" s="169"/>
      <c r="BY46" s="406"/>
      <c r="BZ46" s="403"/>
      <c r="CA46" s="404"/>
      <c r="CB46" s="169"/>
      <c r="CH46" s="406"/>
      <c r="CI46" s="403"/>
      <c r="CJ46" s="404"/>
      <c r="CQ46" s="402"/>
      <c r="CR46" s="401"/>
      <c r="CS46" s="405"/>
      <c r="CZ46" s="402"/>
      <c r="DA46" s="401"/>
      <c r="DB46" s="405"/>
      <c r="DC46" s="343"/>
    </row>
    <row r="47" spans="1:107">
      <c r="A47" s="112"/>
      <c r="B47" s="110"/>
      <c r="C47" s="111"/>
      <c r="D47" s="111"/>
      <c r="E47" s="402">
        <v>331866</v>
      </c>
      <c r="F47" s="401" t="s">
        <v>197</v>
      </c>
      <c r="G47" s="405">
        <v>144.44</v>
      </c>
      <c r="H47" s="111"/>
      <c r="J47" s="112"/>
      <c r="K47" s="110"/>
      <c r="L47" s="111"/>
      <c r="M47" s="111"/>
      <c r="N47" s="406">
        <v>214113</v>
      </c>
      <c r="O47" s="403" t="s">
        <v>156</v>
      </c>
      <c r="P47" s="404">
        <v>27.38</v>
      </c>
      <c r="Q47" s="111"/>
      <c r="S47" s="112"/>
      <c r="T47" s="110"/>
      <c r="U47" s="111"/>
      <c r="V47" s="111"/>
      <c r="W47" s="438">
        <v>212108</v>
      </c>
      <c r="X47" s="439" t="s">
        <v>475</v>
      </c>
      <c r="Y47" s="440">
        <v>36607.379999999997</v>
      </c>
      <c r="Z47" s="111"/>
      <c r="AF47" s="474">
        <v>331863</v>
      </c>
      <c r="AG47" s="472" t="s">
        <v>195</v>
      </c>
      <c r="AH47" s="473">
        <v>210.06</v>
      </c>
      <c r="AI47" s="172"/>
      <c r="AK47" s="171"/>
      <c r="AL47" s="171"/>
      <c r="AO47" s="402"/>
      <c r="AP47" s="401"/>
      <c r="AQ47" s="405"/>
      <c r="AR47" s="172"/>
      <c r="AX47" s="402"/>
      <c r="AY47" s="401"/>
      <c r="AZ47" s="405"/>
      <c r="BA47" s="172"/>
      <c r="BH47" s="108"/>
      <c r="BI47" s="400"/>
      <c r="BJ47" s="169"/>
      <c r="BP47" s="402"/>
      <c r="BQ47" s="401"/>
      <c r="BR47" s="405"/>
      <c r="BS47" s="172"/>
      <c r="BY47" s="402"/>
      <c r="BZ47" s="401"/>
      <c r="CA47" s="405"/>
      <c r="CB47" s="172"/>
      <c r="CH47" s="402"/>
      <c r="CI47" s="401"/>
      <c r="CJ47" s="405"/>
      <c r="CQ47" s="406"/>
      <c r="CR47" s="403"/>
      <c r="CS47" s="404"/>
      <c r="CZ47" s="406"/>
      <c r="DA47" s="403"/>
      <c r="DB47" s="404"/>
      <c r="DC47" s="340"/>
    </row>
    <row r="48" spans="1:107">
      <c r="E48" s="406">
        <v>331874</v>
      </c>
      <c r="F48" s="403" t="s">
        <v>201</v>
      </c>
      <c r="G48" s="404">
        <v>30.96</v>
      </c>
      <c r="J48"/>
      <c r="N48" s="402">
        <v>214120</v>
      </c>
      <c r="O48" s="401" t="s">
        <v>159</v>
      </c>
      <c r="P48" s="405">
        <v>22.05</v>
      </c>
      <c r="S48"/>
      <c r="W48" s="443">
        <v>212299</v>
      </c>
      <c r="X48" s="442" t="s">
        <v>142</v>
      </c>
      <c r="Y48" s="441">
        <v>211464.01</v>
      </c>
      <c r="AF48" s="469">
        <v>331866</v>
      </c>
      <c r="AG48" s="470" t="s">
        <v>197</v>
      </c>
      <c r="AH48" s="471">
        <v>101.27</v>
      </c>
      <c r="AI48" s="169"/>
      <c r="AK48" s="168"/>
      <c r="AL48" s="168"/>
      <c r="AO48" s="406"/>
      <c r="AP48" s="403"/>
      <c r="AQ48" s="404"/>
      <c r="AR48" s="169"/>
      <c r="AX48" s="406"/>
      <c r="AY48" s="403"/>
      <c r="AZ48" s="404"/>
      <c r="BA48" s="169"/>
      <c r="BG48" s="112"/>
      <c r="BH48" s="110"/>
      <c r="BI48" s="399"/>
      <c r="BJ48" s="172"/>
      <c r="BP48" s="406"/>
      <c r="BQ48" s="403"/>
      <c r="BR48" s="404"/>
      <c r="BS48" s="169"/>
      <c r="BY48" s="406"/>
      <c r="BZ48" s="403"/>
      <c r="CA48" s="404"/>
      <c r="CB48" s="169"/>
      <c r="CH48" s="406"/>
      <c r="CI48" s="403"/>
      <c r="CJ48" s="404"/>
      <c r="CQ48" s="402"/>
      <c r="CR48" s="401"/>
      <c r="CS48" s="405"/>
      <c r="CZ48" s="402"/>
      <c r="DA48" s="401"/>
      <c r="DB48" s="405"/>
      <c r="DC48" s="343"/>
    </row>
    <row r="49" spans="1:108">
      <c r="A49" s="112"/>
      <c r="B49" s="110"/>
      <c r="C49" s="111"/>
      <c r="D49" s="111"/>
      <c r="E49" s="402">
        <v>333107</v>
      </c>
      <c r="F49" s="401" t="s">
        <v>207</v>
      </c>
      <c r="G49" s="405">
        <v>7356.27</v>
      </c>
      <c r="H49" s="111"/>
      <c r="J49" s="112"/>
      <c r="K49" s="110"/>
      <c r="L49" s="111"/>
      <c r="M49" s="111"/>
      <c r="N49" s="406">
        <v>214197</v>
      </c>
      <c r="O49" s="403" t="s">
        <v>160</v>
      </c>
      <c r="P49" s="404">
        <v>133145.82</v>
      </c>
      <c r="Q49" s="111"/>
      <c r="S49" s="112"/>
      <c r="T49" s="110"/>
      <c r="U49" s="111"/>
      <c r="V49" s="111"/>
      <c r="W49" s="438">
        <v>214102</v>
      </c>
      <c r="X49" s="439" t="s">
        <v>153</v>
      </c>
      <c r="Y49" s="440">
        <v>803.85</v>
      </c>
      <c r="Z49" s="111"/>
      <c r="AF49" s="474">
        <v>331874</v>
      </c>
      <c r="AG49" s="472" t="s">
        <v>201</v>
      </c>
      <c r="AH49" s="473">
        <v>51.44</v>
      </c>
      <c r="AI49" s="172"/>
      <c r="AK49" s="171"/>
      <c r="AL49" s="171"/>
      <c r="AO49" s="402"/>
      <c r="AP49" s="401"/>
      <c r="AQ49" s="405"/>
      <c r="AR49" s="172"/>
      <c r="AX49" s="402"/>
      <c r="AY49" s="401"/>
      <c r="AZ49" s="405"/>
      <c r="BA49" s="172"/>
      <c r="BH49" s="108"/>
      <c r="BI49" s="400"/>
      <c r="BJ49" s="169"/>
      <c r="BP49" s="402"/>
      <c r="BQ49" s="401"/>
      <c r="BR49" s="405"/>
      <c r="BS49" s="172"/>
      <c r="BY49" s="402"/>
      <c r="BZ49" s="401"/>
      <c r="CA49" s="405"/>
      <c r="CB49" s="172"/>
      <c r="CH49" s="402"/>
      <c r="CI49" s="401"/>
      <c r="CJ49" s="405"/>
      <c r="CQ49" s="406"/>
      <c r="CR49" s="403"/>
      <c r="CS49" s="404"/>
      <c r="CZ49" s="406"/>
      <c r="DA49" s="403"/>
      <c r="DB49" s="404"/>
      <c r="DC49" s="340"/>
    </row>
    <row r="50" spans="1:108">
      <c r="E50" s="406">
        <v>119103</v>
      </c>
      <c r="F50" s="403" t="s">
        <v>130</v>
      </c>
      <c r="G50" s="404">
        <v>51491.75</v>
      </c>
      <c r="J50"/>
      <c r="N50" s="402">
        <v>212102</v>
      </c>
      <c r="O50" s="401" t="s">
        <v>138</v>
      </c>
      <c r="P50" s="405">
        <v>39105.65</v>
      </c>
      <c r="S50"/>
      <c r="W50" s="443">
        <v>214120</v>
      </c>
      <c r="X50" s="442" t="s">
        <v>159</v>
      </c>
      <c r="Y50" s="441">
        <v>5.85</v>
      </c>
      <c r="AF50" s="469">
        <v>331875</v>
      </c>
      <c r="AG50" s="470" t="s">
        <v>202</v>
      </c>
      <c r="AH50" s="471">
        <v>16.55</v>
      </c>
      <c r="AI50" s="169"/>
      <c r="AK50" s="168"/>
      <c r="AL50" s="168"/>
      <c r="AO50" s="406"/>
      <c r="AP50" s="403"/>
      <c r="AQ50" s="404"/>
      <c r="AR50" s="169"/>
      <c r="AX50" s="406"/>
      <c r="AY50" s="403"/>
      <c r="AZ50" s="404"/>
      <c r="BA50" s="169"/>
      <c r="BG50" s="112"/>
      <c r="BH50" s="110"/>
      <c r="BI50" s="399"/>
      <c r="BJ50" s="172"/>
      <c r="BP50" s="406"/>
      <c r="BQ50" s="403"/>
      <c r="BR50" s="404"/>
      <c r="BS50" s="169"/>
      <c r="BY50" s="406"/>
      <c r="BZ50" s="403"/>
      <c r="CA50" s="404"/>
      <c r="CB50" s="169"/>
      <c r="CH50" s="406"/>
      <c r="CI50" s="403"/>
      <c r="CJ50" s="404"/>
      <c r="CQ50" s="402"/>
      <c r="CR50" s="401"/>
      <c r="CS50" s="405"/>
      <c r="CZ50" s="402"/>
      <c r="DA50" s="401"/>
      <c r="DB50" s="405"/>
      <c r="DC50" s="343"/>
    </row>
    <row r="51" spans="1:108">
      <c r="A51" s="112"/>
      <c r="B51" s="110"/>
      <c r="C51" s="111"/>
      <c r="D51" s="111"/>
      <c r="E51" s="402">
        <v>215304</v>
      </c>
      <c r="F51" s="401" t="s">
        <v>171</v>
      </c>
      <c r="G51" s="405">
        <v>185.5</v>
      </c>
      <c r="H51" s="111"/>
      <c r="J51" s="112"/>
      <c r="K51" s="110"/>
      <c r="L51" s="111"/>
      <c r="M51" s="111"/>
      <c r="N51" s="406">
        <v>214115</v>
      </c>
      <c r="O51" s="403" t="s">
        <v>516</v>
      </c>
      <c r="P51" s="404">
        <v>84222.48</v>
      </c>
      <c r="Q51" s="111"/>
      <c r="S51" s="112"/>
      <c r="T51" s="110"/>
      <c r="U51" s="111"/>
      <c r="V51" s="111"/>
      <c r="W51" s="438">
        <v>214197</v>
      </c>
      <c r="X51" s="439" t="s">
        <v>160</v>
      </c>
      <c r="Y51" s="440">
        <v>107190.57</v>
      </c>
      <c r="Z51" s="111"/>
      <c r="AF51" s="474">
        <v>333105</v>
      </c>
      <c r="AG51" s="472" t="s">
        <v>125</v>
      </c>
      <c r="AH51" s="473">
        <v>51784.2</v>
      </c>
      <c r="AI51" s="172"/>
      <c r="AK51" s="171"/>
      <c r="AL51" s="171"/>
      <c r="AO51" s="402"/>
      <c r="AP51" s="401"/>
      <c r="AQ51" s="405"/>
      <c r="AR51" s="172"/>
      <c r="AX51" s="402"/>
      <c r="AY51" s="401"/>
      <c r="AZ51" s="405"/>
      <c r="BA51" s="172"/>
      <c r="BH51" s="108"/>
      <c r="BI51" s="400"/>
      <c r="BJ51" s="169"/>
      <c r="BP51" s="402"/>
      <c r="BQ51" s="401"/>
      <c r="BR51" s="405"/>
      <c r="BS51" s="172"/>
      <c r="BY51" s="402"/>
      <c r="BZ51" s="401"/>
      <c r="CA51" s="405"/>
      <c r="CB51" s="172"/>
      <c r="CH51" s="402"/>
      <c r="CI51" s="401"/>
      <c r="CJ51" s="405"/>
      <c r="CQ51" s="406"/>
      <c r="CR51" s="403"/>
      <c r="CS51" s="404"/>
      <c r="CZ51" s="406"/>
      <c r="DA51" s="403"/>
      <c r="DB51" s="404"/>
      <c r="DC51" s="340"/>
    </row>
    <row r="52" spans="1:108">
      <c r="E52" s="406">
        <v>214197</v>
      </c>
      <c r="F52" s="403" t="s">
        <v>160</v>
      </c>
      <c r="G52" s="404">
        <v>139173</v>
      </c>
      <c r="J52"/>
      <c r="N52" s="402">
        <v>214116</v>
      </c>
      <c r="O52" s="401" t="s">
        <v>517</v>
      </c>
      <c r="P52" s="405">
        <v>43549.34</v>
      </c>
      <c r="S52"/>
      <c r="W52" s="443">
        <v>214115</v>
      </c>
      <c r="X52" s="442" t="s">
        <v>516</v>
      </c>
      <c r="Y52" s="441">
        <v>66748.17</v>
      </c>
      <c r="AF52" s="469">
        <v>214115</v>
      </c>
      <c r="AG52" s="470" t="s">
        <v>516</v>
      </c>
      <c r="AH52" s="471">
        <v>75695.199999999997</v>
      </c>
      <c r="AI52" s="169"/>
      <c r="AK52" s="168"/>
      <c r="AL52" s="168"/>
      <c r="AO52" s="406"/>
      <c r="AP52" s="403"/>
      <c r="AQ52" s="404"/>
      <c r="AR52" s="169"/>
      <c r="AX52" s="406"/>
      <c r="AY52" s="403"/>
      <c r="AZ52" s="404"/>
      <c r="BA52" s="169"/>
      <c r="BG52" s="112"/>
      <c r="BH52" s="110"/>
      <c r="BI52" s="399"/>
      <c r="BJ52" s="172"/>
      <c r="BP52" s="406"/>
      <c r="BQ52" s="403"/>
      <c r="BR52" s="404"/>
      <c r="BS52" s="169"/>
      <c r="BY52" s="406"/>
      <c r="BZ52" s="403"/>
      <c r="CA52" s="404"/>
      <c r="CB52" s="169"/>
      <c r="CH52" s="406"/>
      <c r="CI52" s="403"/>
      <c r="CJ52" s="404"/>
      <c r="CQ52" s="402"/>
      <c r="CR52" s="401"/>
      <c r="CS52" s="405"/>
      <c r="CZ52" s="402"/>
      <c r="DA52" s="401"/>
      <c r="DB52" s="405"/>
      <c r="DC52" s="343"/>
    </row>
    <row r="53" spans="1:108">
      <c r="A53" s="112"/>
      <c r="B53" s="110"/>
      <c r="C53" s="111"/>
      <c r="D53" s="111"/>
      <c r="E53" s="402">
        <v>212102</v>
      </c>
      <c r="F53" s="401" t="s">
        <v>138</v>
      </c>
      <c r="G53" s="405">
        <v>39432.879999999997</v>
      </c>
      <c r="H53" s="111"/>
      <c r="J53" s="112"/>
      <c r="K53" s="110"/>
      <c r="L53" s="111"/>
      <c r="M53" s="111"/>
      <c r="N53" s="406">
        <v>224201</v>
      </c>
      <c r="O53" s="403" t="s">
        <v>177</v>
      </c>
      <c r="P53" s="404">
        <v>84289.55</v>
      </c>
      <c r="Q53" s="111"/>
      <c r="S53" s="112"/>
      <c r="T53" s="110"/>
      <c r="U53" s="111"/>
      <c r="V53" s="111"/>
      <c r="W53" s="438">
        <v>214116</v>
      </c>
      <c r="X53" s="439" t="s">
        <v>517</v>
      </c>
      <c r="Y53" s="440">
        <v>34884.36</v>
      </c>
      <c r="Z53" s="111"/>
      <c r="AF53" s="474">
        <v>214116</v>
      </c>
      <c r="AG53" s="472" t="s">
        <v>517</v>
      </c>
      <c r="AH53" s="473">
        <v>39309.870000000003</v>
      </c>
      <c r="AI53" s="172"/>
      <c r="AK53" s="171"/>
      <c r="AL53" s="171"/>
      <c r="AO53" s="402"/>
      <c r="AP53" s="401"/>
      <c r="AQ53" s="405"/>
      <c r="AR53" s="172"/>
      <c r="AX53" s="402"/>
      <c r="AY53" s="401"/>
      <c r="AZ53" s="405"/>
      <c r="BA53" s="172"/>
      <c r="BH53" s="108"/>
      <c r="BI53" s="400"/>
      <c r="BJ53" s="169"/>
      <c r="BP53" s="402"/>
      <c r="BQ53" s="401"/>
      <c r="BR53" s="405"/>
      <c r="BS53" s="172"/>
      <c r="BY53" s="402"/>
      <c r="BZ53" s="401"/>
      <c r="CA53" s="405"/>
      <c r="CB53" s="172"/>
      <c r="CH53" s="402"/>
      <c r="CI53" s="401"/>
      <c r="CJ53" s="405"/>
      <c r="CQ53" s="406"/>
      <c r="CR53" s="403"/>
      <c r="CS53" s="404"/>
      <c r="CZ53" s="406"/>
      <c r="DA53" s="403"/>
      <c r="DB53" s="404"/>
      <c r="DC53" s="340"/>
    </row>
    <row r="54" spans="1:108">
      <c r="E54" s="406">
        <v>214115</v>
      </c>
      <c r="F54" s="403" t="s">
        <v>516</v>
      </c>
      <c r="G54" s="404">
        <v>82674.87</v>
      </c>
      <c r="J54"/>
      <c r="N54" s="402">
        <v>224202</v>
      </c>
      <c r="O54" s="401" t="s">
        <v>178</v>
      </c>
      <c r="P54" s="405">
        <v>393.55</v>
      </c>
      <c r="S54"/>
      <c r="W54" s="443">
        <v>214199</v>
      </c>
      <c r="X54" s="442" t="s">
        <v>162</v>
      </c>
      <c r="Y54" s="441">
        <v>11345.31</v>
      </c>
      <c r="AF54" s="469">
        <v>214201</v>
      </c>
      <c r="AG54" s="470" t="s">
        <v>163</v>
      </c>
      <c r="AH54" s="471">
        <v>7054.57</v>
      </c>
      <c r="AI54" s="169"/>
      <c r="AK54" s="168"/>
      <c r="AL54" s="168"/>
      <c r="AO54" s="406"/>
      <c r="AP54" s="403"/>
      <c r="AQ54" s="404"/>
      <c r="AR54" s="169"/>
      <c r="AX54" s="406"/>
      <c r="AY54" s="403"/>
      <c r="AZ54" s="404"/>
      <c r="BA54" s="169"/>
      <c r="BG54" s="112"/>
      <c r="BH54" s="110"/>
      <c r="BI54" s="399"/>
      <c r="BJ54" s="172"/>
      <c r="BP54" s="406"/>
      <c r="BQ54" s="403"/>
      <c r="BR54" s="404"/>
      <c r="BS54" s="169"/>
      <c r="BY54" s="406"/>
      <c r="BZ54" s="403"/>
      <c r="CA54" s="404"/>
      <c r="CB54" s="169"/>
      <c r="CH54" s="406"/>
      <c r="CI54" s="403"/>
      <c r="CJ54" s="404"/>
      <c r="CQ54" s="402"/>
      <c r="CR54" s="401"/>
      <c r="CS54" s="405"/>
      <c r="CZ54" s="402"/>
      <c r="DA54" s="401"/>
      <c r="DB54" s="405"/>
      <c r="DC54" s="343"/>
    </row>
    <row r="55" spans="1:108">
      <c r="A55" s="112"/>
      <c r="B55" s="110"/>
      <c r="C55" s="111"/>
      <c r="D55" s="111"/>
      <c r="E55" s="402">
        <v>214116</v>
      </c>
      <c r="F55" s="401" t="s">
        <v>517</v>
      </c>
      <c r="G55" s="405">
        <v>45604.33</v>
      </c>
      <c r="H55" s="111"/>
      <c r="J55" s="112"/>
      <c r="K55" s="110"/>
      <c r="L55" s="111"/>
      <c r="M55" s="111"/>
      <c r="N55" s="406">
        <v>226201</v>
      </c>
      <c r="O55" s="403" t="s">
        <v>181</v>
      </c>
      <c r="P55" s="404">
        <v>1685140</v>
      </c>
      <c r="Q55" s="111"/>
      <c r="S55" s="112"/>
      <c r="T55" s="110"/>
      <c r="U55" s="111"/>
      <c r="V55" s="111"/>
      <c r="W55" s="438">
        <v>224201</v>
      </c>
      <c r="X55" s="439" t="s">
        <v>177</v>
      </c>
      <c r="Y55" s="440">
        <v>84289.55</v>
      </c>
      <c r="Z55" s="111"/>
      <c r="AF55" s="474">
        <v>224201</v>
      </c>
      <c r="AG55" s="472" t="s">
        <v>177</v>
      </c>
      <c r="AH55" s="473">
        <v>77234.98</v>
      </c>
      <c r="AI55" s="172"/>
      <c r="AK55" s="171"/>
      <c r="AL55" s="171"/>
      <c r="AO55" s="402"/>
      <c r="AP55" s="401"/>
      <c r="AQ55" s="405"/>
      <c r="AR55" s="172"/>
      <c r="AX55" s="402"/>
      <c r="AY55" s="401"/>
      <c r="AZ55" s="405"/>
      <c r="BA55" s="172"/>
      <c r="BH55" s="108"/>
      <c r="BI55" s="400"/>
      <c r="BJ55" s="169"/>
      <c r="BP55" s="402"/>
      <c r="BQ55" s="401"/>
      <c r="BR55" s="405"/>
      <c r="BS55" s="172"/>
      <c r="BY55" s="402"/>
      <c r="BZ55" s="401"/>
      <c r="CA55" s="405"/>
      <c r="CB55" s="172"/>
      <c r="CH55" s="402"/>
      <c r="CI55" s="401"/>
      <c r="CJ55" s="405"/>
      <c r="CQ55" s="406"/>
      <c r="CR55" s="403"/>
      <c r="CS55" s="404"/>
      <c r="CZ55" s="406"/>
      <c r="DA55" s="403"/>
      <c r="DB55" s="404"/>
      <c r="DC55" s="340"/>
    </row>
    <row r="56" spans="1:108">
      <c r="E56" s="406">
        <v>224201</v>
      </c>
      <c r="F56" s="403" t="s">
        <v>177</v>
      </c>
      <c r="G56" s="404">
        <v>84289.55</v>
      </c>
      <c r="J56"/>
      <c r="N56" s="402">
        <v>333105</v>
      </c>
      <c r="O56" s="401" t="s">
        <v>125</v>
      </c>
      <c r="P56" s="405">
        <v>49455.81</v>
      </c>
      <c r="S56"/>
      <c r="W56" s="443">
        <v>224202</v>
      </c>
      <c r="X56" s="442" t="s">
        <v>178</v>
      </c>
      <c r="Y56" s="441">
        <v>393.55</v>
      </c>
      <c r="AF56" s="469">
        <v>224202</v>
      </c>
      <c r="AG56" s="470" t="s">
        <v>178</v>
      </c>
      <c r="AH56" s="471">
        <v>393.55</v>
      </c>
      <c r="AI56" s="169"/>
      <c r="AK56" s="168"/>
      <c r="AL56" s="168"/>
      <c r="AO56" s="406"/>
      <c r="AP56" s="403"/>
      <c r="AQ56" s="404"/>
      <c r="AR56" s="169"/>
      <c r="AX56" s="406"/>
      <c r="AY56" s="403"/>
      <c r="AZ56" s="404"/>
      <c r="BA56" s="169"/>
      <c r="BG56" s="112"/>
      <c r="BH56" s="110"/>
      <c r="BI56" s="399"/>
      <c r="BJ56" s="172"/>
      <c r="BP56" s="406"/>
      <c r="BQ56" s="403"/>
      <c r="BR56" s="404"/>
      <c r="BS56" s="169"/>
      <c r="BY56" s="406"/>
      <c r="BZ56" s="403"/>
      <c r="CA56" s="404"/>
      <c r="CB56" s="169"/>
      <c r="CH56" s="406"/>
      <c r="CI56" s="403"/>
      <c r="CJ56" s="404"/>
      <c r="CQ56" s="402"/>
      <c r="CR56" s="401"/>
      <c r="CS56" s="405"/>
      <c r="CZ56" s="402"/>
      <c r="DA56" s="401"/>
      <c r="DB56" s="405"/>
      <c r="DC56" s="343"/>
    </row>
    <row r="57" spans="1:108">
      <c r="A57" s="112"/>
      <c r="B57" s="110"/>
      <c r="C57" s="111"/>
      <c r="D57" s="111"/>
      <c r="E57" s="402">
        <v>224202</v>
      </c>
      <c r="F57" s="401" t="s">
        <v>178</v>
      </c>
      <c r="G57" s="405">
        <v>393.55</v>
      </c>
      <c r="H57" s="111"/>
      <c r="J57" s="112"/>
      <c r="K57" s="110"/>
      <c r="L57" s="111"/>
      <c r="M57" s="111"/>
      <c r="N57" s="406">
        <v>333110</v>
      </c>
      <c r="O57" s="403" t="s">
        <v>210</v>
      </c>
      <c r="P57" s="404">
        <v>1.0900000000000001</v>
      </c>
      <c r="Q57" s="111"/>
      <c r="S57" s="112"/>
      <c r="T57" s="110"/>
      <c r="U57" s="111"/>
      <c r="V57" s="111"/>
      <c r="W57" s="438">
        <v>333105</v>
      </c>
      <c r="X57" s="439" t="s">
        <v>125</v>
      </c>
      <c r="Y57" s="440">
        <v>50509.39</v>
      </c>
      <c r="Z57" s="111"/>
      <c r="AF57" s="474">
        <v>226101</v>
      </c>
      <c r="AG57" s="472" t="s">
        <v>180</v>
      </c>
      <c r="AH57" s="473">
        <v>2606.1799999999998</v>
      </c>
      <c r="AI57" s="172"/>
      <c r="AK57" s="171"/>
      <c r="AL57" s="171"/>
      <c r="AO57" s="402"/>
      <c r="AP57" s="401"/>
      <c r="AQ57" s="405"/>
      <c r="AR57" s="172"/>
      <c r="AX57" s="402"/>
      <c r="AY57" s="401"/>
      <c r="AZ57" s="405"/>
      <c r="BA57" s="172"/>
      <c r="BH57" s="108"/>
      <c r="BI57" s="400"/>
      <c r="BJ57" s="169"/>
      <c r="BP57" s="402"/>
      <c r="BQ57" s="401"/>
      <c r="BR57" s="405"/>
      <c r="BS57" s="172"/>
      <c r="BY57" s="402"/>
      <c r="BZ57" s="401"/>
      <c r="CA57" s="405"/>
      <c r="CB57" s="172"/>
      <c r="CH57" s="402"/>
      <c r="CI57" s="401"/>
      <c r="CJ57" s="405"/>
      <c r="CQ57" s="406"/>
      <c r="CR57" s="403"/>
      <c r="CS57" s="404"/>
      <c r="CZ57" s="406"/>
      <c r="DA57" s="403"/>
      <c r="DB57" s="404"/>
      <c r="DC57" s="340"/>
    </row>
    <row r="58" spans="1:108">
      <c r="E58" s="406">
        <v>331854</v>
      </c>
      <c r="F58" s="403" t="s">
        <v>189</v>
      </c>
      <c r="G58" s="404">
        <v>1.46</v>
      </c>
      <c r="J58"/>
      <c r="N58"/>
      <c r="S58"/>
      <c r="W58" s="443">
        <v>213106</v>
      </c>
      <c r="X58" s="442" t="s">
        <v>145</v>
      </c>
      <c r="Y58" s="441">
        <v>85458</v>
      </c>
      <c r="AF58" s="469">
        <v>331854</v>
      </c>
      <c r="AG58" s="470" t="s">
        <v>189</v>
      </c>
      <c r="AH58" s="471">
        <v>0.71</v>
      </c>
      <c r="AI58" s="169"/>
      <c r="AK58" s="168"/>
      <c r="AL58" s="168"/>
      <c r="AO58" s="406"/>
      <c r="AP58" s="403"/>
      <c r="AQ58" s="404"/>
      <c r="AR58" s="169"/>
      <c r="AX58" s="406"/>
      <c r="AY58" s="403"/>
      <c r="AZ58" s="404"/>
      <c r="BA58" s="169"/>
      <c r="BG58" s="112"/>
      <c r="BH58" s="110"/>
      <c r="BI58" s="399"/>
      <c r="BJ58" s="172"/>
      <c r="BP58" s="406"/>
      <c r="BQ58" s="403"/>
      <c r="BR58" s="404"/>
      <c r="BS58" s="169"/>
      <c r="BY58" s="406"/>
      <c r="BZ58" s="403"/>
      <c r="CA58" s="404"/>
      <c r="CB58" s="169"/>
      <c r="CH58" s="406"/>
      <c r="CI58" s="403"/>
      <c r="CJ58" s="404"/>
      <c r="CQ58" s="402"/>
      <c r="CR58" s="401"/>
      <c r="CS58" s="405"/>
      <c r="CZ58" s="402"/>
      <c r="DA58" s="401"/>
      <c r="DB58" s="405"/>
      <c r="DC58" s="343"/>
    </row>
    <row r="59" spans="1:108">
      <c r="A59" s="112"/>
      <c r="B59" s="110"/>
      <c r="C59" s="111"/>
      <c r="D59" s="111"/>
      <c r="E59" s="402">
        <v>333105</v>
      </c>
      <c r="F59" s="401" t="s">
        <v>125</v>
      </c>
      <c r="G59" s="405">
        <v>48233.67</v>
      </c>
      <c r="H59" s="111"/>
      <c r="J59" s="112"/>
      <c r="K59" s="110"/>
      <c r="L59" s="111"/>
      <c r="M59" s="111"/>
      <c r="N59" s="112"/>
      <c r="O59" s="110"/>
      <c r="P59" s="111"/>
      <c r="Q59" s="111"/>
      <c r="S59" s="112"/>
      <c r="T59" s="110"/>
      <c r="U59" s="111"/>
      <c r="V59" s="111"/>
      <c r="W59" s="438">
        <v>333107</v>
      </c>
      <c r="X59" s="439" t="s">
        <v>207</v>
      </c>
      <c r="Y59" s="440">
        <v>5055.6000000000004</v>
      </c>
      <c r="Z59" s="111"/>
      <c r="AF59" s="474">
        <v>226201</v>
      </c>
      <c r="AG59" s="472" t="s">
        <v>181</v>
      </c>
      <c r="AH59" s="473">
        <v>110000</v>
      </c>
      <c r="AI59" s="172"/>
      <c r="AK59" s="171"/>
      <c r="AL59" s="171"/>
      <c r="AO59" s="402"/>
      <c r="AP59" s="401"/>
      <c r="AQ59" s="405"/>
      <c r="AR59" s="172"/>
      <c r="AX59" s="402"/>
      <c r="AY59" s="401"/>
      <c r="AZ59" s="405"/>
      <c r="BA59" s="172"/>
      <c r="BH59" s="108"/>
      <c r="BI59" s="400"/>
      <c r="BJ59" s="169"/>
      <c r="BP59" s="402"/>
      <c r="BQ59" s="401"/>
      <c r="BR59" s="405"/>
      <c r="BS59" s="172"/>
      <c r="BY59" s="402"/>
      <c r="BZ59" s="401"/>
      <c r="CA59" s="405"/>
      <c r="CB59" s="172"/>
      <c r="CH59" s="402"/>
      <c r="CI59" s="401"/>
      <c r="CJ59" s="405"/>
      <c r="CQ59" s="406"/>
      <c r="CR59" s="403"/>
      <c r="CS59" s="404"/>
      <c r="CZ59" s="406"/>
      <c r="DA59" s="403"/>
      <c r="DB59" s="404"/>
      <c r="DC59" s="340"/>
    </row>
    <row r="60" spans="1:108">
      <c r="E60" s="406">
        <v>331875</v>
      </c>
      <c r="F60" s="403" t="s">
        <v>202</v>
      </c>
      <c r="G60" s="404">
        <v>5.58</v>
      </c>
      <c r="J60"/>
      <c r="N60"/>
      <c r="S60"/>
      <c r="W60" s="406"/>
      <c r="X60" s="403"/>
      <c r="Y60" s="404"/>
      <c r="AK60" s="168"/>
      <c r="AL60" s="168"/>
      <c r="AO60" s="406"/>
      <c r="AP60" s="403"/>
      <c r="AQ60" s="404"/>
      <c r="AR60" s="169"/>
      <c r="AX60" s="406"/>
      <c r="AY60" s="403"/>
      <c r="AZ60" s="404"/>
      <c r="BA60" s="169"/>
      <c r="BG60" s="112"/>
      <c r="BH60" s="110"/>
      <c r="BI60" s="399"/>
      <c r="BJ60" s="172"/>
      <c r="BP60" s="406"/>
      <c r="BQ60" s="403"/>
      <c r="BR60" s="404"/>
      <c r="BS60" s="169"/>
      <c r="BY60" s="406"/>
      <c r="BZ60" s="403"/>
      <c r="CA60" s="404"/>
      <c r="CB60" s="169"/>
      <c r="CH60" s="406"/>
      <c r="CI60" s="403"/>
      <c r="CJ60" s="404"/>
      <c r="CQ60" s="402"/>
      <c r="CR60" s="401"/>
      <c r="CS60" s="405"/>
      <c r="CZ60" s="402"/>
      <c r="DA60" s="401"/>
      <c r="DB60" s="405"/>
      <c r="DC60" s="343"/>
    </row>
    <row r="61" spans="1:108">
      <c r="A61" s="112"/>
      <c r="B61" s="110"/>
      <c r="C61" s="111"/>
      <c r="D61" s="111"/>
      <c r="E61" s="402">
        <v>113118</v>
      </c>
      <c r="F61" s="401" t="s">
        <v>129</v>
      </c>
      <c r="G61" s="405">
        <v>0.02</v>
      </c>
      <c r="H61" s="111"/>
      <c r="J61" s="112"/>
      <c r="K61" s="110"/>
      <c r="L61" s="111"/>
      <c r="M61" s="111"/>
      <c r="N61" s="112"/>
      <c r="O61" s="110"/>
      <c r="P61" s="111"/>
      <c r="Q61" s="111"/>
      <c r="S61" s="112"/>
      <c r="T61" s="110"/>
      <c r="U61" s="111"/>
      <c r="V61" s="111"/>
      <c r="W61" s="402"/>
      <c r="X61" s="401"/>
      <c r="Y61" s="405"/>
      <c r="Z61" s="111"/>
      <c r="AK61" s="171"/>
      <c r="AL61" s="171"/>
      <c r="AO61" s="402"/>
      <c r="AP61" s="401"/>
      <c r="AQ61" s="405"/>
      <c r="AR61" s="172"/>
      <c r="AX61" s="402"/>
      <c r="AY61" s="401"/>
      <c r="AZ61" s="405"/>
      <c r="BA61" s="172"/>
      <c r="BH61" s="108"/>
      <c r="BI61" s="400"/>
      <c r="BJ61" s="169"/>
      <c r="BP61" s="402"/>
      <c r="BQ61" s="401"/>
      <c r="BR61" s="405"/>
      <c r="BS61" s="172"/>
      <c r="BY61" s="402"/>
      <c r="BZ61" s="401"/>
      <c r="CA61" s="405"/>
      <c r="CB61" s="172"/>
      <c r="CH61" s="402"/>
      <c r="CI61" s="401"/>
      <c r="CJ61" s="405"/>
      <c r="CQ61" s="329"/>
      <c r="CR61" s="325"/>
      <c r="CS61" s="326"/>
      <c r="CZ61" s="406"/>
      <c r="DA61" s="403"/>
      <c r="DB61" s="404"/>
      <c r="DC61" s="340"/>
    </row>
    <row r="62" spans="1:108">
      <c r="E62" s="406">
        <v>331865</v>
      </c>
      <c r="F62" s="403" t="s">
        <v>520</v>
      </c>
      <c r="G62" s="404">
        <v>21.59</v>
      </c>
      <c r="J62"/>
      <c r="N62"/>
      <c r="S62"/>
      <c r="W62"/>
      <c r="AK62" s="168"/>
      <c r="AL62" s="168"/>
      <c r="AO62" s="402"/>
      <c r="AP62" s="401"/>
      <c r="AQ62" s="362"/>
      <c r="AR62" s="169"/>
      <c r="AX62" s="166"/>
      <c r="AY62" s="168"/>
      <c r="AZ62" s="169"/>
      <c r="BA62" s="169"/>
      <c r="BG62" s="112"/>
      <c r="BH62" s="110"/>
      <c r="BI62" s="399"/>
      <c r="BJ62" s="172"/>
      <c r="BP62" s="406"/>
      <c r="BQ62" s="403"/>
      <c r="BR62" s="404"/>
      <c r="BS62" s="169"/>
      <c r="BY62" s="406"/>
      <c r="BZ62" s="403"/>
      <c r="CA62" s="404"/>
      <c r="CB62" s="169"/>
      <c r="CH62" s="406"/>
      <c r="CI62" s="403"/>
      <c r="CJ62" s="404"/>
      <c r="CZ62" s="365"/>
      <c r="DA62" s="364"/>
      <c r="DB62" s="367"/>
      <c r="DC62" s="343"/>
    </row>
    <row r="63" spans="1:108">
      <c r="A63" s="112"/>
      <c r="B63" s="110"/>
      <c r="C63" s="111"/>
      <c r="D63" s="111"/>
      <c r="E63" s="402">
        <v>333110</v>
      </c>
      <c r="F63" s="401" t="s">
        <v>210</v>
      </c>
      <c r="G63" s="405">
        <v>2.93</v>
      </c>
      <c r="H63" s="111"/>
      <c r="J63" s="112"/>
      <c r="K63" s="110"/>
      <c r="L63" s="111"/>
      <c r="M63" s="111"/>
      <c r="N63" s="112"/>
      <c r="O63" s="110"/>
      <c r="P63" s="111"/>
      <c r="Q63" s="111"/>
      <c r="S63" s="112"/>
      <c r="T63" s="110"/>
      <c r="U63" s="111"/>
      <c r="V63" s="111"/>
      <c r="W63" s="112"/>
      <c r="X63" s="110"/>
      <c r="Y63" s="111"/>
      <c r="Z63" s="111"/>
      <c r="AK63" s="171"/>
      <c r="AL63" s="171"/>
      <c r="BH63" s="108"/>
      <c r="BI63" s="400"/>
      <c r="BJ63" s="169"/>
      <c r="BP63" s="402"/>
      <c r="BQ63" s="401"/>
      <c r="BR63" s="405"/>
      <c r="BS63" s="172"/>
      <c r="BY63" s="402"/>
      <c r="BZ63" s="401"/>
      <c r="CA63" s="405"/>
      <c r="CB63" s="172"/>
      <c r="CH63" s="7"/>
      <c r="CL63"/>
      <c r="CM63" s="113"/>
      <c r="CU63"/>
      <c r="CV63" s="113"/>
      <c r="DA63" s="337"/>
      <c r="DB63" s="338"/>
      <c r="DC63" s="340"/>
      <c r="DD63" s="340"/>
    </row>
    <row r="64" spans="1:108">
      <c r="E64"/>
      <c r="F64" s="108"/>
      <c r="J64"/>
      <c r="N64"/>
      <c r="S64"/>
      <c r="W64"/>
      <c r="AK64" s="168"/>
      <c r="AL64" s="168"/>
      <c r="BG64" s="165"/>
      <c r="BH64" s="171"/>
      <c r="BI64" s="172"/>
      <c r="BJ64" s="172"/>
      <c r="BP64" s="406"/>
      <c r="BQ64" s="403"/>
      <c r="BR64" s="404"/>
      <c r="BS64" s="169"/>
      <c r="BY64" s="406"/>
      <c r="BZ64" s="403"/>
      <c r="CA64" s="404"/>
      <c r="CB64" s="169"/>
      <c r="CH64" s="7"/>
      <c r="CL64"/>
      <c r="CM64" s="113"/>
      <c r="CU64"/>
      <c r="CV64" s="113"/>
    </row>
    <row r="65" spans="1:100">
      <c r="A65" s="112"/>
      <c r="B65" s="110"/>
      <c r="C65" s="111"/>
      <c r="D65" s="111"/>
      <c r="E65" s="112"/>
      <c r="F65" s="110"/>
      <c r="G65" s="111"/>
      <c r="H65" s="111"/>
      <c r="J65" s="112"/>
      <c r="K65" s="110"/>
      <c r="L65" s="111"/>
      <c r="M65" s="111"/>
      <c r="N65" s="112"/>
      <c r="O65" s="110"/>
      <c r="P65" s="111"/>
      <c r="Q65" s="111"/>
      <c r="S65" s="112"/>
      <c r="T65" s="110"/>
      <c r="U65" s="111"/>
      <c r="V65" s="111"/>
      <c r="W65" s="112"/>
      <c r="X65" s="110"/>
      <c r="Y65" s="111"/>
      <c r="Z65" s="111"/>
      <c r="AK65" s="171"/>
      <c r="AL65" s="171"/>
      <c r="BP65" s="402"/>
      <c r="BQ65" s="401"/>
      <c r="BR65" s="405"/>
      <c r="BS65" s="172"/>
      <c r="CH65" s="7"/>
      <c r="CL65"/>
      <c r="CM65" s="113"/>
      <c r="CU65"/>
      <c r="CV65" s="113"/>
    </row>
    <row r="66" spans="1:100">
      <c r="E66"/>
      <c r="F66" s="108"/>
      <c r="J66"/>
      <c r="N66"/>
      <c r="S66"/>
      <c r="W66"/>
      <c r="AK66" s="168"/>
      <c r="AL66" s="168"/>
      <c r="BP66" s="166"/>
      <c r="BQ66" s="168"/>
      <c r="BR66" s="169"/>
      <c r="BS66" s="169"/>
      <c r="CH66" s="7"/>
      <c r="CL66"/>
      <c r="CM66" s="113"/>
      <c r="CU66"/>
      <c r="CV66" s="113"/>
    </row>
    <row r="67" spans="1:100">
      <c r="A67" s="112"/>
      <c r="B67" s="110"/>
      <c r="C67" s="111"/>
      <c r="D67" s="111"/>
      <c r="E67" s="112"/>
      <c r="F67" s="110"/>
      <c r="G67" s="111"/>
      <c r="H67" s="111"/>
      <c r="J67" s="112"/>
      <c r="K67" s="110"/>
      <c r="L67" s="111"/>
      <c r="M67" s="111"/>
      <c r="N67" s="112"/>
      <c r="O67" s="110"/>
      <c r="P67" s="111"/>
      <c r="Q67" s="111"/>
      <c r="S67" s="112"/>
      <c r="T67" s="110"/>
      <c r="U67" s="111"/>
      <c r="V67" s="111"/>
      <c r="W67" s="112"/>
      <c r="X67" s="110"/>
      <c r="Y67" s="111"/>
      <c r="Z67" s="111"/>
      <c r="AK67" s="171"/>
      <c r="AL67" s="171"/>
      <c r="CH67" s="7"/>
      <c r="CL67"/>
      <c r="CM67" s="113"/>
      <c r="CU67"/>
      <c r="CV67" s="113"/>
    </row>
    <row r="68" spans="1:100">
      <c r="E68"/>
      <c r="F68" s="108"/>
      <c r="J68"/>
      <c r="N68"/>
      <c r="S68"/>
      <c r="W68"/>
      <c r="AK68" s="168"/>
      <c r="AL68" s="168"/>
      <c r="CH68" s="7"/>
      <c r="CL68"/>
      <c r="CM68" s="113"/>
      <c r="CU68"/>
      <c r="CV68" s="113"/>
    </row>
    <row r="69" spans="1:100">
      <c r="A69" s="112"/>
      <c r="B69" s="110"/>
      <c r="C69" s="111"/>
      <c r="D69" s="111"/>
      <c r="E69" s="112"/>
      <c r="F69" s="110"/>
      <c r="G69" s="111"/>
      <c r="H69" s="111"/>
      <c r="J69" s="112"/>
      <c r="K69" s="110"/>
      <c r="L69" s="111"/>
      <c r="M69" s="111"/>
      <c r="N69" s="112"/>
      <c r="O69" s="110"/>
      <c r="P69" s="111"/>
      <c r="Q69" s="111"/>
      <c r="S69" s="112"/>
      <c r="T69" s="110"/>
      <c r="U69" s="111"/>
      <c r="V69" s="111"/>
      <c r="W69" s="112"/>
      <c r="X69" s="110"/>
      <c r="Y69" s="111"/>
      <c r="Z69" s="111"/>
      <c r="AK69" s="171"/>
      <c r="AL69" s="171"/>
      <c r="CH69" s="7"/>
      <c r="CL69"/>
      <c r="CM69" s="113"/>
      <c r="CU69"/>
      <c r="CV69" s="113"/>
    </row>
    <row r="70" spans="1:100">
      <c r="E70"/>
      <c r="F70" s="108"/>
      <c r="J70"/>
      <c r="N70"/>
      <c r="S70"/>
      <c r="W70"/>
      <c r="AK70" s="168"/>
      <c r="AL70" s="168"/>
      <c r="CH70" s="7"/>
      <c r="CL70"/>
      <c r="CM70" s="113"/>
      <c r="CU70"/>
      <c r="CV70" s="113"/>
    </row>
    <row r="71" spans="1:100">
      <c r="A71" s="112"/>
      <c r="B71" s="110"/>
      <c r="C71" s="111"/>
      <c r="D71" s="111"/>
      <c r="E71" s="112"/>
      <c r="F71" s="110"/>
      <c r="G71" s="111"/>
      <c r="H71" s="111"/>
      <c r="J71" s="112"/>
      <c r="K71" s="110"/>
      <c r="L71" s="111"/>
      <c r="M71" s="111"/>
      <c r="N71" s="112"/>
      <c r="O71" s="110"/>
      <c r="P71" s="111"/>
      <c r="Q71" s="111"/>
      <c r="S71" s="112"/>
      <c r="T71" s="110"/>
      <c r="U71" s="111"/>
      <c r="V71" s="111"/>
      <c r="W71" s="112"/>
      <c r="X71" s="110"/>
      <c r="Y71" s="111"/>
      <c r="Z71" s="111"/>
      <c r="AK71" s="171"/>
      <c r="AL71" s="171"/>
      <c r="CH71" s="7"/>
      <c r="CL71"/>
      <c r="CM71" s="113"/>
      <c r="CU71"/>
      <c r="CV71" s="113"/>
    </row>
    <row r="72" spans="1:100">
      <c r="E72"/>
      <c r="F72" s="108"/>
      <c r="J72"/>
      <c r="N72"/>
      <c r="S72"/>
      <c r="W72"/>
      <c r="AK72" s="168"/>
      <c r="AL72" s="168"/>
      <c r="CL72"/>
      <c r="CM72" s="113"/>
      <c r="CU72"/>
      <c r="CV72" s="113"/>
    </row>
    <row r="73" spans="1:100">
      <c r="A73" s="112"/>
      <c r="B73" s="110"/>
      <c r="C73" s="111"/>
      <c r="D73" s="111"/>
      <c r="E73" s="112"/>
      <c r="F73" s="110"/>
      <c r="G73" s="111"/>
      <c r="H73" s="111"/>
      <c r="J73" s="112"/>
      <c r="K73" s="110"/>
      <c r="L73" s="111"/>
      <c r="M73" s="111"/>
      <c r="N73" s="112"/>
      <c r="O73" s="110"/>
      <c r="P73" s="111"/>
      <c r="Q73" s="111"/>
      <c r="S73" s="112"/>
      <c r="T73" s="110"/>
      <c r="U73" s="111"/>
      <c r="V73" s="111"/>
      <c r="W73" s="112"/>
      <c r="X73" s="110"/>
      <c r="Y73" s="111"/>
      <c r="Z73" s="111"/>
      <c r="AK73" s="171"/>
      <c r="AL73" s="171"/>
      <c r="CH73" s="7"/>
      <c r="CL73"/>
      <c r="CM73" s="113"/>
      <c r="CU73"/>
      <c r="CV73" s="113"/>
    </row>
    <row r="74" spans="1:100">
      <c r="E74"/>
      <c r="F74" s="108"/>
      <c r="J74"/>
      <c r="N74"/>
      <c r="S74"/>
      <c r="W74"/>
      <c r="AK74" s="168"/>
      <c r="AL74" s="168"/>
      <c r="CH74" s="7"/>
      <c r="CL74"/>
      <c r="CM74" s="113"/>
      <c r="CU74"/>
      <c r="CV74" s="113"/>
    </row>
    <row r="75" spans="1:100">
      <c r="A75" s="112"/>
      <c r="B75" s="110"/>
      <c r="C75" s="111"/>
      <c r="D75" s="111"/>
      <c r="E75" s="112"/>
      <c r="F75" s="110"/>
      <c r="G75" s="111"/>
      <c r="H75" s="111"/>
      <c r="J75" s="112"/>
      <c r="K75" s="110"/>
      <c r="L75" s="111"/>
      <c r="M75" s="111"/>
      <c r="N75" s="112"/>
      <c r="O75" s="110"/>
      <c r="P75" s="111"/>
      <c r="Q75" s="111"/>
      <c r="S75" s="112"/>
      <c r="T75" s="110"/>
      <c r="U75" s="111"/>
      <c r="V75" s="111"/>
      <c r="W75" s="112"/>
      <c r="X75" s="110"/>
      <c r="Y75" s="111"/>
      <c r="Z75" s="111"/>
      <c r="AK75" s="171"/>
      <c r="AL75" s="171"/>
      <c r="CH75" s="7"/>
      <c r="CL75"/>
      <c r="CM75" s="113"/>
      <c r="CU75"/>
      <c r="CV75" s="113"/>
    </row>
    <row r="76" spans="1:100">
      <c r="E76"/>
      <c r="F76" s="108"/>
      <c r="J76"/>
      <c r="N76"/>
      <c r="S76"/>
      <c r="W76"/>
      <c r="AK76" s="168"/>
      <c r="AL76" s="168"/>
    </row>
    <row r="77" spans="1:100">
      <c r="A77" s="112"/>
      <c r="B77" s="110"/>
      <c r="C77" s="111"/>
      <c r="D77" s="111"/>
      <c r="E77" s="112"/>
      <c r="F77" s="110"/>
      <c r="G77" s="111"/>
      <c r="H77" s="111"/>
      <c r="J77" s="112"/>
      <c r="K77" s="110"/>
      <c r="L77" s="111"/>
      <c r="M77" s="111"/>
      <c r="N77" s="112"/>
      <c r="O77" s="110"/>
      <c r="P77" s="111"/>
      <c r="Q77" s="111"/>
      <c r="S77" s="112"/>
      <c r="T77" s="110"/>
      <c r="U77" s="111"/>
      <c r="V77" s="111"/>
      <c r="W77" s="112"/>
      <c r="X77" s="110"/>
      <c r="Y77" s="111"/>
      <c r="Z77" s="111"/>
      <c r="AK77" s="171"/>
      <c r="AL77" s="171"/>
    </row>
    <row r="78" spans="1:100">
      <c r="E78"/>
      <c r="F78" s="108"/>
      <c r="J78"/>
      <c r="N78"/>
      <c r="S78"/>
      <c r="W78"/>
      <c r="AK78" s="168"/>
      <c r="AL78" s="168"/>
    </row>
    <row r="79" spans="1:100">
      <c r="A79" s="112"/>
      <c r="B79" s="110"/>
      <c r="C79" s="111"/>
      <c r="D79" s="111"/>
      <c r="E79" s="112"/>
      <c r="F79" s="110"/>
      <c r="G79" s="111"/>
      <c r="H79" s="111"/>
      <c r="J79" s="112"/>
      <c r="K79" s="110"/>
      <c r="L79" s="111"/>
      <c r="M79" s="111"/>
      <c r="N79" s="112"/>
      <c r="O79" s="110"/>
      <c r="P79" s="111"/>
      <c r="Q79" s="111"/>
      <c r="S79" s="112"/>
      <c r="T79" s="110"/>
      <c r="U79" s="111"/>
      <c r="V79" s="111"/>
      <c r="W79" s="112"/>
      <c r="X79" s="110"/>
      <c r="Y79" s="111"/>
      <c r="Z79" s="111"/>
      <c r="AK79" s="171"/>
      <c r="AL79" s="171"/>
    </row>
    <row r="80" spans="1:100">
      <c r="E80"/>
      <c r="F80" s="108"/>
      <c r="J80"/>
      <c r="N80"/>
      <c r="S80"/>
      <c r="W80"/>
      <c r="AK80" s="168"/>
      <c r="AL80" s="168"/>
    </row>
    <row r="81" spans="1:38">
      <c r="A81" s="112"/>
      <c r="B81" s="110"/>
      <c r="C81" s="111"/>
      <c r="D81" s="111"/>
      <c r="E81" s="112"/>
      <c r="F81" s="110"/>
      <c r="G81" s="111"/>
      <c r="H81" s="111"/>
      <c r="J81" s="112"/>
      <c r="K81" s="110"/>
      <c r="L81" s="111"/>
      <c r="M81" s="111"/>
      <c r="N81" s="112"/>
      <c r="O81" s="110"/>
      <c r="P81" s="111"/>
      <c r="Q81" s="111"/>
      <c r="S81" s="112"/>
      <c r="T81" s="110"/>
      <c r="U81" s="111"/>
      <c r="V81" s="111"/>
      <c r="W81" s="112"/>
      <c r="X81" s="110"/>
      <c r="Y81" s="111"/>
      <c r="Z81" s="111"/>
      <c r="AK81" s="171"/>
      <c r="AL81" s="171"/>
    </row>
    <row r="82" spans="1:38">
      <c r="E82"/>
      <c r="F82" s="108"/>
      <c r="J82"/>
      <c r="N82"/>
      <c r="S82"/>
      <c r="W82"/>
      <c r="AK82" s="168"/>
      <c r="AL82" s="168"/>
    </row>
    <row r="83" spans="1:38">
      <c r="A83" s="112"/>
      <c r="B83" s="110"/>
      <c r="C83" s="111"/>
      <c r="D83" s="111"/>
      <c r="E83" s="112"/>
      <c r="F83" s="110"/>
      <c r="G83" s="111"/>
      <c r="H83" s="111"/>
      <c r="J83" s="112"/>
      <c r="K83" s="110"/>
      <c r="L83" s="111"/>
      <c r="M83" s="111"/>
      <c r="N83" s="112"/>
      <c r="O83" s="110"/>
      <c r="P83" s="111"/>
      <c r="Q83" s="111"/>
      <c r="S83" s="112"/>
      <c r="T83" s="110"/>
      <c r="U83" s="111"/>
      <c r="V83" s="111"/>
      <c r="W83" s="112"/>
      <c r="X83" s="110"/>
      <c r="Y83" s="111"/>
      <c r="Z83" s="111"/>
      <c r="AK83" s="171"/>
      <c r="AL83" s="171"/>
    </row>
    <row r="84" spans="1:38">
      <c r="E84"/>
      <c r="F84" s="108"/>
      <c r="J84"/>
      <c r="N84"/>
      <c r="S84"/>
      <c r="W84"/>
      <c r="AK84" s="168"/>
      <c r="AL84" s="168"/>
    </row>
    <row r="85" spans="1:38">
      <c r="A85" s="112"/>
      <c r="B85" s="110"/>
      <c r="C85" s="111"/>
      <c r="D85" s="111"/>
      <c r="E85" s="112"/>
      <c r="F85" s="110"/>
      <c r="G85" s="111"/>
      <c r="H85" s="111"/>
      <c r="J85" s="112"/>
      <c r="K85" s="110"/>
      <c r="L85" s="111"/>
      <c r="M85" s="111"/>
      <c r="N85" s="112"/>
      <c r="O85" s="110"/>
      <c r="P85" s="111"/>
      <c r="Q85" s="111"/>
      <c r="S85" s="112"/>
      <c r="T85" s="110"/>
      <c r="U85" s="111"/>
      <c r="V85" s="111"/>
      <c r="W85" s="112"/>
      <c r="X85" s="110"/>
      <c r="Y85" s="111"/>
      <c r="Z85" s="111"/>
    </row>
    <row r="86" spans="1:38">
      <c r="E86"/>
      <c r="F86" s="108"/>
      <c r="J86"/>
      <c r="N86"/>
      <c r="S86"/>
      <c r="W86"/>
    </row>
    <row r="87" spans="1:38">
      <c r="E87"/>
      <c r="F87" s="108"/>
      <c r="J87" s="112"/>
      <c r="K87" s="110"/>
      <c r="L87" s="111"/>
      <c r="M87" s="111"/>
      <c r="N87" s="112"/>
      <c r="O87" s="110"/>
      <c r="P87" s="111"/>
      <c r="Q87" s="111"/>
      <c r="S87" s="112"/>
      <c r="T87" s="110"/>
      <c r="U87" s="111"/>
      <c r="V87" s="111"/>
      <c r="W87" s="112"/>
      <c r="X87" s="110"/>
      <c r="Y87" s="111"/>
      <c r="Z87" s="111"/>
    </row>
    <row r="88" spans="1:38">
      <c r="A88" s="112"/>
      <c r="B88" s="110"/>
      <c r="C88" s="111"/>
      <c r="D88" s="111"/>
      <c r="E88" s="112"/>
      <c r="F88" s="110"/>
      <c r="G88" s="111"/>
      <c r="H88" s="111"/>
      <c r="J88"/>
      <c r="N88"/>
      <c r="S88"/>
      <c r="W88"/>
    </row>
    <row r="89" spans="1:38">
      <c r="E89"/>
      <c r="F89" s="108"/>
      <c r="J89" s="112"/>
      <c r="K89" s="110"/>
      <c r="L89" s="111"/>
      <c r="M89" s="111"/>
      <c r="N89" s="112"/>
      <c r="O89" s="110"/>
      <c r="P89" s="111"/>
      <c r="Q89" s="111"/>
      <c r="S89" s="112"/>
      <c r="T89" s="110"/>
      <c r="U89" s="111"/>
      <c r="V89" s="111"/>
      <c r="W89" s="112"/>
      <c r="X89" s="110"/>
      <c r="Y89" s="111"/>
      <c r="Z89" s="111"/>
    </row>
    <row r="90" spans="1:38">
      <c r="A90" s="112"/>
      <c r="B90" s="110"/>
      <c r="C90" s="111"/>
      <c r="D90" s="111"/>
      <c r="E90" s="112"/>
      <c r="F90" s="110"/>
      <c r="G90" s="111"/>
      <c r="H90" s="111"/>
      <c r="J90"/>
      <c r="N90"/>
      <c r="S90"/>
      <c r="W90"/>
    </row>
    <row r="91" spans="1:38">
      <c r="E91"/>
      <c r="F91" s="108"/>
      <c r="J91" s="112"/>
      <c r="K91" s="110"/>
      <c r="L91" s="111"/>
      <c r="M91" s="111"/>
      <c r="N91" s="112"/>
      <c r="O91" s="110"/>
      <c r="P91" s="111"/>
      <c r="Q91" s="111"/>
      <c r="S91" s="112"/>
      <c r="T91" s="110"/>
      <c r="U91" s="111"/>
      <c r="V91" s="111"/>
      <c r="W91" s="112"/>
      <c r="X91" s="110"/>
      <c r="Y91" s="111"/>
      <c r="Z91" s="111"/>
    </row>
    <row r="92" spans="1:38">
      <c r="A92" s="112"/>
      <c r="B92" s="110"/>
      <c r="C92" s="111"/>
      <c r="D92" s="111"/>
      <c r="E92" s="112"/>
      <c r="F92" s="110"/>
      <c r="G92" s="111"/>
      <c r="H92" s="111"/>
      <c r="J92"/>
      <c r="N92"/>
      <c r="S92"/>
      <c r="W92"/>
    </row>
    <row r="93" spans="1:38">
      <c r="E93"/>
      <c r="F93" s="108"/>
      <c r="J93" s="112"/>
      <c r="K93" s="110"/>
      <c r="L93" s="111"/>
      <c r="M93" s="111"/>
      <c r="N93" s="112"/>
      <c r="O93" s="110"/>
      <c r="P93" s="111"/>
      <c r="Q93" s="111"/>
      <c r="S93" s="112"/>
      <c r="T93" s="110"/>
      <c r="U93" s="111"/>
      <c r="V93" s="111"/>
      <c r="W93" s="112"/>
      <c r="X93" s="110"/>
      <c r="Y93" s="111"/>
      <c r="Z93" s="111"/>
    </row>
    <row r="94" spans="1:38">
      <c r="A94" s="112"/>
      <c r="B94" s="110"/>
      <c r="C94" s="111"/>
      <c r="D94" s="111"/>
      <c r="E94" s="112"/>
      <c r="F94" s="110"/>
      <c r="G94" s="111"/>
      <c r="H94" s="111"/>
      <c r="J94"/>
      <c r="N94"/>
      <c r="S94"/>
      <c r="W94"/>
    </row>
    <row r="95" spans="1:38">
      <c r="E95"/>
      <c r="F95" s="108"/>
      <c r="J95" s="112"/>
      <c r="K95" s="110"/>
      <c r="L95" s="111"/>
      <c r="M95" s="111"/>
      <c r="N95" s="112"/>
      <c r="O95" s="110"/>
      <c r="P95" s="111"/>
      <c r="Q95" s="111"/>
      <c r="S95" s="112"/>
      <c r="T95" s="110"/>
      <c r="U95" s="111"/>
      <c r="V95" s="111"/>
      <c r="W95" s="112"/>
      <c r="X95" s="110"/>
      <c r="Y95" s="111"/>
      <c r="Z95" s="111"/>
    </row>
    <row r="96" spans="1:38">
      <c r="A96" s="112"/>
      <c r="B96" s="110"/>
      <c r="C96" s="111"/>
      <c r="D96" s="111"/>
      <c r="E96" s="112"/>
      <c r="F96" s="110"/>
      <c r="G96" s="111"/>
      <c r="H96" s="111"/>
      <c r="J96"/>
      <c r="N96"/>
      <c r="S96"/>
      <c r="W96"/>
    </row>
    <row r="97" spans="1:26">
      <c r="E97"/>
      <c r="F97" s="108"/>
      <c r="J97" s="112"/>
      <c r="K97" s="110"/>
      <c r="L97" s="111"/>
      <c r="M97" s="111"/>
      <c r="N97" s="112"/>
      <c r="O97" s="110"/>
      <c r="P97" s="111"/>
      <c r="Q97" s="111"/>
      <c r="S97" s="112"/>
      <c r="T97" s="110"/>
      <c r="U97" s="111"/>
      <c r="V97" s="111"/>
      <c r="W97" s="112"/>
      <c r="X97" s="110"/>
      <c r="Y97" s="111"/>
      <c r="Z97" s="111"/>
    </row>
    <row r="98" spans="1:26">
      <c r="A98" s="112"/>
      <c r="B98" s="110"/>
      <c r="C98" s="111"/>
      <c r="D98" s="111"/>
      <c r="E98" s="112"/>
      <c r="F98" s="110"/>
      <c r="G98" s="111"/>
      <c r="H98" s="111"/>
      <c r="J98"/>
      <c r="N98"/>
      <c r="S98"/>
      <c r="W98"/>
    </row>
    <row r="99" spans="1:26">
      <c r="E99"/>
      <c r="F99" s="108"/>
      <c r="J99" s="112"/>
      <c r="K99" s="110"/>
      <c r="L99" s="111"/>
      <c r="M99" s="111"/>
      <c r="N99" s="112"/>
      <c r="O99" s="110"/>
      <c r="P99" s="111"/>
      <c r="Q99" s="111"/>
      <c r="S99" s="112"/>
      <c r="T99" s="110"/>
      <c r="U99" s="111"/>
      <c r="V99" s="111"/>
      <c r="W99" s="112"/>
      <c r="X99" s="110"/>
      <c r="Y99" s="111"/>
      <c r="Z99" s="111"/>
    </row>
    <row r="100" spans="1:26">
      <c r="A100" s="112"/>
      <c r="B100" s="110"/>
      <c r="C100" s="111"/>
      <c r="D100" s="111"/>
      <c r="E100" s="112"/>
      <c r="F100" s="110"/>
      <c r="G100" s="111"/>
      <c r="H100" s="111"/>
      <c r="J100"/>
      <c r="N100"/>
      <c r="S100"/>
      <c r="W100"/>
    </row>
    <row r="101" spans="1:26">
      <c r="E101"/>
      <c r="F101" s="108"/>
      <c r="J101" s="112"/>
      <c r="K101" s="110"/>
      <c r="L101" s="111"/>
      <c r="M101" s="111"/>
      <c r="N101" s="112"/>
      <c r="O101" s="110"/>
      <c r="P101" s="111"/>
      <c r="Q101" s="111"/>
      <c r="S101" s="112"/>
      <c r="T101" s="110"/>
      <c r="U101" s="111"/>
      <c r="V101" s="111"/>
      <c r="W101" s="112"/>
      <c r="X101" s="110"/>
      <c r="Y101" s="111"/>
      <c r="Z101" s="111"/>
    </row>
    <row r="102" spans="1:26">
      <c r="A102" s="112"/>
      <c r="B102" s="110"/>
      <c r="C102" s="111"/>
      <c r="D102" s="111"/>
      <c r="E102" s="111"/>
      <c r="F102" s="111"/>
      <c r="G102" s="111"/>
      <c r="H102" s="111"/>
      <c r="J102"/>
      <c r="N102"/>
      <c r="S102"/>
      <c r="W102"/>
    </row>
    <row r="103" spans="1:26">
      <c r="J103" s="112"/>
      <c r="K103" s="110"/>
      <c r="L103" s="111"/>
      <c r="M103" s="111"/>
      <c r="N103" s="112"/>
      <c r="O103" s="110"/>
      <c r="P103" s="111"/>
      <c r="Q103" s="111"/>
      <c r="S103" s="112"/>
      <c r="T103" s="110"/>
      <c r="U103" s="111"/>
      <c r="V103" s="111"/>
      <c r="W103" s="112"/>
      <c r="X103" s="110"/>
      <c r="Y103" s="111"/>
      <c r="Z103" s="111"/>
    </row>
    <row r="104" spans="1:26">
      <c r="A104" s="112"/>
      <c r="B104" s="110"/>
      <c r="C104" s="111"/>
      <c r="D104" s="111"/>
      <c r="E104" s="111"/>
      <c r="F104" s="111"/>
      <c r="G104" s="111"/>
      <c r="H104" s="111"/>
      <c r="J104"/>
      <c r="N104"/>
      <c r="S104"/>
      <c r="W104"/>
    </row>
    <row r="105" spans="1:26">
      <c r="J105" s="112"/>
      <c r="K105" s="110"/>
      <c r="L105" s="111"/>
      <c r="M105" s="111"/>
      <c r="N105" s="112"/>
      <c r="O105" s="110"/>
      <c r="P105" s="111"/>
      <c r="Q105" s="111"/>
      <c r="S105" s="112"/>
      <c r="T105" s="110"/>
      <c r="U105" s="111"/>
      <c r="V105" s="111"/>
      <c r="W105" s="112"/>
      <c r="X105" s="110"/>
      <c r="Y105" s="111"/>
      <c r="Z105" s="111"/>
    </row>
    <row r="106" spans="1:26">
      <c r="A106" s="112"/>
      <c r="B106" s="110"/>
      <c r="C106" s="111"/>
      <c r="D106" s="111"/>
      <c r="E106" s="111"/>
      <c r="F106" s="111"/>
      <c r="G106" s="111"/>
      <c r="H106" s="111"/>
      <c r="J106"/>
      <c r="N106"/>
      <c r="S106"/>
      <c r="W106"/>
    </row>
    <row r="107" spans="1:26">
      <c r="J107" s="112"/>
      <c r="K107" s="110"/>
      <c r="L107" s="111"/>
      <c r="M107" s="111"/>
      <c r="N107" s="112"/>
      <c r="O107" s="110"/>
      <c r="P107" s="111"/>
      <c r="Q107" s="111"/>
      <c r="S107" s="112"/>
      <c r="T107" s="110"/>
      <c r="U107" s="111"/>
      <c r="V107" s="111"/>
      <c r="W107" s="112"/>
      <c r="X107" s="110"/>
      <c r="Y107" s="111"/>
      <c r="Z107" s="111"/>
    </row>
    <row r="108" spans="1:26">
      <c r="A108" s="112"/>
      <c r="B108" s="110"/>
      <c r="C108" s="111"/>
      <c r="D108" s="111"/>
      <c r="E108" s="111"/>
      <c r="F108" s="111"/>
      <c r="G108" s="111"/>
      <c r="H108" s="111"/>
      <c r="J108"/>
      <c r="N108"/>
      <c r="S108"/>
      <c r="W108"/>
    </row>
    <row r="109" spans="1:26">
      <c r="J109" s="112"/>
      <c r="K109" s="110"/>
      <c r="L109" s="111"/>
      <c r="M109" s="111"/>
      <c r="N109" s="112"/>
      <c r="O109" s="110"/>
      <c r="P109" s="111"/>
      <c r="Q109" s="111"/>
      <c r="S109" s="112"/>
      <c r="T109" s="110"/>
      <c r="U109" s="111"/>
      <c r="V109" s="111"/>
      <c r="W109" s="112"/>
      <c r="X109" s="110"/>
      <c r="Y109" s="111"/>
      <c r="Z109" s="111"/>
    </row>
    <row r="110" spans="1:26">
      <c r="A110" s="112"/>
      <c r="B110" s="110"/>
      <c r="C110" s="111"/>
      <c r="D110" s="111"/>
      <c r="E110" s="111"/>
      <c r="F110" s="111"/>
      <c r="G110" s="111"/>
      <c r="H110" s="111"/>
      <c r="J110"/>
      <c r="N110"/>
      <c r="S110"/>
      <c r="W110"/>
    </row>
    <row r="111" spans="1:26">
      <c r="J111" s="112"/>
      <c r="K111" s="110"/>
      <c r="L111" s="111"/>
      <c r="M111" s="111"/>
      <c r="N111" s="112"/>
      <c r="O111" s="110"/>
      <c r="P111" s="111"/>
      <c r="Q111" s="111"/>
      <c r="S111" s="112"/>
      <c r="T111" s="110"/>
      <c r="U111" s="111"/>
      <c r="V111" s="111"/>
      <c r="W111" s="112"/>
      <c r="X111" s="110"/>
      <c r="Y111" s="111"/>
      <c r="Z111" s="111"/>
    </row>
    <row r="112" spans="1:26">
      <c r="A112" s="112"/>
      <c r="B112" s="110"/>
      <c r="C112" s="111"/>
      <c r="D112" s="111"/>
      <c r="E112" s="111"/>
      <c r="F112" s="111"/>
      <c r="G112" s="111"/>
      <c r="H112" s="111"/>
      <c r="J112"/>
      <c r="N112"/>
      <c r="S112"/>
      <c r="W112"/>
    </row>
    <row r="113" spans="1:99">
      <c r="J113" s="112"/>
      <c r="K113" s="110"/>
      <c r="L113" s="111"/>
      <c r="M113" s="111"/>
      <c r="N113" s="112"/>
      <c r="O113" s="110"/>
      <c r="P113" s="111"/>
      <c r="Q113" s="111"/>
      <c r="S113" s="112"/>
      <c r="T113" s="110"/>
      <c r="U113" s="111"/>
      <c r="V113" s="111"/>
      <c r="W113" s="112"/>
      <c r="X113" s="110"/>
      <c r="Y113" s="111"/>
      <c r="Z113" s="111"/>
    </row>
    <row r="114" spans="1:99" s="75" customFormat="1">
      <c r="A114" s="112"/>
      <c r="B114" s="110"/>
      <c r="C114" s="111"/>
      <c r="D114" s="111"/>
      <c r="E114" s="111"/>
      <c r="F114" s="111"/>
      <c r="G114" s="111"/>
      <c r="H114" s="111"/>
      <c r="I114" s="113"/>
      <c r="J114"/>
      <c r="K114" s="108"/>
      <c r="L114" s="109"/>
      <c r="M114" s="109"/>
      <c r="N114"/>
      <c r="O114" s="108"/>
      <c r="P114" s="109"/>
      <c r="Q114" s="109"/>
      <c r="R114" s="113"/>
      <c r="S114"/>
      <c r="T114" s="108"/>
      <c r="U114" s="109"/>
      <c r="V114" s="109"/>
      <c r="W114"/>
      <c r="X114" s="108"/>
      <c r="Y114" s="109"/>
      <c r="Z114" s="109"/>
      <c r="AA114" s="113"/>
      <c r="AJ114" s="113"/>
      <c r="AS114" s="113"/>
      <c r="AT114"/>
      <c r="AU114"/>
      <c r="AV114"/>
      <c r="AW114"/>
      <c r="AX114"/>
      <c r="AY114"/>
      <c r="AZ114"/>
      <c r="BA114"/>
      <c r="BB114" s="113"/>
      <c r="BK114" s="113"/>
      <c r="BT114" s="113"/>
      <c r="CC114" s="113"/>
      <c r="CL114" s="113"/>
      <c r="CU114" s="113"/>
    </row>
    <row r="115" spans="1:99">
      <c r="J115" s="112"/>
      <c r="K115" s="110"/>
      <c r="L115" s="111"/>
      <c r="M115" s="111"/>
      <c r="N115" s="112"/>
      <c r="O115" s="110"/>
      <c r="P115" s="111"/>
      <c r="Q115" s="111"/>
      <c r="S115" s="112"/>
      <c r="T115" s="110"/>
      <c r="U115" s="111"/>
      <c r="V115" s="111"/>
      <c r="W115" s="112"/>
      <c r="X115" s="110"/>
      <c r="Y115" s="111"/>
      <c r="Z115" s="111"/>
      <c r="AT115" s="75"/>
      <c r="AU115" s="75"/>
      <c r="AV115" s="75"/>
      <c r="AW115" s="75"/>
      <c r="AX115" s="75"/>
      <c r="AY115" s="75"/>
      <c r="AZ115" s="75"/>
      <c r="BA115" s="75"/>
    </row>
    <row r="116" spans="1:99">
      <c r="A116" s="112"/>
      <c r="B116" s="110"/>
      <c r="C116" s="111"/>
      <c r="D116" s="111"/>
      <c r="E116" s="111"/>
      <c r="F116" s="111"/>
      <c r="G116" s="111"/>
      <c r="H116" s="111"/>
      <c r="J116"/>
      <c r="N116"/>
      <c r="S116"/>
      <c r="W116"/>
    </row>
    <row r="117" spans="1:99">
      <c r="J117" s="112"/>
      <c r="K117" s="110"/>
      <c r="L117" s="111"/>
      <c r="M117" s="111"/>
      <c r="N117" s="112"/>
      <c r="O117" s="110"/>
      <c r="P117" s="111"/>
      <c r="Q117" s="111"/>
      <c r="S117" s="112"/>
      <c r="T117" s="110"/>
      <c r="U117" s="111"/>
      <c r="V117" s="111"/>
      <c r="W117" s="112"/>
      <c r="X117" s="110"/>
      <c r="Y117" s="111"/>
      <c r="Z117" s="111"/>
    </row>
    <row r="118" spans="1:99">
      <c r="A118" s="112"/>
      <c r="B118" s="110"/>
      <c r="C118" s="111"/>
      <c r="D118" s="111"/>
      <c r="E118" s="111"/>
      <c r="F118" s="111"/>
      <c r="G118" s="111"/>
      <c r="H118" s="111"/>
      <c r="J118"/>
      <c r="N118"/>
      <c r="S118"/>
      <c r="W118"/>
    </row>
    <row r="119" spans="1:99">
      <c r="J119" s="112"/>
      <c r="K119" s="110"/>
      <c r="L119" s="111"/>
      <c r="M119" s="111"/>
      <c r="N119" s="112"/>
      <c r="O119" s="110"/>
      <c r="P119" s="111"/>
      <c r="Q119" s="111"/>
      <c r="S119" s="112"/>
      <c r="T119" s="110"/>
      <c r="U119" s="111"/>
      <c r="V119" s="111"/>
      <c r="W119" s="112"/>
      <c r="X119" s="110"/>
      <c r="Y119" s="111"/>
      <c r="Z119" s="111"/>
    </row>
    <row r="120" spans="1:99">
      <c r="A120" s="112"/>
      <c r="B120" s="110"/>
      <c r="C120" s="111"/>
      <c r="D120" s="111"/>
      <c r="E120" s="111"/>
      <c r="F120" s="111"/>
      <c r="G120" s="111"/>
      <c r="H120" s="111"/>
      <c r="J120"/>
      <c r="N120"/>
      <c r="S120"/>
      <c r="W120"/>
    </row>
    <row r="121" spans="1:99">
      <c r="J121" s="112"/>
      <c r="K121" s="110"/>
      <c r="L121" s="111"/>
      <c r="M121" s="111"/>
      <c r="N121" s="112"/>
      <c r="O121" s="110"/>
      <c r="P121" s="111"/>
      <c r="Q121" s="111"/>
      <c r="S121" s="112"/>
      <c r="T121" s="110"/>
      <c r="U121" s="111"/>
      <c r="V121" s="111"/>
      <c r="W121" s="112"/>
      <c r="X121" s="110"/>
      <c r="Y121" s="111"/>
      <c r="Z121" s="111"/>
    </row>
    <row r="122" spans="1:99">
      <c r="A122" s="112"/>
      <c r="B122" s="110"/>
      <c r="C122" s="111"/>
      <c r="D122" s="111"/>
      <c r="E122" s="111"/>
      <c r="F122" s="111"/>
      <c r="G122" s="111"/>
      <c r="H122" s="111"/>
      <c r="J122"/>
      <c r="N122"/>
      <c r="S122"/>
      <c r="W122"/>
    </row>
    <row r="123" spans="1:99">
      <c r="J123" s="112"/>
      <c r="K123" s="110"/>
      <c r="L123" s="111"/>
      <c r="M123" s="111"/>
      <c r="N123" s="112"/>
      <c r="O123" s="110"/>
      <c r="P123" s="111"/>
      <c r="Q123" s="111"/>
      <c r="S123" s="112"/>
      <c r="T123" s="110"/>
      <c r="U123" s="111"/>
      <c r="V123" s="111"/>
      <c r="W123" s="112"/>
      <c r="X123" s="110"/>
      <c r="Y123" s="111"/>
      <c r="Z123" s="111"/>
    </row>
    <row r="124" spans="1:99">
      <c r="A124" s="112"/>
      <c r="B124" s="110"/>
      <c r="C124" s="111"/>
      <c r="D124" s="111"/>
      <c r="E124" s="111"/>
      <c r="F124" s="111"/>
      <c r="G124" s="111"/>
      <c r="H124" s="111"/>
      <c r="J124"/>
      <c r="N124"/>
      <c r="S124"/>
      <c r="W124"/>
    </row>
    <row r="125" spans="1:99">
      <c r="J125" s="112"/>
      <c r="K125" s="110"/>
      <c r="L125" s="111"/>
      <c r="M125" s="111"/>
      <c r="N125" s="112"/>
      <c r="O125" s="110"/>
      <c r="P125" s="111"/>
      <c r="Q125" s="111"/>
      <c r="S125" s="112"/>
      <c r="T125" s="110"/>
      <c r="U125" s="111"/>
      <c r="V125" s="111"/>
      <c r="W125" s="112"/>
      <c r="X125" s="110"/>
      <c r="Y125" s="111"/>
      <c r="Z125" s="111"/>
    </row>
    <row r="126" spans="1:99">
      <c r="A126" s="112"/>
      <c r="B126" s="110"/>
      <c r="C126" s="111"/>
      <c r="D126" s="111"/>
      <c r="E126" s="111"/>
      <c r="F126" s="111"/>
      <c r="G126" s="111"/>
      <c r="H126" s="111"/>
      <c r="J126"/>
      <c r="N126"/>
      <c r="S126"/>
      <c r="W126"/>
    </row>
    <row r="127" spans="1:99">
      <c r="J127" s="112"/>
      <c r="K127" s="110"/>
      <c r="L127" s="111"/>
      <c r="M127" s="111"/>
      <c r="N127" s="112"/>
      <c r="O127" s="110"/>
      <c r="P127" s="111"/>
      <c r="Q127" s="111"/>
      <c r="S127" s="112"/>
      <c r="T127" s="110"/>
      <c r="U127" s="111"/>
      <c r="V127" s="111"/>
      <c r="W127" s="112"/>
      <c r="X127" s="110"/>
      <c r="Y127" s="111"/>
      <c r="Z127" s="111"/>
    </row>
    <row r="128" spans="1:99">
      <c r="A128" s="112"/>
      <c r="B128" s="110"/>
      <c r="C128" s="111"/>
      <c r="D128" s="111"/>
      <c r="E128" s="111"/>
      <c r="F128" s="111"/>
      <c r="G128" s="111"/>
      <c r="H128" s="111"/>
      <c r="J128"/>
      <c r="N128"/>
      <c r="S128"/>
      <c r="W128"/>
    </row>
    <row r="129" spans="1:26">
      <c r="J129" s="112"/>
      <c r="K129" s="110"/>
      <c r="L129" s="111"/>
      <c r="M129" s="111"/>
      <c r="N129" s="112"/>
      <c r="O129" s="110"/>
      <c r="P129" s="111"/>
      <c r="Q129" s="111"/>
      <c r="S129" s="112"/>
      <c r="T129" s="110"/>
      <c r="U129" s="111"/>
      <c r="V129" s="111"/>
      <c r="W129" s="112"/>
      <c r="X129" s="110"/>
      <c r="Y129" s="111"/>
      <c r="Z129" s="111"/>
    </row>
    <row r="130" spans="1:26">
      <c r="A130" s="112"/>
      <c r="B130" s="110"/>
      <c r="C130" s="111"/>
      <c r="D130" s="111"/>
      <c r="E130" s="111"/>
      <c r="F130" s="111"/>
      <c r="G130" s="111"/>
      <c r="H130" s="111"/>
      <c r="J130"/>
      <c r="N130"/>
      <c r="S130"/>
      <c r="W130"/>
    </row>
    <row r="131" spans="1:26">
      <c r="J131" s="112"/>
      <c r="K131" s="110"/>
      <c r="L131" s="111"/>
      <c r="M131" s="111"/>
      <c r="N131" s="112"/>
      <c r="O131" s="110"/>
      <c r="P131" s="111"/>
      <c r="Q131" s="111"/>
      <c r="S131" s="112"/>
      <c r="T131" s="110"/>
      <c r="U131" s="111"/>
      <c r="V131" s="111"/>
      <c r="W131" s="112"/>
      <c r="X131" s="110"/>
      <c r="Y131" s="111"/>
      <c r="Z131" s="111"/>
    </row>
    <row r="132" spans="1:26">
      <c r="A132" s="112"/>
      <c r="B132" s="110"/>
      <c r="C132" s="111"/>
      <c r="D132" s="111"/>
      <c r="E132" s="111"/>
      <c r="F132" s="111"/>
      <c r="G132" s="111"/>
      <c r="H132" s="111"/>
      <c r="J132"/>
      <c r="N132"/>
      <c r="S132"/>
      <c r="W132"/>
    </row>
    <row r="133" spans="1:26">
      <c r="J133" s="112"/>
      <c r="K133" s="110"/>
      <c r="L133" s="111"/>
      <c r="M133" s="111"/>
      <c r="N133" s="112"/>
      <c r="O133" s="110"/>
      <c r="P133" s="111"/>
      <c r="Q133" s="111"/>
      <c r="S133" s="112"/>
      <c r="T133" s="110"/>
      <c r="U133" s="111"/>
      <c r="V133" s="111"/>
      <c r="W133" s="112"/>
      <c r="X133" s="110"/>
      <c r="Y133" s="111"/>
      <c r="Z133" s="111"/>
    </row>
    <row r="134" spans="1:26">
      <c r="A134" s="112"/>
      <c r="B134" s="110"/>
      <c r="C134" s="111"/>
      <c r="D134" s="111"/>
      <c r="E134" s="111"/>
      <c r="F134" s="111"/>
      <c r="G134" s="111"/>
      <c r="H134" s="111"/>
      <c r="J134"/>
      <c r="N134"/>
      <c r="S134"/>
      <c r="W134"/>
    </row>
    <row r="135" spans="1:26">
      <c r="J135" s="112"/>
      <c r="K135" s="110"/>
      <c r="L135" s="111"/>
      <c r="M135" s="111"/>
      <c r="N135" s="112"/>
      <c r="O135" s="110"/>
      <c r="P135" s="111"/>
      <c r="Q135" s="111"/>
      <c r="S135" s="112"/>
      <c r="T135" s="110"/>
      <c r="U135" s="111"/>
      <c r="V135" s="111"/>
      <c r="W135" s="112"/>
      <c r="X135" s="110"/>
      <c r="Y135" s="111"/>
      <c r="Z135" s="111"/>
    </row>
    <row r="136" spans="1:26">
      <c r="A136" s="112"/>
      <c r="B136" s="110"/>
      <c r="C136" s="111"/>
      <c r="D136" s="111"/>
      <c r="E136" s="111"/>
      <c r="F136" s="111"/>
      <c r="G136" s="111"/>
      <c r="H136" s="111"/>
      <c r="J136"/>
      <c r="N136"/>
      <c r="S136"/>
      <c r="W136"/>
    </row>
    <row r="137" spans="1:26">
      <c r="J137" s="112"/>
      <c r="K137" s="110"/>
      <c r="L137" s="111"/>
      <c r="M137" s="111"/>
      <c r="N137" s="112"/>
      <c r="O137" s="110"/>
      <c r="P137" s="111"/>
      <c r="Q137" s="111"/>
      <c r="S137" s="112"/>
      <c r="T137" s="110"/>
      <c r="U137" s="111"/>
      <c r="V137" s="111"/>
      <c r="W137" s="112"/>
      <c r="X137" s="110"/>
      <c r="Y137" s="111"/>
      <c r="Z137" s="111"/>
    </row>
    <row r="138" spans="1:26">
      <c r="A138" s="112"/>
      <c r="B138" s="110"/>
      <c r="C138" s="111"/>
      <c r="D138" s="111"/>
      <c r="E138" s="111"/>
      <c r="F138" s="111"/>
      <c r="G138" s="111"/>
      <c r="H138" s="111"/>
      <c r="J138"/>
      <c r="N138"/>
      <c r="S138"/>
      <c r="W138"/>
    </row>
    <row r="139" spans="1:26">
      <c r="J139" s="112"/>
      <c r="K139" s="110"/>
      <c r="L139" s="111"/>
      <c r="M139" s="111"/>
      <c r="N139" s="112"/>
      <c r="O139" s="110"/>
      <c r="P139" s="111"/>
      <c r="Q139" s="111"/>
      <c r="S139" s="112"/>
      <c r="T139" s="110"/>
      <c r="U139" s="111"/>
      <c r="V139" s="111"/>
      <c r="W139" s="112"/>
      <c r="X139" s="110"/>
      <c r="Y139" s="111"/>
      <c r="Z139" s="111"/>
    </row>
    <row r="140" spans="1:26">
      <c r="A140" s="112"/>
      <c r="B140" s="110"/>
      <c r="C140" s="111"/>
      <c r="D140" s="111"/>
      <c r="E140" s="111"/>
      <c r="F140" s="111"/>
      <c r="G140" s="111"/>
      <c r="H140" s="111"/>
      <c r="J140"/>
      <c r="N140"/>
      <c r="S140"/>
      <c r="W140"/>
    </row>
    <row r="141" spans="1:26">
      <c r="J141" s="112"/>
      <c r="K141" s="110"/>
      <c r="L141" s="111"/>
      <c r="M141" s="111"/>
      <c r="N141" s="112"/>
      <c r="O141" s="110"/>
      <c r="P141" s="111"/>
      <c r="Q141" s="111"/>
      <c r="S141" s="112"/>
      <c r="T141" s="110"/>
      <c r="U141" s="111"/>
      <c r="V141" s="111"/>
      <c r="W141" s="112"/>
      <c r="X141" s="110"/>
      <c r="Y141" s="111"/>
      <c r="Z141" s="111"/>
    </row>
    <row r="142" spans="1:26">
      <c r="A142" s="112"/>
      <c r="B142" s="110"/>
      <c r="C142" s="111"/>
      <c r="D142" s="111"/>
      <c r="E142" s="111"/>
      <c r="F142" s="111"/>
      <c r="G142" s="111"/>
      <c r="H142" s="111"/>
      <c r="J142"/>
      <c r="N142"/>
      <c r="S142"/>
      <c r="W142"/>
    </row>
    <row r="143" spans="1:26">
      <c r="J143" s="110"/>
      <c r="K143" s="110"/>
      <c r="L143" s="111"/>
      <c r="M143" s="111"/>
      <c r="N143" s="110"/>
      <c r="O143" s="110"/>
      <c r="P143" s="111"/>
      <c r="Q143" s="111"/>
      <c r="S143" s="110"/>
      <c r="T143" s="110"/>
      <c r="U143" s="111"/>
      <c r="V143" s="111"/>
      <c r="W143" s="110"/>
      <c r="X143" s="110"/>
      <c r="Y143" s="111"/>
      <c r="Z143" s="111"/>
    </row>
    <row r="144" spans="1:26">
      <c r="A144" s="112"/>
      <c r="B144" s="110"/>
      <c r="C144" s="111"/>
      <c r="D144" s="111"/>
      <c r="E144" s="111"/>
      <c r="F144" s="111"/>
      <c r="G144" s="111"/>
      <c r="H144" s="111"/>
    </row>
    <row r="145" spans="1:26">
      <c r="J145" s="110"/>
      <c r="K145" s="110"/>
      <c r="L145" s="111"/>
      <c r="M145" s="111"/>
      <c r="N145" s="110"/>
      <c r="O145" s="110"/>
      <c r="P145" s="111"/>
      <c r="Q145" s="111"/>
      <c r="S145" s="110"/>
      <c r="T145" s="110"/>
      <c r="U145" s="111"/>
      <c r="V145" s="111"/>
      <c r="W145" s="110"/>
      <c r="X145" s="110"/>
      <c r="Y145" s="111"/>
      <c r="Z145" s="111"/>
    </row>
    <row r="146" spans="1:26">
      <c r="A146" s="112"/>
      <c r="B146" s="110"/>
      <c r="C146" s="111"/>
      <c r="D146" s="111"/>
      <c r="E146" s="111"/>
      <c r="F146" s="111"/>
      <c r="G146" s="111"/>
      <c r="H146" s="111"/>
    </row>
    <row r="148" spans="1:26">
      <c r="A148" s="112"/>
      <c r="B148" s="110"/>
      <c r="C148" s="111"/>
      <c r="D148" s="111"/>
      <c r="E148" s="111"/>
      <c r="F148" s="111"/>
      <c r="G148" s="111"/>
      <c r="H148" s="111"/>
    </row>
    <row r="150" spans="1:26">
      <c r="A150" s="112"/>
      <c r="B150" s="110"/>
      <c r="C150" s="111"/>
      <c r="D150" s="111"/>
      <c r="E150" s="111"/>
      <c r="F150" s="111"/>
      <c r="G150" s="111"/>
      <c r="H150" s="111"/>
    </row>
    <row r="152" spans="1:26">
      <c r="A152" s="112"/>
      <c r="B152" s="110"/>
      <c r="C152" s="111"/>
      <c r="D152" s="111"/>
      <c r="E152" s="111"/>
      <c r="F152" s="111"/>
      <c r="G152" s="111"/>
      <c r="H152" s="111"/>
    </row>
    <row r="154" spans="1:26">
      <c r="A154" s="112"/>
      <c r="B154" s="110"/>
      <c r="C154" s="111"/>
      <c r="D154" s="111"/>
      <c r="E154" s="111"/>
      <c r="F154" s="111"/>
      <c r="G154" s="111"/>
      <c r="H154" s="111"/>
    </row>
    <row r="156" spans="1:26">
      <c r="A156" s="112"/>
      <c r="B156" s="110"/>
      <c r="C156" s="111"/>
      <c r="D156" s="111"/>
      <c r="E156" s="111"/>
      <c r="F156" s="111"/>
      <c r="G156" s="111"/>
      <c r="H156" s="111"/>
    </row>
  </sheetData>
  <autoFilter ref="A13:DC13" xr:uid="{00000000-0009-0000-0000-00000A000000}"/>
  <sortState xmlns:xlrd2="http://schemas.microsoft.com/office/spreadsheetml/2017/richdata2" ref="S16:V37">
    <sortCondition ref="S15:S37"/>
  </sortState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2:DC105"/>
  <sheetViews>
    <sheetView showGridLines="0" topLeftCell="W1" workbookViewId="0">
      <selection activeCell="AF15" sqref="AF15:AF23"/>
    </sheetView>
  </sheetViews>
  <sheetFormatPr defaultRowHeight="14.4"/>
  <cols>
    <col min="1" max="1" width="7.88671875" bestFit="1" customWidth="1"/>
    <col min="2" max="2" width="19.88671875" customWidth="1"/>
    <col min="3" max="3" width="14.5546875" customWidth="1"/>
    <col min="4" max="4" width="7.33203125" bestFit="1" customWidth="1"/>
    <col min="5" max="5" width="12" customWidth="1"/>
    <col min="6" max="6" width="8.88671875" bestFit="1" customWidth="1"/>
    <col min="7" max="7" width="9" bestFit="1" customWidth="1"/>
    <col min="8" max="8" width="12.44140625" bestFit="1" customWidth="1"/>
    <col min="9" max="9" width="2.109375" style="121" customWidth="1"/>
    <col min="10" max="10" width="9" style="108" customWidth="1"/>
    <col min="11" max="11" width="30.33203125" style="108" customWidth="1"/>
    <col min="12" max="12" width="16.6640625" style="108" customWidth="1"/>
    <col min="13" max="13" width="11.6640625" style="108" customWidth="1"/>
    <col min="14" max="14" width="13.6640625" style="124" customWidth="1"/>
    <col min="15" max="15" width="9.6640625" style="125" customWidth="1"/>
    <col min="16" max="16" width="11.6640625" style="108" customWidth="1"/>
    <col min="17" max="17" width="16.6640625" style="108" customWidth="1"/>
    <col min="18" max="18" width="2.109375" style="121" customWidth="1"/>
    <col min="19" max="19" width="9.5546875" style="108" customWidth="1"/>
    <col min="20" max="20" width="35.33203125" style="108" customWidth="1"/>
    <col min="21" max="21" width="16.6640625" style="108" customWidth="1"/>
    <col min="22" max="22" width="11.6640625" style="108" customWidth="1"/>
    <col min="23" max="23" width="13.6640625" style="124" customWidth="1"/>
    <col min="24" max="24" width="9.6640625" style="125" customWidth="1"/>
    <col min="25" max="25" width="11.6640625" style="108" customWidth="1"/>
    <col min="26" max="26" width="16.6640625" style="108" customWidth="1"/>
    <col min="27" max="27" width="2.109375" style="121" customWidth="1"/>
    <col min="29" max="29" width="33" customWidth="1"/>
    <col min="30" max="30" width="14.6640625" customWidth="1"/>
    <col min="35" max="35" width="12" bestFit="1" customWidth="1"/>
    <col min="36" max="36" width="2.109375" style="121" customWidth="1"/>
    <col min="45" max="45" width="2.109375" style="121" customWidth="1"/>
    <col min="54" max="54" width="2.109375" style="121" customWidth="1"/>
    <col min="63" max="63" width="2.109375" style="121" customWidth="1"/>
    <col min="65" max="65" width="56" bestFit="1" customWidth="1"/>
    <col min="72" max="72" width="2.109375" style="121" customWidth="1"/>
    <col min="81" max="81" width="2.109375" style="121" customWidth="1"/>
    <col min="89" max="89" width="13" customWidth="1"/>
    <col min="90" max="90" width="2.109375" style="121" customWidth="1"/>
    <col min="98" max="98" width="12" bestFit="1" customWidth="1"/>
    <col min="99" max="99" width="2.109375" style="121" customWidth="1"/>
  </cols>
  <sheetData>
    <row r="2" spans="1:107">
      <c r="A2" s="115" t="s">
        <v>392</v>
      </c>
      <c r="B2" s="114"/>
      <c r="D2" s="114"/>
      <c r="E2" s="116" t="s">
        <v>428</v>
      </c>
      <c r="F2" s="114"/>
      <c r="G2" s="114"/>
      <c r="H2" s="114"/>
      <c r="J2" s="439" t="s">
        <v>919</v>
      </c>
      <c r="K2" s="438"/>
      <c r="L2" s="439" t="s">
        <v>1074</v>
      </c>
      <c r="S2" s="439" t="s">
        <v>919</v>
      </c>
      <c r="T2" s="438"/>
      <c r="U2" s="439" t="s">
        <v>1074</v>
      </c>
      <c r="AB2" s="470" t="s">
        <v>1103</v>
      </c>
      <c r="AC2" s="469"/>
      <c r="AD2" s="470" t="s">
        <v>1104</v>
      </c>
      <c r="AE2" s="166"/>
      <c r="AK2" s="168" t="s">
        <v>467</v>
      </c>
      <c r="AL2" s="166"/>
      <c r="AM2" s="168" t="s">
        <v>527</v>
      </c>
      <c r="AT2" s="168" t="s">
        <v>467</v>
      </c>
      <c r="AU2" s="166"/>
      <c r="AV2" s="168" t="s">
        <v>528</v>
      </c>
      <c r="AW2" s="166"/>
      <c r="BC2" s="168" t="s">
        <v>467</v>
      </c>
      <c r="BD2" s="166"/>
      <c r="BE2" s="168" t="s">
        <v>529</v>
      </c>
      <c r="BF2" s="166"/>
      <c r="BL2" s="168" t="s">
        <v>467</v>
      </c>
      <c r="BM2" s="166"/>
      <c r="BN2" s="168" t="s">
        <v>530</v>
      </c>
      <c r="BO2" s="166"/>
      <c r="BP2" s="166"/>
      <c r="BU2" s="168" t="s">
        <v>467</v>
      </c>
      <c r="BV2" s="166"/>
      <c r="BW2" s="168" t="s">
        <v>532</v>
      </c>
      <c r="BX2" s="166"/>
      <c r="CD2" s="325" t="s">
        <v>536</v>
      </c>
      <c r="CE2" s="329"/>
      <c r="CF2" s="325" t="s">
        <v>550</v>
      </c>
      <c r="CG2" s="329"/>
      <c r="CM2" s="325" t="s">
        <v>536</v>
      </c>
      <c r="CN2" s="329"/>
      <c r="CO2" s="325" t="s">
        <v>551</v>
      </c>
      <c r="CP2" s="329"/>
      <c r="CV2" s="338" t="s">
        <v>552</v>
      </c>
      <c r="CW2" s="337"/>
      <c r="CX2" s="338" t="s">
        <v>553</v>
      </c>
      <c r="CY2" s="337"/>
    </row>
    <row r="5" spans="1:107">
      <c r="A5" s="115" t="s">
        <v>429</v>
      </c>
      <c r="B5" s="114"/>
      <c r="D5" s="114"/>
      <c r="E5" s="114"/>
      <c r="F5" s="114"/>
      <c r="G5" s="114"/>
      <c r="H5" s="114"/>
      <c r="J5" s="108" t="s">
        <v>429</v>
      </c>
      <c r="S5" s="108" t="s">
        <v>429</v>
      </c>
      <c r="AB5" s="168" t="s">
        <v>429</v>
      </c>
      <c r="AC5" s="166"/>
      <c r="AD5" s="166"/>
      <c r="AE5" s="166"/>
      <c r="AK5" s="168" t="s">
        <v>429</v>
      </c>
      <c r="AL5" s="166"/>
      <c r="AM5" s="166"/>
      <c r="AT5" s="168" t="s">
        <v>429</v>
      </c>
      <c r="AU5" s="166"/>
      <c r="AV5" s="166"/>
      <c r="AW5" s="166"/>
      <c r="BC5" s="168" t="s">
        <v>429</v>
      </c>
      <c r="BD5" s="166"/>
      <c r="BE5" s="166"/>
      <c r="BF5" s="166"/>
      <c r="BL5" s="168" t="s">
        <v>429</v>
      </c>
      <c r="BM5" s="166"/>
      <c r="BN5" s="166"/>
      <c r="BO5" s="166"/>
      <c r="BP5" s="166"/>
      <c r="BU5" s="168" t="s">
        <v>429</v>
      </c>
      <c r="BV5" s="166"/>
      <c r="BW5" s="166"/>
      <c r="BX5" s="166"/>
      <c r="CD5" s="325" t="s">
        <v>429</v>
      </c>
      <c r="CE5" s="329"/>
      <c r="CM5" s="325" t="s">
        <v>429</v>
      </c>
      <c r="CN5" s="329"/>
      <c r="CV5" s="338" t="s">
        <v>429</v>
      </c>
      <c r="CW5" s="337"/>
    </row>
    <row r="6" spans="1:107">
      <c r="A6" s="108" t="s">
        <v>457</v>
      </c>
      <c r="B6" s="114"/>
      <c r="D6" s="114"/>
      <c r="E6" s="114"/>
      <c r="F6" s="114"/>
      <c r="G6" s="114"/>
      <c r="H6" s="114"/>
      <c r="J6" s="108" t="s">
        <v>457</v>
      </c>
      <c r="Q6" s="128"/>
      <c r="S6" s="108" t="s">
        <v>457</v>
      </c>
      <c r="AB6" s="468" t="s">
        <v>457</v>
      </c>
      <c r="AC6" s="166"/>
      <c r="AD6" s="166"/>
      <c r="AE6" s="166"/>
      <c r="AK6" s="168" t="s">
        <v>457</v>
      </c>
      <c r="AL6" s="166"/>
      <c r="AM6" s="166"/>
      <c r="AT6" s="168" t="s">
        <v>457</v>
      </c>
      <c r="AU6" s="166"/>
      <c r="AV6" s="166"/>
      <c r="AW6" s="166"/>
      <c r="BC6" s="168" t="s">
        <v>457</v>
      </c>
      <c r="BD6" s="166"/>
      <c r="BE6" s="166"/>
      <c r="BF6" s="166"/>
      <c r="BL6" s="168" t="s">
        <v>457</v>
      </c>
      <c r="BM6" s="166"/>
      <c r="BN6" s="166"/>
      <c r="BO6" s="166"/>
      <c r="BP6" s="166"/>
      <c r="BU6" s="168" t="s">
        <v>457</v>
      </c>
      <c r="BV6" s="166"/>
      <c r="BW6" s="166"/>
      <c r="BX6" s="166"/>
      <c r="CD6" s="325" t="s">
        <v>457</v>
      </c>
      <c r="CE6" s="329"/>
      <c r="CM6" s="336" t="s">
        <v>457</v>
      </c>
      <c r="CN6" s="329"/>
      <c r="CV6" s="338" t="s">
        <v>457</v>
      </c>
      <c r="CW6" s="337"/>
    </row>
    <row r="7" spans="1:107">
      <c r="A7" s="429" t="s">
        <v>655</v>
      </c>
      <c r="B7" s="114"/>
      <c r="D7" s="114"/>
      <c r="E7" s="114"/>
      <c r="F7" s="114"/>
      <c r="G7" s="114"/>
      <c r="H7" s="114"/>
      <c r="J7" s="108" t="s">
        <v>656</v>
      </c>
      <c r="S7" s="439" t="s">
        <v>922</v>
      </c>
      <c r="T7" s="438"/>
      <c r="AB7" s="470" t="s">
        <v>1105</v>
      </c>
      <c r="AC7" s="469"/>
      <c r="AD7" s="166"/>
      <c r="AE7" s="166"/>
      <c r="AK7" s="168" t="s">
        <v>499</v>
      </c>
      <c r="AL7" s="166"/>
      <c r="AM7" s="166"/>
      <c r="AT7" s="168" t="s">
        <v>501</v>
      </c>
      <c r="AU7" s="166"/>
      <c r="AV7" s="166"/>
      <c r="AW7" s="166"/>
      <c r="BC7" s="168" t="s">
        <v>504</v>
      </c>
      <c r="BD7" s="166"/>
      <c r="BE7" s="166"/>
      <c r="BF7" s="166"/>
      <c r="BL7" s="168" t="s">
        <v>531</v>
      </c>
      <c r="BM7" s="166"/>
      <c r="BN7" s="166"/>
      <c r="BO7" s="166"/>
      <c r="BP7" s="166"/>
      <c r="BU7" s="168" t="s">
        <v>511</v>
      </c>
      <c r="BV7" s="166"/>
      <c r="BW7" s="166"/>
      <c r="BX7" s="166"/>
      <c r="CD7" s="325" t="s">
        <v>543</v>
      </c>
      <c r="CE7" s="329"/>
      <c r="CM7" s="325" t="s">
        <v>546</v>
      </c>
      <c r="CN7" s="329"/>
      <c r="CV7" s="338" t="s">
        <v>554</v>
      </c>
      <c r="CW7" s="337"/>
    </row>
    <row r="10" spans="1:107">
      <c r="BU10" s="153" t="s">
        <v>541</v>
      </c>
      <c r="CD10" s="153" t="s">
        <v>541</v>
      </c>
      <c r="CM10" s="153" t="s">
        <v>541</v>
      </c>
      <c r="CV10" s="153" t="s">
        <v>541</v>
      </c>
    </row>
    <row r="13" spans="1:107">
      <c r="A13" s="118" t="s">
        <v>435</v>
      </c>
      <c r="B13" s="118" t="s">
        <v>436</v>
      </c>
      <c r="C13" s="118" t="s">
        <v>430</v>
      </c>
      <c r="D13" s="118" t="s">
        <v>1</v>
      </c>
      <c r="E13" s="119" t="s">
        <v>431</v>
      </c>
      <c r="F13" s="120" t="s">
        <v>432</v>
      </c>
      <c r="G13" s="118" t="s">
        <v>433</v>
      </c>
      <c r="H13" s="118" t="s">
        <v>434</v>
      </c>
      <c r="J13" s="110" t="s">
        <v>435</v>
      </c>
      <c r="K13" s="110" t="s">
        <v>436</v>
      </c>
      <c r="L13" s="110" t="s">
        <v>430</v>
      </c>
      <c r="M13" s="110" t="s">
        <v>1</v>
      </c>
      <c r="N13" s="126" t="s">
        <v>431</v>
      </c>
      <c r="O13" s="127" t="s">
        <v>432</v>
      </c>
      <c r="P13" s="110" t="s">
        <v>433</v>
      </c>
      <c r="Q13" s="110" t="s">
        <v>434</v>
      </c>
      <c r="S13" s="110" t="s">
        <v>435</v>
      </c>
      <c r="T13" s="110" t="s">
        <v>436</v>
      </c>
      <c r="U13" s="110" t="s">
        <v>430</v>
      </c>
      <c r="V13" s="110" t="s">
        <v>1</v>
      </c>
      <c r="W13" s="126" t="s">
        <v>431</v>
      </c>
      <c r="X13" s="127" t="s">
        <v>432</v>
      </c>
      <c r="Y13" s="110" t="s">
        <v>433</v>
      </c>
      <c r="Z13" s="110" t="s">
        <v>434</v>
      </c>
      <c r="AB13" s="110" t="s">
        <v>435</v>
      </c>
      <c r="AC13" s="110" t="s">
        <v>436</v>
      </c>
      <c r="AD13" s="110" t="s">
        <v>430</v>
      </c>
      <c r="AE13" s="110" t="s">
        <v>1</v>
      </c>
      <c r="AF13" s="126" t="s">
        <v>431</v>
      </c>
      <c r="AG13" s="127" t="s">
        <v>432</v>
      </c>
      <c r="AH13" s="110" t="s">
        <v>433</v>
      </c>
      <c r="AI13" s="110" t="s">
        <v>434</v>
      </c>
      <c r="AK13" s="110" t="s">
        <v>435</v>
      </c>
      <c r="AL13" s="110" t="s">
        <v>436</v>
      </c>
      <c r="AM13" s="110" t="s">
        <v>430</v>
      </c>
      <c r="AN13" s="110" t="s">
        <v>1</v>
      </c>
      <c r="AO13" s="126" t="s">
        <v>431</v>
      </c>
      <c r="AP13" s="127" t="s">
        <v>432</v>
      </c>
      <c r="AQ13" s="110" t="s">
        <v>433</v>
      </c>
      <c r="AR13" s="110" t="s">
        <v>434</v>
      </c>
      <c r="AT13" s="110" t="s">
        <v>435</v>
      </c>
      <c r="AU13" s="110" t="s">
        <v>436</v>
      </c>
      <c r="AV13" s="110" t="s">
        <v>430</v>
      </c>
      <c r="AW13" s="110" t="s">
        <v>1</v>
      </c>
      <c r="AX13" s="126" t="s">
        <v>431</v>
      </c>
      <c r="AY13" s="127" t="s">
        <v>432</v>
      </c>
      <c r="AZ13" s="110" t="s">
        <v>433</v>
      </c>
      <c r="BA13" s="110" t="s">
        <v>434</v>
      </c>
      <c r="BC13" s="110" t="s">
        <v>435</v>
      </c>
      <c r="BD13" s="110" t="s">
        <v>436</v>
      </c>
      <c r="BE13" s="110" t="s">
        <v>430</v>
      </c>
      <c r="BF13" s="110" t="s">
        <v>1</v>
      </c>
      <c r="BG13" s="126" t="s">
        <v>431</v>
      </c>
      <c r="BH13" s="127" t="s">
        <v>432</v>
      </c>
      <c r="BI13" s="110" t="s">
        <v>433</v>
      </c>
      <c r="BJ13" s="110" t="s">
        <v>434</v>
      </c>
      <c r="BL13" s="110" t="s">
        <v>435</v>
      </c>
      <c r="BM13" s="110" t="s">
        <v>436</v>
      </c>
      <c r="BN13" s="110" t="s">
        <v>430</v>
      </c>
      <c r="BO13" s="110" t="s">
        <v>1</v>
      </c>
      <c r="BP13" s="126" t="s">
        <v>431</v>
      </c>
      <c r="BQ13" s="127" t="s">
        <v>432</v>
      </c>
      <c r="BR13" s="110" t="s">
        <v>433</v>
      </c>
      <c r="BS13" s="110" t="s">
        <v>434</v>
      </c>
      <c r="BU13" s="171" t="s">
        <v>435</v>
      </c>
      <c r="BV13" s="171" t="s">
        <v>436</v>
      </c>
      <c r="BW13" s="171" t="s">
        <v>430</v>
      </c>
      <c r="BX13" s="171" t="s">
        <v>1</v>
      </c>
      <c r="BY13" s="172" t="s">
        <v>431</v>
      </c>
      <c r="BZ13" s="173" t="s">
        <v>432</v>
      </c>
      <c r="CA13" s="171" t="s">
        <v>433</v>
      </c>
      <c r="CB13" s="171" t="s">
        <v>434</v>
      </c>
      <c r="CD13" s="171" t="s">
        <v>435</v>
      </c>
      <c r="CE13" s="171" t="s">
        <v>436</v>
      </c>
      <c r="CF13" s="171" t="s">
        <v>430</v>
      </c>
      <c r="CG13" s="171" t="s">
        <v>1</v>
      </c>
      <c r="CH13" s="172" t="s">
        <v>431</v>
      </c>
      <c r="CI13" s="173" t="s">
        <v>432</v>
      </c>
      <c r="CJ13" s="171" t="s">
        <v>433</v>
      </c>
      <c r="CK13" s="171" t="s">
        <v>434</v>
      </c>
      <c r="CM13" s="171" t="s">
        <v>435</v>
      </c>
      <c r="CN13" s="171" t="s">
        <v>436</v>
      </c>
      <c r="CO13" s="171" t="s">
        <v>430</v>
      </c>
      <c r="CP13" s="171" t="s">
        <v>1</v>
      </c>
      <c r="CQ13" s="172" t="s">
        <v>431</v>
      </c>
      <c r="CR13" s="173" t="s">
        <v>432</v>
      </c>
      <c r="CS13" s="171" t="s">
        <v>433</v>
      </c>
      <c r="CT13" s="171" t="s">
        <v>434</v>
      </c>
      <c r="CV13" s="342" t="s">
        <v>435</v>
      </c>
      <c r="CW13" s="342" t="s">
        <v>436</v>
      </c>
      <c r="CX13" s="342" t="s">
        <v>430</v>
      </c>
      <c r="CY13" s="342" t="s">
        <v>1</v>
      </c>
      <c r="CZ13" s="343" t="s">
        <v>431</v>
      </c>
      <c r="DA13" s="344" t="s">
        <v>432</v>
      </c>
      <c r="DB13" s="342" t="s">
        <v>433</v>
      </c>
      <c r="DC13" s="342" t="s">
        <v>434</v>
      </c>
    </row>
    <row r="14" spans="1:107">
      <c r="A14" s="115" t="s">
        <v>397</v>
      </c>
      <c r="B14" s="115" t="s">
        <v>397</v>
      </c>
      <c r="C14" s="115" t="s">
        <v>397</v>
      </c>
      <c r="D14" s="115" t="s">
        <v>397</v>
      </c>
      <c r="E14" s="114"/>
      <c r="F14" s="114"/>
      <c r="G14" s="115" t="s">
        <v>397</v>
      </c>
      <c r="H14" s="115" t="s">
        <v>397</v>
      </c>
      <c r="J14" s="108" t="s">
        <v>397</v>
      </c>
      <c r="K14" s="108" t="s">
        <v>397</v>
      </c>
      <c r="L14" s="108" t="s">
        <v>397</v>
      </c>
      <c r="M14" s="108" t="s">
        <v>397</v>
      </c>
      <c r="P14" s="108" t="s">
        <v>397</v>
      </c>
      <c r="Q14" s="108" t="s">
        <v>397</v>
      </c>
      <c r="S14" s="108" t="s">
        <v>397</v>
      </c>
      <c r="T14" s="108" t="s">
        <v>397</v>
      </c>
      <c r="U14" s="108" t="s">
        <v>397</v>
      </c>
      <c r="V14" s="108" t="s">
        <v>397</v>
      </c>
      <c r="Y14" s="108" t="s">
        <v>397</v>
      </c>
      <c r="Z14" s="108" t="s">
        <v>397</v>
      </c>
      <c r="CV14" s="338" t="s">
        <v>397</v>
      </c>
      <c r="CW14" s="338" t="s">
        <v>397</v>
      </c>
      <c r="CX14" s="338" t="s">
        <v>397</v>
      </c>
      <c r="CY14" s="338" t="s">
        <v>397</v>
      </c>
      <c r="CZ14" s="337"/>
      <c r="DA14" s="337"/>
      <c r="DB14" s="338" t="s">
        <v>397</v>
      </c>
      <c r="DC14" s="338" t="s">
        <v>397</v>
      </c>
    </row>
    <row r="15" spans="1:107">
      <c r="A15" s="402">
        <v>331322</v>
      </c>
      <c r="B15" s="401" t="s">
        <v>610</v>
      </c>
      <c r="C15" s="401" t="s">
        <v>611</v>
      </c>
      <c r="D15" s="402">
        <v>215101</v>
      </c>
      <c r="E15" s="405">
        <v>1200</v>
      </c>
      <c r="F15" s="427">
        <v>46036</v>
      </c>
      <c r="G15" s="401" t="s">
        <v>524</v>
      </c>
      <c r="H15" s="401" t="s">
        <v>612</v>
      </c>
      <c r="J15" s="402">
        <v>331205</v>
      </c>
      <c r="K15" s="401" t="s">
        <v>276</v>
      </c>
      <c r="L15" s="401" t="s">
        <v>613</v>
      </c>
      <c r="M15" s="402">
        <v>211104</v>
      </c>
      <c r="N15" s="405">
        <v>1688.76</v>
      </c>
      <c r="O15" s="427">
        <v>46071</v>
      </c>
      <c r="P15" s="401" t="s">
        <v>524</v>
      </c>
      <c r="Q15" s="401" t="s">
        <v>614</v>
      </c>
      <c r="S15" s="443">
        <v>331504</v>
      </c>
      <c r="T15" s="442" t="s">
        <v>303</v>
      </c>
      <c r="U15" s="442" t="s">
        <v>1050</v>
      </c>
      <c r="V15" s="443">
        <v>211103</v>
      </c>
      <c r="W15" s="441">
        <v>6053.6</v>
      </c>
      <c r="X15" s="453">
        <v>46108</v>
      </c>
      <c r="Y15" s="442" t="s">
        <v>524</v>
      </c>
      <c r="Z15" s="442" t="s">
        <v>1051</v>
      </c>
      <c r="AB15" s="165">
        <v>331252</v>
      </c>
      <c r="AC15" s="171" t="s">
        <v>279</v>
      </c>
      <c r="AD15" s="171" t="s">
        <v>1086</v>
      </c>
      <c r="AE15" s="165">
        <v>211104</v>
      </c>
      <c r="AF15" s="172">
        <v>1560</v>
      </c>
      <c r="AG15" s="173">
        <v>46142</v>
      </c>
      <c r="AH15" s="171" t="s">
        <v>524</v>
      </c>
      <c r="AI15" s="171" t="s">
        <v>1087</v>
      </c>
      <c r="AK15" s="165"/>
      <c r="AL15" s="171"/>
      <c r="AM15" s="171"/>
      <c r="AN15" s="171"/>
      <c r="AO15" s="172"/>
      <c r="AP15" s="173"/>
      <c r="AQ15" s="171"/>
      <c r="AR15" s="171"/>
      <c r="AT15" s="165"/>
      <c r="AU15" s="171"/>
      <c r="AV15" s="171"/>
      <c r="AW15" s="171"/>
      <c r="AX15" s="172"/>
      <c r="AY15" s="173"/>
      <c r="AZ15" s="171"/>
      <c r="BA15" s="171"/>
      <c r="BC15" s="165"/>
      <c r="BD15" s="171"/>
      <c r="BE15" s="171"/>
      <c r="BF15" s="171"/>
      <c r="BG15" s="172"/>
      <c r="BH15" s="173"/>
      <c r="BI15" s="171"/>
      <c r="BJ15" s="171"/>
      <c r="BL15" s="165"/>
      <c r="BM15" s="171"/>
      <c r="BN15" s="171"/>
      <c r="BO15" s="171"/>
      <c r="BP15" s="172"/>
      <c r="BQ15" s="173"/>
      <c r="BR15" s="171"/>
      <c r="BS15" s="171"/>
      <c r="BU15" s="165"/>
      <c r="BV15" s="171"/>
      <c r="BW15" s="171"/>
      <c r="BX15" s="171"/>
      <c r="BY15" s="172"/>
      <c r="BZ15" s="173"/>
      <c r="CA15" s="171"/>
      <c r="CB15" s="171"/>
      <c r="CD15" s="332"/>
      <c r="CE15" s="327"/>
      <c r="CF15" s="327"/>
      <c r="CG15" s="327"/>
      <c r="CH15" s="328"/>
      <c r="CI15" s="331"/>
      <c r="CJ15" s="327"/>
      <c r="CK15" s="327"/>
      <c r="CM15" s="332"/>
      <c r="CN15" s="327"/>
      <c r="CO15" s="327"/>
      <c r="CP15" s="327"/>
      <c r="CQ15" s="328"/>
      <c r="CR15" s="331"/>
      <c r="CS15" s="327"/>
      <c r="CT15" s="327"/>
      <c r="CV15" s="339"/>
      <c r="CW15" s="342"/>
      <c r="CX15" s="342"/>
      <c r="CY15" s="342"/>
      <c r="CZ15" s="343"/>
      <c r="DA15" s="344"/>
      <c r="DB15" s="342"/>
      <c r="DC15" s="342"/>
    </row>
    <row r="16" spans="1:107">
      <c r="A16" s="406">
        <v>331308</v>
      </c>
      <c r="B16" s="403" t="s">
        <v>407</v>
      </c>
      <c r="C16" s="403" t="s">
        <v>615</v>
      </c>
      <c r="D16" s="406">
        <v>215101</v>
      </c>
      <c r="E16" s="404">
        <v>407.67</v>
      </c>
      <c r="F16" s="428">
        <v>46044</v>
      </c>
      <c r="G16" s="403" t="s">
        <v>524</v>
      </c>
      <c r="H16" s="403" t="s">
        <v>616</v>
      </c>
      <c r="J16" s="406">
        <v>331252</v>
      </c>
      <c r="K16" s="403" t="s">
        <v>279</v>
      </c>
      <c r="L16" s="403" t="s">
        <v>617</v>
      </c>
      <c r="M16" s="406">
        <v>211104</v>
      </c>
      <c r="N16" s="404">
        <v>1755</v>
      </c>
      <c r="O16" s="428">
        <v>46062</v>
      </c>
      <c r="P16" s="403" t="s">
        <v>524</v>
      </c>
      <c r="Q16" s="403" t="s">
        <v>618</v>
      </c>
      <c r="S16" s="438">
        <v>331252</v>
      </c>
      <c r="T16" s="439" t="s">
        <v>279</v>
      </c>
      <c r="U16" s="439" t="s">
        <v>1052</v>
      </c>
      <c r="V16" s="438">
        <v>211104</v>
      </c>
      <c r="W16" s="440">
        <v>1170</v>
      </c>
      <c r="X16" s="452">
        <v>46112</v>
      </c>
      <c r="Y16" s="439" t="s">
        <v>524</v>
      </c>
      <c r="Z16" s="439" t="s">
        <v>1053</v>
      </c>
      <c r="AB16" s="166">
        <v>331501</v>
      </c>
      <c r="AC16" s="168" t="s">
        <v>412</v>
      </c>
      <c r="AD16" s="168" t="s">
        <v>1088</v>
      </c>
      <c r="AE16" s="166">
        <v>211103</v>
      </c>
      <c r="AF16" s="169">
        <v>663.4</v>
      </c>
      <c r="AG16" s="170">
        <v>46118</v>
      </c>
      <c r="AH16" s="168" t="s">
        <v>524</v>
      </c>
      <c r="AI16" s="168" t="s">
        <v>1089</v>
      </c>
      <c r="AK16" s="166"/>
      <c r="AL16" s="168"/>
      <c r="AM16" s="168"/>
      <c r="AN16" s="168"/>
      <c r="AO16" s="169"/>
      <c r="AP16" s="170"/>
      <c r="AQ16" s="168"/>
      <c r="AR16" s="168"/>
      <c r="AT16" s="166"/>
      <c r="AU16" s="168"/>
      <c r="AV16" s="168"/>
      <c r="AW16" s="168"/>
      <c r="AX16" s="169"/>
      <c r="AY16" s="170"/>
      <c r="AZ16" s="168"/>
      <c r="BA16" s="168"/>
      <c r="BC16" s="166"/>
      <c r="BD16" s="168"/>
      <c r="BE16" s="168"/>
      <c r="BF16" s="168"/>
      <c r="BG16" s="169"/>
      <c r="BH16" s="170"/>
      <c r="BI16" s="168"/>
      <c r="BJ16" s="168"/>
      <c r="BL16" s="166"/>
      <c r="BM16" s="168"/>
      <c r="BN16" s="168"/>
      <c r="BO16" s="168"/>
      <c r="BP16" s="169"/>
      <c r="BQ16" s="170"/>
      <c r="BR16" s="168"/>
      <c r="BS16" s="168"/>
      <c r="BU16" s="166"/>
      <c r="BV16" s="168"/>
      <c r="BW16" s="168"/>
      <c r="BX16" s="168"/>
      <c r="BY16" s="169"/>
      <c r="BZ16" s="170"/>
      <c r="CA16" s="168"/>
      <c r="CB16" s="168"/>
      <c r="CD16" s="329"/>
      <c r="CE16" s="325"/>
      <c r="CF16" s="325"/>
      <c r="CG16" s="325"/>
      <c r="CH16" s="326"/>
      <c r="CI16" s="330"/>
      <c r="CJ16" s="325"/>
      <c r="CK16" s="325"/>
      <c r="CM16" s="329"/>
      <c r="CN16" s="325"/>
      <c r="CO16" s="325"/>
      <c r="CP16" s="325"/>
      <c r="CQ16" s="326"/>
      <c r="CR16" s="330"/>
      <c r="CS16" s="325"/>
      <c r="CT16" s="325"/>
      <c r="CV16" s="337"/>
      <c r="CW16" s="338"/>
      <c r="CX16" s="338"/>
      <c r="CY16" s="338"/>
      <c r="CZ16" s="340"/>
      <c r="DA16" s="341"/>
      <c r="DB16" s="338"/>
      <c r="DC16" s="338"/>
    </row>
    <row r="17" spans="1:107">
      <c r="A17" s="402">
        <v>332408</v>
      </c>
      <c r="B17" s="401" t="s">
        <v>417</v>
      </c>
      <c r="C17" s="401" t="s">
        <v>619</v>
      </c>
      <c r="D17" s="402">
        <v>211104</v>
      </c>
      <c r="E17" s="405">
        <v>300</v>
      </c>
      <c r="F17" s="427">
        <v>46024</v>
      </c>
      <c r="G17" s="401" t="s">
        <v>524</v>
      </c>
      <c r="H17" s="401" t="s">
        <v>620</v>
      </c>
      <c r="J17" s="402">
        <v>331504</v>
      </c>
      <c r="K17" s="401" t="s">
        <v>303</v>
      </c>
      <c r="L17" s="401" t="s">
        <v>621</v>
      </c>
      <c r="M17" s="402">
        <v>211103</v>
      </c>
      <c r="N17" s="405">
        <v>7084.5</v>
      </c>
      <c r="O17" s="427">
        <v>46056</v>
      </c>
      <c r="P17" s="401" t="s">
        <v>524</v>
      </c>
      <c r="Q17" s="401" t="s">
        <v>622</v>
      </c>
      <c r="S17" s="443">
        <v>331205</v>
      </c>
      <c r="T17" s="442" t="s">
        <v>276</v>
      </c>
      <c r="U17" s="442" t="s">
        <v>1054</v>
      </c>
      <c r="V17" s="443">
        <v>211104</v>
      </c>
      <c r="W17" s="441">
        <v>2449.7199999999998</v>
      </c>
      <c r="X17" s="453">
        <v>46107</v>
      </c>
      <c r="Y17" s="442" t="s">
        <v>524</v>
      </c>
      <c r="Z17" s="442" t="s">
        <v>1055</v>
      </c>
      <c r="AB17" s="165">
        <v>331504</v>
      </c>
      <c r="AC17" s="171" t="s">
        <v>303</v>
      </c>
      <c r="AD17" s="171" t="s">
        <v>1090</v>
      </c>
      <c r="AE17" s="165">
        <v>211103</v>
      </c>
      <c r="AF17" s="172">
        <v>6770.9</v>
      </c>
      <c r="AG17" s="173">
        <v>46118</v>
      </c>
      <c r="AH17" s="171" t="s">
        <v>524</v>
      </c>
      <c r="AI17" s="171" t="s">
        <v>1091</v>
      </c>
      <c r="AK17" s="165"/>
      <c r="AL17" s="171"/>
      <c r="AM17" s="171"/>
      <c r="AN17" s="171"/>
      <c r="AO17" s="172"/>
      <c r="AP17" s="173"/>
      <c r="AQ17" s="171"/>
      <c r="AR17" s="171"/>
      <c r="AT17" s="165"/>
      <c r="AU17" s="171"/>
      <c r="AV17" s="171"/>
      <c r="AW17" s="171"/>
      <c r="AX17" s="172"/>
      <c r="AY17" s="173"/>
      <c r="AZ17" s="171"/>
      <c r="BA17" s="171"/>
      <c r="BC17" s="165"/>
      <c r="BD17" s="171"/>
      <c r="BE17" s="171"/>
      <c r="BF17" s="171"/>
      <c r="BG17" s="172"/>
      <c r="BH17" s="173"/>
      <c r="BI17" s="171"/>
      <c r="BJ17" s="171"/>
      <c r="BL17" s="165"/>
      <c r="BM17" s="171"/>
      <c r="BN17" s="171"/>
      <c r="BO17" s="171"/>
      <c r="BP17" s="172"/>
      <c r="BQ17" s="173"/>
      <c r="BR17" s="171"/>
      <c r="BS17" s="171"/>
      <c r="BU17" s="165"/>
      <c r="BV17" s="171"/>
      <c r="BW17" s="171"/>
      <c r="BX17" s="171"/>
      <c r="BY17" s="172"/>
      <c r="BZ17" s="173"/>
      <c r="CA17" s="171"/>
      <c r="CB17" s="171"/>
      <c r="CD17" s="332"/>
      <c r="CE17" s="327"/>
      <c r="CF17" s="327"/>
      <c r="CG17" s="327"/>
      <c r="CH17" s="328"/>
      <c r="CI17" s="331"/>
      <c r="CJ17" s="327"/>
      <c r="CK17" s="327"/>
      <c r="CM17" s="332"/>
      <c r="CN17" s="327"/>
      <c r="CO17" s="327"/>
      <c r="CP17" s="327"/>
      <c r="CQ17" s="328"/>
      <c r="CR17" s="331"/>
      <c r="CS17" s="327"/>
      <c r="CT17" s="327"/>
      <c r="CV17" s="339"/>
      <c r="CW17" s="342"/>
      <c r="CX17" s="342"/>
      <c r="CY17" s="342"/>
      <c r="CZ17" s="345"/>
      <c r="DA17" s="344"/>
      <c r="DB17" s="342"/>
      <c r="DC17" s="342"/>
    </row>
    <row r="18" spans="1:107">
      <c r="A18" s="406">
        <v>331604</v>
      </c>
      <c r="B18" s="403" t="s">
        <v>305</v>
      </c>
      <c r="C18" s="403" t="s">
        <v>623</v>
      </c>
      <c r="D18" s="406">
        <v>211104</v>
      </c>
      <c r="E18" s="404">
        <v>7400.84</v>
      </c>
      <c r="F18" s="428">
        <v>46035</v>
      </c>
      <c r="G18" s="403" t="s">
        <v>524</v>
      </c>
      <c r="H18" s="403" t="s">
        <v>624</v>
      </c>
      <c r="J18" s="406">
        <v>331604</v>
      </c>
      <c r="K18" s="403" t="s">
        <v>305</v>
      </c>
      <c r="L18" s="403" t="s">
        <v>625</v>
      </c>
      <c r="M18" s="406">
        <v>211104</v>
      </c>
      <c r="N18" s="404">
        <v>7716.1</v>
      </c>
      <c r="O18" s="428">
        <v>46066</v>
      </c>
      <c r="P18" s="403" t="s">
        <v>524</v>
      </c>
      <c r="Q18" s="403" t="s">
        <v>626</v>
      </c>
      <c r="S18" s="438">
        <v>332408</v>
      </c>
      <c r="T18" s="439" t="s">
        <v>417</v>
      </c>
      <c r="U18" s="439" t="s">
        <v>1056</v>
      </c>
      <c r="V18" s="438">
        <v>211103</v>
      </c>
      <c r="W18" s="440">
        <v>825</v>
      </c>
      <c r="X18" s="452">
        <v>46100</v>
      </c>
      <c r="Y18" s="439" t="s">
        <v>524</v>
      </c>
      <c r="Z18" s="439" t="s">
        <v>1057</v>
      </c>
      <c r="AB18" s="166">
        <v>331604</v>
      </c>
      <c r="AC18" s="168" t="s">
        <v>305</v>
      </c>
      <c r="AD18" s="168" t="s">
        <v>1092</v>
      </c>
      <c r="AE18" s="166">
        <v>211104</v>
      </c>
      <c r="AF18" s="169">
        <v>7716.1</v>
      </c>
      <c r="AG18" s="170">
        <v>46125</v>
      </c>
      <c r="AH18" s="168" t="s">
        <v>524</v>
      </c>
      <c r="AI18" s="168" t="s">
        <v>1093</v>
      </c>
      <c r="AK18" s="166"/>
      <c r="AL18" s="168"/>
      <c r="AM18" s="168"/>
      <c r="AN18" s="168"/>
      <c r="AO18" s="169"/>
      <c r="AP18" s="170"/>
      <c r="AQ18" s="168"/>
      <c r="AR18" s="168"/>
      <c r="AT18" s="166"/>
      <c r="AU18" s="168"/>
      <c r="AV18" s="168"/>
      <c r="AW18" s="168"/>
      <c r="AX18" s="169"/>
      <c r="AY18" s="170"/>
      <c r="AZ18" s="168"/>
      <c r="BA18" s="168"/>
      <c r="BC18" s="166"/>
      <c r="BD18" s="168"/>
      <c r="BE18" s="168"/>
      <c r="BF18" s="168"/>
      <c r="BG18" s="169"/>
      <c r="BH18" s="170"/>
      <c r="BI18" s="168"/>
      <c r="BJ18" s="168"/>
      <c r="BL18" s="166"/>
      <c r="BM18" s="168"/>
      <c r="BN18" s="168"/>
      <c r="BO18" s="168"/>
      <c r="BP18" s="169"/>
      <c r="BQ18" s="170"/>
      <c r="BR18" s="168"/>
      <c r="BS18" s="168"/>
      <c r="BU18" s="166"/>
      <c r="BV18" s="168"/>
      <c r="BW18" s="168"/>
      <c r="BX18" s="168"/>
      <c r="BY18" s="169"/>
      <c r="BZ18" s="170"/>
      <c r="CA18" s="168"/>
      <c r="CB18" s="168"/>
      <c r="CD18" s="329"/>
      <c r="CE18" s="325"/>
      <c r="CF18" s="325"/>
      <c r="CG18" s="325"/>
      <c r="CH18" s="326"/>
      <c r="CI18" s="330"/>
      <c r="CJ18" s="325"/>
      <c r="CK18" s="325"/>
      <c r="CM18" s="329"/>
      <c r="CN18" s="325"/>
      <c r="CO18" s="325"/>
      <c r="CP18" s="325"/>
      <c r="CQ18" s="326"/>
      <c r="CR18" s="330"/>
      <c r="CS18" s="325"/>
      <c r="CT18" s="325"/>
      <c r="CV18" s="337"/>
      <c r="CW18" s="338"/>
      <c r="CX18" s="338"/>
      <c r="CY18" s="338"/>
      <c r="CZ18" s="340"/>
      <c r="DA18" s="341"/>
      <c r="DB18" s="338"/>
      <c r="DC18" s="338"/>
    </row>
    <row r="19" spans="1:107">
      <c r="A19" s="402">
        <v>331504</v>
      </c>
      <c r="B19" s="401" t="s">
        <v>303</v>
      </c>
      <c r="C19" s="401" t="s">
        <v>627</v>
      </c>
      <c r="D19" s="402">
        <v>211103</v>
      </c>
      <c r="E19" s="405">
        <v>7860</v>
      </c>
      <c r="F19" s="427">
        <v>46034</v>
      </c>
      <c r="G19" s="401" t="s">
        <v>524</v>
      </c>
      <c r="H19" s="401" t="s">
        <v>628</v>
      </c>
      <c r="J19" s="402">
        <v>332305</v>
      </c>
      <c r="K19" s="401" t="s">
        <v>310</v>
      </c>
      <c r="L19" s="401" t="s">
        <v>629</v>
      </c>
      <c r="M19" s="402">
        <v>211104</v>
      </c>
      <c r="N19" s="405">
        <v>1300</v>
      </c>
      <c r="O19" s="427">
        <v>46066</v>
      </c>
      <c r="P19" s="401" t="s">
        <v>524</v>
      </c>
      <c r="Q19" s="401" t="s">
        <v>630</v>
      </c>
      <c r="S19" s="443">
        <v>332305</v>
      </c>
      <c r="T19" s="442" t="s">
        <v>310</v>
      </c>
      <c r="U19" s="442" t="s">
        <v>1058</v>
      </c>
      <c r="V19" s="443">
        <v>211104</v>
      </c>
      <c r="W19" s="441">
        <v>2989</v>
      </c>
      <c r="X19" s="453">
        <v>46086</v>
      </c>
      <c r="Y19" s="442" t="s">
        <v>524</v>
      </c>
      <c r="Z19" s="442" t="s">
        <v>1059</v>
      </c>
      <c r="AB19" s="165">
        <v>215323</v>
      </c>
      <c r="AC19" s="171" t="s">
        <v>272</v>
      </c>
      <c r="AD19" s="171" t="s">
        <v>1094</v>
      </c>
      <c r="AE19" s="165">
        <v>211104</v>
      </c>
      <c r="AF19" s="172">
        <v>26780</v>
      </c>
      <c r="AG19" s="173">
        <v>46125</v>
      </c>
      <c r="AH19" s="171" t="s">
        <v>524</v>
      </c>
      <c r="AI19" s="171" t="s">
        <v>1093</v>
      </c>
      <c r="AK19" s="165"/>
      <c r="AL19" s="171"/>
      <c r="AM19" s="171"/>
      <c r="AN19" s="171"/>
      <c r="AO19" s="172"/>
      <c r="AP19" s="173"/>
      <c r="AQ19" s="171"/>
      <c r="AR19" s="171"/>
      <c r="AT19" s="165"/>
      <c r="AU19" s="171"/>
      <c r="AV19" s="171"/>
      <c r="AW19" s="171"/>
      <c r="AX19" s="172"/>
      <c r="AY19" s="173"/>
      <c r="AZ19" s="171"/>
      <c r="BA19" s="171"/>
      <c r="BC19" s="165"/>
      <c r="BD19" s="171"/>
      <c r="BE19" s="171"/>
      <c r="BF19" s="171"/>
      <c r="BG19" s="172"/>
      <c r="BH19" s="173"/>
      <c r="BI19" s="171"/>
      <c r="BJ19" s="171"/>
      <c r="BL19" s="165"/>
      <c r="BM19" s="171"/>
      <c r="BN19" s="171"/>
      <c r="BO19" s="171"/>
      <c r="BP19" s="172"/>
      <c r="BQ19" s="173"/>
      <c r="BR19" s="171"/>
      <c r="BS19" s="171"/>
      <c r="BU19" s="165"/>
      <c r="BV19" s="171"/>
      <c r="BW19" s="171"/>
      <c r="BX19" s="171"/>
      <c r="BY19" s="172"/>
      <c r="BZ19" s="173"/>
      <c r="CA19" s="171"/>
      <c r="CB19" s="171"/>
      <c r="CD19" s="332"/>
      <c r="CE19" s="327"/>
      <c r="CF19" s="327"/>
      <c r="CG19" s="327"/>
      <c r="CH19" s="328"/>
      <c r="CI19" s="331"/>
      <c r="CJ19" s="327"/>
      <c r="CK19" s="327"/>
      <c r="CM19" s="332"/>
      <c r="CN19" s="327"/>
      <c r="CO19" s="327"/>
      <c r="CP19" s="327"/>
      <c r="CQ19" s="328"/>
      <c r="CR19" s="331"/>
      <c r="CS19" s="327"/>
      <c r="CT19" s="327"/>
      <c r="CV19" s="339"/>
      <c r="CW19" s="342"/>
      <c r="CX19" s="342"/>
      <c r="CY19" s="342"/>
      <c r="CZ19" s="343"/>
      <c r="DA19" s="344"/>
      <c r="DB19" s="342"/>
      <c r="DC19" s="342"/>
    </row>
    <row r="20" spans="1:107">
      <c r="A20" s="406">
        <v>331452</v>
      </c>
      <c r="B20" s="403" t="s">
        <v>299</v>
      </c>
      <c r="C20" s="403" t="s">
        <v>631</v>
      </c>
      <c r="D20" s="406">
        <v>211103</v>
      </c>
      <c r="E20" s="404">
        <v>251.28</v>
      </c>
      <c r="F20" s="428">
        <v>46044</v>
      </c>
      <c r="G20" s="403" t="s">
        <v>524</v>
      </c>
      <c r="H20" s="403" t="s">
        <v>632</v>
      </c>
      <c r="J20" s="406">
        <v>215323</v>
      </c>
      <c r="K20" s="403" t="s">
        <v>272</v>
      </c>
      <c r="L20" s="403" t="s">
        <v>633</v>
      </c>
      <c r="M20" s="406">
        <v>211104</v>
      </c>
      <c r="N20" s="404">
        <v>19600</v>
      </c>
      <c r="O20" s="428">
        <v>46066</v>
      </c>
      <c r="P20" s="403" t="s">
        <v>524</v>
      </c>
      <c r="Q20" s="403" t="s">
        <v>626</v>
      </c>
      <c r="S20" s="438">
        <v>331604</v>
      </c>
      <c r="T20" s="439" t="s">
        <v>305</v>
      </c>
      <c r="U20" s="439" t="s">
        <v>1060</v>
      </c>
      <c r="V20" s="438">
        <v>211104</v>
      </c>
      <c r="W20" s="440">
        <v>7716.1</v>
      </c>
      <c r="X20" s="452">
        <v>46094</v>
      </c>
      <c r="Y20" s="439" t="s">
        <v>524</v>
      </c>
      <c r="Z20" s="439" t="s">
        <v>1061</v>
      </c>
      <c r="AB20" s="166">
        <v>331106</v>
      </c>
      <c r="AC20" s="168" t="s">
        <v>273</v>
      </c>
      <c r="AD20" s="168" t="s">
        <v>1095</v>
      </c>
      <c r="AE20" s="166">
        <v>211104</v>
      </c>
      <c r="AF20" s="169">
        <v>23625.88</v>
      </c>
      <c r="AG20" s="170">
        <v>46140</v>
      </c>
      <c r="AH20" s="168" t="s">
        <v>524</v>
      </c>
      <c r="AI20" s="168" t="s">
        <v>1096</v>
      </c>
      <c r="AK20" s="166"/>
      <c r="AL20" s="168"/>
      <c r="AM20" s="168"/>
      <c r="AN20" s="168"/>
      <c r="AO20" s="169"/>
      <c r="AP20" s="170"/>
      <c r="AQ20" s="168"/>
      <c r="AR20" s="168"/>
      <c r="AT20" s="166"/>
      <c r="AU20" s="168"/>
      <c r="AV20" s="168"/>
      <c r="AW20" s="168"/>
      <c r="AX20" s="169"/>
      <c r="AY20" s="170"/>
      <c r="AZ20" s="168"/>
      <c r="BA20" s="168"/>
      <c r="BC20" s="166"/>
      <c r="BD20" s="168"/>
      <c r="BE20" s="168"/>
      <c r="BF20" s="168"/>
      <c r="BG20" s="169"/>
      <c r="BH20" s="170"/>
      <c r="BI20" s="168"/>
      <c r="BJ20" s="168"/>
      <c r="BL20" s="166"/>
      <c r="BM20" s="168"/>
      <c r="BN20" s="168"/>
      <c r="BO20" s="168"/>
      <c r="BP20" s="169"/>
      <c r="BQ20" s="170"/>
      <c r="BR20" s="168"/>
      <c r="BS20" s="168"/>
      <c r="BU20" s="166"/>
      <c r="BV20" s="168"/>
      <c r="BW20" s="168"/>
      <c r="BX20" s="168"/>
      <c r="BY20" s="169"/>
      <c r="BZ20" s="170"/>
      <c r="CA20" s="168"/>
      <c r="CB20" s="168"/>
      <c r="CD20" s="329"/>
      <c r="CE20" s="325"/>
      <c r="CF20" s="325"/>
      <c r="CG20" s="325"/>
      <c r="CH20" s="326"/>
      <c r="CI20" s="330"/>
      <c r="CJ20" s="325"/>
      <c r="CK20" s="325"/>
      <c r="CM20" s="329"/>
      <c r="CN20" s="325"/>
      <c r="CO20" s="325"/>
      <c r="CP20" s="325"/>
      <c r="CQ20" s="326"/>
      <c r="CR20" s="330"/>
      <c r="CS20" s="325"/>
      <c r="CT20" s="325"/>
      <c r="CV20" s="337"/>
      <c r="CW20" s="338"/>
      <c r="CX20" s="338"/>
      <c r="CY20" s="338"/>
      <c r="CZ20" s="340"/>
      <c r="DA20" s="341"/>
      <c r="DB20" s="338"/>
      <c r="DC20" s="338"/>
    </row>
    <row r="21" spans="1:107">
      <c r="A21" s="402">
        <v>331106</v>
      </c>
      <c r="B21" s="401" t="s">
        <v>273</v>
      </c>
      <c r="C21" s="401" t="s">
        <v>634</v>
      </c>
      <c r="D21" s="402">
        <v>211104</v>
      </c>
      <c r="E21" s="405">
        <v>20766.75</v>
      </c>
      <c r="F21" s="427">
        <v>46049</v>
      </c>
      <c r="G21" s="401" t="s">
        <v>524</v>
      </c>
      <c r="H21" s="401" t="s">
        <v>635</v>
      </c>
      <c r="J21" s="402">
        <v>321101</v>
      </c>
      <c r="K21" s="401" t="s">
        <v>490</v>
      </c>
      <c r="L21" s="401" t="s">
        <v>636</v>
      </c>
      <c r="M21" s="402">
        <v>211104</v>
      </c>
      <c r="N21" s="405">
        <v>2952.99</v>
      </c>
      <c r="O21" s="427">
        <v>46065</v>
      </c>
      <c r="P21" s="401" t="s">
        <v>524</v>
      </c>
      <c r="Q21" s="401" t="s">
        <v>637</v>
      </c>
      <c r="S21" s="443">
        <v>321101</v>
      </c>
      <c r="T21" s="442" t="s">
        <v>490</v>
      </c>
      <c r="U21" s="442" t="s">
        <v>1062</v>
      </c>
      <c r="V21" s="443">
        <v>211104</v>
      </c>
      <c r="W21" s="441">
        <v>2446.5100000000002</v>
      </c>
      <c r="X21" s="453">
        <v>46087</v>
      </c>
      <c r="Y21" s="442" t="s">
        <v>524</v>
      </c>
      <c r="Z21" s="442" t="s">
        <v>1063</v>
      </c>
      <c r="AB21" s="165">
        <v>331202</v>
      </c>
      <c r="AC21" s="171" t="s">
        <v>275</v>
      </c>
      <c r="AD21" s="171" t="s">
        <v>1097</v>
      </c>
      <c r="AE21" s="165">
        <v>211104</v>
      </c>
      <c r="AF21" s="172">
        <v>6570.47</v>
      </c>
      <c r="AG21" s="173">
        <v>46122</v>
      </c>
      <c r="AH21" s="171" t="s">
        <v>524</v>
      </c>
      <c r="AI21" s="171" t="s">
        <v>1098</v>
      </c>
      <c r="AK21" s="165"/>
      <c r="AL21" s="171"/>
      <c r="AM21" s="171"/>
      <c r="AN21" s="171"/>
      <c r="AO21" s="172"/>
      <c r="AP21" s="173"/>
      <c r="AQ21" s="171"/>
      <c r="AR21" s="171"/>
      <c r="AT21" s="165"/>
      <c r="AU21" s="171"/>
      <c r="AV21" s="171"/>
      <c r="AW21" s="171"/>
      <c r="AX21" s="172"/>
      <c r="AY21" s="173"/>
      <c r="AZ21" s="171"/>
      <c r="BA21" s="171"/>
      <c r="BC21" s="165"/>
      <c r="BD21" s="171"/>
      <c r="BE21" s="171"/>
      <c r="BF21" s="171"/>
      <c r="BG21" s="172"/>
      <c r="BH21" s="173"/>
      <c r="BI21" s="171"/>
      <c r="BJ21" s="171"/>
      <c r="BL21" s="165"/>
      <c r="BM21" s="171"/>
      <c r="BN21" s="171"/>
      <c r="BO21" s="171"/>
      <c r="BP21" s="172"/>
      <c r="BQ21" s="173"/>
      <c r="BR21" s="171"/>
      <c r="BS21" s="171"/>
      <c r="BU21" s="165"/>
      <c r="BV21" s="171"/>
      <c r="BW21" s="171"/>
      <c r="BX21" s="171"/>
      <c r="BY21" s="172"/>
      <c r="BZ21" s="173"/>
      <c r="CA21" s="171"/>
      <c r="CB21" s="171"/>
      <c r="CD21" s="332"/>
      <c r="CE21" s="327"/>
      <c r="CF21" s="327"/>
      <c r="CG21" s="327"/>
      <c r="CH21" s="328"/>
      <c r="CI21" s="331"/>
      <c r="CJ21" s="327"/>
      <c r="CK21" s="327"/>
      <c r="CM21" s="332"/>
      <c r="CN21" s="327"/>
      <c r="CO21" s="327"/>
      <c r="CP21" s="327"/>
      <c r="CQ21" s="328"/>
      <c r="CR21" s="331"/>
      <c r="CS21" s="327"/>
      <c r="CT21" s="327"/>
      <c r="CV21" s="339"/>
      <c r="CW21" s="342"/>
      <c r="CX21" s="342"/>
      <c r="CY21" s="342"/>
      <c r="CZ21" s="343"/>
      <c r="DA21" s="344"/>
      <c r="DB21" s="342"/>
      <c r="DC21" s="342"/>
    </row>
    <row r="22" spans="1:107">
      <c r="A22" s="406">
        <v>321101</v>
      </c>
      <c r="B22" s="403" t="s">
        <v>490</v>
      </c>
      <c r="C22" s="403" t="s">
        <v>638</v>
      </c>
      <c r="D22" s="406">
        <v>211104</v>
      </c>
      <c r="E22" s="404">
        <v>3389.81</v>
      </c>
      <c r="F22" s="428">
        <v>46024</v>
      </c>
      <c r="G22" s="403" t="s">
        <v>524</v>
      </c>
      <c r="H22" s="403" t="s">
        <v>639</v>
      </c>
      <c r="J22" s="406">
        <v>119102</v>
      </c>
      <c r="K22" s="403" t="s">
        <v>438</v>
      </c>
      <c r="L22" s="403" t="s">
        <v>640</v>
      </c>
      <c r="M22" s="406">
        <v>215101</v>
      </c>
      <c r="N22" s="404">
        <v>2118.4299999999998</v>
      </c>
      <c r="O22" s="428">
        <v>46072</v>
      </c>
      <c r="P22" s="403" t="s">
        <v>524</v>
      </c>
      <c r="Q22" s="403" t="s">
        <v>641</v>
      </c>
      <c r="S22" s="438">
        <v>215323</v>
      </c>
      <c r="T22" s="439" t="s">
        <v>272</v>
      </c>
      <c r="U22" s="439" t="s">
        <v>1064</v>
      </c>
      <c r="V22" s="438">
        <v>211104</v>
      </c>
      <c r="W22" s="440">
        <v>25530</v>
      </c>
      <c r="X22" s="452">
        <v>46093</v>
      </c>
      <c r="Y22" s="439" t="s">
        <v>524</v>
      </c>
      <c r="Z22" s="439" t="s">
        <v>1065</v>
      </c>
      <c r="AB22" s="166">
        <v>331205</v>
      </c>
      <c r="AC22" s="168" t="s">
        <v>276</v>
      </c>
      <c r="AD22" s="168" t="s">
        <v>1099</v>
      </c>
      <c r="AE22" s="166">
        <v>211104</v>
      </c>
      <c r="AF22" s="169">
        <v>537.52</v>
      </c>
      <c r="AG22" s="170">
        <v>46129</v>
      </c>
      <c r="AH22" s="168" t="s">
        <v>524</v>
      </c>
      <c r="AI22" s="168" t="s">
        <v>1100</v>
      </c>
      <c r="AK22" s="166"/>
      <c r="AL22" s="168"/>
      <c r="AM22" s="168"/>
      <c r="AN22" s="168"/>
      <c r="AO22" s="169"/>
      <c r="AP22" s="170"/>
      <c r="AQ22" s="168"/>
      <c r="AR22" s="168"/>
      <c r="AT22" s="166"/>
      <c r="AU22" s="168"/>
      <c r="AV22" s="168"/>
      <c r="AW22" s="168"/>
      <c r="AX22" s="169"/>
      <c r="AY22" s="170"/>
      <c r="AZ22" s="168"/>
      <c r="BA22" s="168"/>
      <c r="BC22" s="166"/>
      <c r="BD22" s="168"/>
      <c r="BE22" s="168"/>
      <c r="BF22" s="168"/>
      <c r="BG22" s="169"/>
      <c r="BH22" s="170"/>
      <c r="BI22" s="168"/>
      <c r="BJ22" s="168"/>
      <c r="BL22" s="166"/>
      <c r="BM22" s="168"/>
      <c r="BN22" s="168"/>
      <c r="BO22" s="168"/>
      <c r="BP22" s="169"/>
      <c r="BQ22" s="170"/>
      <c r="BR22" s="168"/>
      <c r="BS22" s="168"/>
      <c r="BU22" s="166"/>
      <c r="BV22" s="168"/>
      <c r="BW22" s="168"/>
      <c r="BX22" s="168"/>
      <c r="BY22" s="169"/>
      <c r="BZ22" s="170"/>
      <c r="CA22" s="168"/>
      <c r="CB22" s="168"/>
      <c r="CD22" s="329"/>
      <c r="CE22" s="325"/>
      <c r="CF22" s="325"/>
      <c r="CG22" s="325"/>
      <c r="CH22" s="326"/>
      <c r="CI22" s="330"/>
      <c r="CJ22" s="325"/>
      <c r="CK22" s="325"/>
      <c r="CM22" s="329"/>
      <c r="CN22" s="325"/>
      <c r="CO22" s="325"/>
      <c r="CP22" s="325"/>
      <c r="CQ22" s="326"/>
      <c r="CR22" s="330"/>
      <c r="CS22" s="325"/>
      <c r="CT22" s="325"/>
      <c r="CV22" s="337"/>
      <c r="CW22" s="338"/>
      <c r="CX22" s="338"/>
      <c r="CY22" s="338"/>
      <c r="CZ22" s="340"/>
      <c r="DA22" s="341"/>
      <c r="DB22" s="338"/>
      <c r="DC22" s="338"/>
    </row>
    <row r="23" spans="1:107">
      <c r="A23" s="402">
        <v>215323</v>
      </c>
      <c r="B23" s="401" t="s">
        <v>272</v>
      </c>
      <c r="C23" s="401" t="s">
        <v>642</v>
      </c>
      <c r="D23" s="402">
        <v>211104</v>
      </c>
      <c r="E23" s="405">
        <v>13600</v>
      </c>
      <c r="F23" s="427">
        <v>46034</v>
      </c>
      <c r="G23" s="401" t="s">
        <v>524</v>
      </c>
      <c r="H23" s="401" t="s">
        <v>628</v>
      </c>
      <c r="J23" s="402">
        <v>331106</v>
      </c>
      <c r="K23" s="401" t="s">
        <v>273</v>
      </c>
      <c r="L23" s="401" t="s">
        <v>643</v>
      </c>
      <c r="M23" s="402">
        <v>211104</v>
      </c>
      <c r="N23" s="405">
        <v>25311.040000000001</v>
      </c>
      <c r="O23" s="427">
        <v>46078</v>
      </c>
      <c r="P23" s="401" t="s">
        <v>524</v>
      </c>
      <c r="Q23" s="401" t="s">
        <v>644</v>
      </c>
      <c r="S23" s="443">
        <v>119102</v>
      </c>
      <c r="T23" s="442" t="s">
        <v>438</v>
      </c>
      <c r="U23" s="442" t="s">
        <v>1066</v>
      </c>
      <c r="V23" s="443">
        <v>215101</v>
      </c>
      <c r="W23" s="441">
        <v>957.74</v>
      </c>
      <c r="X23" s="453">
        <v>46086</v>
      </c>
      <c r="Y23" s="442" t="s">
        <v>524</v>
      </c>
      <c r="Z23" s="442" t="s">
        <v>1059</v>
      </c>
      <c r="AB23" s="165">
        <v>331307</v>
      </c>
      <c r="AC23" s="171" t="s">
        <v>448</v>
      </c>
      <c r="AD23" s="171" t="s">
        <v>1101</v>
      </c>
      <c r="AE23" s="165">
        <v>215101</v>
      </c>
      <c r="AF23" s="172">
        <v>1076.4000000000001</v>
      </c>
      <c r="AG23" s="173">
        <v>46127</v>
      </c>
      <c r="AH23" s="171" t="s">
        <v>525</v>
      </c>
      <c r="AI23" s="171" t="s">
        <v>1102</v>
      </c>
      <c r="AK23" s="167"/>
      <c r="AL23" s="174"/>
      <c r="AM23" s="171"/>
      <c r="AN23" s="171"/>
      <c r="AO23" s="172"/>
      <c r="AP23" s="173"/>
      <c r="AQ23" s="171"/>
      <c r="AR23" s="171"/>
      <c r="AT23" s="165"/>
      <c r="AU23" s="171"/>
      <c r="AV23" s="171"/>
      <c r="AW23" s="171"/>
      <c r="AX23" s="172"/>
      <c r="AY23" s="173"/>
      <c r="AZ23" s="171"/>
      <c r="BA23" s="171"/>
      <c r="BC23" s="165"/>
      <c r="BD23" s="171"/>
      <c r="BE23" s="171"/>
      <c r="BF23" s="171"/>
      <c r="BG23" s="172"/>
      <c r="BH23" s="173"/>
      <c r="BI23" s="171"/>
      <c r="BJ23" s="171"/>
      <c r="BL23" s="165"/>
      <c r="BM23" s="171"/>
      <c r="BN23" s="171"/>
      <c r="BO23" s="171"/>
      <c r="BP23" s="172"/>
      <c r="BQ23" s="173"/>
      <c r="BR23" s="171"/>
      <c r="BS23" s="171"/>
      <c r="BU23" s="165"/>
      <c r="BV23" s="171"/>
      <c r="BW23" s="171"/>
      <c r="BX23" s="171"/>
      <c r="BY23" s="172"/>
      <c r="BZ23" s="173"/>
      <c r="CA23" s="171"/>
      <c r="CB23" s="171"/>
      <c r="CD23" s="332"/>
      <c r="CE23" s="327"/>
      <c r="CF23" s="327"/>
      <c r="CG23" s="327"/>
      <c r="CH23" s="328"/>
      <c r="CI23" s="331"/>
      <c r="CJ23" s="327"/>
      <c r="CK23" s="327"/>
      <c r="CM23" s="332"/>
      <c r="CN23" s="327"/>
      <c r="CO23" s="327"/>
      <c r="CP23" s="327"/>
      <c r="CQ23" s="328"/>
      <c r="CR23" s="331"/>
      <c r="CS23" s="327"/>
      <c r="CT23" s="327"/>
      <c r="CV23" s="339"/>
      <c r="CW23" s="342"/>
      <c r="CX23" s="342"/>
      <c r="CY23" s="342"/>
      <c r="CZ23" s="343"/>
      <c r="DA23" s="344"/>
      <c r="DB23" s="342"/>
      <c r="DC23" s="342"/>
    </row>
    <row r="24" spans="1:107">
      <c r="A24" s="406">
        <v>331252</v>
      </c>
      <c r="B24" s="403" t="s">
        <v>279</v>
      </c>
      <c r="C24" s="403" t="s">
        <v>645</v>
      </c>
      <c r="D24" s="406">
        <v>211104</v>
      </c>
      <c r="E24" s="404">
        <v>3315</v>
      </c>
      <c r="F24" s="428">
        <v>46052</v>
      </c>
      <c r="G24" s="403" t="s">
        <v>524</v>
      </c>
      <c r="H24" s="403" t="s">
        <v>646</v>
      </c>
      <c r="J24" s="406">
        <v>331202</v>
      </c>
      <c r="K24" s="403" t="s">
        <v>275</v>
      </c>
      <c r="L24" s="403" t="s">
        <v>647</v>
      </c>
      <c r="M24" s="406">
        <v>211104</v>
      </c>
      <c r="N24" s="404">
        <v>6517.05</v>
      </c>
      <c r="O24" s="428">
        <v>46078</v>
      </c>
      <c r="P24" s="403" t="s">
        <v>524</v>
      </c>
      <c r="Q24" s="403" t="s">
        <v>644</v>
      </c>
      <c r="S24" s="438">
        <v>331106</v>
      </c>
      <c r="T24" s="439" t="s">
        <v>273</v>
      </c>
      <c r="U24" s="439" t="s">
        <v>1067</v>
      </c>
      <c r="V24" s="438">
        <v>211104</v>
      </c>
      <c r="W24" s="440">
        <v>23085.88</v>
      </c>
      <c r="X24" s="452">
        <v>46108</v>
      </c>
      <c r="Y24" s="439" t="s">
        <v>524</v>
      </c>
      <c r="Z24" s="439" t="s">
        <v>1051</v>
      </c>
      <c r="AB24" s="166"/>
      <c r="AC24" s="168"/>
      <c r="AD24" s="168"/>
      <c r="AE24" s="168"/>
      <c r="AF24" s="169"/>
      <c r="AG24" s="170"/>
      <c r="AH24" s="168"/>
      <c r="AI24" s="168"/>
      <c r="AK24" s="166"/>
      <c r="AL24" s="168"/>
      <c r="AM24" s="168"/>
      <c r="AN24" s="168"/>
      <c r="AO24" s="169"/>
      <c r="AP24" s="170"/>
      <c r="AQ24" s="168"/>
      <c r="AR24" s="168"/>
      <c r="AT24" s="166"/>
      <c r="AU24" s="168"/>
      <c r="AV24" s="168"/>
      <c r="AW24" s="168"/>
      <c r="AX24" s="169"/>
      <c r="AY24" s="170"/>
      <c r="AZ24" s="168"/>
      <c r="BA24" s="168"/>
      <c r="BC24" s="166"/>
      <c r="BD24" s="168"/>
      <c r="BE24" s="168"/>
      <c r="BF24" s="168"/>
      <c r="BG24" s="169"/>
      <c r="BH24" s="170"/>
      <c r="BI24" s="168"/>
      <c r="BJ24" s="168"/>
      <c r="BL24" s="166"/>
      <c r="BM24" s="168"/>
      <c r="BN24" s="168"/>
      <c r="BO24" s="168"/>
      <c r="BP24" s="169"/>
      <c r="BQ24" s="170"/>
      <c r="BR24" s="168"/>
      <c r="BS24" s="168"/>
      <c r="BU24" s="166"/>
      <c r="BV24" s="168"/>
      <c r="BW24" s="168"/>
      <c r="BX24" s="168"/>
      <c r="BY24" s="169"/>
      <c r="BZ24" s="170"/>
      <c r="CA24" s="168"/>
      <c r="CB24" s="168"/>
      <c r="CD24" s="329"/>
      <c r="CE24" s="325"/>
      <c r="CF24" s="325"/>
      <c r="CG24" s="325"/>
      <c r="CH24" s="326"/>
      <c r="CI24" s="330"/>
      <c r="CJ24" s="325"/>
      <c r="CK24" s="325"/>
      <c r="CM24" s="329"/>
      <c r="CN24" s="325"/>
      <c r="CO24" s="325"/>
      <c r="CP24" s="325"/>
      <c r="CQ24" s="326"/>
      <c r="CR24" s="330"/>
      <c r="CS24" s="325"/>
      <c r="CT24" s="325"/>
      <c r="CV24" s="337"/>
      <c r="CW24" s="338"/>
      <c r="CX24" s="338"/>
      <c r="CY24" s="338"/>
      <c r="CZ24" s="340"/>
      <c r="DA24" s="341"/>
      <c r="DB24" s="338"/>
      <c r="DC24" s="338"/>
    </row>
    <row r="25" spans="1:107">
      <c r="A25" s="402">
        <v>331205</v>
      </c>
      <c r="B25" s="401" t="s">
        <v>276</v>
      </c>
      <c r="C25" s="401" t="s">
        <v>648</v>
      </c>
      <c r="D25" s="402">
        <v>211104</v>
      </c>
      <c r="E25" s="405">
        <v>245.42</v>
      </c>
      <c r="F25" s="427">
        <v>46041</v>
      </c>
      <c r="G25" s="401" t="s">
        <v>524</v>
      </c>
      <c r="H25" s="401" t="s">
        <v>649</v>
      </c>
      <c r="J25" s="402">
        <v>331307</v>
      </c>
      <c r="K25" s="401" t="s">
        <v>448</v>
      </c>
      <c r="L25" s="401" t="s">
        <v>650</v>
      </c>
      <c r="M25" s="402">
        <v>215101</v>
      </c>
      <c r="N25" s="405">
        <v>1076.4000000000001</v>
      </c>
      <c r="O25" s="427">
        <v>46071</v>
      </c>
      <c r="P25" s="401" t="s">
        <v>525</v>
      </c>
      <c r="Q25" s="401" t="s">
        <v>651</v>
      </c>
      <c r="S25" s="443">
        <v>331202</v>
      </c>
      <c r="T25" s="442" t="s">
        <v>275</v>
      </c>
      <c r="U25" s="442" t="s">
        <v>1068</v>
      </c>
      <c r="V25" s="443">
        <v>211104</v>
      </c>
      <c r="W25" s="441">
        <v>6447.05</v>
      </c>
      <c r="X25" s="453">
        <v>46106</v>
      </c>
      <c r="Y25" s="442" t="s">
        <v>524</v>
      </c>
      <c r="Z25" s="442" t="s">
        <v>1069</v>
      </c>
      <c r="AB25" s="165"/>
      <c r="AC25" s="171"/>
      <c r="AD25" s="171"/>
      <c r="AE25" s="171"/>
      <c r="AF25" s="172"/>
      <c r="AG25" s="173"/>
      <c r="AH25" s="171"/>
      <c r="AI25" s="171"/>
      <c r="AK25" s="167"/>
      <c r="AL25" s="174"/>
      <c r="AM25" s="171"/>
      <c r="AN25" s="171"/>
      <c r="AO25" s="172"/>
      <c r="AP25" s="173"/>
      <c r="AQ25" s="171"/>
      <c r="AR25" s="171"/>
      <c r="AT25" s="165"/>
      <c r="AU25" s="171"/>
      <c r="AV25" s="171"/>
      <c r="AW25" s="171"/>
      <c r="AX25" s="172"/>
      <c r="AY25" s="173"/>
      <c r="AZ25" s="171"/>
      <c r="BA25" s="171"/>
      <c r="BC25" s="165"/>
      <c r="BD25" s="171"/>
      <c r="BE25" s="171"/>
      <c r="BF25" s="171"/>
      <c r="BG25" s="172"/>
      <c r="BH25" s="173"/>
      <c r="BI25" s="171"/>
      <c r="BJ25" s="171"/>
      <c r="BL25" s="165"/>
      <c r="BM25" s="171"/>
      <c r="BN25" s="171"/>
      <c r="BO25" s="171"/>
      <c r="BP25" s="172"/>
      <c r="BQ25" s="173"/>
      <c r="BR25" s="171"/>
      <c r="BS25" s="171"/>
      <c r="BU25" s="165"/>
      <c r="BV25" s="171"/>
      <c r="BW25" s="171"/>
      <c r="BX25" s="171"/>
      <c r="BY25" s="172"/>
      <c r="BZ25" s="173"/>
      <c r="CA25" s="171"/>
      <c r="CB25" s="171"/>
      <c r="CD25" s="332"/>
      <c r="CE25" s="327"/>
      <c r="CF25" s="327"/>
      <c r="CG25" s="327"/>
      <c r="CH25" s="328"/>
      <c r="CI25" s="331"/>
      <c r="CJ25" s="327"/>
      <c r="CK25" s="327"/>
      <c r="CM25" s="332"/>
      <c r="CN25" s="327"/>
      <c r="CO25" s="327"/>
      <c r="CP25" s="327"/>
      <c r="CQ25" s="328"/>
      <c r="CR25" s="331"/>
      <c r="CS25" s="327"/>
      <c r="CT25" s="327"/>
      <c r="CV25" s="339"/>
      <c r="CW25" s="342"/>
      <c r="CX25" s="342"/>
      <c r="CY25" s="342"/>
      <c r="CZ25" s="343"/>
      <c r="DA25" s="344"/>
      <c r="DB25" s="342"/>
      <c r="DC25" s="342"/>
    </row>
    <row r="26" spans="1:107">
      <c r="A26" s="406">
        <v>331202</v>
      </c>
      <c r="B26" s="403" t="s">
        <v>275</v>
      </c>
      <c r="C26" s="403" t="s">
        <v>652</v>
      </c>
      <c r="D26" s="406">
        <v>211104</v>
      </c>
      <c r="E26" s="404">
        <v>5993.67</v>
      </c>
      <c r="F26" s="428">
        <v>46034</v>
      </c>
      <c r="G26" s="403" t="s">
        <v>524</v>
      </c>
      <c r="H26" s="403" t="s">
        <v>628</v>
      </c>
      <c r="J26"/>
      <c r="L26"/>
      <c r="M26"/>
      <c r="P26"/>
      <c r="Q26"/>
      <c r="S26" s="438">
        <v>331124</v>
      </c>
      <c r="T26" s="439" t="s">
        <v>274</v>
      </c>
      <c r="U26" s="439" t="s">
        <v>1070</v>
      </c>
      <c r="V26" s="438">
        <v>215101</v>
      </c>
      <c r="W26" s="440">
        <v>4266.67</v>
      </c>
      <c r="X26" s="452">
        <v>46112</v>
      </c>
      <c r="Y26" s="439" t="s">
        <v>524</v>
      </c>
      <c r="Z26" s="439" t="s">
        <v>1071</v>
      </c>
      <c r="AB26" s="166"/>
      <c r="AC26" s="168"/>
      <c r="AD26" s="168"/>
      <c r="AE26" s="168"/>
      <c r="AF26" s="169"/>
      <c r="AG26" s="170"/>
      <c r="AH26" s="168"/>
      <c r="AI26" s="168"/>
      <c r="AK26" s="166"/>
      <c r="AL26" s="168"/>
      <c r="AM26" s="168"/>
      <c r="AN26" s="168"/>
      <c r="AO26" s="169"/>
      <c r="AP26" s="170"/>
      <c r="AQ26" s="168"/>
      <c r="AR26" s="168"/>
      <c r="AT26" s="166"/>
      <c r="AU26" s="168"/>
      <c r="AV26" s="168"/>
      <c r="AW26" s="168"/>
      <c r="AX26" s="169"/>
      <c r="AY26" s="170"/>
      <c r="AZ26" s="168"/>
      <c r="BA26" s="168"/>
      <c r="BC26" s="166"/>
      <c r="BD26" s="168"/>
      <c r="BE26" s="168"/>
      <c r="BF26" s="168"/>
      <c r="BG26" s="169"/>
      <c r="BH26" s="170"/>
      <c r="BI26" s="168"/>
      <c r="BJ26" s="168"/>
      <c r="BL26" s="166"/>
      <c r="BM26" s="168"/>
      <c r="BN26" s="168"/>
      <c r="BO26" s="168"/>
      <c r="BP26" s="169"/>
      <c r="BQ26" s="170"/>
      <c r="BR26" s="168"/>
      <c r="BS26" s="168"/>
      <c r="BU26" s="166"/>
      <c r="BV26" s="168"/>
      <c r="BW26" s="168"/>
      <c r="BX26" s="168"/>
      <c r="BY26" s="169"/>
      <c r="BZ26" s="170"/>
      <c r="CA26" s="168"/>
      <c r="CB26" s="168"/>
      <c r="CD26" s="329"/>
      <c r="CE26" s="325"/>
      <c r="CF26" s="325"/>
      <c r="CG26" s="325"/>
      <c r="CH26" s="326"/>
      <c r="CI26" s="330"/>
      <c r="CJ26" s="325"/>
      <c r="CK26" s="325"/>
      <c r="CM26" s="329"/>
      <c r="CN26" s="325"/>
      <c r="CO26" s="325"/>
      <c r="CP26" s="325"/>
      <c r="CQ26" s="326"/>
      <c r="CR26" s="330"/>
      <c r="CS26" s="325"/>
      <c r="CT26" s="325"/>
      <c r="CV26" s="337"/>
      <c r="CW26" s="338"/>
      <c r="CX26" s="338"/>
      <c r="CY26" s="338"/>
      <c r="CZ26" s="340"/>
      <c r="DA26" s="341"/>
      <c r="DB26" s="338"/>
      <c r="DC26" s="338"/>
    </row>
    <row r="27" spans="1:107">
      <c r="A27" s="402">
        <v>331307</v>
      </c>
      <c r="B27" s="401" t="s">
        <v>448</v>
      </c>
      <c r="C27" s="401" t="s">
        <v>653</v>
      </c>
      <c r="D27" s="402">
        <v>215101</v>
      </c>
      <c r="E27" s="405">
        <v>1076.4000000000001</v>
      </c>
      <c r="F27" s="427">
        <v>46037</v>
      </c>
      <c r="G27" s="401" t="s">
        <v>525</v>
      </c>
      <c r="H27" s="401" t="s">
        <v>654</v>
      </c>
      <c r="J27" s="112"/>
      <c r="K27" s="110"/>
      <c r="L27" s="112"/>
      <c r="M27" s="112"/>
      <c r="N27" s="126"/>
      <c r="O27" s="127"/>
      <c r="P27" s="112"/>
      <c r="Q27" s="112"/>
      <c r="S27" s="443">
        <v>331307</v>
      </c>
      <c r="T27" s="442" t="s">
        <v>448</v>
      </c>
      <c r="U27" s="442" t="s">
        <v>1072</v>
      </c>
      <c r="V27" s="443">
        <v>215101</v>
      </c>
      <c r="W27" s="441">
        <v>1076.4000000000001</v>
      </c>
      <c r="X27" s="453">
        <v>46097</v>
      </c>
      <c r="Y27" s="442" t="s">
        <v>525</v>
      </c>
      <c r="Z27" s="442" t="s">
        <v>1073</v>
      </c>
      <c r="AB27" s="165"/>
      <c r="AC27" s="171"/>
      <c r="AD27" s="171"/>
      <c r="AE27" s="171"/>
      <c r="AF27" s="172"/>
      <c r="AG27" s="173"/>
      <c r="AH27" s="171"/>
      <c r="AI27" s="171"/>
      <c r="AK27" s="165"/>
      <c r="AL27" s="171"/>
      <c r="AM27" s="171"/>
      <c r="AN27" s="171"/>
      <c r="AO27" s="172"/>
      <c r="AP27" s="173"/>
      <c r="AQ27" s="171"/>
      <c r="AR27" s="171"/>
      <c r="AT27" s="165"/>
      <c r="AU27" s="171"/>
      <c r="AV27" s="171"/>
      <c r="AW27" s="171"/>
      <c r="AX27" s="172"/>
      <c r="AY27" s="173"/>
      <c r="AZ27" s="171"/>
      <c r="BA27" s="171"/>
      <c r="BL27" s="165"/>
      <c r="BM27" s="171"/>
      <c r="BN27" s="171"/>
      <c r="BO27" s="171"/>
      <c r="BP27" s="172"/>
      <c r="BQ27" s="173"/>
      <c r="BR27" s="171"/>
      <c r="BS27" s="171"/>
      <c r="CV27" s="339"/>
      <c r="CW27" s="342"/>
      <c r="CX27" s="342"/>
      <c r="CY27" s="342"/>
      <c r="CZ27" s="343"/>
      <c r="DA27" s="344"/>
      <c r="DB27" s="342"/>
      <c r="DC27" s="342"/>
    </row>
    <row r="28" spans="1:107">
      <c r="A28" s="114"/>
      <c r="B28" s="115"/>
      <c r="C28" s="114"/>
      <c r="D28" s="114"/>
      <c r="E28" s="116"/>
      <c r="F28" s="117"/>
      <c r="G28" s="114"/>
      <c r="H28" s="114"/>
      <c r="J28"/>
      <c r="L28"/>
      <c r="M28"/>
      <c r="P28"/>
      <c r="Q28"/>
      <c r="S28"/>
      <c r="U28"/>
      <c r="V28"/>
      <c r="Y28"/>
      <c r="Z28"/>
      <c r="AK28" s="166"/>
      <c r="AL28" s="168"/>
      <c r="AM28" s="168"/>
      <c r="AN28" s="168"/>
      <c r="AO28" s="169"/>
      <c r="AP28" s="170"/>
      <c r="AQ28" s="168"/>
      <c r="AR28" s="168"/>
    </row>
    <row r="29" spans="1:107">
      <c r="A29" s="123"/>
      <c r="B29" s="118"/>
      <c r="C29" s="123"/>
      <c r="D29" s="123"/>
      <c r="E29" s="119"/>
      <c r="F29" s="120"/>
      <c r="G29" s="123"/>
      <c r="H29" s="123"/>
      <c r="J29" s="112"/>
      <c r="K29" s="110"/>
      <c r="L29" s="112"/>
      <c r="M29" s="112"/>
      <c r="N29" s="126"/>
      <c r="O29" s="127"/>
      <c r="P29" s="112"/>
      <c r="Q29" s="112"/>
      <c r="S29" s="112"/>
      <c r="T29" s="110"/>
      <c r="U29" s="112"/>
      <c r="V29" s="112"/>
      <c r="W29" s="126"/>
      <c r="X29" s="127"/>
      <c r="Y29" s="112"/>
      <c r="Z29" s="112"/>
      <c r="AK29" s="165"/>
      <c r="AL29" s="171"/>
      <c r="AM29" s="171"/>
      <c r="AN29" s="171"/>
      <c r="AO29" s="172"/>
      <c r="AP29" s="173"/>
      <c r="AQ29" s="171"/>
      <c r="AR29" s="171"/>
    </row>
    <row r="30" spans="1:107">
      <c r="A30" s="114"/>
      <c r="B30" s="115"/>
      <c r="C30" s="114"/>
      <c r="D30" s="114"/>
      <c r="E30" s="116"/>
      <c r="F30" s="117"/>
      <c r="G30" s="114"/>
      <c r="H30" s="114"/>
      <c r="J30"/>
      <c r="L30"/>
      <c r="M30"/>
      <c r="P30"/>
      <c r="Q30"/>
      <c r="S30"/>
      <c r="U30"/>
      <c r="V30"/>
      <c r="Y30"/>
      <c r="Z30"/>
      <c r="AK30" s="166"/>
      <c r="AL30" s="168"/>
      <c r="AM30" s="168"/>
      <c r="AN30" s="168"/>
      <c r="AO30" s="169"/>
      <c r="AP30" s="170"/>
      <c r="AQ30" s="168"/>
      <c r="AR30" s="168"/>
    </row>
    <row r="31" spans="1:107">
      <c r="A31" s="123"/>
      <c r="B31" s="118"/>
      <c r="C31" s="123"/>
      <c r="D31" s="123"/>
      <c r="E31" s="119"/>
      <c r="F31" s="120"/>
      <c r="G31" s="123"/>
      <c r="H31" s="123"/>
      <c r="J31" s="112"/>
      <c r="K31" s="110"/>
      <c r="L31" s="112"/>
      <c r="M31" s="112"/>
      <c r="N31" s="126"/>
      <c r="O31" s="127"/>
      <c r="P31" s="112"/>
      <c r="Q31" s="112"/>
      <c r="S31" s="112"/>
      <c r="T31" s="110"/>
      <c r="U31" s="112"/>
      <c r="V31" s="112"/>
      <c r="W31" s="126"/>
      <c r="X31" s="127"/>
      <c r="Y31" s="112"/>
      <c r="Z31" s="112"/>
    </row>
    <row r="32" spans="1:107">
      <c r="A32" s="114"/>
      <c r="B32" s="115"/>
      <c r="C32" s="114"/>
      <c r="D32" s="114"/>
      <c r="E32" s="116"/>
      <c r="F32" s="117"/>
      <c r="G32" s="114"/>
      <c r="H32" s="114"/>
      <c r="J32"/>
      <c r="L32"/>
      <c r="M32"/>
      <c r="P32"/>
      <c r="Q32"/>
      <c r="S32"/>
      <c r="U32"/>
      <c r="V32"/>
      <c r="Y32"/>
      <c r="Z32"/>
    </row>
    <row r="33" spans="1:26">
      <c r="A33" s="123"/>
      <c r="B33" s="118"/>
      <c r="C33" s="123"/>
      <c r="D33" s="123"/>
      <c r="E33" s="119"/>
      <c r="F33" s="120"/>
      <c r="G33" s="123"/>
      <c r="H33" s="123"/>
      <c r="J33" s="112"/>
      <c r="K33" s="110"/>
      <c r="L33" s="112"/>
      <c r="M33" s="112"/>
      <c r="N33" s="126"/>
      <c r="O33" s="127"/>
      <c r="P33" s="112"/>
      <c r="Q33" s="112"/>
      <c r="S33" s="112"/>
      <c r="T33" s="110"/>
      <c r="U33" s="112"/>
      <c r="V33" s="112"/>
      <c r="W33" s="126"/>
      <c r="X33" s="127"/>
      <c r="Y33" s="112"/>
      <c r="Z33" s="112"/>
    </row>
    <row r="34" spans="1:26">
      <c r="A34" s="114"/>
      <c r="B34" s="115"/>
      <c r="C34" s="114"/>
      <c r="D34" s="114"/>
      <c r="E34" s="116"/>
      <c r="F34" s="117"/>
      <c r="G34" s="114"/>
      <c r="H34" s="114"/>
      <c r="J34"/>
      <c r="L34"/>
      <c r="M34"/>
      <c r="P34"/>
      <c r="Q34"/>
      <c r="S34"/>
      <c r="U34"/>
      <c r="V34"/>
      <c r="Y34"/>
      <c r="Z34"/>
    </row>
    <row r="35" spans="1:26">
      <c r="A35" s="123"/>
      <c r="B35" s="118"/>
      <c r="C35" s="123"/>
      <c r="D35" s="123"/>
      <c r="E35" s="119"/>
      <c r="F35" s="120"/>
      <c r="G35" s="123"/>
      <c r="H35" s="123"/>
      <c r="J35" s="112"/>
      <c r="K35" s="110"/>
      <c r="L35" s="112"/>
      <c r="M35" s="112"/>
      <c r="N35" s="126"/>
      <c r="O35" s="127"/>
      <c r="P35" s="112"/>
      <c r="Q35" s="112"/>
      <c r="S35" s="112"/>
      <c r="T35" s="110"/>
      <c r="U35" s="112"/>
      <c r="V35" s="112"/>
      <c r="W35" s="126"/>
      <c r="X35" s="127"/>
      <c r="Y35" s="112"/>
      <c r="Z35" s="112"/>
    </row>
    <row r="36" spans="1:26">
      <c r="A36" s="114"/>
      <c r="B36" s="115"/>
      <c r="C36" s="114"/>
      <c r="D36" s="114"/>
      <c r="E36" s="116"/>
      <c r="F36" s="117"/>
      <c r="G36" s="114"/>
      <c r="H36" s="114"/>
      <c r="J36"/>
      <c r="L36"/>
      <c r="M36"/>
      <c r="P36"/>
      <c r="Q36"/>
      <c r="S36"/>
      <c r="U36"/>
      <c r="V36"/>
      <c r="Y36"/>
      <c r="Z36"/>
    </row>
    <row r="37" spans="1:26">
      <c r="A37" s="123"/>
      <c r="B37" s="118"/>
      <c r="C37" s="123"/>
      <c r="D37" s="123"/>
      <c r="E37" s="119"/>
      <c r="F37" s="120"/>
      <c r="G37" s="123"/>
      <c r="H37" s="123"/>
      <c r="J37" s="112"/>
      <c r="K37" s="110"/>
      <c r="L37" s="112"/>
      <c r="M37" s="112"/>
      <c r="N37" s="126"/>
      <c r="O37" s="127"/>
      <c r="P37" s="112"/>
      <c r="Q37" s="112"/>
      <c r="S37" s="112"/>
      <c r="T37" s="110"/>
      <c r="U37" s="112"/>
      <c r="V37" s="112"/>
      <c r="W37" s="126"/>
      <c r="X37" s="127"/>
      <c r="Y37" s="112"/>
      <c r="Z37" s="112"/>
    </row>
    <row r="38" spans="1:26">
      <c r="A38" s="114"/>
      <c r="B38" s="115"/>
      <c r="C38" s="114"/>
      <c r="D38" s="114"/>
      <c r="E38" s="116"/>
      <c r="F38" s="117"/>
      <c r="G38" s="114"/>
      <c r="H38" s="114"/>
      <c r="J38"/>
      <c r="L38"/>
      <c r="M38"/>
      <c r="P38"/>
      <c r="Q38"/>
      <c r="S38"/>
      <c r="U38"/>
      <c r="V38"/>
      <c r="Y38"/>
      <c r="Z38"/>
    </row>
    <row r="39" spans="1:26">
      <c r="A39" s="123"/>
      <c r="B39" s="118"/>
      <c r="C39" s="123"/>
      <c r="D39" s="123"/>
      <c r="E39" s="119"/>
      <c r="F39" s="120"/>
      <c r="G39" s="123"/>
      <c r="H39" s="123"/>
      <c r="J39" s="112"/>
      <c r="K39" s="110"/>
      <c r="L39" s="112"/>
      <c r="M39" s="112"/>
      <c r="N39" s="126"/>
      <c r="O39" s="127"/>
      <c r="P39" s="112"/>
      <c r="Q39" s="112"/>
      <c r="S39" s="112"/>
      <c r="T39" s="110"/>
      <c r="U39" s="112"/>
      <c r="V39" s="112"/>
      <c r="W39" s="126"/>
      <c r="X39" s="127"/>
      <c r="Y39" s="112"/>
      <c r="Z39" s="112"/>
    </row>
    <row r="40" spans="1:26">
      <c r="A40" s="114"/>
      <c r="B40" s="115"/>
      <c r="C40" s="114"/>
      <c r="D40" s="114"/>
      <c r="E40" s="116"/>
      <c r="F40" s="117"/>
      <c r="G40" s="114"/>
      <c r="H40" s="114"/>
      <c r="J40"/>
      <c r="L40"/>
      <c r="M40"/>
      <c r="P40"/>
      <c r="Q40"/>
      <c r="S40"/>
      <c r="U40"/>
      <c r="V40"/>
      <c r="Y40"/>
      <c r="Z40"/>
    </row>
    <row r="41" spans="1:26">
      <c r="A41" s="123"/>
      <c r="B41" s="118"/>
      <c r="C41" s="123"/>
      <c r="D41" s="123"/>
      <c r="E41" s="119"/>
      <c r="F41" s="120"/>
      <c r="G41" s="123"/>
      <c r="H41" s="123"/>
      <c r="J41" s="112"/>
      <c r="K41" s="110"/>
      <c r="L41" s="112"/>
      <c r="M41" s="112"/>
      <c r="N41" s="126"/>
      <c r="O41" s="127"/>
      <c r="P41" s="112"/>
      <c r="Q41" s="112"/>
      <c r="S41" s="112"/>
      <c r="T41" s="110"/>
      <c r="U41" s="112"/>
      <c r="V41" s="112"/>
      <c r="W41" s="126"/>
      <c r="X41" s="127"/>
      <c r="Y41" s="112"/>
      <c r="Z41" s="112"/>
    </row>
    <row r="42" spans="1:26">
      <c r="A42" s="114"/>
      <c r="B42" s="115"/>
      <c r="C42" s="114"/>
      <c r="D42" s="114"/>
      <c r="E42" s="116"/>
      <c r="F42" s="117"/>
      <c r="G42" s="114"/>
      <c r="H42" s="114"/>
      <c r="J42"/>
      <c r="L42"/>
      <c r="M42"/>
      <c r="P42"/>
      <c r="Q42"/>
      <c r="S42"/>
      <c r="U42"/>
      <c r="V42"/>
      <c r="Y42"/>
      <c r="Z42"/>
    </row>
    <row r="43" spans="1:26">
      <c r="A43" s="123"/>
      <c r="B43" s="118"/>
      <c r="C43" s="123"/>
      <c r="D43" s="123"/>
      <c r="E43" s="119"/>
      <c r="F43" s="120"/>
      <c r="G43" s="123"/>
      <c r="H43" s="123"/>
      <c r="J43" s="112"/>
      <c r="K43" s="110"/>
      <c r="L43" s="112"/>
      <c r="M43" s="112"/>
      <c r="N43" s="126"/>
      <c r="O43" s="127"/>
      <c r="P43" s="112"/>
      <c r="Q43" s="112"/>
      <c r="S43" s="112"/>
      <c r="T43" s="110"/>
      <c r="U43" s="112"/>
      <c r="V43" s="112"/>
      <c r="W43" s="126"/>
      <c r="X43" s="127"/>
      <c r="Y43" s="112"/>
      <c r="Z43" s="112"/>
    </row>
    <row r="44" spans="1:26">
      <c r="A44" s="114"/>
      <c r="B44" s="115"/>
      <c r="C44" s="114"/>
      <c r="D44" s="114"/>
      <c r="E44" s="116"/>
      <c r="F44" s="117"/>
      <c r="G44" s="114"/>
      <c r="H44" s="114"/>
      <c r="J44"/>
      <c r="L44"/>
      <c r="M44"/>
      <c r="P44"/>
      <c r="Q44"/>
      <c r="S44"/>
      <c r="U44"/>
      <c r="V44"/>
      <c r="Y44"/>
      <c r="Z44"/>
    </row>
    <row r="45" spans="1:26">
      <c r="A45" s="123"/>
      <c r="B45" s="118"/>
      <c r="C45" s="123"/>
      <c r="D45" s="123"/>
      <c r="E45" s="119"/>
      <c r="F45" s="120"/>
      <c r="G45" s="123"/>
      <c r="H45" s="123"/>
      <c r="J45" s="112"/>
      <c r="K45" s="110"/>
      <c r="L45" s="112"/>
      <c r="M45" s="112"/>
      <c r="N45" s="126"/>
      <c r="O45" s="127"/>
      <c r="P45" s="112"/>
      <c r="Q45" s="112"/>
      <c r="S45" s="112"/>
      <c r="T45" s="110"/>
      <c r="U45" s="112"/>
      <c r="V45" s="112"/>
      <c r="W45" s="126"/>
      <c r="X45" s="127"/>
      <c r="Y45" s="112"/>
      <c r="Z45" s="112"/>
    </row>
    <row r="46" spans="1:26">
      <c r="A46" s="114"/>
      <c r="B46" s="115"/>
      <c r="C46" s="114"/>
      <c r="D46" s="114"/>
      <c r="E46" s="116"/>
      <c r="F46" s="117"/>
      <c r="G46" s="114"/>
      <c r="H46" s="114"/>
      <c r="J46"/>
      <c r="L46"/>
      <c r="M46"/>
      <c r="P46"/>
      <c r="Q46"/>
      <c r="S46"/>
      <c r="U46"/>
      <c r="V46"/>
      <c r="Y46"/>
      <c r="Z46"/>
    </row>
    <row r="47" spans="1:26">
      <c r="A47" s="123"/>
      <c r="B47" s="118"/>
      <c r="C47" s="123"/>
      <c r="D47" s="123"/>
      <c r="E47" s="119"/>
      <c r="F47" s="120"/>
      <c r="G47" s="123"/>
      <c r="H47" s="123"/>
      <c r="J47" s="112"/>
      <c r="K47" s="110"/>
      <c r="L47" s="112"/>
      <c r="M47" s="112"/>
      <c r="N47" s="126"/>
      <c r="O47" s="127"/>
      <c r="P47" s="112"/>
      <c r="Q47" s="112"/>
      <c r="S47" s="112"/>
      <c r="T47" s="110"/>
      <c r="U47" s="112"/>
      <c r="V47" s="112"/>
      <c r="W47" s="126"/>
      <c r="X47" s="127"/>
      <c r="Y47" s="112"/>
      <c r="Z47" s="112"/>
    </row>
    <row r="48" spans="1:26">
      <c r="A48" s="114"/>
      <c r="B48" s="115"/>
      <c r="C48" s="114"/>
      <c r="D48" s="114"/>
      <c r="E48" s="116"/>
      <c r="F48" s="117"/>
      <c r="G48" s="114"/>
      <c r="H48" s="114"/>
      <c r="J48"/>
      <c r="L48"/>
      <c r="M48"/>
      <c r="P48"/>
      <c r="Q48"/>
      <c r="S48"/>
      <c r="U48"/>
      <c r="V48"/>
      <c r="Y48"/>
      <c r="Z48"/>
    </row>
    <row r="49" spans="1:26">
      <c r="A49" s="123"/>
      <c r="B49" s="118"/>
      <c r="C49" s="123"/>
      <c r="D49" s="123"/>
      <c r="E49" s="119"/>
      <c r="F49" s="120"/>
      <c r="G49" s="123"/>
      <c r="H49" s="123"/>
      <c r="J49" s="112"/>
      <c r="K49" s="110"/>
      <c r="L49" s="112"/>
      <c r="M49" s="112"/>
      <c r="N49" s="126"/>
      <c r="O49" s="127"/>
      <c r="P49" s="112"/>
      <c r="Q49" s="112"/>
      <c r="S49" s="112"/>
      <c r="T49" s="110"/>
      <c r="U49" s="112"/>
      <c r="V49" s="112"/>
      <c r="W49" s="126"/>
      <c r="X49" s="127"/>
      <c r="Y49" s="112"/>
      <c r="Z49" s="112"/>
    </row>
    <row r="50" spans="1:26">
      <c r="A50" s="114"/>
      <c r="B50" s="115"/>
      <c r="C50" s="114"/>
      <c r="D50" s="114"/>
      <c r="E50" s="116"/>
      <c r="F50" s="117"/>
      <c r="G50" s="114"/>
      <c r="H50" s="114"/>
      <c r="J50"/>
      <c r="L50"/>
      <c r="M50"/>
      <c r="P50"/>
      <c r="Q50"/>
      <c r="S50"/>
      <c r="U50"/>
      <c r="V50"/>
      <c r="Y50"/>
      <c r="Z50"/>
    </row>
    <row r="51" spans="1:26">
      <c r="A51" s="123"/>
      <c r="B51" s="118"/>
      <c r="C51" s="123"/>
      <c r="D51" s="123"/>
      <c r="E51" s="119"/>
      <c r="F51" s="120"/>
      <c r="G51" s="123"/>
      <c r="H51" s="123"/>
      <c r="J51" s="112"/>
      <c r="K51" s="110"/>
      <c r="L51" s="112"/>
      <c r="M51" s="112"/>
      <c r="N51" s="126"/>
      <c r="O51" s="127"/>
      <c r="P51" s="112"/>
      <c r="Q51" s="112"/>
      <c r="S51" s="112"/>
      <c r="T51" s="110"/>
      <c r="U51" s="112"/>
      <c r="V51" s="112"/>
      <c r="W51" s="126"/>
      <c r="X51" s="127"/>
      <c r="Y51" s="112"/>
      <c r="Z51" s="112"/>
    </row>
    <row r="52" spans="1:26">
      <c r="A52" s="114"/>
      <c r="B52" s="115"/>
      <c r="C52" s="114"/>
      <c r="D52" s="114"/>
      <c r="E52" s="116"/>
      <c r="F52" s="117"/>
      <c r="G52" s="114"/>
      <c r="H52" s="114"/>
      <c r="J52"/>
      <c r="L52"/>
      <c r="M52"/>
      <c r="P52"/>
      <c r="Q52"/>
      <c r="S52"/>
      <c r="U52"/>
      <c r="V52"/>
      <c r="Y52"/>
      <c r="Z52"/>
    </row>
    <row r="53" spans="1:26">
      <c r="A53" s="123"/>
      <c r="B53" s="118"/>
      <c r="C53" s="123"/>
      <c r="D53" s="123"/>
      <c r="E53" s="119"/>
      <c r="F53" s="120"/>
      <c r="G53" s="123"/>
      <c r="H53" s="123"/>
      <c r="J53" s="112"/>
      <c r="K53" s="110"/>
      <c r="L53" s="112"/>
      <c r="M53" s="112"/>
      <c r="N53" s="126"/>
      <c r="O53" s="127"/>
      <c r="P53" s="112"/>
      <c r="Q53" s="112"/>
      <c r="S53" s="112"/>
      <c r="T53" s="110"/>
      <c r="U53" s="112"/>
      <c r="V53" s="112"/>
      <c r="W53" s="126"/>
      <c r="X53" s="127"/>
      <c r="Y53" s="112"/>
      <c r="Z53" s="112"/>
    </row>
    <row r="54" spans="1:26">
      <c r="A54" s="114"/>
      <c r="B54" s="115"/>
      <c r="C54" s="114"/>
      <c r="D54" s="114"/>
      <c r="E54" s="116"/>
      <c r="F54" s="117"/>
      <c r="G54" s="114"/>
      <c r="H54" s="114"/>
      <c r="J54"/>
      <c r="L54"/>
      <c r="M54"/>
      <c r="P54"/>
      <c r="Q54"/>
      <c r="S54"/>
      <c r="U54"/>
      <c r="V54"/>
      <c r="Y54"/>
      <c r="Z54"/>
    </row>
    <row r="55" spans="1:26">
      <c r="A55" s="123"/>
      <c r="B55" s="118"/>
      <c r="C55" s="123"/>
      <c r="D55" s="123"/>
      <c r="E55" s="119"/>
      <c r="F55" s="120"/>
      <c r="G55" s="123"/>
      <c r="H55" s="123"/>
      <c r="J55" s="112"/>
      <c r="K55" s="110"/>
      <c r="L55" s="112"/>
      <c r="M55" s="112"/>
      <c r="N55" s="126"/>
      <c r="O55" s="127"/>
      <c r="P55" s="112"/>
      <c r="Q55" s="112"/>
      <c r="S55" s="112"/>
      <c r="T55" s="110"/>
      <c r="U55" s="112"/>
      <c r="V55" s="112"/>
      <c r="W55" s="126"/>
      <c r="X55" s="127"/>
      <c r="Y55" s="112"/>
      <c r="Z55" s="112"/>
    </row>
    <row r="56" spans="1:26">
      <c r="A56" s="114"/>
      <c r="B56" s="115"/>
      <c r="C56" s="114"/>
      <c r="D56" s="114"/>
      <c r="E56" s="116"/>
      <c r="F56" s="117"/>
      <c r="G56" s="114"/>
      <c r="H56" s="114"/>
      <c r="J56"/>
      <c r="L56"/>
      <c r="M56"/>
      <c r="P56"/>
      <c r="Q56"/>
      <c r="S56"/>
      <c r="U56"/>
      <c r="V56"/>
      <c r="Y56"/>
      <c r="Z56"/>
    </row>
    <row r="57" spans="1:26">
      <c r="A57" s="123"/>
      <c r="B57" s="118"/>
      <c r="C57" s="123"/>
      <c r="D57" s="123"/>
      <c r="E57" s="119"/>
      <c r="F57" s="120"/>
      <c r="G57" s="123"/>
      <c r="H57" s="123"/>
      <c r="J57" s="112"/>
      <c r="K57" s="110"/>
      <c r="L57" s="112"/>
      <c r="M57" s="112"/>
      <c r="N57" s="126"/>
      <c r="O57" s="127"/>
      <c r="P57" s="112"/>
      <c r="Q57" s="112"/>
      <c r="S57" s="112"/>
      <c r="T57" s="110"/>
      <c r="U57" s="112"/>
      <c r="V57" s="112"/>
      <c r="W57" s="126"/>
      <c r="X57" s="127"/>
      <c r="Y57" s="112"/>
      <c r="Z57" s="112"/>
    </row>
    <row r="58" spans="1:26">
      <c r="A58" s="114"/>
      <c r="B58" s="115"/>
      <c r="C58" s="114"/>
      <c r="D58" s="114"/>
      <c r="E58" s="116"/>
      <c r="F58" s="117"/>
      <c r="G58" s="114"/>
      <c r="H58" s="114"/>
      <c r="J58"/>
      <c r="L58"/>
      <c r="M58"/>
      <c r="P58"/>
      <c r="Q58"/>
      <c r="S58"/>
      <c r="U58"/>
      <c r="V58"/>
      <c r="Y58"/>
      <c r="Z58"/>
    </row>
    <row r="59" spans="1:26">
      <c r="A59" s="123"/>
      <c r="B59" s="118"/>
      <c r="C59" s="123"/>
      <c r="D59" s="123"/>
      <c r="E59" s="119"/>
      <c r="F59" s="120"/>
      <c r="G59" s="123"/>
      <c r="H59" s="123"/>
      <c r="J59" s="112"/>
      <c r="K59" s="110"/>
      <c r="L59" s="112"/>
      <c r="M59" s="112"/>
      <c r="N59" s="126"/>
      <c r="O59" s="127"/>
      <c r="P59" s="112"/>
      <c r="Q59" s="112"/>
      <c r="S59" s="112"/>
      <c r="T59" s="110"/>
      <c r="U59" s="112"/>
      <c r="V59" s="112"/>
      <c r="W59" s="126"/>
      <c r="X59" s="127"/>
      <c r="Y59" s="112"/>
      <c r="Z59" s="112"/>
    </row>
    <row r="60" spans="1:26">
      <c r="A60" s="114"/>
      <c r="B60" s="115"/>
      <c r="C60" s="114"/>
      <c r="D60" s="114"/>
      <c r="E60" s="116"/>
      <c r="F60" s="117"/>
      <c r="G60" s="114"/>
      <c r="H60" s="114"/>
      <c r="J60"/>
      <c r="L60"/>
      <c r="M60"/>
      <c r="P60"/>
      <c r="Q60"/>
      <c r="S60"/>
      <c r="U60"/>
      <c r="V60"/>
      <c r="Y60"/>
      <c r="Z60"/>
    </row>
    <row r="61" spans="1:26">
      <c r="A61" s="123"/>
      <c r="B61" s="118"/>
      <c r="C61" s="123"/>
      <c r="D61" s="123"/>
      <c r="E61" s="119"/>
      <c r="F61" s="120"/>
      <c r="G61" s="123"/>
      <c r="H61" s="123"/>
      <c r="J61" s="112"/>
      <c r="K61" s="110"/>
      <c r="L61" s="112"/>
      <c r="M61" s="112"/>
      <c r="N61" s="126"/>
      <c r="O61" s="127"/>
      <c r="P61" s="112"/>
      <c r="Q61" s="112"/>
      <c r="S61" s="112"/>
      <c r="T61" s="110"/>
      <c r="U61" s="112"/>
      <c r="V61" s="112"/>
      <c r="W61" s="126"/>
      <c r="X61" s="127"/>
      <c r="Y61" s="112"/>
      <c r="Z61" s="112"/>
    </row>
    <row r="62" spans="1:26">
      <c r="A62" s="114"/>
      <c r="B62" s="115"/>
      <c r="C62" s="114"/>
      <c r="D62" s="114"/>
      <c r="E62" s="116"/>
      <c r="F62" s="117"/>
      <c r="G62" s="114"/>
      <c r="H62" s="114"/>
      <c r="J62"/>
      <c r="L62"/>
      <c r="M62"/>
      <c r="P62"/>
      <c r="Q62"/>
      <c r="S62"/>
      <c r="U62"/>
      <c r="V62"/>
      <c r="Y62"/>
      <c r="Z62"/>
    </row>
    <row r="63" spans="1:26">
      <c r="A63" s="123"/>
      <c r="B63" s="118"/>
      <c r="C63" s="123"/>
      <c r="D63" s="123"/>
      <c r="E63" s="119"/>
      <c r="F63" s="120"/>
      <c r="G63" s="123"/>
      <c r="H63" s="123"/>
      <c r="J63" s="112"/>
      <c r="K63" s="110"/>
      <c r="L63" s="112"/>
      <c r="M63" s="112"/>
      <c r="N63" s="126"/>
      <c r="O63" s="127"/>
      <c r="P63" s="112"/>
      <c r="Q63" s="112"/>
      <c r="S63" s="112"/>
      <c r="T63" s="110"/>
      <c r="U63" s="112"/>
      <c r="V63" s="112"/>
      <c r="W63" s="126"/>
      <c r="X63" s="127"/>
      <c r="Y63" s="112"/>
      <c r="Z63" s="112"/>
    </row>
    <row r="64" spans="1:26">
      <c r="A64" s="114"/>
      <c r="B64" s="115"/>
      <c r="C64" s="114"/>
      <c r="D64" s="114"/>
      <c r="E64" s="116"/>
      <c r="F64" s="117"/>
      <c r="G64" s="114"/>
      <c r="H64" s="114"/>
      <c r="J64"/>
      <c r="L64"/>
      <c r="M64"/>
      <c r="P64"/>
      <c r="Q64"/>
      <c r="S64"/>
      <c r="U64"/>
      <c r="V64"/>
      <c r="Y64"/>
      <c r="Z64"/>
    </row>
    <row r="65" spans="1:26">
      <c r="A65" s="123"/>
      <c r="B65" s="118"/>
      <c r="C65" s="123"/>
      <c r="D65" s="123"/>
      <c r="E65" s="119"/>
      <c r="F65" s="120"/>
      <c r="G65" s="123"/>
      <c r="H65" s="123"/>
      <c r="J65" s="112"/>
      <c r="K65" s="110"/>
      <c r="L65" s="112"/>
      <c r="M65" s="112"/>
      <c r="N65" s="126"/>
      <c r="O65" s="127"/>
      <c r="P65" s="112"/>
      <c r="Q65" s="112"/>
      <c r="S65" s="112"/>
      <c r="T65" s="110"/>
      <c r="U65" s="112"/>
      <c r="V65" s="112"/>
      <c r="W65" s="126"/>
      <c r="X65" s="127"/>
      <c r="Y65" s="112"/>
      <c r="Z65" s="112"/>
    </row>
    <row r="66" spans="1:26">
      <c r="A66" s="114"/>
      <c r="B66" s="115"/>
      <c r="C66" s="114"/>
      <c r="D66" s="114"/>
      <c r="E66" s="116"/>
      <c r="F66" s="117"/>
      <c r="G66" s="114"/>
      <c r="H66" s="114"/>
      <c r="J66"/>
      <c r="L66"/>
      <c r="M66"/>
      <c r="P66"/>
      <c r="Q66"/>
      <c r="S66"/>
      <c r="U66"/>
      <c r="V66"/>
      <c r="Y66"/>
      <c r="Z66"/>
    </row>
    <row r="67" spans="1:26">
      <c r="A67" s="123"/>
      <c r="B67" s="118"/>
      <c r="C67" s="123"/>
      <c r="D67" s="123"/>
      <c r="E67" s="119"/>
      <c r="F67" s="120"/>
      <c r="G67" s="123"/>
      <c r="H67" s="123"/>
      <c r="J67" s="112"/>
      <c r="K67" s="110"/>
      <c r="L67" s="112"/>
      <c r="M67" s="112"/>
      <c r="N67" s="126"/>
      <c r="O67" s="127"/>
      <c r="P67" s="112"/>
      <c r="Q67" s="112"/>
      <c r="S67" s="112"/>
      <c r="T67" s="110"/>
      <c r="U67" s="112"/>
      <c r="V67" s="112"/>
      <c r="W67" s="126"/>
      <c r="X67" s="127"/>
      <c r="Y67" s="112"/>
      <c r="Z67" s="112"/>
    </row>
    <row r="68" spans="1:26">
      <c r="A68" s="114"/>
      <c r="B68" s="115"/>
      <c r="C68" s="114"/>
      <c r="D68" s="114"/>
      <c r="E68" s="116"/>
      <c r="F68" s="117"/>
      <c r="G68" s="114"/>
      <c r="H68" s="114"/>
      <c r="J68"/>
      <c r="L68"/>
      <c r="M68"/>
      <c r="P68"/>
      <c r="Q68"/>
      <c r="S68"/>
      <c r="U68"/>
      <c r="V68"/>
      <c r="Y68"/>
      <c r="Z68"/>
    </row>
    <row r="69" spans="1:26">
      <c r="A69" s="123"/>
      <c r="B69" s="118"/>
      <c r="C69" s="123"/>
      <c r="D69" s="123"/>
      <c r="E69" s="119"/>
      <c r="F69" s="120"/>
      <c r="G69" s="123"/>
      <c r="H69" s="123"/>
      <c r="J69" s="112"/>
      <c r="K69" s="110"/>
      <c r="L69" s="112"/>
      <c r="M69" s="112"/>
      <c r="N69" s="126"/>
      <c r="O69" s="127"/>
      <c r="P69" s="112"/>
      <c r="Q69" s="112"/>
      <c r="S69" s="112"/>
      <c r="T69" s="110"/>
      <c r="U69" s="112"/>
      <c r="V69" s="112"/>
      <c r="W69" s="126"/>
      <c r="X69" s="127"/>
      <c r="Y69" s="112"/>
      <c r="Z69" s="112"/>
    </row>
    <row r="70" spans="1:26">
      <c r="A70" s="114"/>
      <c r="B70" s="115"/>
      <c r="C70" s="114"/>
      <c r="D70" s="114"/>
      <c r="E70" s="116"/>
      <c r="F70" s="117"/>
      <c r="G70" s="114"/>
      <c r="H70" s="114"/>
      <c r="J70"/>
      <c r="L70"/>
      <c r="M70"/>
      <c r="P70"/>
      <c r="Q70"/>
      <c r="S70"/>
      <c r="U70"/>
      <c r="V70"/>
      <c r="Y70"/>
      <c r="Z70"/>
    </row>
    <row r="71" spans="1:26">
      <c r="A71" s="123"/>
      <c r="B71" s="118"/>
      <c r="C71" s="123"/>
      <c r="D71" s="123"/>
      <c r="E71" s="119"/>
      <c r="F71" s="120"/>
      <c r="G71" s="123"/>
      <c r="H71" s="123"/>
      <c r="J71" s="112"/>
      <c r="K71" s="110"/>
      <c r="L71" s="112"/>
      <c r="M71" s="112"/>
      <c r="N71" s="126"/>
      <c r="O71" s="127"/>
      <c r="P71" s="112"/>
      <c r="Q71" s="112"/>
      <c r="S71" s="112"/>
      <c r="T71" s="110"/>
      <c r="U71" s="112"/>
      <c r="V71" s="112"/>
      <c r="W71" s="126"/>
      <c r="X71" s="127"/>
      <c r="Y71" s="112"/>
      <c r="Z71" s="112"/>
    </row>
    <row r="72" spans="1:26">
      <c r="A72" s="114"/>
      <c r="B72" s="115"/>
      <c r="C72" s="114"/>
      <c r="D72" s="114"/>
      <c r="E72" s="116"/>
      <c r="F72" s="117"/>
      <c r="G72" s="114"/>
      <c r="H72" s="114"/>
      <c r="J72"/>
      <c r="L72"/>
      <c r="M72"/>
      <c r="P72"/>
      <c r="Q72"/>
      <c r="S72"/>
      <c r="U72"/>
      <c r="V72"/>
      <c r="Y72"/>
      <c r="Z72"/>
    </row>
    <row r="73" spans="1:26">
      <c r="A73" s="123"/>
      <c r="B73" s="118"/>
      <c r="C73" s="123"/>
      <c r="D73" s="123"/>
      <c r="E73" s="119"/>
      <c r="F73" s="120"/>
      <c r="G73" s="123"/>
      <c r="H73" s="123"/>
      <c r="J73" s="112"/>
      <c r="K73" s="110"/>
      <c r="L73" s="112"/>
      <c r="M73" s="112"/>
      <c r="N73" s="126"/>
      <c r="O73" s="127"/>
      <c r="P73" s="112"/>
      <c r="Q73" s="112"/>
      <c r="S73" s="112"/>
      <c r="T73" s="110"/>
      <c r="U73" s="112"/>
      <c r="V73" s="112"/>
      <c r="W73" s="126"/>
      <c r="X73" s="127"/>
      <c r="Y73" s="112"/>
      <c r="Z73" s="112"/>
    </row>
    <row r="74" spans="1:26">
      <c r="A74" s="114"/>
      <c r="B74" s="115"/>
      <c r="C74" s="114"/>
      <c r="D74" s="114"/>
      <c r="E74" s="116"/>
      <c r="F74" s="117"/>
      <c r="G74" s="114"/>
      <c r="H74" s="114"/>
      <c r="J74"/>
      <c r="L74"/>
      <c r="M74"/>
      <c r="P74"/>
      <c r="Q74"/>
      <c r="S74"/>
      <c r="U74"/>
      <c r="V74"/>
      <c r="Y74"/>
      <c r="Z74"/>
    </row>
    <row r="75" spans="1:26">
      <c r="A75" s="123"/>
      <c r="B75" s="118"/>
      <c r="C75" s="123"/>
      <c r="D75" s="123"/>
      <c r="E75" s="119"/>
      <c r="F75" s="120"/>
      <c r="G75" s="123"/>
      <c r="H75" s="123"/>
      <c r="J75" s="112"/>
      <c r="K75" s="110"/>
      <c r="L75" s="112"/>
      <c r="M75" s="112"/>
      <c r="N75" s="126"/>
      <c r="O75" s="127"/>
      <c r="P75" s="112"/>
      <c r="Q75" s="112"/>
      <c r="S75" s="112"/>
      <c r="T75" s="110"/>
      <c r="U75" s="112"/>
      <c r="V75" s="112"/>
      <c r="W75" s="126"/>
      <c r="X75" s="127"/>
      <c r="Y75" s="112"/>
      <c r="Z75" s="112"/>
    </row>
    <row r="76" spans="1:26">
      <c r="A76" s="114"/>
      <c r="B76" s="115"/>
      <c r="C76" s="114"/>
      <c r="D76" s="114"/>
      <c r="E76" s="116"/>
      <c r="F76" s="117"/>
      <c r="G76" s="114"/>
      <c r="H76" s="114"/>
      <c r="J76"/>
      <c r="L76"/>
      <c r="M76"/>
      <c r="P76"/>
      <c r="Q76"/>
      <c r="S76"/>
      <c r="U76"/>
      <c r="V76"/>
      <c r="Y76"/>
      <c r="Z76"/>
    </row>
    <row r="77" spans="1:26">
      <c r="A77" s="123"/>
      <c r="B77" s="118"/>
      <c r="C77" s="123"/>
      <c r="D77" s="123"/>
      <c r="E77" s="119"/>
      <c r="F77" s="120"/>
      <c r="G77" s="123"/>
      <c r="H77" s="123"/>
      <c r="J77" s="112"/>
      <c r="K77" s="110"/>
      <c r="L77" s="112"/>
      <c r="M77" s="112"/>
      <c r="N77" s="126"/>
      <c r="O77" s="127"/>
      <c r="P77" s="112"/>
      <c r="Q77" s="112"/>
      <c r="S77" s="112"/>
      <c r="T77" s="110"/>
      <c r="U77" s="112"/>
      <c r="V77" s="112"/>
      <c r="W77" s="126"/>
      <c r="X77" s="127"/>
      <c r="Y77" s="112"/>
      <c r="Z77" s="112"/>
    </row>
    <row r="78" spans="1:26">
      <c r="A78" s="114"/>
      <c r="B78" s="115"/>
      <c r="C78" s="114"/>
      <c r="D78" s="114"/>
      <c r="E78" s="116"/>
      <c r="F78" s="117"/>
      <c r="G78" s="114"/>
      <c r="H78" s="114"/>
      <c r="J78"/>
      <c r="L78"/>
      <c r="M78"/>
      <c r="P78"/>
      <c r="Q78"/>
      <c r="S78"/>
      <c r="U78"/>
      <c r="V78"/>
      <c r="Y78"/>
      <c r="Z78"/>
    </row>
    <row r="79" spans="1:26">
      <c r="A79" s="123"/>
      <c r="B79" s="118"/>
      <c r="C79" s="123"/>
      <c r="D79" s="123"/>
      <c r="E79" s="119"/>
      <c r="F79" s="120"/>
      <c r="G79" s="123"/>
      <c r="H79" s="123"/>
      <c r="J79" s="112"/>
      <c r="K79" s="110"/>
      <c r="L79" s="112"/>
      <c r="M79" s="112"/>
      <c r="N79" s="126"/>
      <c r="O79" s="127"/>
      <c r="P79" s="112"/>
      <c r="Q79" s="112"/>
      <c r="S79" s="112"/>
      <c r="T79" s="110"/>
      <c r="U79" s="112"/>
      <c r="V79" s="112"/>
      <c r="W79" s="126"/>
      <c r="X79" s="127"/>
      <c r="Y79" s="112"/>
      <c r="Z79" s="112"/>
    </row>
    <row r="80" spans="1:26">
      <c r="A80" s="114"/>
      <c r="B80" s="115"/>
      <c r="C80" s="114"/>
      <c r="D80" s="114"/>
      <c r="E80" s="116"/>
      <c r="F80" s="117"/>
      <c r="G80" s="114"/>
      <c r="H80" s="114"/>
      <c r="J80"/>
      <c r="L80"/>
      <c r="M80"/>
      <c r="P80"/>
      <c r="Q80"/>
      <c r="S80"/>
      <c r="U80"/>
      <c r="V80"/>
      <c r="Y80"/>
      <c r="Z80"/>
    </row>
    <row r="81" spans="1:26">
      <c r="A81" s="123"/>
      <c r="B81" s="118"/>
      <c r="C81" s="123"/>
      <c r="D81" s="123"/>
      <c r="E81" s="119"/>
      <c r="F81" s="120"/>
      <c r="G81" s="123"/>
      <c r="H81" s="123"/>
      <c r="J81" s="112"/>
      <c r="K81" s="110"/>
      <c r="L81" s="112"/>
      <c r="M81" s="112"/>
      <c r="N81" s="126"/>
      <c r="O81" s="127"/>
      <c r="P81" s="112"/>
      <c r="Q81" s="112"/>
      <c r="S81" s="112"/>
      <c r="T81" s="110"/>
      <c r="U81" s="112"/>
      <c r="V81" s="112"/>
      <c r="W81" s="126"/>
      <c r="X81" s="127"/>
      <c r="Y81" s="112"/>
      <c r="Z81" s="112"/>
    </row>
    <row r="82" spans="1:26">
      <c r="A82" s="114"/>
      <c r="B82" s="115"/>
      <c r="C82" s="114"/>
      <c r="D82" s="114"/>
      <c r="E82" s="116"/>
      <c r="F82" s="117"/>
      <c r="G82" s="114"/>
      <c r="H82" s="114"/>
      <c r="J82"/>
      <c r="L82"/>
      <c r="M82"/>
      <c r="P82"/>
      <c r="Q82"/>
      <c r="S82"/>
      <c r="U82"/>
      <c r="V82"/>
      <c r="Y82"/>
      <c r="Z82"/>
    </row>
    <row r="83" spans="1:26">
      <c r="A83" s="123"/>
      <c r="B83" s="118"/>
      <c r="C83" s="123"/>
      <c r="D83" s="123"/>
      <c r="E83" s="119"/>
      <c r="F83" s="120"/>
      <c r="G83" s="123"/>
      <c r="H83" s="123"/>
      <c r="J83" s="112"/>
      <c r="K83" s="110"/>
      <c r="L83" s="112"/>
      <c r="M83" s="112"/>
      <c r="N83" s="126"/>
      <c r="O83" s="127"/>
      <c r="P83" s="112"/>
      <c r="Q83" s="112"/>
      <c r="S83" s="112"/>
      <c r="T83" s="110"/>
      <c r="U83" s="112"/>
      <c r="V83" s="112"/>
      <c r="W83" s="126"/>
      <c r="X83" s="127"/>
      <c r="Y83" s="112"/>
      <c r="Z83" s="112"/>
    </row>
    <row r="84" spans="1:26">
      <c r="A84" s="114"/>
      <c r="B84" s="115"/>
      <c r="C84" s="114"/>
      <c r="D84" s="114"/>
      <c r="E84" s="116"/>
      <c r="F84" s="117"/>
      <c r="G84" s="114"/>
      <c r="H84" s="114"/>
      <c r="J84"/>
      <c r="L84"/>
      <c r="M84"/>
      <c r="P84"/>
      <c r="Q84"/>
      <c r="S84"/>
      <c r="U84"/>
      <c r="V84"/>
      <c r="Y84"/>
      <c r="Z84"/>
    </row>
    <row r="85" spans="1:26">
      <c r="A85" s="123"/>
      <c r="B85" s="118"/>
      <c r="C85" s="123"/>
      <c r="D85" s="123"/>
      <c r="E85" s="119"/>
      <c r="F85" s="120"/>
      <c r="G85" s="123"/>
      <c r="H85" s="123"/>
      <c r="J85" s="112"/>
      <c r="K85" s="110"/>
      <c r="L85" s="112"/>
      <c r="M85" s="112"/>
      <c r="N85" s="126"/>
      <c r="O85" s="127"/>
      <c r="P85" s="112"/>
      <c r="Q85" s="112"/>
      <c r="S85" s="112"/>
      <c r="T85" s="110"/>
      <c r="U85" s="112"/>
      <c r="V85" s="112"/>
      <c r="W85" s="126"/>
      <c r="X85" s="127"/>
      <c r="Y85" s="112"/>
      <c r="Z85" s="112"/>
    </row>
    <row r="86" spans="1:26">
      <c r="A86" s="114"/>
      <c r="B86" s="115"/>
      <c r="C86" s="114"/>
      <c r="D86" s="114"/>
      <c r="E86" s="116"/>
      <c r="F86" s="117"/>
      <c r="G86" s="114"/>
      <c r="H86" s="114"/>
      <c r="J86"/>
      <c r="L86"/>
      <c r="M86"/>
      <c r="P86"/>
      <c r="Q86"/>
      <c r="S86"/>
      <c r="U86"/>
      <c r="V86"/>
      <c r="Y86"/>
      <c r="Z86"/>
    </row>
    <row r="87" spans="1:26">
      <c r="A87" s="123"/>
      <c r="B87" s="118"/>
      <c r="C87" s="123"/>
      <c r="D87" s="123"/>
      <c r="E87" s="119"/>
      <c r="F87" s="120"/>
      <c r="G87" s="123"/>
      <c r="H87" s="123"/>
      <c r="J87" s="112"/>
      <c r="K87" s="110"/>
      <c r="L87" s="112"/>
      <c r="M87" s="112"/>
      <c r="N87" s="126"/>
      <c r="O87" s="127"/>
      <c r="P87" s="112"/>
      <c r="Q87" s="112"/>
      <c r="S87" s="112"/>
      <c r="T87" s="110"/>
      <c r="U87" s="112"/>
      <c r="V87" s="112"/>
      <c r="W87" s="126"/>
      <c r="X87" s="127"/>
      <c r="Y87" s="112"/>
      <c r="Z87" s="112"/>
    </row>
    <row r="88" spans="1:26">
      <c r="A88" s="114"/>
      <c r="B88" s="115"/>
      <c r="C88" s="114"/>
      <c r="D88" s="114"/>
      <c r="E88" s="116"/>
      <c r="F88" s="117"/>
      <c r="G88" s="114"/>
      <c r="H88" s="114"/>
      <c r="J88"/>
      <c r="L88"/>
      <c r="M88"/>
      <c r="P88"/>
      <c r="Q88"/>
      <c r="S88"/>
      <c r="U88"/>
      <c r="V88"/>
      <c r="Y88"/>
      <c r="Z88"/>
    </row>
    <row r="89" spans="1:26">
      <c r="A89" s="123"/>
      <c r="B89" s="118"/>
      <c r="C89" s="123"/>
      <c r="D89" s="123"/>
      <c r="E89" s="119"/>
      <c r="F89" s="120"/>
      <c r="G89" s="123"/>
      <c r="H89" s="123"/>
      <c r="J89" s="112"/>
      <c r="K89" s="110"/>
      <c r="L89" s="112"/>
      <c r="M89" s="112"/>
      <c r="N89" s="126"/>
      <c r="O89" s="127"/>
      <c r="P89" s="112"/>
      <c r="Q89" s="112"/>
      <c r="S89" s="112"/>
      <c r="T89" s="110"/>
      <c r="U89" s="112"/>
      <c r="V89" s="112"/>
      <c r="W89" s="126"/>
      <c r="X89" s="127"/>
      <c r="Y89" s="112"/>
      <c r="Z89" s="112"/>
    </row>
    <row r="90" spans="1:26">
      <c r="A90" s="114"/>
      <c r="B90" s="115"/>
      <c r="C90" s="114"/>
      <c r="D90" s="114"/>
      <c r="E90" s="116"/>
      <c r="F90" s="117"/>
      <c r="G90" s="114"/>
      <c r="H90" s="114"/>
      <c r="J90"/>
      <c r="L90"/>
      <c r="M90"/>
      <c r="P90"/>
      <c r="Q90"/>
      <c r="S90"/>
      <c r="U90"/>
      <c r="V90"/>
      <c r="Y90"/>
      <c r="Z90"/>
    </row>
    <row r="91" spans="1:26">
      <c r="A91" s="123"/>
      <c r="B91" s="118"/>
      <c r="C91" s="123"/>
      <c r="D91" s="123"/>
      <c r="E91" s="119"/>
      <c r="F91" s="120"/>
      <c r="G91" s="123"/>
      <c r="H91" s="123"/>
      <c r="J91" s="112"/>
      <c r="K91" s="110"/>
      <c r="L91" s="112"/>
      <c r="M91" s="112"/>
      <c r="N91" s="126"/>
      <c r="O91" s="127"/>
      <c r="P91" s="112"/>
      <c r="Q91" s="112"/>
      <c r="S91" s="112"/>
      <c r="T91" s="110"/>
      <c r="U91" s="112"/>
      <c r="V91" s="112"/>
      <c r="W91" s="126"/>
      <c r="X91" s="127"/>
      <c r="Y91" s="112"/>
      <c r="Z91" s="112"/>
    </row>
    <row r="92" spans="1:26">
      <c r="A92" s="114"/>
      <c r="B92" s="115"/>
      <c r="C92" s="114"/>
      <c r="D92" s="114"/>
      <c r="E92" s="116"/>
      <c r="F92" s="117"/>
      <c r="G92" s="114"/>
      <c r="H92" s="114"/>
      <c r="J92"/>
      <c r="L92"/>
      <c r="M92"/>
      <c r="P92"/>
      <c r="Q92"/>
    </row>
    <row r="93" spans="1:26">
      <c r="A93" s="123"/>
      <c r="B93" s="118"/>
      <c r="C93" s="123"/>
      <c r="D93" s="123"/>
      <c r="E93" s="119"/>
      <c r="F93" s="120"/>
      <c r="G93" s="123"/>
      <c r="H93" s="123"/>
      <c r="J93" s="112"/>
      <c r="K93" s="110"/>
      <c r="L93" s="112"/>
      <c r="M93" s="112"/>
      <c r="N93" s="126"/>
      <c r="O93" s="127"/>
      <c r="P93" s="112"/>
      <c r="Q93" s="112"/>
    </row>
    <row r="94" spans="1:26">
      <c r="A94" s="114"/>
      <c r="B94" s="115"/>
      <c r="C94" s="114"/>
      <c r="D94" s="114"/>
      <c r="E94" s="116"/>
      <c r="F94" s="117"/>
      <c r="G94" s="114"/>
      <c r="H94" s="114"/>
      <c r="J94"/>
      <c r="L94"/>
      <c r="M94"/>
      <c r="P94"/>
      <c r="Q94"/>
    </row>
    <row r="95" spans="1:26">
      <c r="A95" s="123"/>
      <c r="B95" s="118"/>
      <c r="C95" s="123"/>
      <c r="D95" s="123"/>
      <c r="E95" s="119"/>
      <c r="F95" s="120"/>
      <c r="G95" s="123"/>
      <c r="H95" s="123"/>
      <c r="J95" s="112"/>
      <c r="K95" s="110"/>
      <c r="L95" s="112"/>
      <c r="M95" s="112"/>
      <c r="N95" s="126"/>
      <c r="O95" s="127"/>
      <c r="P95" s="112"/>
      <c r="Q95" s="112"/>
    </row>
    <row r="96" spans="1:26">
      <c r="A96" s="114"/>
      <c r="B96" s="115"/>
      <c r="C96" s="114"/>
      <c r="D96" s="114"/>
      <c r="E96" s="116"/>
      <c r="F96" s="117"/>
      <c r="G96" s="114"/>
      <c r="H96" s="114"/>
      <c r="J96"/>
      <c r="L96"/>
      <c r="M96"/>
      <c r="P96"/>
      <c r="Q96"/>
    </row>
    <row r="97" spans="1:17">
      <c r="A97" s="123"/>
      <c r="B97" s="118"/>
      <c r="C97" s="123"/>
      <c r="D97" s="123"/>
      <c r="E97" s="119"/>
      <c r="F97" s="120"/>
      <c r="G97" s="123"/>
      <c r="H97" s="123"/>
      <c r="J97" s="112"/>
      <c r="K97" s="110"/>
      <c r="L97" s="112"/>
      <c r="M97" s="112"/>
      <c r="N97" s="126"/>
      <c r="O97" s="127"/>
      <c r="P97" s="112"/>
      <c r="Q97" s="112"/>
    </row>
    <row r="98" spans="1:17">
      <c r="J98"/>
      <c r="L98"/>
      <c r="M98"/>
      <c r="P98"/>
      <c r="Q98"/>
    </row>
    <row r="99" spans="1:17">
      <c r="A99" s="115" t="s">
        <v>397</v>
      </c>
      <c r="B99" s="115" t="s">
        <v>397</v>
      </c>
      <c r="C99" s="115" t="s">
        <v>397</v>
      </c>
      <c r="D99" s="115" t="s">
        <v>397</v>
      </c>
      <c r="E99" s="116">
        <v>2892973.46</v>
      </c>
      <c r="F99" s="114"/>
      <c r="G99" s="115" t="s">
        <v>397</v>
      </c>
      <c r="H99" s="115" t="s">
        <v>397</v>
      </c>
      <c r="J99" s="112"/>
      <c r="K99" s="110"/>
      <c r="L99" s="112"/>
      <c r="M99" s="112"/>
      <c r="N99" s="126"/>
      <c r="O99" s="127"/>
      <c r="P99" s="112"/>
      <c r="Q99" s="112"/>
    </row>
    <row r="100" spans="1:17">
      <c r="J100"/>
      <c r="L100"/>
      <c r="M100"/>
      <c r="P100"/>
      <c r="Q100"/>
    </row>
    <row r="102" spans="1:17">
      <c r="A102" s="114"/>
      <c r="B102" s="114"/>
      <c r="C102" s="115" t="s">
        <v>443</v>
      </c>
      <c r="D102" s="114"/>
      <c r="E102" s="114"/>
      <c r="F102" s="114"/>
      <c r="G102" s="114"/>
      <c r="H102" s="114"/>
      <c r="J102" s="108" t="s">
        <v>397</v>
      </c>
      <c r="K102" s="108" t="s">
        <v>397</v>
      </c>
      <c r="L102" s="108" t="s">
        <v>397</v>
      </c>
      <c r="M102" s="108" t="s">
        <v>397</v>
      </c>
      <c r="N102" s="124">
        <v>2517286.3199999998</v>
      </c>
      <c r="P102" s="108" t="s">
        <v>397</v>
      </c>
      <c r="Q102" s="108" t="s">
        <v>397</v>
      </c>
    </row>
    <row r="105" spans="1:17">
      <c r="J105" s="108" t="s">
        <v>443</v>
      </c>
    </row>
  </sheetData>
  <autoFilter ref="A13:Z13" xr:uid="{00000000-0009-0000-0000-00000B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MANUAL</vt:lpstr>
      <vt:lpstr>PALATO</vt:lpstr>
      <vt:lpstr>ESPECIARYA</vt:lpstr>
      <vt:lpstr>ALLCOOK</vt:lpstr>
      <vt:lpstr>MVTO E</vt:lpstr>
      <vt:lpstr>DESP E</vt:lpstr>
      <vt:lpstr>BD - E - Mvto Cx</vt:lpstr>
      <vt:lpstr>BD - E - Despesas</vt:lpstr>
      <vt:lpstr>MVTO A</vt:lpstr>
      <vt:lpstr>DESP A</vt:lpstr>
      <vt:lpstr>BD - A - Mvto Cx</vt:lpstr>
      <vt:lpstr>BD - A - 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Lima</dc:creator>
  <cp:lastModifiedBy>Luiz Lima</cp:lastModifiedBy>
  <cp:revision>842</cp:revision>
  <cp:lastPrinted>2021-07-14T19:17:55Z</cp:lastPrinted>
  <dcterms:created xsi:type="dcterms:W3CDTF">2015-06-05T18:17:00Z</dcterms:created>
  <dcterms:modified xsi:type="dcterms:W3CDTF">2026-05-14T18:13:34Z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1046-11.2.0.9431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